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VS Code Project\BankCDPricing\"/>
    </mc:Choice>
  </mc:AlternateContent>
  <xr:revisionPtr revIDLastSave="0" documentId="13_ncr:1_{CCFE49DD-D4B9-4185-88E6-20F23A2AF26C}" xr6:coauthVersionLast="36" xr6:coauthVersionMax="36" xr10:uidLastSave="{00000000-0000-0000-0000-000000000000}"/>
  <bookViews>
    <workbookView xWindow="0" yWindow="0" windowWidth="8472" windowHeight="2568" activeTab="2" xr2:uid="{00000000-000D-0000-FFFF-FFFF00000000}"/>
  </bookViews>
  <sheets>
    <sheet name="Bank_Rates" sheetId="1" r:id="rId1"/>
    <sheet name="Raw_Observations" sheetId="2" r:id="rId2"/>
    <sheet name="Pricing" sheetId="3" r:id="rId3"/>
    <sheet name="Buy_History" sheetId="4" r:id="rId4"/>
    <sheet name="Order_History" sheetId="5" r:id="rId5"/>
    <sheet name="Sell_History" sheetId="6" r:id="rId6"/>
    <sheet name="Trade_Results" sheetId="7" r:id="rId7"/>
  </sheets>
  <calcPr calcId="181029"/>
</workbook>
</file>

<file path=xl/calcChain.xml><?xml version="1.0" encoding="utf-8"?>
<calcChain xmlns="http://schemas.openxmlformats.org/spreadsheetml/2006/main">
  <c r="H2" i="3" l="1"/>
  <c r="C24" i="5" l="1"/>
  <c r="E32" i="3" l="1"/>
  <c r="E21" i="6"/>
  <c r="E22" i="6"/>
  <c r="E23" i="6"/>
  <c r="E24" i="6"/>
  <c r="B200" i="7" l="1"/>
  <c r="A200" i="7"/>
  <c r="C200" i="7" s="1"/>
  <c r="B199" i="7"/>
  <c r="A199" i="7"/>
  <c r="B198" i="7"/>
  <c r="A198" i="7"/>
  <c r="B197" i="7"/>
  <c r="A197" i="7"/>
  <c r="B196" i="7"/>
  <c r="A196" i="7"/>
  <c r="C196" i="7" s="1"/>
  <c r="B195" i="7"/>
  <c r="A195" i="7"/>
  <c r="B194" i="7"/>
  <c r="A194" i="7"/>
  <c r="B193" i="7"/>
  <c r="A193" i="7"/>
  <c r="B192" i="7"/>
  <c r="A192" i="7"/>
  <c r="C192" i="7" s="1"/>
  <c r="B191" i="7"/>
  <c r="A191" i="7"/>
  <c r="B190" i="7"/>
  <c r="A190" i="7"/>
  <c r="B189" i="7"/>
  <c r="A189" i="7"/>
  <c r="B188" i="7"/>
  <c r="A188" i="7"/>
  <c r="C188" i="7" s="1"/>
  <c r="B187" i="7"/>
  <c r="A187" i="7"/>
  <c r="B186" i="7"/>
  <c r="A186" i="7"/>
  <c r="B185" i="7"/>
  <c r="A185" i="7"/>
  <c r="C185" i="7" s="1"/>
  <c r="K185" i="7" s="1"/>
  <c r="B184" i="7"/>
  <c r="A184" i="7"/>
  <c r="C184" i="7" s="1"/>
  <c r="D184" i="7" s="1"/>
  <c r="B183" i="7"/>
  <c r="A183" i="7"/>
  <c r="B182" i="7"/>
  <c r="A182" i="7"/>
  <c r="B181" i="7"/>
  <c r="A181" i="7"/>
  <c r="B180" i="7"/>
  <c r="A180" i="7"/>
  <c r="C180" i="7" s="1"/>
  <c r="B179" i="7"/>
  <c r="A179" i="7"/>
  <c r="B178" i="7"/>
  <c r="A178" i="7"/>
  <c r="B177" i="7"/>
  <c r="A177" i="7"/>
  <c r="C177" i="7" s="1"/>
  <c r="B176" i="7"/>
  <c r="A176" i="7"/>
  <c r="C176" i="7" s="1"/>
  <c r="B175" i="7"/>
  <c r="A175" i="7"/>
  <c r="B174" i="7"/>
  <c r="A174" i="7"/>
  <c r="B173" i="7"/>
  <c r="A173" i="7"/>
  <c r="E173" i="7" s="1"/>
  <c r="B172" i="7"/>
  <c r="A172" i="7"/>
  <c r="E172" i="7" s="1"/>
  <c r="B171" i="7"/>
  <c r="A171" i="7"/>
  <c r="F171" i="7" s="1"/>
  <c r="B170" i="7"/>
  <c r="A170" i="7"/>
  <c r="B169" i="7"/>
  <c r="A169" i="7"/>
  <c r="B168" i="7"/>
  <c r="A168" i="7"/>
  <c r="B167" i="7"/>
  <c r="A167" i="7"/>
  <c r="C167" i="7" s="1"/>
  <c r="B166" i="7"/>
  <c r="A166" i="7"/>
  <c r="E166" i="7" s="1"/>
  <c r="B165" i="7"/>
  <c r="A165" i="7"/>
  <c r="B164" i="7"/>
  <c r="A164" i="7"/>
  <c r="C164" i="7" s="1"/>
  <c r="K164" i="7" s="1"/>
  <c r="B163" i="7"/>
  <c r="A163" i="7"/>
  <c r="B162" i="7"/>
  <c r="A162" i="7"/>
  <c r="B161" i="7"/>
  <c r="A161" i="7"/>
  <c r="B160" i="7"/>
  <c r="A160" i="7"/>
  <c r="E160" i="7" s="1"/>
  <c r="B159" i="7"/>
  <c r="A159" i="7"/>
  <c r="E159" i="7" s="1"/>
  <c r="B158" i="7"/>
  <c r="A158" i="7"/>
  <c r="B157" i="7"/>
  <c r="A157" i="7"/>
  <c r="C157" i="7" s="1"/>
  <c r="B156" i="7"/>
  <c r="A156" i="7"/>
  <c r="B155" i="7"/>
  <c r="A155" i="7"/>
  <c r="E155" i="7" s="1"/>
  <c r="B154" i="7"/>
  <c r="A154" i="7"/>
  <c r="C154" i="7" s="1"/>
  <c r="K154" i="7" s="1"/>
  <c r="B153" i="7"/>
  <c r="A153" i="7"/>
  <c r="C153" i="7" s="1"/>
  <c r="H153" i="7" s="1"/>
  <c r="I153" i="7" s="1"/>
  <c r="B152" i="7"/>
  <c r="A152" i="7"/>
  <c r="C152" i="7" s="1"/>
  <c r="B151" i="7"/>
  <c r="A151" i="7"/>
  <c r="E151" i="7" s="1"/>
  <c r="B150" i="7"/>
  <c r="A150" i="7"/>
  <c r="E150" i="7" s="1"/>
  <c r="B149" i="7"/>
  <c r="A149" i="7"/>
  <c r="E149" i="7" s="1"/>
  <c r="B148" i="7"/>
  <c r="A148" i="7"/>
  <c r="E148" i="7" s="1"/>
  <c r="B147" i="7"/>
  <c r="A147" i="7"/>
  <c r="B146" i="7"/>
  <c r="A146" i="7"/>
  <c r="C146" i="7" s="1"/>
  <c r="B145" i="7"/>
  <c r="A145" i="7"/>
  <c r="E145" i="7" s="1"/>
  <c r="B144" i="7"/>
  <c r="A144" i="7"/>
  <c r="E144" i="7" s="1"/>
  <c r="B143" i="7"/>
  <c r="A143" i="7"/>
  <c r="C143" i="7" s="1"/>
  <c r="H143" i="7" s="1"/>
  <c r="I143" i="7" s="1"/>
  <c r="B142" i="7"/>
  <c r="A142" i="7"/>
  <c r="B141" i="7"/>
  <c r="A141" i="7"/>
  <c r="F141" i="7" s="1"/>
  <c r="B140" i="7"/>
  <c r="A140" i="7"/>
  <c r="F140" i="7" s="1"/>
  <c r="B139" i="7"/>
  <c r="A139" i="7"/>
  <c r="C139" i="7" s="1"/>
  <c r="B138" i="7"/>
  <c r="A138" i="7"/>
  <c r="B137" i="7"/>
  <c r="A137" i="7"/>
  <c r="B136" i="7"/>
  <c r="A136" i="7"/>
  <c r="C136" i="7" s="1"/>
  <c r="H136" i="7" s="1"/>
  <c r="I136" i="7" s="1"/>
  <c r="B135" i="7"/>
  <c r="A135" i="7"/>
  <c r="B134" i="7"/>
  <c r="A134" i="7"/>
  <c r="E134" i="7" s="1"/>
  <c r="B133" i="7"/>
  <c r="A133" i="7"/>
  <c r="C133" i="7" s="1"/>
  <c r="H133" i="7" s="1"/>
  <c r="I133" i="7" s="1"/>
  <c r="B132" i="7"/>
  <c r="A132" i="7"/>
  <c r="B131" i="7"/>
  <c r="A131" i="7"/>
  <c r="F131" i="7" s="1"/>
  <c r="B130" i="7"/>
  <c r="A130" i="7"/>
  <c r="F130" i="7" s="1"/>
  <c r="B129" i="7"/>
  <c r="A129" i="7"/>
  <c r="C129" i="7" s="1"/>
  <c r="B128" i="7"/>
  <c r="A128" i="7"/>
  <c r="C128" i="7" s="1"/>
  <c r="H128" i="7" s="1"/>
  <c r="I128" i="7" s="1"/>
  <c r="B127" i="7"/>
  <c r="A127" i="7"/>
  <c r="B126" i="7"/>
  <c r="A126" i="7"/>
  <c r="B125" i="7"/>
  <c r="A125" i="7"/>
  <c r="C125" i="7" s="1"/>
  <c r="H125" i="7" s="1"/>
  <c r="I125" i="7" s="1"/>
  <c r="B124" i="7"/>
  <c r="A124" i="7"/>
  <c r="C124" i="7" s="1"/>
  <c r="B123" i="7"/>
  <c r="A123" i="7"/>
  <c r="F123" i="7" s="1"/>
  <c r="B122" i="7"/>
  <c r="A122" i="7"/>
  <c r="F122" i="7" s="1"/>
  <c r="B121" i="7"/>
  <c r="A121" i="7"/>
  <c r="B120" i="7"/>
  <c r="A120" i="7"/>
  <c r="C120" i="7" s="1"/>
  <c r="D120" i="7" s="1"/>
  <c r="B119" i="7"/>
  <c r="A119" i="7"/>
  <c r="B118" i="7"/>
  <c r="A118" i="7"/>
  <c r="C118" i="7" s="1"/>
  <c r="B117" i="7"/>
  <c r="A117" i="7"/>
  <c r="C117" i="7" s="1"/>
  <c r="B116" i="7"/>
  <c r="A116" i="7"/>
  <c r="B115" i="7"/>
  <c r="A115" i="7"/>
  <c r="F115" i="7" s="1"/>
  <c r="B114" i="7"/>
  <c r="A114" i="7"/>
  <c r="F114" i="7" s="1"/>
  <c r="B113" i="7"/>
  <c r="A113" i="7"/>
  <c r="B112" i="7"/>
  <c r="A112" i="7"/>
  <c r="C112" i="7" s="1"/>
  <c r="B111" i="7"/>
  <c r="A111" i="7"/>
  <c r="B110" i="7"/>
  <c r="A110" i="7"/>
  <c r="B109" i="7"/>
  <c r="A109" i="7"/>
  <c r="F109" i="7" s="1"/>
  <c r="B108" i="7"/>
  <c r="A108" i="7"/>
  <c r="F108" i="7" s="1"/>
  <c r="B107" i="7"/>
  <c r="A107" i="7"/>
  <c r="B106" i="7"/>
  <c r="A106" i="7"/>
  <c r="B105" i="7"/>
  <c r="A105" i="7"/>
  <c r="F105" i="7" s="1"/>
  <c r="B104" i="7"/>
  <c r="A104" i="7"/>
  <c r="F104" i="7" s="1"/>
  <c r="B103" i="7"/>
  <c r="A103" i="7"/>
  <c r="C103" i="7" s="1"/>
  <c r="B102" i="7"/>
  <c r="A102" i="7"/>
  <c r="E102" i="7" s="1"/>
  <c r="B101" i="7"/>
  <c r="A101" i="7"/>
  <c r="E101" i="7" s="1"/>
  <c r="B100" i="7"/>
  <c r="A100" i="7"/>
  <c r="B99" i="7"/>
  <c r="A99" i="7"/>
  <c r="B98" i="7"/>
  <c r="A98" i="7"/>
  <c r="B97" i="7"/>
  <c r="A97" i="7"/>
  <c r="F97" i="7" s="1"/>
  <c r="B96" i="7"/>
  <c r="A96" i="7"/>
  <c r="F96" i="7" s="1"/>
  <c r="B95" i="7"/>
  <c r="A95" i="7"/>
  <c r="C95" i="7" s="1"/>
  <c r="B94" i="7"/>
  <c r="A94" i="7"/>
  <c r="E94" i="7" s="1"/>
  <c r="B93" i="7"/>
  <c r="A93" i="7"/>
  <c r="E93" i="7" s="1"/>
  <c r="B92" i="7"/>
  <c r="A92" i="7"/>
  <c r="B91" i="7"/>
  <c r="A91" i="7"/>
  <c r="B90" i="7"/>
  <c r="A90" i="7"/>
  <c r="E90" i="7" s="1"/>
  <c r="B89" i="7"/>
  <c r="A89" i="7"/>
  <c r="E89" i="7" s="1"/>
  <c r="B88" i="7"/>
  <c r="A88" i="7"/>
  <c r="E88" i="7" s="1"/>
  <c r="B87" i="7"/>
  <c r="A87" i="7"/>
  <c r="C87" i="7" s="1"/>
  <c r="B86" i="7"/>
  <c r="A86" i="7"/>
  <c r="B85" i="7"/>
  <c r="A85" i="7"/>
  <c r="F85" i="7" s="1"/>
  <c r="B84" i="7"/>
  <c r="A84" i="7"/>
  <c r="B83" i="7"/>
  <c r="A83" i="7"/>
  <c r="C83" i="7" s="1"/>
  <c r="K83" i="7" s="1"/>
  <c r="B82" i="7"/>
  <c r="A82" i="7"/>
  <c r="F82" i="7" s="1"/>
  <c r="B81" i="7"/>
  <c r="A81" i="7"/>
  <c r="F81" i="7" s="1"/>
  <c r="B80" i="7"/>
  <c r="A80" i="7"/>
  <c r="E80" i="7" s="1"/>
  <c r="B79" i="7"/>
  <c r="A79" i="7"/>
  <c r="E79" i="7" s="1"/>
  <c r="B78" i="7"/>
  <c r="A78" i="7"/>
  <c r="C78" i="7" s="1"/>
  <c r="H78" i="7" s="1"/>
  <c r="I78" i="7" s="1"/>
  <c r="B77" i="7"/>
  <c r="A77" i="7"/>
  <c r="B76" i="7"/>
  <c r="A76" i="7"/>
  <c r="F76" i="7" s="1"/>
  <c r="B75" i="7"/>
  <c r="A75" i="7"/>
  <c r="E75" i="7" s="1"/>
  <c r="B74" i="7"/>
  <c r="A74" i="7"/>
  <c r="C74" i="7" s="1"/>
  <c r="K74" i="7" s="1"/>
  <c r="B73" i="7"/>
  <c r="A73" i="7"/>
  <c r="B72" i="7"/>
  <c r="A72" i="7"/>
  <c r="E72" i="7" s="1"/>
  <c r="B71" i="7"/>
  <c r="A71" i="7"/>
  <c r="B70" i="7"/>
  <c r="A70" i="7"/>
  <c r="E70" i="7" s="1"/>
  <c r="B69" i="7"/>
  <c r="A69" i="7"/>
  <c r="B68" i="7"/>
  <c r="A68" i="7"/>
  <c r="F68" i="7" s="1"/>
  <c r="B67" i="7"/>
  <c r="A67" i="7"/>
  <c r="F67" i="7" s="1"/>
  <c r="B66" i="7"/>
  <c r="A66" i="7"/>
  <c r="E66" i="7" s="1"/>
  <c r="B65" i="7"/>
  <c r="A65" i="7"/>
  <c r="B64" i="7"/>
  <c r="A64" i="7"/>
  <c r="F64" i="7" s="1"/>
  <c r="B63" i="7"/>
  <c r="A63" i="7"/>
  <c r="B62" i="7"/>
  <c r="A62" i="7"/>
  <c r="E62" i="7" s="1"/>
  <c r="B61" i="7"/>
  <c r="A61" i="7"/>
  <c r="B60" i="7"/>
  <c r="A60" i="7"/>
  <c r="B59" i="7"/>
  <c r="A59" i="7"/>
  <c r="E59" i="7" s="1"/>
  <c r="B58" i="7"/>
  <c r="A58" i="7"/>
  <c r="E58" i="7" s="1"/>
  <c r="B57" i="7"/>
  <c r="A57" i="7"/>
  <c r="F57" i="7" s="1"/>
  <c r="B56" i="7"/>
  <c r="A56" i="7"/>
  <c r="E56" i="7" s="1"/>
  <c r="B55" i="7"/>
  <c r="A55" i="7"/>
  <c r="F55" i="7" s="1"/>
  <c r="B54" i="7"/>
  <c r="A54" i="7"/>
  <c r="E54" i="7" s="1"/>
  <c r="B53" i="7"/>
  <c r="A53" i="7"/>
  <c r="C53" i="7" s="1"/>
  <c r="G53" i="7" s="1"/>
  <c r="B52" i="7"/>
  <c r="A52" i="7"/>
  <c r="E52" i="7" s="1"/>
  <c r="B51" i="7"/>
  <c r="A51" i="7"/>
  <c r="B50" i="7"/>
  <c r="A50" i="7"/>
  <c r="B49" i="7"/>
  <c r="A49" i="7"/>
  <c r="F49" i="7" s="1"/>
  <c r="B48" i="7"/>
  <c r="A48" i="7"/>
  <c r="C48" i="7" s="1"/>
  <c r="B47" i="7"/>
  <c r="A47" i="7"/>
  <c r="F47" i="7" s="1"/>
  <c r="B46" i="7"/>
  <c r="A46" i="7"/>
  <c r="E46" i="7" s="1"/>
  <c r="B45" i="7"/>
  <c r="A45" i="7"/>
  <c r="F45" i="7" s="1"/>
  <c r="B44" i="7"/>
  <c r="A44" i="7"/>
  <c r="F44" i="7" s="1"/>
  <c r="B43" i="7"/>
  <c r="A43" i="7"/>
  <c r="F43" i="7" s="1"/>
  <c r="B42" i="7"/>
  <c r="A42" i="7"/>
  <c r="C42" i="7" s="1"/>
  <c r="B41" i="7"/>
  <c r="A41" i="7"/>
  <c r="E41" i="7" s="1"/>
  <c r="B40" i="7"/>
  <c r="A40" i="7"/>
  <c r="E40" i="7" s="1"/>
  <c r="B39" i="7"/>
  <c r="A39" i="7"/>
  <c r="B38" i="7"/>
  <c r="A38" i="7"/>
  <c r="B37" i="7"/>
  <c r="A37" i="7"/>
  <c r="B36" i="7"/>
  <c r="A36" i="7"/>
  <c r="E36" i="7" s="1"/>
  <c r="B35" i="7"/>
  <c r="A35" i="7"/>
  <c r="E35" i="7" s="1"/>
  <c r="B34" i="7"/>
  <c r="A34" i="7"/>
  <c r="E34" i="7" s="1"/>
  <c r="B33" i="7"/>
  <c r="A33" i="7"/>
  <c r="E33" i="7" s="1"/>
  <c r="B32" i="7"/>
  <c r="A32" i="7"/>
  <c r="E32" i="7" s="1"/>
  <c r="B31" i="7"/>
  <c r="A31" i="7"/>
  <c r="B30" i="7"/>
  <c r="A30" i="7"/>
  <c r="B29" i="7"/>
  <c r="A29" i="7"/>
  <c r="B28" i="7"/>
  <c r="A28" i="7"/>
  <c r="E28" i="7" s="1"/>
  <c r="B27" i="7"/>
  <c r="A27" i="7"/>
  <c r="E27" i="7" s="1"/>
  <c r="B26" i="7"/>
  <c r="A26" i="7"/>
  <c r="B25" i="7"/>
  <c r="A25" i="7"/>
  <c r="F25" i="7" s="1"/>
  <c r="B24" i="7"/>
  <c r="A24" i="7"/>
  <c r="E24" i="7" s="1"/>
  <c r="B23" i="7"/>
  <c r="A23" i="7"/>
  <c r="B22" i="7"/>
  <c r="A22" i="7"/>
  <c r="E22" i="7" s="1"/>
  <c r="B21" i="7"/>
  <c r="A21" i="7"/>
  <c r="B20" i="7"/>
  <c r="A20" i="7"/>
  <c r="B19" i="7"/>
  <c r="A19" i="7"/>
  <c r="B18" i="7"/>
  <c r="A18" i="7"/>
  <c r="B17" i="7"/>
  <c r="A17" i="7"/>
  <c r="C17" i="7" s="1"/>
  <c r="B16" i="7"/>
  <c r="A16" i="7"/>
  <c r="B15" i="7"/>
  <c r="A15" i="7"/>
  <c r="C15" i="7" s="1"/>
  <c r="B14" i="7"/>
  <c r="A14" i="7"/>
  <c r="C14" i="7" s="1"/>
  <c r="B13" i="7"/>
  <c r="A13" i="7"/>
  <c r="C13" i="7" s="1"/>
  <c r="B12" i="7"/>
  <c r="A12" i="7"/>
  <c r="C12" i="7" s="1"/>
  <c r="B11" i="7"/>
  <c r="A11" i="7"/>
  <c r="C11" i="7" s="1"/>
  <c r="B10" i="7"/>
  <c r="A10" i="7"/>
  <c r="C10" i="7" s="1"/>
  <c r="B9" i="7"/>
  <c r="A9" i="7"/>
  <c r="C9" i="7" s="1"/>
  <c r="B8" i="7"/>
  <c r="A8" i="7"/>
  <c r="C8" i="7" s="1"/>
  <c r="B7" i="7"/>
  <c r="A7" i="7"/>
  <c r="C7" i="7" s="1"/>
  <c r="B6" i="7"/>
  <c r="A6" i="7"/>
  <c r="C6" i="7" s="1"/>
  <c r="B5" i="7"/>
  <c r="A5" i="7"/>
  <c r="C5" i="7" s="1"/>
  <c r="B4" i="7"/>
  <c r="A4" i="7"/>
  <c r="C4" i="7" s="1"/>
  <c r="B3" i="7"/>
  <c r="A3" i="7"/>
  <c r="C3" i="7" s="1"/>
  <c r="B2" i="7"/>
  <c r="A2" i="7"/>
  <c r="C2" i="7" s="1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3" i="5"/>
  <c r="E20" i="6" s="1"/>
  <c r="C22" i="5"/>
  <c r="C21" i="5"/>
  <c r="C20" i="5"/>
  <c r="C19" i="5"/>
  <c r="C18" i="5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E200" i="3"/>
  <c r="H200" i="3" s="1"/>
  <c r="E199" i="3"/>
  <c r="H199" i="3" s="1"/>
  <c r="E198" i="3"/>
  <c r="H198" i="3" s="1"/>
  <c r="E197" i="3"/>
  <c r="H197" i="3" s="1"/>
  <c r="E196" i="3"/>
  <c r="H196" i="3" s="1"/>
  <c r="E195" i="3"/>
  <c r="H195" i="3" s="1"/>
  <c r="E194" i="3"/>
  <c r="H194" i="3" s="1"/>
  <c r="E193" i="3"/>
  <c r="H193" i="3" s="1"/>
  <c r="E192" i="3"/>
  <c r="H192" i="3" s="1"/>
  <c r="E191" i="3"/>
  <c r="H191" i="3" s="1"/>
  <c r="E190" i="3"/>
  <c r="H190" i="3" s="1"/>
  <c r="E189" i="3"/>
  <c r="H189" i="3" s="1"/>
  <c r="E188" i="3"/>
  <c r="H188" i="3" s="1"/>
  <c r="E187" i="3"/>
  <c r="H187" i="3" s="1"/>
  <c r="E186" i="3"/>
  <c r="H186" i="3" s="1"/>
  <c r="E185" i="3"/>
  <c r="H185" i="3" s="1"/>
  <c r="E184" i="3"/>
  <c r="H184" i="3" s="1"/>
  <c r="E183" i="3"/>
  <c r="H183" i="3" s="1"/>
  <c r="E182" i="3"/>
  <c r="H182" i="3" s="1"/>
  <c r="E181" i="3"/>
  <c r="H181" i="3" s="1"/>
  <c r="E180" i="3"/>
  <c r="H180" i="3" s="1"/>
  <c r="E179" i="3"/>
  <c r="H179" i="3" s="1"/>
  <c r="E178" i="3"/>
  <c r="H178" i="3" s="1"/>
  <c r="E177" i="3"/>
  <c r="H177" i="3" s="1"/>
  <c r="E176" i="3"/>
  <c r="H176" i="3" s="1"/>
  <c r="E175" i="3"/>
  <c r="H175" i="3" s="1"/>
  <c r="E174" i="3"/>
  <c r="H174" i="3" s="1"/>
  <c r="E173" i="3"/>
  <c r="H173" i="3" s="1"/>
  <c r="E172" i="3"/>
  <c r="H172" i="3" s="1"/>
  <c r="E171" i="3"/>
  <c r="H171" i="3" s="1"/>
  <c r="E170" i="3"/>
  <c r="H170" i="3" s="1"/>
  <c r="E169" i="3"/>
  <c r="H169" i="3" s="1"/>
  <c r="E168" i="3"/>
  <c r="H168" i="3" s="1"/>
  <c r="E167" i="3"/>
  <c r="H167" i="3" s="1"/>
  <c r="E166" i="3"/>
  <c r="H166" i="3" s="1"/>
  <c r="E165" i="3"/>
  <c r="H165" i="3" s="1"/>
  <c r="E164" i="3"/>
  <c r="H164" i="3" s="1"/>
  <c r="E163" i="3"/>
  <c r="H163" i="3" s="1"/>
  <c r="E162" i="3"/>
  <c r="H162" i="3" s="1"/>
  <c r="E161" i="3"/>
  <c r="H161" i="3" s="1"/>
  <c r="E160" i="3"/>
  <c r="H160" i="3" s="1"/>
  <c r="E159" i="3"/>
  <c r="H159" i="3" s="1"/>
  <c r="E158" i="3"/>
  <c r="H158" i="3" s="1"/>
  <c r="E157" i="3"/>
  <c r="H157" i="3" s="1"/>
  <c r="E156" i="3"/>
  <c r="H156" i="3" s="1"/>
  <c r="E155" i="3"/>
  <c r="H155" i="3" s="1"/>
  <c r="E154" i="3"/>
  <c r="H154" i="3" s="1"/>
  <c r="E153" i="3"/>
  <c r="H153" i="3" s="1"/>
  <c r="E152" i="3"/>
  <c r="H152" i="3" s="1"/>
  <c r="E151" i="3"/>
  <c r="H151" i="3" s="1"/>
  <c r="E150" i="3"/>
  <c r="H150" i="3" s="1"/>
  <c r="E149" i="3"/>
  <c r="H149" i="3" s="1"/>
  <c r="E148" i="3"/>
  <c r="H148" i="3" s="1"/>
  <c r="E147" i="3"/>
  <c r="H147" i="3" s="1"/>
  <c r="E146" i="3"/>
  <c r="H146" i="3" s="1"/>
  <c r="E145" i="3"/>
  <c r="H145" i="3" s="1"/>
  <c r="E144" i="3"/>
  <c r="H144" i="3" s="1"/>
  <c r="E143" i="3"/>
  <c r="H143" i="3" s="1"/>
  <c r="E142" i="3"/>
  <c r="H142" i="3" s="1"/>
  <c r="E141" i="3"/>
  <c r="H141" i="3" s="1"/>
  <c r="E140" i="3"/>
  <c r="H140" i="3" s="1"/>
  <c r="E139" i="3"/>
  <c r="H139" i="3" s="1"/>
  <c r="E138" i="3"/>
  <c r="H138" i="3" s="1"/>
  <c r="E137" i="3"/>
  <c r="H137" i="3" s="1"/>
  <c r="E136" i="3"/>
  <c r="H136" i="3" s="1"/>
  <c r="E135" i="3"/>
  <c r="H135" i="3" s="1"/>
  <c r="E134" i="3"/>
  <c r="H134" i="3" s="1"/>
  <c r="E133" i="3"/>
  <c r="H133" i="3" s="1"/>
  <c r="E132" i="3"/>
  <c r="H132" i="3" s="1"/>
  <c r="E131" i="3"/>
  <c r="H131" i="3" s="1"/>
  <c r="E130" i="3"/>
  <c r="H130" i="3" s="1"/>
  <c r="E129" i="3"/>
  <c r="H129" i="3" s="1"/>
  <c r="E128" i="3"/>
  <c r="H128" i="3" s="1"/>
  <c r="E127" i="3"/>
  <c r="H127" i="3" s="1"/>
  <c r="E126" i="3"/>
  <c r="H126" i="3" s="1"/>
  <c r="E125" i="3"/>
  <c r="H125" i="3" s="1"/>
  <c r="E124" i="3"/>
  <c r="H124" i="3" s="1"/>
  <c r="E123" i="3"/>
  <c r="H123" i="3" s="1"/>
  <c r="E122" i="3"/>
  <c r="H122" i="3" s="1"/>
  <c r="E121" i="3"/>
  <c r="H121" i="3" s="1"/>
  <c r="E120" i="3"/>
  <c r="H120" i="3" s="1"/>
  <c r="E119" i="3"/>
  <c r="H119" i="3" s="1"/>
  <c r="E118" i="3"/>
  <c r="H118" i="3" s="1"/>
  <c r="E117" i="3"/>
  <c r="H117" i="3" s="1"/>
  <c r="E116" i="3"/>
  <c r="H116" i="3" s="1"/>
  <c r="E115" i="3"/>
  <c r="H115" i="3" s="1"/>
  <c r="E114" i="3"/>
  <c r="H114" i="3" s="1"/>
  <c r="E113" i="3"/>
  <c r="H113" i="3" s="1"/>
  <c r="E112" i="3"/>
  <c r="H112" i="3" s="1"/>
  <c r="E111" i="3"/>
  <c r="H111" i="3" s="1"/>
  <c r="E110" i="3"/>
  <c r="H110" i="3" s="1"/>
  <c r="E109" i="3"/>
  <c r="H109" i="3" s="1"/>
  <c r="E108" i="3"/>
  <c r="H108" i="3" s="1"/>
  <c r="E107" i="3"/>
  <c r="H107" i="3" s="1"/>
  <c r="E106" i="3"/>
  <c r="H106" i="3" s="1"/>
  <c r="E105" i="3"/>
  <c r="H105" i="3" s="1"/>
  <c r="E104" i="3"/>
  <c r="H104" i="3" s="1"/>
  <c r="E103" i="3"/>
  <c r="H103" i="3" s="1"/>
  <c r="E102" i="3"/>
  <c r="H102" i="3" s="1"/>
  <c r="E101" i="3"/>
  <c r="H101" i="3" s="1"/>
  <c r="E100" i="3"/>
  <c r="H100" i="3" s="1"/>
  <c r="E99" i="3"/>
  <c r="H99" i="3" s="1"/>
  <c r="E98" i="3"/>
  <c r="H98" i="3" s="1"/>
  <c r="E97" i="3"/>
  <c r="H97" i="3" s="1"/>
  <c r="E96" i="3"/>
  <c r="H96" i="3" s="1"/>
  <c r="E95" i="3"/>
  <c r="H95" i="3" s="1"/>
  <c r="E94" i="3"/>
  <c r="H94" i="3" s="1"/>
  <c r="E93" i="3"/>
  <c r="H93" i="3" s="1"/>
  <c r="E92" i="3"/>
  <c r="H92" i="3" s="1"/>
  <c r="E91" i="3"/>
  <c r="H91" i="3" s="1"/>
  <c r="E90" i="3"/>
  <c r="H90" i="3" s="1"/>
  <c r="E89" i="3"/>
  <c r="H89" i="3" s="1"/>
  <c r="E88" i="3"/>
  <c r="H88" i="3" s="1"/>
  <c r="E87" i="3"/>
  <c r="H87" i="3" s="1"/>
  <c r="E86" i="3"/>
  <c r="H86" i="3" s="1"/>
  <c r="E85" i="3"/>
  <c r="H85" i="3" s="1"/>
  <c r="E84" i="3"/>
  <c r="H84" i="3" s="1"/>
  <c r="E83" i="3"/>
  <c r="H83" i="3" s="1"/>
  <c r="E82" i="3"/>
  <c r="H82" i="3" s="1"/>
  <c r="E81" i="3"/>
  <c r="H81" i="3" s="1"/>
  <c r="E80" i="3"/>
  <c r="H80" i="3" s="1"/>
  <c r="E79" i="3"/>
  <c r="H79" i="3" s="1"/>
  <c r="E78" i="3"/>
  <c r="H78" i="3" s="1"/>
  <c r="E77" i="3"/>
  <c r="H77" i="3" s="1"/>
  <c r="E76" i="3"/>
  <c r="H76" i="3" s="1"/>
  <c r="E75" i="3"/>
  <c r="H75" i="3" s="1"/>
  <c r="E74" i="3"/>
  <c r="H74" i="3" s="1"/>
  <c r="E73" i="3"/>
  <c r="H73" i="3" s="1"/>
  <c r="E72" i="3"/>
  <c r="H72" i="3" s="1"/>
  <c r="E71" i="3"/>
  <c r="H71" i="3" s="1"/>
  <c r="E70" i="3"/>
  <c r="H70" i="3" s="1"/>
  <c r="E69" i="3"/>
  <c r="H69" i="3" s="1"/>
  <c r="E68" i="3"/>
  <c r="H68" i="3" s="1"/>
  <c r="E67" i="3"/>
  <c r="H67" i="3" s="1"/>
  <c r="E66" i="3"/>
  <c r="H66" i="3" s="1"/>
  <c r="E65" i="3"/>
  <c r="H65" i="3" s="1"/>
  <c r="E64" i="3"/>
  <c r="H64" i="3" s="1"/>
  <c r="E63" i="3"/>
  <c r="H63" i="3" s="1"/>
  <c r="E62" i="3"/>
  <c r="H62" i="3" s="1"/>
  <c r="E61" i="3"/>
  <c r="H61" i="3" s="1"/>
  <c r="E60" i="3"/>
  <c r="H60" i="3" s="1"/>
  <c r="E59" i="3"/>
  <c r="H59" i="3" s="1"/>
  <c r="E58" i="3"/>
  <c r="H58" i="3" s="1"/>
  <c r="E57" i="3"/>
  <c r="H57" i="3" s="1"/>
  <c r="E56" i="3"/>
  <c r="H56" i="3" s="1"/>
  <c r="E55" i="3"/>
  <c r="H55" i="3" s="1"/>
  <c r="E54" i="3"/>
  <c r="H54" i="3" s="1"/>
  <c r="E53" i="3"/>
  <c r="H53" i="3" s="1"/>
  <c r="E52" i="3"/>
  <c r="H52" i="3" s="1"/>
  <c r="E51" i="3"/>
  <c r="H51" i="3" s="1"/>
  <c r="E50" i="3"/>
  <c r="H50" i="3" s="1"/>
  <c r="E49" i="3"/>
  <c r="H49" i="3" s="1"/>
  <c r="E48" i="3"/>
  <c r="H48" i="3" s="1"/>
  <c r="E47" i="3"/>
  <c r="H47" i="3" s="1"/>
  <c r="E46" i="3"/>
  <c r="H46" i="3" s="1"/>
  <c r="E45" i="3"/>
  <c r="H45" i="3" s="1"/>
  <c r="E44" i="3"/>
  <c r="H44" i="3" s="1"/>
  <c r="E43" i="3"/>
  <c r="H43" i="3" s="1"/>
  <c r="E42" i="3"/>
  <c r="H42" i="3" s="1"/>
  <c r="E41" i="3"/>
  <c r="H41" i="3" s="1"/>
  <c r="E40" i="3"/>
  <c r="H40" i="3" s="1"/>
  <c r="E39" i="3"/>
  <c r="H39" i="3" s="1"/>
  <c r="E38" i="3"/>
  <c r="H38" i="3" s="1"/>
  <c r="E37" i="3"/>
  <c r="H37" i="3" s="1"/>
  <c r="E36" i="3"/>
  <c r="H36" i="3" s="1"/>
  <c r="E35" i="3"/>
  <c r="H35" i="3" s="1"/>
  <c r="E34" i="3"/>
  <c r="H34" i="3" s="1"/>
  <c r="E33" i="3"/>
  <c r="H33" i="3" s="1"/>
  <c r="H32" i="3"/>
  <c r="G250" i="2"/>
  <c r="J250" i="2" s="1"/>
  <c r="A250" i="2"/>
  <c r="G249" i="2"/>
  <c r="J249" i="2" s="1"/>
  <c r="A249" i="2"/>
  <c r="G248" i="2"/>
  <c r="J248" i="2" s="1"/>
  <c r="A248" i="2"/>
  <c r="G247" i="2"/>
  <c r="J247" i="2" s="1"/>
  <c r="A247" i="2"/>
  <c r="G246" i="2"/>
  <c r="A246" i="2"/>
  <c r="G245" i="2"/>
  <c r="A245" i="2"/>
  <c r="G244" i="2"/>
  <c r="J244" i="2" s="1"/>
  <c r="A244" i="2"/>
  <c r="G243" i="2"/>
  <c r="J243" i="2" s="1"/>
  <c r="A243" i="2"/>
  <c r="G242" i="2"/>
  <c r="A242" i="2"/>
  <c r="G241" i="2"/>
  <c r="J241" i="2" s="1"/>
  <c r="A241" i="2"/>
  <c r="G240" i="2"/>
  <c r="J240" i="2" s="1"/>
  <c r="A240" i="2"/>
  <c r="G239" i="2"/>
  <c r="A239" i="2"/>
  <c r="G238" i="2"/>
  <c r="J238" i="2" s="1"/>
  <c r="A238" i="2"/>
  <c r="G237" i="2"/>
  <c r="A237" i="2"/>
  <c r="G236" i="2"/>
  <c r="J236" i="2" s="1"/>
  <c r="A236" i="2"/>
  <c r="G235" i="2"/>
  <c r="J235" i="2" s="1"/>
  <c r="A235" i="2"/>
  <c r="G234" i="2"/>
  <c r="J234" i="2" s="1"/>
  <c r="A234" i="2"/>
  <c r="G233" i="2"/>
  <c r="J233" i="2" s="1"/>
  <c r="A233" i="2"/>
  <c r="G232" i="2"/>
  <c r="J232" i="2" s="1"/>
  <c r="A232" i="2"/>
  <c r="G231" i="2"/>
  <c r="J231" i="2" s="1"/>
  <c r="A231" i="2"/>
  <c r="G230" i="2"/>
  <c r="J230" i="2" s="1"/>
  <c r="A230" i="2"/>
  <c r="G229" i="2"/>
  <c r="J229" i="2" s="1"/>
  <c r="A229" i="2"/>
  <c r="G228" i="2"/>
  <c r="J228" i="2" s="1"/>
  <c r="A228" i="2"/>
  <c r="G227" i="2"/>
  <c r="J227" i="2" s="1"/>
  <c r="A227" i="2"/>
  <c r="G226" i="2"/>
  <c r="J226" i="2" s="1"/>
  <c r="A226" i="2"/>
  <c r="G225" i="2"/>
  <c r="J225" i="2" s="1"/>
  <c r="A225" i="2"/>
  <c r="G224" i="2"/>
  <c r="J224" i="2" s="1"/>
  <c r="A224" i="2"/>
  <c r="G223" i="2"/>
  <c r="A223" i="2"/>
  <c r="G222" i="2"/>
  <c r="A222" i="2"/>
  <c r="G221" i="2"/>
  <c r="J221" i="2" s="1"/>
  <c r="A221" i="2"/>
  <c r="G220" i="2"/>
  <c r="J220" i="2" s="1"/>
  <c r="A220" i="2"/>
  <c r="G219" i="2"/>
  <c r="J219" i="2" s="1"/>
  <c r="A219" i="2"/>
  <c r="G218" i="2"/>
  <c r="J218" i="2" s="1"/>
  <c r="A218" i="2"/>
  <c r="G217" i="2"/>
  <c r="J217" i="2" s="1"/>
  <c r="A217" i="2"/>
  <c r="G216" i="2"/>
  <c r="J216" i="2" s="1"/>
  <c r="A216" i="2"/>
  <c r="G215" i="2"/>
  <c r="J215" i="2" s="1"/>
  <c r="A215" i="2"/>
  <c r="G214" i="2"/>
  <c r="A214" i="2"/>
  <c r="G213" i="2"/>
  <c r="A213" i="2"/>
  <c r="G212" i="2"/>
  <c r="J212" i="2" s="1"/>
  <c r="A212" i="2"/>
  <c r="G211" i="2"/>
  <c r="A211" i="2"/>
  <c r="G210" i="2"/>
  <c r="J210" i="2" s="1"/>
  <c r="A210" i="2"/>
  <c r="G209" i="2"/>
  <c r="J209" i="2" s="1"/>
  <c r="A209" i="2"/>
  <c r="G208" i="2"/>
  <c r="A208" i="2"/>
  <c r="G207" i="2"/>
  <c r="J207" i="2" s="1"/>
  <c r="A207" i="2"/>
  <c r="G206" i="2"/>
  <c r="A206" i="2"/>
  <c r="G205" i="2"/>
  <c r="J205" i="2" s="1"/>
  <c r="A205" i="2"/>
  <c r="G204" i="2"/>
  <c r="J204" i="2" s="1"/>
  <c r="A204" i="2"/>
  <c r="G203" i="2"/>
  <c r="J203" i="2" s="1"/>
  <c r="A203" i="2"/>
  <c r="G202" i="2"/>
  <c r="J202" i="2" s="1"/>
  <c r="A202" i="2"/>
  <c r="G201" i="2"/>
  <c r="J201" i="2" s="1"/>
  <c r="A201" i="2"/>
  <c r="G200" i="2"/>
  <c r="J200" i="2" s="1"/>
  <c r="A200" i="2"/>
  <c r="G199" i="2"/>
  <c r="J199" i="2" s="1"/>
  <c r="A199" i="2"/>
  <c r="G198" i="2"/>
  <c r="A198" i="2"/>
  <c r="G197" i="2"/>
  <c r="J197" i="2" s="1"/>
  <c r="A197" i="2"/>
  <c r="G196" i="2"/>
  <c r="J196" i="2" s="1"/>
  <c r="A196" i="2"/>
  <c r="I195" i="2"/>
  <c r="G195" i="2"/>
  <c r="J195" i="2" s="1"/>
  <c r="A195" i="2"/>
  <c r="G194" i="2"/>
  <c r="A194" i="2"/>
  <c r="G193" i="2"/>
  <c r="J193" i="2" s="1"/>
  <c r="A193" i="2"/>
  <c r="G192" i="2"/>
  <c r="J192" i="2" s="1"/>
  <c r="A192" i="2"/>
  <c r="G191" i="2"/>
  <c r="A191" i="2"/>
  <c r="G190" i="2"/>
  <c r="A190" i="2"/>
  <c r="G189" i="2"/>
  <c r="J189" i="2" s="1"/>
  <c r="A189" i="2"/>
  <c r="G188" i="2"/>
  <c r="J188" i="2" s="1"/>
  <c r="A188" i="2"/>
  <c r="G187" i="2"/>
  <c r="J187" i="2" s="1"/>
  <c r="A187" i="2"/>
  <c r="G186" i="2"/>
  <c r="J186" i="2" s="1"/>
  <c r="A186" i="2"/>
  <c r="G185" i="2"/>
  <c r="J185" i="2" s="1"/>
  <c r="A185" i="2"/>
  <c r="G184" i="2"/>
  <c r="J184" i="2" s="1"/>
  <c r="A184" i="2"/>
  <c r="G183" i="2"/>
  <c r="J183" i="2" s="1"/>
  <c r="A183" i="2"/>
  <c r="G182" i="2"/>
  <c r="J182" i="2" s="1"/>
  <c r="A182" i="2"/>
  <c r="G181" i="2"/>
  <c r="J181" i="2" s="1"/>
  <c r="A181" i="2"/>
  <c r="G180" i="2"/>
  <c r="J180" i="2" s="1"/>
  <c r="A180" i="2"/>
  <c r="G179" i="2"/>
  <c r="J179" i="2" s="1"/>
  <c r="A179" i="2"/>
  <c r="G178" i="2"/>
  <c r="A178" i="2"/>
  <c r="G177" i="2"/>
  <c r="J177" i="2" s="1"/>
  <c r="A177" i="2"/>
  <c r="G176" i="2"/>
  <c r="A176" i="2"/>
  <c r="G175" i="2"/>
  <c r="A175" i="2"/>
  <c r="G174" i="2"/>
  <c r="A174" i="2"/>
  <c r="G173" i="2"/>
  <c r="A173" i="2"/>
  <c r="G172" i="2"/>
  <c r="J172" i="2" s="1"/>
  <c r="A172" i="2"/>
  <c r="G171" i="2"/>
  <c r="J171" i="2" s="1"/>
  <c r="A171" i="2"/>
  <c r="G170" i="2"/>
  <c r="J170" i="2" s="1"/>
  <c r="A170" i="2"/>
  <c r="G169" i="2"/>
  <c r="J169" i="2" s="1"/>
  <c r="A169" i="2"/>
  <c r="G168" i="2"/>
  <c r="J168" i="2" s="1"/>
  <c r="A168" i="2"/>
  <c r="G167" i="2"/>
  <c r="J167" i="2" s="1"/>
  <c r="A167" i="2"/>
  <c r="G166" i="2"/>
  <c r="A166" i="2"/>
  <c r="G165" i="2"/>
  <c r="A165" i="2"/>
  <c r="G164" i="2"/>
  <c r="J164" i="2" s="1"/>
  <c r="A164" i="2"/>
  <c r="G163" i="2"/>
  <c r="A163" i="2"/>
  <c r="G162" i="2"/>
  <c r="J162" i="2" s="1"/>
  <c r="A162" i="2"/>
  <c r="G161" i="2"/>
  <c r="J161" i="2" s="1"/>
  <c r="A161" i="2"/>
  <c r="G160" i="2"/>
  <c r="A160" i="2"/>
  <c r="G159" i="2"/>
  <c r="J159" i="2" s="1"/>
  <c r="A159" i="2"/>
  <c r="G158" i="2"/>
  <c r="J158" i="2" s="1"/>
  <c r="A158" i="2"/>
  <c r="G157" i="2"/>
  <c r="J157" i="2" s="1"/>
  <c r="A157" i="2"/>
  <c r="G156" i="2"/>
  <c r="J156" i="2" s="1"/>
  <c r="A156" i="2"/>
  <c r="G155" i="2"/>
  <c r="J155" i="2" s="1"/>
  <c r="A155" i="2"/>
  <c r="G154" i="2"/>
  <c r="J154" i="2" s="1"/>
  <c r="A154" i="2"/>
  <c r="G153" i="2"/>
  <c r="J153" i="2" s="1"/>
  <c r="A153" i="2"/>
  <c r="G152" i="2"/>
  <c r="J152" i="2" s="1"/>
  <c r="A152" i="2"/>
  <c r="G151" i="2"/>
  <c r="J151" i="2" s="1"/>
  <c r="A151" i="2"/>
  <c r="G150" i="2"/>
  <c r="A150" i="2"/>
  <c r="G149" i="2"/>
  <c r="A149" i="2"/>
  <c r="G148" i="2"/>
  <c r="J148" i="2" s="1"/>
  <c r="A148" i="2"/>
  <c r="G147" i="2"/>
  <c r="A147" i="2"/>
  <c r="G146" i="2"/>
  <c r="J146" i="2" s="1"/>
  <c r="A146" i="2"/>
  <c r="G145" i="2"/>
  <c r="J145" i="2" s="1"/>
  <c r="A145" i="2"/>
  <c r="G144" i="2"/>
  <c r="J144" i="2" s="1"/>
  <c r="A144" i="2"/>
  <c r="G143" i="2"/>
  <c r="J143" i="2" s="1"/>
  <c r="A143" i="2"/>
  <c r="G142" i="2"/>
  <c r="J142" i="2" s="1"/>
  <c r="A142" i="2"/>
  <c r="G141" i="2"/>
  <c r="J141" i="2" s="1"/>
  <c r="A141" i="2"/>
  <c r="G140" i="2"/>
  <c r="J140" i="2" s="1"/>
  <c r="A140" i="2"/>
  <c r="G139" i="2"/>
  <c r="J139" i="2" s="1"/>
  <c r="A139" i="2"/>
  <c r="G138" i="2"/>
  <c r="A138" i="2"/>
  <c r="G137" i="2"/>
  <c r="J137" i="2" s="1"/>
  <c r="A137" i="2"/>
  <c r="G136" i="2"/>
  <c r="A136" i="2"/>
  <c r="G135" i="2"/>
  <c r="J135" i="2" s="1"/>
  <c r="A135" i="2"/>
  <c r="G134" i="2"/>
  <c r="J134" i="2" s="1"/>
  <c r="A134" i="2"/>
  <c r="G133" i="2"/>
  <c r="J133" i="2" s="1"/>
  <c r="A133" i="2"/>
  <c r="G132" i="2"/>
  <c r="J132" i="2" s="1"/>
  <c r="A132" i="2"/>
  <c r="G131" i="2"/>
  <c r="A131" i="2"/>
  <c r="G130" i="2"/>
  <c r="A130" i="2"/>
  <c r="G129" i="2"/>
  <c r="J129" i="2" s="1"/>
  <c r="A129" i="2"/>
  <c r="G128" i="2"/>
  <c r="J128" i="2" s="1"/>
  <c r="A128" i="2"/>
  <c r="G127" i="2"/>
  <c r="A127" i="2"/>
  <c r="G126" i="2"/>
  <c r="A126" i="2"/>
  <c r="G125" i="2"/>
  <c r="J125" i="2" s="1"/>
  <c r="A125" i="2"/>
  <c r="G124" i="2"/>
  <c r="J124" i="2" s="1"/>
  <c r="A124" i="2"/>
  <c r="G123" i="2"/>
  <c r="J123" i="2" s="1"/>
  <c r="A123" i="2"/>
  <c r="G122" i="2"/>
  <c r="J122" i="2" s="1"/>
  <c r="A122" i="2"/>
  <c r="G121" i="2"/>
  <c r="J121" i="2" s="1"/>
  <c r="A121" i="2"/>
  <c r="G120" i="2"/>
  <c r="J120" i="2" s="1"/>
  <c r="A120" i="2"/>
  <c r="G119" i="2"/>
  <c r="A119" i="2"/>
  <c r="G118" i="2"/>
  <c r="A118" i="2"/>
  <c r="G117" i="2"/>
  <c r="J117" i="2" s="1"/>
  <c r="A117" i="2"/>
  <c r="G116" i="2"/>
  <c r="J116" i="2" s="1"/>
  <c r="A116" i="2"/>
  <c r="G115" i="2"/>
  <c r="A115" i="2"/>
  <c r="G114" i="2"/>
  <c r="A114" i="2"/>
  <c r="G113" i="2"/>
  <c r="J113" i="2" s="1"/>
  <c r="A113" i="2"/>
  <c r="G112" i="2"/>
  <c r="A112" i="2"/>
  <c r="G111" i="2"/>
  <c r="A111" i="2"/>
  <c r="G110" i="2"/>
  <c r="A110" i="2"/>
  <c r="G109" i="2"/>
  <c r="A109" i="2"/>
  <c r="G108" i="2"/>
  <c r="J108" i="2" s="1"/>
  <c r="A108" i="2"/>
  <c r="G107" i="2"/>
  <c r="A107" i="2"/>
  <c r="G106" i="2"/>
  <c r="A106" i="2"/>
  <c r="G105" i="2"/>
  <c r="J105" i="2" s="1"/>
  <c r="A105" i="2"/>
  <c r="G104" i="2"/>
  <c r="A104" i="2"/>
  <c r="G103" i="2"/>
  <c r="J103" i="2" s="1"/>
  <c r="A103" i="2"/>
  <c r="G102" i="2"/>
  <c r="A102" i="2"/>
  <c r="G101" i="2"/>
  <c r="A101" i="2"/>
  <c r="G100" i="2"/>
  <c r="J100" i="2" s="1"/>
  <c r="A100" i="2"/>
  <c r="G99" i="2"/>
  <c r="J99" i="2" s="1"/>
  <c r="A99" i="2"/>
  <c r="G98" i="2"/>
  <c r="A98" i="2"/>
  <c r="G97" i="2"/>
  <c r="J97" i="2" s="1"/>
  <c r="A97" i="2"/>
  <c r="G96" i="2"/>
  <c r="A96" i="2"/>
  <c r="G95" i="2"/>
  <c r="J95" i="2" s="1"/>
  <c r="A95" i="2"/>
  <c r="G94" i="2"/>
  <c r="A94" i="2"/>
  <c r="G93" i="2"/>
  <c r="J93" i="2" s="1"/>
  <c r="A93" i="2"/>
  <c r="G92" i="2"/>
  <c r="J92" i="2" s="1"/>
  <c r="A92" i="2"/>
  <c r="G91" i="2"/>
  <c r="A91" i="2"/>
  <c r="G90" i="2"/>
  <c r="J90" i="2" s="1"/>
  <c r="A90" i="2"/>
  <c r="G89" i="2"/>
  <c r="J89" i="2" s="1"/>
  <c r="A89" i="2"/>
  <c r="G88" i="2"/>
  <c r="J88" i="2" s="1"/>
  <c r="A88" i="2"/>
  <c r="G87" i="2"/>
  <c r="J87" i="2" s="1"/>
  <c r="A87" i="2"/>
  <c r="G86" i="2"/>
  <c r="A86" i="2"/>
  <c r="G85" i="2"/>
  <c r="A85" i="2"/>
  <c r="G84" i="2"/>
  <c r="J84" i="2" s="1"/>
  <c r="A84" i="2"/>
  <c r="G83" i="2"/>
  <c r="J83" i="2" s="1"/>
  <c r="A83" i="2"/>
  <c r="G82" i="2"/>
  <c r="A82" i="2"/>
  <c r="G81" i="2"/>
  <c r="J81" i="2" s="1"/>
  <c r="A81" i="2"/>
  <c r="G80" i="2"/>
  <c r="A80" i="2"/>
  <c r="G79" i="2"/>
  <c r="J79" i="2" s="1"/>
  <c r="A79" i="2"/>
  <c r="G78" i="2"/>
  <c r="A78" i="2"/>
  <c r="G77" i="2"/>
  <c r="A77" i="2"/>
  <c r="G76" i="2"/>
  <c r="J76" i="2" s="1"/>
  <c r="A76" i="2"/>
  <c r="G75" i="2"/>
  <c r="J75" i="2" s="1"/>
  <c r="A75" i="2"/>
  <c r="G74" i="2"/>
  <c r="J74" i="2" s="1"/>
  <c r="A74" i="2"/>
  <c r="G73" i="2"/>
  <c r="J73" i="2" s="1"/>
  <c r="A73" i="2"/>
  <c r="G72" i="2"/>
  <c r="J72" i="2" s="1"/>
  <c r="A72" i="2"/>
  <c r="G71" i="2"/>
  <c r="J71" i="2" s="1"/>
  <c r="A71" i="2"/>
  <c r="G70" i="2"/>
  <c r="J70" i="2" s="1"/>
  <c r="A70" i="2"/>
  <c r="G69" i="2"/>
  <c r="A69" i="2"/>
  <c r="G68" i="2"/>
  <c r="J68" i="2" s="1"/>
  <c r="A68" i="2"/>
  <c r="G67" i="2"/>
  <c r="J67" i="2" s="1"/>
  <c r="A67" i="2"/>
  <c r="G66" i="2"/>
  <c r="J66" i="2" s="1"/>
  <c r="A66" i="2"/>
  <c r="G65" i="2"/>
  <c r="J65" i="2" s="1"/>
  <c r="A65" i="2"/>
  <c r="G64" i="2"/>
  <c r="J64" i="2" s="1"/>
  <c r="A64" i="2"/>
  <c r="G63" i="2"/>
  <c r="A63" i="2"/>
  <c r="G62" i="2"/>
  <c r="A62" i="2"/>
  <c r="G61" i="2"/>
  <c r="J61" i="2" s="1"/>
  <c r="A61" i="2"/>
  <c r="G60" i="2"/>
  <c r="J60" i="2" s="1"/>
  <c r="A60" i="2"/>
  <c r="G59" i="2"/>
  <c r="A59" i="2"/>
  <c r="G58" i="2"/>
  <c r="J58" i="2" s="1"/>
  <c r="A58" i="2"/>
  <c r="G57" i="2"/>
  <c r="J57" i="2" s="1"/>
  <c r="A57" i="2"/>
  <c r="G56" i="2"/>
  <c r="J56" i="2" s="1"/>
  <c r="A56" i="2"/>
  <c r="G55" i="2"/>
  <c r="A55" i="2"/>
  <c r="G54" i="2"/>
  <c r="A54" i="2"/>
  <c r="G53" i="2"/>
  <c r="A53" i="2"/>
  <c r="G52" i="2"/>
  <c r="J52" i="2" s="1"/>
  <c r="A52" i="2"/>
  <c r="G51" i="2"/>
  <c r="A51" i="2"/>
  <c r="G50" i="2"/>
  <c r="J50" i="2" s="1"/>
  <c r="A50" i="2"/>
  <c r="G49" i="2"/>
  <c r="J49" i="2" s="1"/>
  <c r="A49" i="2"/>
  <c r="G48" i="2"/>
  <c r="A48" i="2"/>
  <c r="G47" i="2"/>
  <c r="J47" i="2" s="1"/>
  <c r="A47" i="2"/>
  <c r="G46" i="2"/>
  <c r="A46" i="2"/>
  <c r="G45" i="2"/>
  <c r="A45" i="2"/>
  <c r="G44" i="2"/>
  <c r="J44" i="2" s="1"/>
  <c r="A44" i="2"/>
  <c r="G43" i="2"/>
  <c r="J43" i="2" s="1"/>
  <c r="A43" i="2"/>
  <c r="G42" i="2"/>
  <c r="A42" i="2"/>
  <c r="G41" i="2"/>
  <c r="J41" i="2" s="1"/>
  <c r="A41" i="2"/>
  <c r="G40" i="2"/>
  <c r="J40" i="2" s="1"/>
  <c r="A40" i="2"/>
  <c r="G39" i="2"/>
  <c r="J39" i="2" s="1"/>
  <c r="A39" i="2"/>
  <c r="G38" i="2"/>
  <c r="A38" i="2"/>
  <c r="G37" i="2"/>
  <c r="J37" i="2" s="1"/>
  <c r="A37" i="2"/>
  <c r="G36" i="2"/>
  <c r="J36" i="2" s="1"/>
  <c r="A36" i="2"/>
  <c r="G35" i="2"/>
  <c r="J35" i="2" s="1"/>
  <c r="A35" i="2"/>
  <c r="G34" i="2"/>
  <c r="A34" i="2"/>
  <c r="G33" i="2"/>
  <c r="J33" i="2" s="1"/>
  <c r="A33" i="2"/>
  <c r="G32" i="2"/>
  <c r="J32" i="2" s="1"/>
  <c r="A32" i="2"/>
  <c r="G31" i="2"/>
  <c r="J31" i="2" s="1"/>
  <c r="A31" i="2"/>
  <c r="G30" i="2"/>
  <c r="A30" i="2"/>
  <c r="G29" i="2"/>
  <c r="J29" i="2" s="1"/>
  <c r="A29" i="2"/>
  <c r="G28" i="2"/>
  <c r="A28" i="2"/>
  <c r="G27" i="2"/>
  <c r="J27" i="2" s="1"/>
  <c r="A27" i="2"/>
  <c r="G26" i="2"/>
  <c r="A26" i="2"/>
  <c r="G25" i="2"/>
  <c r="J25" i="2" s="1"/>
  <c r="A25" i="2"/>
  <c r="G24" i="2"/>
  <c r="J24" i="2" s="1"/>
  <c r="A24" i="2"/>
  <c r="G23" i="2"/>
  <c r="I23" i="2" s="1"/>
  <c r="A23" i="2"/>
  <c r="G22" i="2"/>
  <c r="I22" i="2" s="1"/>
  <c r="A22" i="2"/>
  <c r="G21" i="2"/>
  <c r="J21" i="2" s="1"/>
  <c r="A21" i="2"/>
  <c r="G20" i="2"/>
  <c r="A20" i="2"/>
  <c r="G19" i="2"/>
  <c r="J19" i="2" s="1"/>
  <c r="A19" i="2"/>
  <c r="G18" i="2"/>
  <c r="A18" i="2"/>
  <c r="G17" i="2"/>
  <c r="J17" i="2" s="1"/>
  <c r="A17" i="2"/>
  <c r="G16" i="2"/>
  <c r="J16" i="2" s="1"/>
  <c r="A16" i="2"/>
  <c r="G15" i="2"/>
  <c r="A15" i="2"/>
  <c r="G14" i="2"/>
  <c r="A14" i="2"/>
  <c r="G13" i="2"/>
  <c r="J13" i="2" s="1"/>
  <c r="A13" i="2"/>
  <c r="G12" i="2"/>
  <c r="A12" i="2"/>
  <c r="G11" i="2"/>
  <c r="J11" i="2" s="1"/>
  <c r="A11" i="2"/>
  <c r="G10" i="2"/>
  <c r="J10" i="2" s="1"/>
  <c r="A10" i="2"/>
  <c r="G9" i="2"/>
  <c r="J9" i="2" s="1"/>
  <c r="A9" i="2"/>
  <c r="G8" i="2"/>
  <c r="A8" i="2"/>
  <c r="G7" i="2"/>
  <c r="A7" i="2"/>
  <c r="G6" i="2"/>
  <c r="A6" i="2"/>
  <c r="G5" i="2"/>
  <c r="J5" i="2" s="1"/>
  <c r="A5" i="2"/>
  <c r="G4" i="2"/>
  <c r="J4" i="2" s="1"/>
  <c r="A4" i="2"/>
  <c r="G3" i="2"/>
  <c r="A3" i="2"/>
  <c r="G2" i="2"/>
  <c r="J2" i="2" s="1"/>
  <c r="A2" i="2"/>
  <c r="E24" i="3" l="1"/>
  <c r="E25" i="3"/>
  <c r="E26" i="3"/>
  <c r="E27" i="3"/>
  <c r="E28" i="3"/>
  <c r="E29" i="3"/>
  <c r="E30" i="3"/>
  <c r="E23" i="3"/>
  <c r="H23" i="3" s="1"/>
  <c r="F20" i="7"/>
  <c r="E18" i="6"/>
  <c r="E4" i="6"/>
  <c r="E12" i="6"/>
  <c r="E19" i="6"/>
  <c r="F19" i="7" s="1"/>
  <c r="E5" i="6"/>
  <c r="E6" i="6"/>
  <c r="F6" i="7" s="1"/>
  <c r="E14" i="6"/>
  <c r="F14" i="7" s="1"/>
  <c r="E7" i="6"/>
  <c r="E15" i="6"/>
  <c r="E11" i="6"/>
  <c r="E8" i="6"/>
  <c r="E16" i="6"/>
  <c r="F17" i="4" s="1"/>
  <c r="E13" i="6"/>
  <c r="E9" i="6"/>
  <c r="F9" i="7" s="1"/>
  <c r="E17" i="6"/>
  <c r="F18" i="4" s="1"/>
  <c r="E10" i="6"/>
  <c r="E2" i="6"/>
  <c r="E3" i="6"/>
  <c r="F3" i="7" s="1"/>
  <c r="E5" i="3"/>
  <c r="E13" i="3"/>
  <c r="E16" i="3"/>
  <c r="E9" i="3"/>
  <c r="E17" i="3"/>
  <c r="E10" i="3"/>
  <c r="E11" i="3"/>
  <c r="E19" i="3"/>
  <c r="E21" i="3"/>
  <c r="E4" i="3"/>
  <c r="I56" i="2"/>
  <c r="E3" i="3"/>
  <c r="I139" i="2"/>
  <c r="J172" i="7"/>
  <c r="I124" i="2"/>
  <c r="K124" i="2" s="1"/>
  <c r="E42" i="7"/>
  <c r="J42" i="7" s="1"/>
  <c r="C16" i="7"/>
  <c r="E17" i="7"/>
  <c r="C58" i="7"/>
  <c r="J159" i="7"/>
  <c r="J88" i="7"/>
  <c r="I79" i="2"/>
  <c r="K79" i="2" s="1"/>
  <c r="F88" i="7"/>
  <c r="F83" i="7"/>
  <c r="E25" i="7"/>
  <c r="J25" i="7" s="1"/>
  <c r="J62" i="7"/>
  <c r="J70" i="7"/>
  <c r="F148" i="7"/>
  <c r="E12" i="7"/>
  <c r="C89" i="7"/>
  <c r="H89" i="7" s="1"/>
  <c r="I89" i="7" s="1"/>
  <c r="F70" i="7"/>
  <c r="F112" i="7"/>
  <c r="F155" i="7"/>
  <c r="I53" i="2"/>
  <c r="J53" i="2"/>
  <c r="I80" i="2"/>
  <c r="J80" i="2"/>
  <c r="I6" i="2"/>
  <c r="J6" i="2"/>
  <c r="E6" i="3" s="1"/>
  <c r="I14" i="2"/>
  <c r="J14" i="2"/>
  <c r="E14" i="3" s="1"/>
  <c r="I18" i="2"/>
  <c r="J18" i="2"/>
  <c r="E18" i="3" s="1"/>
  <c r="J22" i="2"/>
  <c r="E22" i="3" s="1"/>
  <c r="I69" i="2"/>
  <c r="J69" i="2"/>
  <c r="I77" i="2"/>
  <c r="J77" i="2"/>
  <c r="I136" i="2"/>
  <c r="J136" i="2"/>
  <c r="I211" i="2"/>
  <c r="J211" i="2"/>
  <c r="I223" i="2"/>
  <c r="J223" i="2"/>
  <c r="I239" i="2"/>
  <c r="J239" i="2"/>
  <c r="C52" i="7"/>
  <c r="G52" i="7" s="1"/>
  <c r="E131" i="7"/>
  <c r="I54" i="2"/>
  <c r="J54" i="2"/>
  <c r="I85" i="2"/>
  <c r="J85" i="2"/>
  <c r="I101" i="2"/>
  <c r="J101" i="2"/>
  <c r="I109" i="2"/>
  <c r="J109" i="2"/>
  <c r="I160" i="2"/>
  <c r="J160" i="2"/>
  <c r="I176" i="2"/>
  <c r="J176" i="2"/>
  <c r="I15" i="2"/>
  <c r="J15" i="2"/>
  <c r="E15" i="3" s="1"/>
  <c r="I78" i="2"/>
  <c r="J78" i="2"/>
  <c r="I208" i="2"/>
  <c r="J208" i="2"/>
  <c r="I26" i="2"/>
  <c r="J26" i="2"/>
  <c r="I30" i="2"/>
  <c r="J30" i="2"/>
  <c r="I34" i="2"/>
  <c r="J34" i="2"/>
  <c r="K34" i="2" s="1"/>
  <c r="I38" i="2"/>
  <c r="J38" i="2"/>
  <c r="I42" i="2"/>
  <c r="J42" i="2"/>
  <c r="I46" i="2"/>
  <c r="J46" i="2"/>
  <c r="I3" i="2"/>
  <c r="J3" i="2"/>
  <c r="I7" i="2"/>
  <c r="J7" i="2"/>
  <c r="E7" i="3" s="1"/>
  <c r="I62" i="2"/>
  <c r="J62" i="2"/>
  <c r="J23" i="2"/>
  <c r="K23" i="2" s="1"/>
  <c r="I51" i="2"/>
  <c r="J51" i="2"/>
  <c r="I55" i="2"/>
  <c r="J55" i="2"/>
  <c r="I82" i="2"/>
  <c r="J82" i="2"/>
  <c r="I86" i="2"/>
  <c r="J86" i="2"/>
  <c r="I94" i="2"/>
  <c r="J94" i="2"/>
  <c r="I98" i="2"/>
  <c r="J98" i="2"/>
  <c r="I102" i="2"/>
  <c r="J102" i="2"/>
  <c r="I106" i="2"/>
  <c r="J106" i="2"/>
  <c r="I110" i="2"/>
  <c r="J110" i="2"/>
  <c r="I114" i="2"/>
  <c r="J114" i="2"/>
  <c r="I118" i="2"/>
  <c r="J118" i="2"/>
  <c r="I149" i="2"/>
  <c r="J149" i="2"/>
  <c r="I165" i="2"/>
  <c r="J165" i="2"/>
  <c r="I173" i="2"/>
  <c r="J173" i="2"/>
  <c r="I8" i="2"/>
  <c r="J8" i="2"/>
  <c r="E8" i="3" s="1"/>
  <c r="I12" i="2"/>
  <c r="J12" i="2"/>
  <c r="E12" i="3" s="1"/>
  <c r="I20" i="2"/>
  <c r="J20" i="2"/>
  <c r="E20" i="3" s="1"/>
  <c r="I59" i="2"/>
  <c r="J59" i="2"/>
  <c r="I63" i="2"/>
  <c r="J63" i="2"/>
  <c r="I126" i="2"/>
  <c r="J126" i="2"/>
  <c r="I130" i="2"/>
  <c r="J130" i="2"/>
  <c r="I138" i="2"/>
  <c r="J138" i="2"/>
  <c r="I213" i="2"/>
  <c r="J213" i="2"/>
  <c r="I237" i="2"/>
  <c r="J237" i="2"/>
  <c r="I245" i="2"/>
  <c r="J245" i="2"/>
  <c r="E16" i="7"/>
  <c r="E76" i="7"/>
  <c r="I28" i="2"/>
  <c r="J28" i="2"/>
  <c r="I48" i="2"/>
  <c r="J48" i="2"/>
  <c r="I91" i="2"/>
  <c r="J91" i="2"/>
  <c r="I107" i="2"/>
  <c r="J107" i="2"/>
  <c r="I111" i="2"/>
  <c r="J111" i="2"/>
  <c r="I115" i="2"/>
  <c r="J115" i="2"/>
  <c r="I119" i="2"/>
  <c r="J119" i="2"/>
  <c r="I150" i="2"/>
  <c r="J150" i="2"/>
  <c r="I166" i="2"/>
  <c r="J166" i="2"/>
  <c r="I174" i="2"/>
  <c r="J174" i="2"/>
  <c r="I178" i="2"/>
  <c r="J178" i="2"/>
  <c r="I190" i="2"/>
  <c r="J190" i="2"/>
  <c r="I194" i="2"/>
  <c r="J194" i="2"/>
  <c r="C47" i="7"/>
  <c r="H47" i="7" s="1"/>
  <c r="I47" i="7" s="1"/>
  <c r="I127" i="2"/>
  <c r="J127" i="2"/>
  <c r="I131" i="2"/>
  <c r="J131" i="2"/>
  <c r="I198" i="2"/>
  <c r="J198" i="2"/>
  <c r="I206" i="2"/>
  <c r="J206" i="2"/>
  <c r="I214" i="2"/>
  <c r="J214" i="2"/>
  <c r="I222" i="2"/>
  <c r="J222" i="2"/>
  <c r="I242" i="2"/>
  <c r="J242" i="2"/>
  <c r="I246" i="2"/>
  <c r="J246" i="2"/>
  <c r="I45" i="2"/>
  <c r="J45" i="2"/>
  <c r="I96" i="2"/>
  <c r="J96" i="2"/>
  <c r="I104" i="2"/>
  <c r="J104" i="2"/>
  <c r="I112" i="2"/>
  <c r="J112" i="2"/>
  <c r="I147" i="2"/>
  <c r="J147" i="2"/>
  <c r="I163" i="2"/>
  <c r="J163" i="2"/>
  <c r="I175" i="2"/>
  <c r="J175" i="2"/>
  <c r="I191" i="2"/>
  <c r="J191" i="2"/>
  <c r="K77" i="2"/>
  <c r="E8" i="7"/>
  <c r="E47" i="7"/>
  <c r="J47" i="7" s="1"/>
  <c r="E105" i="7"/>
  <c r="J105" i="7" s="1"/>
  <c r="I2" i="2"/>
  <c r="K2" i="2" s="1"/>
  <c r="F2" i="3" s="1"/>
  <c r="I33" i="2"/>
  <c r="K33" i="2" s="1"/>
  <c r="I188" i="2"/>
  <c r="K188" i="2" s="1"/>
  <c r="E9" i="7"/>
  <c r="J9" i="7" s="1"/>
  <c r="I60" i="2"/>
  <c r="K60" i="2" s="1"/>
  <c r="I162" i="2"/>
  <c r="K162" i="2" s="1"/>
  <c r="F42" i="7"/>
  <c r="C141" i="7"/>
  <c r="I220" i="2"/>
  <c r="K220" i="2" s="1"/>
  <c r="E96" i="7"/>
  <c r="J96" i="7" s="1"/>
  <c r="K42" i="7"/>
  <c r="H42" i="7"/>
  <c r="I42" i="7" s="1"/>
  <c r="E83" i="7"/>
  <c r="J83" i="7" s="1"/>
  <c r="J150" i="7"/>
  <c r="C159" i="7"/>
  <c r="I10" i="2"/>
  <c r="K10" i="2" s="1"/>
  <c r="F10" i="3" s="1"/>
  <c r="I21" i="2"/>
  <c r="K21" i="2" s="1"/>
  <c r="I43" i="2"/>
  <c r="K43" i="2" s="1"/>
  <c r="I64" i="2"/>
  <c r="K64" i="2" s="1"/>
  <c r="I75" i="2"/>
  <c r="K75" i="2" s="1"/>
  <c r="I84" i="2"/>
  <c r="K84" i="2" s="1"/>
  <c r="I99" i="2"/>
  <c r="K99" i="2" s="1"/>
  <c r="I171" i="2"/>
  <c r="K171" i="2" s="1"/>
  <c r="I229" i="2"/>
  <c r="K229" i="2" s="1"/>
  <c r="C43" i="7"/>
  <c r="K43" i="7" s="1"/>
  <c r="C45" i="7"/>
  <c r="D45" i="7" s="1"/>
  <c r="E53" i="7"/>
  <c r="J53" i="7" s="1"/>
  <c r="F56" i="7"/>
  <c r="E81" i="7"/>
  <c r="J81" i="7" s="1"/>
  <c r="E118" i="7"/>
  <c r="F143" i="7"/>
  <c r="I40" i="2"/>
  <c r="K40" i="2" s="1"/>
  <c r="I155" i="2"/>
  <c r="K155" i="2" s="1"/>
  <c r="F27" i="7"/>
  <c r="E43" i="7"/>
  <c r="J43" i="7" s="1"/>
  <c r="E45" i="7"/>
  <c r="J45" i="7" s="1"/>
  <c r="C101" i="7"/>
  <c r="H101" i="7" s="1"/>
  <c r="I101" i="7" s="1"/>
  <c r="E157" i="7"/>
  <c r="J157" i="7" s="1"/>
  <c r="E11" i="7"/>
  <c r="F48" i="7"/>
  <c r="E112" i="7"/>
  <c r="C151" i="7"/>
  <c r="H151" i="7" s="1"/>
  <c r="I151" i="7" s="1"/>
  <c r="F160" i="7"/>
  <c r="F12" i="7"/>
  <c r="I5" i="2"/>
  <c r="K5" i="2" s="1"/>
  <c r="F5" i="3" s="1"/>
  <c r="F22" i="7"/>
  <c r="F52" i="7"/>
  <c r="E55" i="7"/>
  <c r="J55" i="7" s="1"/>
  <c r="F128" i="7"/>
  <c r="D103" i="7"/>
  <c r="K103" i="7"/>
  <c r="I47" i="2"/>
  <c r="K47" i="2" s="1"/>
  <c r="I58" i="2"/>
  <c r="K58" i="2" s="1"/>
  <c r="I103" i="2"/>
  <c r="K103" i="2" s="1"/>
  <c r="I135" i="2"/>
  <c r="K135" i="2" s="1"/>
  <c r="I152" i="2"/>
  <c r="K152" i="2" s="1"/>
  <c r="I207" i="2"/>
  <c r="K207" i="2" s="1"/>
  <c r="I216" i="2"/>
  <c r="K216" i="2" s="1"/>
  <c r="I219" i="2"/>
  <c r="K219" i="2" s="1"/>
  <c r="I235" i="2"/>
  <c r="K235" i="2" s="1"/>
  <c r="F24" i="7"/>
  <c r="E44" i="7"/>
  <c r="J44" i="7" s="1"/>
  <c r="F46" i="7"/>
  <c r="E48" i="7"/>
  <c r="J48" i="7" s="1"/>
  <c r="C56" i="7"/>
  <c r="F62" i="7"/>
  <c r="J66" i="7"/>
  <c r="F75" i="7"/>
  <c r="C80" i="7"/>
  <c r="F89" i="7"/>
  <c r="E117" i="7"/>
  <c r="E141" i="7"/>
  <c r="J141" i="7" s="1"/>
  <c r="F167" i="7"/>
  <c r="E78" i="7"/>
  <c r="J78" i="7" s="1"/>
  <c r="L78" i="7" s="1"/>
  <c r="O78" i="7" s="1"/>
  <c r="P78" i="7" s="1"/>
  <c r="E85" i="7"/>
  <c r="J85" i="7" s="1"/>
  <c r="C93" i="7"/>
  <c r="H93" i="7" s="1"/>
  <c r="I93" i="7" s="1"/>
  <c r="C104" i="7"/>
  <c r="E130" i="7"/>
  <c r="J130" i="7" s="1"/>
  <c r="E133" i="7"/>
  <c r="D136" i="7"/>
  <c r="C150" i="7"/>
  <c r="I31" i="2"/>
  <c r="K31" i="2" s="1"/>
  <c r="I143" i="2"/>
  <c r="K143" i="2" s="1"/>
  <c r="C70" i="7"/>
  <c r="G70" i="7" s="1"/>
  <c r="F78" i="7"/>
  <c r="C88" i="7"/>
  <c r="F93" i="7"/>
  <c r="F136" i="7"/>
  <c r="I29" i="2"/>
  <c r="K29" i="2" s="1"/>
  <c r="F8" i="7"/>
  <c r="J166" i="7"/>
  <c r="I17" i="2"/>
  <c r="K17" i="2" s="1"/>
  <c r="F17" i="3" s="1"/>
  <c r="I199" i="2"/>
  <c r="K199" i="2" s="1"/>
  <c r="I218" i="2"/>
  <c r="K218" i="2" s="1"/>
  <c r="I227" i="2"/>
  <c r="K227" i="2" s="1"/>
  <c r="E68" i="7"/>
  <c r="J68" i="7" s="1"/>
  <c r="F79" i="7"/>
  <c r="E109" i="7"/>
  <c r="J109" i="7" s="1"/>
  <c r="E122" i="7"/>
  <c r="J122" i="7" s="1"/>
  <c r="E125" i="7"/>
  <c r="J125" i="7" s="1"/>
  <c r="L125" i="7" s="1"/>
  <c r="O125" i="7" s="1"/>
  <c r="P125" i="7" s="1"/>
  <c r="J149" i="7"/>
  <c r="F157" i="7"/>
  <c r="C166" i="7"/>
  <c r="K166" i="7" s="1"/>
  <c r="D164" i="3"/>
  <c r="I128" i="2"/>
  <c r="K128" i="2" s="1"/>
  <c r="I148" i="2"/>
  <c r="K148" i="2" s="1"/>
  <c r="I179" i="2"/>
  <c r="K179" i="2" s="1"/>
  <c r="I212" i="2"/>
  <c r="K212" i="2" s="1"/>
  <c r="I224" i="2"/>
  <c r="K224" i="2" s="1"/>
  <c r="I244" i="2"/>
  <c r="K244" i="2" s="1"/>
  <c r="E146" i="7"/>
  <c r="J146" i="7" s="1"/>
  <c r="C160" i="7"/>
  <c r="H160" i="7" s="1"/>
  <c r="I160" i="7" s="1"/>
  <c r="I134" i="2"/>
  <c r="I11" i="2"/>
  <c r="K11" i="2" s="1"/>
  <c r="F11" i="3" s="1"/>
  <c r="I36" i="2"/>
  <c r="K36" i="2" s="1"/>
  <c r="I88" i="2"/>
  <c r="K139" i="2"/>
  <c r="I167" i="2"/>
  <c r="K167" i="2" s="1"/>
  <c r="I120" i="2"/>
  <c r="K120" i="2" s="1"/>
  <c r="K14" i="2"/>
  <c r="F14" i="3" s="1"/>
  <c r="I71" i="2"/>
  <c r="K71" i="2" s="1"/>
  <c r="I95" i="2"/>
  <c r="I146" i="2"/>
  <c r="I159" i="2"/>
  <c r="I187" i="2"/>
  <c r="I203" i="2"/>
  <c r="I243" i="2"/>
  <c r="I250" i="2"/>
  <c r="I92" i="2"/>
  <c r="C39" i="3"/>
  <c r="F60" i="7"/>
  <c r="E60" i="7"/>
  <c r="J60" i="7" s="1"/>
  <c r="C60" i="7"/>
  <c r="G60" i="7" s="1"/>
  <c r="I154" i="2"/>
  <c r="I180" i="2"/>
  <c r="K180" i="2" s="1"/>
  <c r="I184" i="2"/>
  <c r="I230" i="2"/>
  <c r="I240" i="2"/>
  <c r="I52" i="2"/>
  <c r="K52" i="2" s="1"/>
  <c r="I66" i="2"/>
  <c r="K66" i="2" s="1"/>
  <c r="I83" i="2"/>
  <c r="K83" i="2" s="1"/>
  <c r="I122" i="2"/>
  <c r="K122" i="2" s="1"/>
  <c r="I133" i="2"/>
  <c r="K133" i="2" s="1"/>
  <c r="I156" i="2"/>
  <c r="K156" i="2" s="1"/>
  <c r="I197" i="2"/>
  <c r="I210" i="2"/>
  <c r="I144" i="2"/>
  <c r="I41" i="2"/>
  <c r="I50" i="2"/>
  <c r="I90" i="2"/>
  <c r="I116" i="2"/>
  <c r="I231" i="2"/>
  <c r="K231" i="2" s="1"/>
  <c r="I238" i="2"/>
  <c r="K177" i="7"/>
  <c r="G177" i="7"/>
  <c r="D25" i="3"/>
  <c r="I141" i="2"/>
  <c r="I205" i="2"/>
  <c r="I19" i="2"/>
  <c r="K19" i="2" s="1"/>
  <c r="F19" i="3" s="1"/>
  <c r="I35" i="2"/>
  <c r="K35" i="2" s="1"/>
  <c r="I67" i="2"/>
  <c r="K67" i="2" s="1"/>
  <c r="I123" i="2"/>
  <c r="K123" i="2" s="1"/>
  <c r="I182" i="2"/>
  <c r="I24" i="2"/>
  <c r="K24" i="2" s="1"/>
  <c r="I27" i="2"/>
  <c r="K27" i="2" s="1"/>
  <c r="I70" i="2"/>
  <c r="I142" i="2"/>
  <c r="I158" i="2"/>
  <c r="I186" i="2"/>
  <c r="K186" i="2" s="1"/>
  <c r="I192" i="2"/>
  <c r="K192" i="2" s="1"/>
  <c r="K195" i="2"/>
  <c r="I226" i="2"/>
  <c r="K226" i="2" s="1"/>
  <c r="F11" i="7"/>
  <c r="K167" i="7"/>
  <c r="D167" i="7"/>
  <c r="G42" i="7"/>
  <c r="J46" i="7"/>
  <c r="H53" i="7"/>
  <c r="I53" i="7" s="1"/>
  <c r="J72" i="7"/>
  <c r="C81" i="7"/>
  <c r="H81" i="7" s="1"/>
  <c r="I81" i="7" s="1"/>
  <c r="J90" i="7"/>
  <c r="F101" i="7"/>
  <c r="C105" i="7"/>
  <c r="K105" i="7" s="1"/>
  <c r="C109" i="7"/>
  <c r="K109" i="7" s="1"/>
  <c r="C114" i="7"/>
  <c r="G114" i="7" s="1"/>
  <c r="F120" i="7"/>
  <c r="E128" i="7"/>
  <c r="C130" i="7"/>
  <c r="D130" i="7" s="1"/>
  <c r="C131" i="7"/>
  <c r="G131" i="7" s="1"/>
  <c r="F144" i="7"/>
  <c r="F146" i="7"/>
  <c r="F150" i="7"/>
  <c r="F172" i="7"/>
  <c r="K56" i="2"/>
  <c r="C55" i="7"/>
  <c r="D55" i="7" s="1"/>
  <c r="J58" i="7"/>
  <c r="E67" i="7"/>
  <c r="C72" i="7"/>
  <c r="D83" i="7"/>
  <c r="C85" i="7"/>
  <c r="G85" i="7" s="1"/>
  <c r="E136" i="7"/>
  <c r="E143" i="7"/>
  <c r="J143" i="7" s="1"/>
  <c r="L143" i="7" s="1"/>
  <c r="O143" i="7" s="1"/>
  <c r="P143" i="7" s="1"/>
  <c r="E3" i="7"/>
  <c r="E14" i="7"/>
  <c r="J14" i="7" s="1"/>
  <c r="E19" i="7"/>
  <c r="C46" i="7"/>
  <c r="C97" i="7"/>
  <c r="H97" i="7" s="1"/>
  <c r="I97" i="7" s="1"/>
  <c r="C108" i="7"/>
  <c r="H108" i="7" s="1"/>
  <c r="I108" i="7" s="1"/>
  <c r="E139" i="7"/>
  <c r="C145" i="7"/>
  <c r="H145" i="7" s="1"/>
  <c r="I145" i="7" s="1"/>
  <c r="E153" i="7"/>
  <c r="J153" i="7" s="1"/>
  <c r="L153" i="7" s="1"/>
  <c r="O153" i="7" s="1"/>
  <c r="P153" i="7" s="1"/>
  <c r="J155" i="7"/>
  <c r="J160" i="7"/>
  <c r="F166" i="7"/>
  <c r="E6" i="7"/>
  <c r="J6" i="7" s="1"/>
  <c r="J52" i="7"/>
  <c r="E97" i="7"/>
  <c r="E108" i="7"/>
  <c r="J108" i="7" s="1"/>
  <c r="F139" i="7"/>
  <c r="F153" i="7"/>
  <c r="C173" i="7"/>
  <c r="I248" i="2"/>
  <c r="K248" i="2" s="1"/>
  <c r="F4" i="7"/>
  <c r="D42" i="7"/>
  <c r="Q42" i="7" s="1"/>
  <c r="C44" i="7"/>
  <c r="D44" i="7" s="1"/>
  <c r="D53" i="7"/>
  <c r="C54" i="7"/>
  <c r="D54" i="7" s="1"/>
  <c r="Q54" i="7" s="1"/>
  <c r="C64" i="7"/>
  <c r="C68" i="7"/>
  <c r="G68" i="7" s="1"/>
  <c r="F72" i="7"/>
  <c r="J93" i="7"/>
  <c r="C96" i="7"/>
  <c r="G96" i="7" s="1"/>
  <c r="C115" i="7"/>
  <c r="D115" i="7" s="1"/>
  <c r="F117" i="7"/>
  <c r="C122" i="7"/>
  <c r="C123" i="7"/>
  <c r="G123" i="7" s="1"/>
  <c r="C148" i="7"/>
  <c r="G148" i="7" s="1"/>
  <c r="F151" i="7"/>
  <c r="C155" i="7"/>
  <c r="G155" i="7" s="1"/>
  <c r="F159" i="7"/>
  <c r="F173" i="7"/>
  <c r="K109" i="2"/>
  <c r="E4" i="7"/>
  <c r="J4" i="7" s="1"/>
  <c r="E20" i="7"/>
  <c r="F53" i="7"/>
  <c r="J54" i="7"/>
  <c r="C62" i="7"/>
  <c r="G62" i="7" s="1"/>
  <c r="E64" i="7"/>
  <c r="J64" i="7" s="1"/>
  <c r="C66" i="7"/>
  <c r="K66" i="7" s="1"/>
  <c r="J94" i="7"/>
  <c r="E115" i="7"/>
  <c r="E120" i="7"/>
  <c r="Q120" i="7" s="1"/>
  <c r="E123" i="7"/>
  <c r="J123" i="7" s="1"/>
  <c r="F125" i="7"/>
  <c r="F133" i="7"/>
  <c r="J144" i="7"/>
  <c r="J148" i="7"/>
  <c r="C172" i="7"/>
  <c r="K172" i="7" s="1"/>
  <c r="C16" i="3"/>
  <c r="D20" i="3"/>
  <c r="D29" i="3"/>
  <c r="D31" i="3"/>
  <c r="H31" i="3" s="1"/>
  <c r="C35" i="3"/>
  <c r="D46" i="3"/>
  <c r="C115" i="3"/>
  <c r="D132" i="3"/>
  <c r="D196" i="3"/>
  <c r="I81" i="2"/>
  <c r="I113" i="2"/>
  <c r="I145" i="2"/>
  <c r="I177" i="2"/>
  <c r="I209" i="2"/>
  <c r="C29" i="3"/>
  <c r="I117" i="2"/>
  <c r="K117" i="2" s="1"/>
  <c r="I181" i="2"/>
  <c r="K181" i="2" s="1"/>
  <c r="I37" i="2"/>
  <c r="K37" i="2" s="1"/>
  <c r="I57" i="2"/>
  <c r="I72" i="2"/>
  <c r="K72" i="2" s="1"/>
  <c r="I74" i="2"/>
  <c r="K74" i="2" s="1"/>
  <c r="I87" i="2"/>
  <c r="K87" i="2" s="1"/>
  <c r="I121" i="2"/>
  <c r="I132" i="2"/>
  <c r="K132" i="2" s="1"/>
  <c r="I151" i="2"/>
  <c r="K151" i="2" s="1"/>
  <c r="I168" i="2"/>
  <c r="K168" i="2" s="1"/>
  <c r="I170" i="2"/>
  <c r="K170" i="2" s="1"/>
  <c r="I185" i="2"/>
  <c r="I200" i="2"/>
  <c r="K200" i="2" s="1"/>
  <c r="I215" i="2"/>
  <c r="K215" i="2" s="1"/>
  <c r="I217" i="2"/>
  <c r="I228" i="2"/>
  <c r="K228" i="2" s="1"/>
  <c r="I232" i="2"/>
  <c r="K232" i="2" s="1"/>
  <c r="I234" i="2"/>
  <c r="K234" i="2" s="1"/>
  <c r="I247" i="2"/>
  <c r="K247" i="2" s="1"/>
  <c r="I249" i="2"/>
  <c r="D4" i="3"/>
  <c r="D10" i="3"/>
  <c r="C12" i="3"/>
  <c r="D16" i="3"/>
  <c r="D18" i="3"/>
  <c r="D22" i="3"/>
  <c r="D35" i="3"/>
  <c r="C44" i="3"/>
  <c r="D63" i="3"/>
  <c r="D92" i="3"/>
  <c r="C8" i="3"/>
  <c r="I13" i="2"/>
  <c r="K13" i="2" s="1"/>
  <c r="F13" i="3" s="1"/>
  <c r="I39" i="2"/>
  <c r="K39" i="2" s="1"/>
  <c r="I44" i="2"/>
  <c r="K44" i="2" s="1"/>
  <c r="I61" i="2"/>
  <c r="K61" i="2" s="1"/>
  <c r="I93" i="2"/>
  <c r="K93" i="2" s="1"/>
  <c r="K136" i="2"/>
  <c r="I157" i="2"/>
  <c r="K157" i="2" s="1"/>
  <c r="C24" i="3"/>
  <c r="D26" i="3"/>
  <c r="D38" i="3"/>
  <c r="D42" i="3"/>
  <c r="D44" i="3"/>
  <c r="D108" i="3"/>
  <c r="C167" i="3"/>
  <c r="D55" i="3"/>
  <c r="I9" i="2"/>
  <c r="K9" i="2" s="1"/>
  <c r="I16" i="2"/>
  <c r="K16" i="2" s="1"/>
  <c r="F16" i="3" s="1"/>
  <c r="D14" i="3"/>
  <c r="I4" i="2"/>
  <c r="K4" i="2" s="1"/>
  <c r="F4" i="3" s="1"/>
  <c r="I68" i="2"/>
  <c r="K68" i="2" s="1"/>
  <c r="I89" i="2"/>
  <c r="I100" i="2"/>
  <c r="K100" i="2" s="1"/>
  <c r="I153" i="2"/>
  <c r="I164" i="2"/>
  <c r="K164" i="2" s="1"/>
  <c r="I183" i="2"/>
  <c r="K183" i="2" s="1"/>
  <c r="I196" i="2"/>
  <c r="K196" i="2" s="1"/>
  <c r="I202" i="2"/>
  <c r="K202" i="2" s="1"/>
  <c r="D8" i="3"/>
  <c r="I25" i="2"/>
  <c r="K25" i="2" s="1"/>
  <c r="I32" i="2"/>
  <c r="K32" i="2" s="1"/>
  <c r="I125" i="2"/>
  <c r="K125" i="2" s="1"/>
  <c r="I189" i="2"/>
  <c r="K189" i="2" s="1"/>
  <c r="I221" i="2"/>
  <c r="K221" i="2" s="1"/>
  <c r="I65" i="2"/>
  <c r="I76" i="2"/>
  <c r="K76" i="2" s="1"/>
  <c r="I97" i="2"/>
  <c r="K97" i="2" s="1"/>
  <c r="I108" i="2"/>
  <c r="K108" i="2" s="1"/>
  <c r="I129" i="2"/>
  <c r="I140" i="2"/>
  <c r="K140" i="2" s="1"/>
  <c r="I161" i="2"/>
  <c r="I172" i="2"/>
  <c r="K172" i="2" s="1"/>
  <c r="I193" i="2"/>
  <c r="I204" i="2"/>
  <c r="K204" i="2" s="1"/>
  <c r="I225" i="2"/>
  <c r="I236" i="2"/>
  <c r="K236" i="2" s="1"/>
  <c r="D47" i="3"/>
  <c r="D71" i="3"/>
  <c r="C99" i="3"/>
  <c r="C4" i="3"/>
  <c r="C3" i="3"/>
  <c r="C5" i="3"/>
  <c r="C11" i="3"/>
  <c r="C13" i="3"/>
  <c r="D17" i="3"/>
  <c r="C19" i="3"/>
  <c r="C21" i="3"/>
  <c r="C28" i="3"/>
  <c r="C32" i="3"/>
  <c r="D40" i="3"/>
  <c r="C27" i="3"/>
  <c r="I73" i="2"/>
  <c r="I105" i="2"/>
  <c r="C55" i="3"/>
  <c r="C2" i="3"/>
  <c r="D45" i="3"/>
  <c r="C31" i="3"/>
  <c r="D52" i="3"/>
  <c r="D49" i="3"/>
  <c r="C199" i="3"/>
  <c r="I137" i="2"/>
  <c r="I169" i="2"/>
  <c r="I201" i="2"/>
  <c r="I233" i="2"/>
  <c r="D3" i="3"/>
  <c r="D5" i="3"/>
  <c r="C7" i="3"/>
  <c r="C9" i="3"/>
  <c r="D11" i="3"/>
  <c r="D13" i="3"/>
  <c r="C15" i="3"/>
  <c r="D19" i="3"/>
  <c r="D21" i="3"/>
  <c r="D23" i="3"/>
  <c r="D28" i="3"/>
  <c r="D32" i="3"/>
  <c r="D79" i="3"/>
  <c r="I49" i="2"/>
  <c r="I241" i="2"/>
  <c r="C200" i="3"/>
  <c r="C196" i="3"/>
  <c r="C192" i="3"/>
  <c r="C188" i="3"/>
  <c r="C184" i="3"/>
  <c r="C180" i="3"/>
  <c r="C176" i="3"/>
  <c r="C172" i="3"/>
  <c r="C168" i="3"/>
  <c r="C164" i="3"/>
  <c r="C160" i="3"/>
  <c r="C156" i="3"/>
  <c r="C152" i="3"/>
  <c r="C148" i="3"/>
  <c r="C144" i="3"/>
  <c r="C140" i="3"/>
  <c r="C136" i="3"/>
  <c r="C132" i="3"/>
  <c r="C128" i="3"/>
  <c r="C124" i="3"/>
  <c r="C120" i="3"/>
  <c r="C116" i="3"/>
  <c r="C112" i="3"/>
  <c r="C108" i="3"/>
  <c r="C104" i="3"/>
  <c r="C100" i="3"/>
  <c r="C96" i="3"/>
  <c r="C92" i="3"/>
  <c r="C88" i="3"/>
  <c r="C84" i="3"/>
  <c r="C80" i="3"/>
  <c r="C76" i="3"/>
  <c r="C72" i="3"/>
  <c r="C68" i="3"/>
  <c r="C64" i="3"/>
  <c r="C60" i="3"/>
  <c r="C56" i="3"/>
  <c r="C52" i="3"/>
  <c r="D197" i="3"/>
  <c r="D193" i="3"/>
  <c r="D189" i="3"/>
  <c r="D185" i="3"/>
  <c r="D181" i="3"/>
  <c r="D177" i="3"/>
  <c r="D173" i="3"/>
  <c r="D169" i="3"/>
  <c r="D165" i="3"/>
  <c r="D161" i="3"/>
  <c r="D157" i="3"/>
  <c r="D153" i="3"/>
  <c r="D149" i="3"/>
  <c r="D145" i="3"/>
  <c r="D141" i="3"/>
  <c r="D137" i="3"/>
  <c r="D133" i="3"/>
  <c r="D129" i="3"/>
  <c r="D125" i="3"/>
  <c r="D121" i="3"/>
  <c r="D117" i="3"/>
  <c r="D113" i="3"/>
  <c r="D109" i="3"/>
  <c r="D105" i="3"/>
  <c r="D101" i="3"/>
  <c r="D97" i="3"/>
  <c r="D93" i="3"/>
  <c r="D89" i="3"/>
  <c r="C197" i="3"/>
  <c r="C193" i="3"/>
  <c r="C189" i="3"/>
  <c r="C185" i="3"/>
  <c r="C181" i="3"/>
  <c r="C177" i="3"/>
  <c r="C173" i="3"/>
  <c r="C169" i="3"/>
  <c r="C165" i="3"/>
  <c r="C161" i="3"/>
  <c r="C157" i="3"/>
  <c r="C153" i="3"/>
  <c r="C149" i="3"/>
  <c r="C145" i="3"/>
  <c r="C141" i="3"/>
  <c r="C137" i="3"/>
  <c r="C133" i="3"/>
  <c r="C129" i="3"/>
  <c r="C125" i="3"/>
  <c r="C121" i="3"/>
  <c r="C117" i="3"/>
  <c r="C113" i="3"/>
  <c r="C109" i="3"/>
  <c r="C105" i="3"/>
  <c r="C101" i="3"/>
  <c r="C97" i="3"/>
  <c r="C93" i="3"/>
  <c r="C89" i="3"/>
  <c r="C85" i="3"/>
  <c r="C81" i="3"/>
  <c r="C77" i="3"/>
  <c r="C73" i="3"/>
  <c r="C69" i="3"/>
  <c r="C65" i="3"/>
  <c r="C61" i="3"/>
  <c r="C57" i="3"/>
  <c r="C53" i="3"/>
  <c r="C49" i="3"/>
  <c r="C45" i="3"/>
  <c r="C41" i="3"/>
  <c r="C37" i="3"/>
  <c r="C33" i="3"/>
  <c r="D198" i="3"/>
  <c r="D194" i="3"/>
  <c r="D190" i="3"/>
  <c r="D186" i="3"/>
  <c r="D182" i="3"/>
  <c r="D178" i="3"/>
  <c r="D174" i="3"/>
  <c r="D170" i="3"/>
  <c r="D166" i="3"/>
  <c r="D162" i="3"/>
  <c r="D158" i="3"/>
  <c r="D154" i="3"/>
  <c r="D150" i="3"/>
  <c r="D146" i="3"/>
  <c r="D142" i="3"/>
  <c r="D138" i="3"/>
  <c r="D134" i="3"/>
  <c r="D130" i="3"/>
  <c r="D126" i="3"/>
  <c r="D122" i="3"/>
  <c r="D118" i="3"/>
  <c r="D114" i="3"/>
  <c r="D110" i="3"/>
  <c r="D106" i="3"/>
  <c r="D102" i="3"/>
  <c r="D98" i="3"/>
  <c r="D94" i="3"/>
  <c r="D90" i="3"/>
  <c r="C198" i="3"/>
  <c r="C194" i="3"/>
  <c r="C190" i="3"/>
  <c r="C186" i="3"/>
  <c r="C182" i="3"/>
  <c r="C178" i="3"/>
  <c r="C174" i="3"/>
  <c r="C170" i="3"/>
  <c r="C166" i="3"/>
  <c r="C162" i="3"/>
  <c r="C158" i="3"/>
  <c r="C154" i="3"/>
  <c r="C150" i="3"/>
  <c r="C146" i="3"/>
  <c r="C142" i="3"/>
  <c r="C138" i="3"/>
  <c r="C134" i="3"/>
  <c r="C130" i="3"/>
  <c r="C126" i="3"/>
  <c r="C122" i="3"/>
  <c r="C118" i="3"/>
  <c r="C114" i="3"/>
  <c r="C110" i="3"/>
  <c r="C106" i="3"/>
  <c r="C102" i="3"/>
  <c r="C98" i="3"/>
  <c r="C94" i="3"/>
  <c r="C90" i="3"/>
  <c r="C86" i="3"/>
  <c r="C82" i="3"/>
  <c r="C78" i="3"/>
  <c r="C74" i="3"/>
  <c r="C70" i="3"/>
  <c r="C66" i="3"/>
  <c r="C62" i="3"/>
  <c r="C58" i="3"/>
  <c r="C54" i="3"/>
  <c r="C50" i="3"/>
  <c r="C46" i="3"/>
  <c r="C42" i="3"/>
  <c r="C38" i="3"/>
  <c r="C34" i="3"/>
  <c r="C30" i="3"/>
  <c r="C26" i="3"/>
  <c r="C22" i="3"/>
  <c r="C18" i="3"/>
  <c r="C14" i="3"/>
  <c r="C10" i="3"/>
  <c r="C6" i="3"/>
  <c r="D199" i="3"/>
  <c r="D195" i="3"/>
  <c r="D191" i="3"/>
  <c r="D187" i="3"/>
  <c r="D183" i="3"/>
  <c r="D179" i="3"/>
  <c r="D175" i="3"/>
  <c r="D171" i="3"/>
  <c r="D167" i="3"/>
  <c r="D163" i="3"/>
  <c r="D159" i="3"/>
  <c r="D155" i="3"/>
  <c r="D151" i="3"/>
  <c r="D147" i="3"/>
  <c r="D143" i="3"/>
  <c r="D139" i="3"/>
  <c r="D135" i="3"/>
  <c r="D131" i="3"/>
  <c r="D127" i="3"/>
  <c r="D123" i="3"/>
  <c r="D119" i="3"/>
  <c r="C187" i="3"/>
  <c r="D184" i="3"/>
  <c r="C155" i="3"/>
  <c r="D152" i="3"/>
  <c r="C123" i="3"/>
  <c r="D120" i="3"/>
  <c r="D103" i="3"/>
  <c r="D87" i="3"/>
  <c r="C79" i="3"/>
  <c r="C71" i="3"/>
  <c r="C63" i="3"/>
  <c r="C175" i="3"/>
  <c r="D172" i="3"/>
  <c r="C143" i="3"/>
  <c r="D140" i="3"/>
  <c r="D112" i="3"/>
  <c r="C103" i="3"/>
  <c r="D96" i="3"/>
  <c r="C87" i="3"/>
  <c r="D82" i="3"/>
  <c r="D74" i="3"/>
  <c r="D66" i="3"/>
  <c r="D58" i="3"/>
  <c r="D50" i="3"/>
  <c r="C47" i="3"/>
  <c r="D36" i="3"/>
  <c r="C23" i="3"/>
  <c r="C20" i="3"/>
  <c r="C17" i="3"/>
  <c r="D2" i="3"/>
  <c r="C195" i="3"/>
  <c r="D192" i="3"/>
  <c r="C163" i="3"/>
  <c r="D160" i="3"/>
  <c r="C131" i="3"/>
  <c r="D128" i="3"/>
  <c r="D107" i="3"/>
  <c r="D91" i="3"/>
  <c r="D85" i="3"/>
  <c r="D80" i="3"/>
  <c r="D77" i="3"/>
  <c r="D72" i="3"/>
  <c r="D69" i="3"/>
  <c r="D64" i="3"/>
  <c r="D61" i="3"/>
  <c r="D56" i="3"/>
  <c r="D53" i="3"/>
  <c r="D48" i="3"/>
  <c r="D39" i="3"/>
  <c r="C36" i="3"/>
  <c r="D33" i="3"/>
  <c r="D30" i="3"/>
  <c r="D27" i="3"/>
  <c r="D24" i="3"/>
  <c r="D15" i="3"/>
  <c r="D12" i="3"/>
  <c r="D9" i="3"/>
  <c r="D6" i="3"/>
  <c r="C183" i="3"/>
  <c r="D180" i="3"/>
  <c r="C151" i="3"/>
  <c r="D148" i="3"/>
  <c r="C119" i="3"/>
  <c r="D116" i="3"/>
  <c r="C107" i="3"/>
  <c r="D100" i="3"/>
  <c r="C91" i="3"/>
  <c r="D83" i="3"/>
  <c r="D75" i="3"/>
  <c r="D67" i="3"/>
  <c r="D59" i="3"/>
  <c r="D51" i="3"/>
  <c r="C48" i="3"/>
  <c r="D200" i="3"/>
  <c r="C171" i="3"/>
  <c r="D168" i="3"/>
  <c r="C139" i="3"/>
  <c r="D136" i="3"/>
  <c r="D111" i="3"/>
  <c r="D95" i="3"/>
  <c r="C83" i="3"/>
  <c r="C75" i="3"/>
  <c r="C67" i="3"/>
  <c r="C59" i="3"/>
  <c r="C51" i="3"/>
  <c r="C191" i="3"/>
  <c r="D188" i="3"/>
  <c r="C159" i="3"/>
  <c r="D156" i="3"/>
  <c r="C127" i="3"/>
  <c r="D124" i="3"/>
  <c r="C111" i="3"/>
  <c r="D104" i="3"/>
  <c r="C95" i="3"/>
  <c r="D88" i="3"/>
  <c r="D86" i="3"/>
  <c r="D78" i="3"/>
  <c r="D70" i="3"/>
  <c r="D62" i="3"/>
  <c r="D54" i="3"/>
  <c r="D43" i="3"/>
  <c r="C40" i="3"/>
  <c r="D37" i="3"/>
  <c r="D34" i="3"/>
  <c r="C179" i="3"/>
  <c r="D176" i="3"/>
  <c r="C147" i="3"/>
  <c r="D144" i="3"/>
  <c r="D115" i="3"/>
  <c r="D99" i="3"/>
  <c r="D84" i="3"/>
  <c r="D81" i="3"/>
  <c r="D76" i="3"/>
  <c r="D73" i="3"/>
  <c r="D68" i="3"/>
  <c r="D65" i="3"/>
  <c r="D60" i="3"/>
  <c r="D57" i="3"/>
  <c r="D7" i="3"/>
  <c r="F9" i="3"/>
  <c r="C25" i="3"/>
  <c r="D41" i="3"/>
  <c r="C43" i="3"/>
  <c r="C135" i="3"/>
  <c r="F7" i="7"/>
  <c r="E7" i="7"/>
  <c r="J7" i="7" s="1"/>
  <c r="G117" i="7"/>
  <c r="D117" i="7"/>
  <c r="K117" i="7"/>
  <c r="H117" i="7"/>
  <c r="I117" i="7" s="1"/>
  <c r="F2" i="7"/>
  <c r="E2" i="7"/>
  <c r="J2" i="7" s="1"/>
  <c r="C29" i="7"/>
  <c r="F29" i="7"/>
  <c r="E29" i="7"/>
  <c r="J29" i="7" s="1"/>
  <c r="C37" i="7"/>
  <c r="F37" i="7"/>
  <c r="E37" i="7"/>
  <c r="J37" i="7" s="1"/>
  <c r="G48" i="7"/>
  <c r="K48" i="7"/>
  <c r="D48" i="7"/>
  <c r="Q48" i="7" s="1"/>
  <c r="H48" i="7"/>
  <c r="I48" i="7" s="1"/>
  <c r="C61" i="7"/>
  <c r="E61" i="7"/>
  <c r="J61" i="7" s="1"/>
  <c r="F61" i="7"/>
  <c r="C23" i="7"/>
  <c r="F23" i="7"/>
  <c r="E23" i="7"/>
  <c r="J23" i="7" s="1"/>
  <c r="C26" i="7"/>
  <c r="F26" i="7"/>
  <c r="E26" i="7"/>
  <c r="J26" i="7" s="1"/>
  <c r="C30" i="7"/>
  <c r="F30" i="7"/>
  <c r="E30" i="7"/>
  <c r="J30" i="7" s="1"/>
  <c r="C69" i="7"/>
  <c r="E69" i="7"/>
  <c r="J69" i="7" s="1"/>
  <c r="F69" i="7"/>
  <c r="F15" i="7"/>
  <c r="E15" i="7"/>
  <c r="J15" i="7" s="1"/>
  <c r="C18" i="7"/>
  <c r="F18" i="7"/>
  <c r="E18" i="7"/>
  <c r="J18" i="7" s="1"/>
  <c r="C38" i="7"/>
  <c r="F38" i="7"/>
  <c r="E38" i="7"/>
  <c r="J38" i="7" s="1"/>
  <c r="F77" i="7"/>
  <c r="E77" i="7"/>
  <c r="J77" i="7" s="1"/>
  <c r="C77" i="7"/>
  <c r="F10" i="7"/>
  <c r="E10" i="7"/>
  <c r="J10" i="7" s="1"/>
  <c r="G88" i="7"/>
  <c r="K88" i="7"/>
  <c r="H88" i="7"/>
  <c r="I88" i="7" s="1"/>
  <c r="D88" i="7"/>
  <c r="Q88" i="7" s="1"/>
  <c r="G56" i="7"/>
  <c r="D56" i="7"/>
  <c r="Q56" i="7" s="1"/>
  <c r="K56" i="7"/>
  <c r="H56" i="7"/>
  <c r="I56" i="7" s="1"/>
  <c r="C21" i="7"/>
  <c r="C31" i="7"/>
  <c r="F31" i="7"/>
  <c r="C39" i="7"/>
  <c r="F39" i="7"/>
  <c r="C51" i="7"/>
  <c r="C65" i="7"/>
  <c r="E65" i="7"/>
  <c r="J65" i="7" s="1"/>
  <c r="C73" i="7"/>
  <c r="E73" i="7"/>
  <c r="J73" i="7" s="1"/>
  <c r="G81" i="7"/>
  <c r="F92" i="7"/>
  <c r="C92" i="7"/>
  <c r="F98" i="7"/>
  <c r="C98" i="7"/>
  <c r="E98" i="7"/>
  <c r="J98" i="7" s="1"/>
  <c r="H159" i="7"/>
  <c r="I159" i="7" s="1"/>
  <c r="G159" i="7"/>
  <c r="D159" i="7"/>
  <c r="Q159" i="7" s="1"/>
  <c r="K159" i="7"/>
  <c r="H176" i="7"/>
  <c r="I176" i="7" s="1"/>
  <c r="K176" i="7"/>
  <c r="G176" i="7"/>
  <c r="D176" i="7"/>
  <c r="J8" i="7"/>
  <c r="J16" i="7"/>
  <c r="C24" i="7"/>
  <c r="J24" i="7"/>
  <c r="C32" i="7"/>
  <c r="J32" i="7"/>
  <c r="F32" i="7"/>
  <c r="C40" i="7"/>
  <c r="J40" i="7"/>
  <c r="F40" i="7"/>
  <c r="F59" i="7"/>
  <c r="C59" i="7"/>
  <c r="J59" i="7"/>
  <c r="G80" i="7"/>
  <c r="H80" i="7"/>
  <c r="I80" i="7" s="1"/>
  <c r="K80" i="7"/>
  <c r="D80" i="7"/>
  <c r="Q80" i="7" s="1"/>
  <c r="J3" i="7"/>
  <c r="J11" i="7"/>
  <c r="C19" i="7"/>
  <c r="J19" i="7"/>
  <c r="C27" i="7"/>
  <c r="J27" i="7"/>
  <c r="C33" i="7"/>
  <c r="J33" i="7"/>
  <c r="F33" i="7"/>
  <c r="C41" i="7"/>
  <c r="J41" i="7"/>
  <c r="F41" i="7"/>
  <c r="E50" i="7"/>
  <c r="J50" i="7" s="1"/>
  <c r="C50" i="7"/>
  <c r="E51" i="7"/>
  <c r="J51" i="7" s="1"/>
  <c r="F63" i="7"/>
  <c r="E63" i="7"/>
  <c r="J63" i="7" s="1"/>
  <c r="C63" i="7"/>
  <c r="F65" i="7"/>
  <c r="F71" i="7"/>
  <c r="E71" i="7"/>
  <c r="J71" i="7" s="1"/>
  <c r="C71" i="7"/>
  <c r="F73" i="7"/>
  <c r="J75" i="7"/>
  <c r="C75" i="7"/>
  <c r="G87" i="7"/>
  <c r="H87" i="7"/>
  <c r="I87" i="7" s="1"/>
  <c r="K87" i="7"/>
  <c r="D87" i="7"/>
  <c r="E92" i="7"/>
  <c r="J92" i="7" s="1"/>
  <c r="D139" i="7"/>
  <c r="Q139" i="7" s="1"/>
  <c r="K139" i="7"/>
  <c r="H139" i="7"/>
  <c r="I139" i="7" s="1"/>
  <c r="G139" i="7"/>
  <c r="E5" i="7"/>
  <c r="J5" i="7" s="1"/>
  <c r="E13" i="7"/>
  <c r="J13" i="7" s="1"/>
  <c r="E21" i="7"/>
  <c r="J21" i="7" s="1"/>
  <c r="C22" i="7"/>
  <c r="J22" i="7"/>
  <c r="E31" i="7"/>
  <c r="J31" i="7" s="1"/>
  <c r="C34" i="7"/>
  <c r="J34" i="7"/>
  <c r="F34" i="7"/>
  <c r="E39" i="7"/>
  <c r="J39" i="7" s="1"/>
  <c r="F51" i="7"/>
  <c r="C84" i="7"/>
  <c r="F84" i="7"/>
  <c r="G95" i="7"/>
  <c r="K95" i="7"/>
  <c r="H95" i="7"/>
  <c r="I95" i="7" s="1"/>
  <c r="D95" i="7"/>
  <c r="D152" i="7"/>
  <c r="H152" i="7"/>
  <c r="I152" i="7" s="1"/>
  <c r="G152" i="7"/>
  <c r="K152" i="7"/>
  <c r="F5" i="7"/>
  <c r="F13" i="7"/>
  <c r="J17" i="7"/>
  <c r="F21" i="7"/>
  <c r="C25" i="7"/>
  <c r="C35" i="7"/>
  <c r="J35" i="7"/>
  <c r="F35" i="7"/>
  <c r="H44" i="7"/>
  <c r="I44" i="7" s="1"/>
  <c r="C49" i="7"/>
  <c r="E49" i="7"/>
  <c r="J49" i="7" s="1"/>
  <c r="F50" i="7"/>
  <c r="G112" i="7"/>
  <c r="K112" i="7"/>
  <c r="D112" i="7"/>
  <c r="Q112" i="7" s="1"/>
  <c r="H112" i="7"/>
  <c r="I112" i="7" s="1"/>
  <c r="J12" i="7"/>
  <c r="C20" i="7"/>
  <c r="D20" i="7" s="1"/>
  <c r="J20" i="7"/>
  <c r="C28" i="7"/>
  <c r="J28" i="7"/>
  <c r="F28" i="7"/>
  <c r="C36" i="7"/>
  <c r="J36" i="7"/>
  <c r="F36" i="7"/>
  <c r="G54" i="7"/>
  <c r="H54" i="7"/>
  <c r="I54" i="7" s="1"/>
  <c r="K54" i="7"/>
  <c r="G55" i="7"/>
  <c r="H55" i="7"/>
  <c r="I55" i="7" s="1"/>
  <c r="K55" i="7"/>
  <c r="C57" i="7"/>
  <c r="E57" i="7"/>
  <c r="J57" i="7" s="1"/>
  <c r="G58" i="7"/>
  <c r="D58" i="7"/>
  <c r="Q58" i="7" s="1"/>
  <c r="H58" i="7"/>
  <c r="I58" i="7" s="1"/>
  <c r="K58" i="7"/>
  <c r="G83" i="7"/>
  <c r="H83" i="7"/>
  <c r="I83" i="7" s="1"/>
  <c r="E84" i="7"/>
  <c r="J84" i="7" s="1"/>
  <c r="F86" i="7"/>
  <c r="C86" i="7"/>
  <c r="E86" i="7"/>
  <c r="J86" i="7" s="1"/>
  <c r="G104" i="7"/>
  <c r="K104" i="7"/>
  <c r="H104" i="7"/>
  <c r="I104" i="7" s="1"/>
  <c r="D104" i="7"/>
  <c r="F135" i="7"/>
  <c r="E135" i="7"/>
  <c r="J135" i="7" s="1"/>
  <c r="C135" i="7"/>
  <c r="F137" i="7"/>
  <c r="E137" i="7"/>
  <c r="J137" i="7" s="1"/>
  <c r="C137" i="7"/>
  <c r="D145" i="7"/>
  <c r="Q145" i="7" s="1"/>
  <c r="K145" i="7"/>
  <c r="J101" i="7"/>
  <c r="L101" i="7" s="1"/>
  <c r="O101" i="7" s="1"/>
  <c r="P101" i="7" s="1"/>
  <c r="G103" i="7"/>
  <c r="H103" i="7"/>
  <c r="I103" i="7" s="1"/>
  <c r="J56" i="7"/>
  <c r="D60" i="7"/>
  <c r="J67" i="7"/>
  <c r="E74" i="7"/>
  <c r="J74" i="7" s="1"/>
  <c r="C100" i="7"/>
  <c r="F100" i="7"/>
  <c r="F121" i="7"/>
  <c r="E121" i="7"/>
  <c r="J121" i="7" s="1"/>
  <c r="C121" i="7"/>
  <c r="F132" i="7"/>
  <c r="E132" i="7"/>
  <c r="J132" i="7" s="1"/>
  <c r="C132" i="7"/>
  <c r="G129" i="7"/>
  <c r="D129" i="7"/>
  <c r="K129" i="7"/>
  <c r="H129" i="7"/>
  <c r="I129" i="7" s="1"/>
  <c r="E163" i="7"/>
  <c r="J163" i="7" s="1"/>
  <c r="F163" i="7"/>
  <c r="C163" i="7"/>
  <c r="G66" i="7"/>
  <c r="D66" i="7"/>
  <c r="Q66" i="7" s="1"/>
  <c r="G74" i="7"/>
  <c r="D74" i="7"/>
  <c r="G78" i="7"/>
  <c r="K78" i="7"/>
  <c r="E82" i="7"/>
  <c r="J82" i="7" s="1"/>
  <c r="F91" i="7"/>
  <c r="E91" i="7"/>
  <c r="J91" i="7" s="1"/>
  <c r="F99" i="7"/>
  <c r="E99" i="7"/>
  <c r="J99" i="7" s="1"/>
  <c r="C99" i="7"/>
  <c r="F111" i="7"/>
  <c r="E111" i="7"/>
  <c r="J111" i="7" s="1"/>
  <c r="C111" i="7"/>
  <c r="F116" i="7"/>
  <c r="E116" i="7"/>
  <c r="J116" i="7" s="1"/>
  <c r="C116" i="7"/>
  <c r="G128" i="7"/>
  <c r="K128" i="7"/>
  <c r="D128" i="7"/>
  <c r="Q128" i="7" s="1"/>
  <c r="K53" i="7"/>
  <c r="F54" i="7"/>
  <c r="F58" i="7"/>
  <c r="H60" i="7"/>
  <c r="I60" i="7" s="1"/>
  <c r="F66" i="7"/>
  <c r="H68" i="7"/>
  <c r="I68" i="7" s="1"/>
  <c r="F74" i="7"/>
  <c r="D78" i="7"/>
  <c r="J79" i="7"/>
  <c r="C79" i="7"/>
  <c r="E100" i="7"/>
  <c r="J100" i="7" s="1"/>
  <c r="G124" i="7"/>
  <c r="K124" i="7"/>
  <c r="H124" i="7"/>
  <c r="I124" i="7" s="1"/>
  <c r="D124" i="7"/>
  <c r="K60" i="7"/>
  <c r="H66" i="7"/>
  <c r="I66" i="7" s="1"/>
  <c r="C67" i="7"/>
  <c r="H74" i="7"/>
  <c r="I74" i="7" s="1"/>
  <c r="J76" i="7"/>
  <c r="C76" i="7"/>
  <c r="J80" i="7"/>
  <c r="F80" i="7"/>
  <c r="C82" i="7"/>
  <c r="F87" i="7"/>
  <c r="E87" i="7"/>
  <c r="J87" i="7" s="1"/>
  <c r="F90" i="7"/>
  <c r="C90" i="7"/>
  <c r="C91" i="7"/>
  <c r="G118" i="7"/>
  <c r="D118" i="7"/>
  <c r="Q118" i="7" s="1"/>
  <c r="K118" i="7"/>
  <c r="H118" i="7"/>
  <c r="I118" i="7" s="1"/>
  <c r="J97" i="7"/>
  <c r="D101" i="7"/>
  <c r="Q101" i="7" s="1"/>
  <c r="F102" i="7"/>
  <c r="C102" i="7"/>
  <c r="F103" i="7"/>
  <c r="E103" i="7"/>
  <c r="G120" i="7"/>
  <c r="K120" i="7"/>
  <c r="F127" i="7"/>
  <c r="E127" i="7"/>
  <c r="J127" i="7" s="1"/>
  <c r="C127" i="7"/>
  <c r="F134" i="7"/>
  <c r="J134" i="7"/>
  <c r="F138" i="7"/>
  <c r="E138" i="7"/>
  <c r="J138" i="7" s="1"/>
  <c r="C138" i="7"/>
  <c r="F107" i="7"/>
  <c r="E107" i="7"/>
  <c r="J107" i="7" s="1"/>
  <c r="F113" i="7"/>
  <c r="E113" i="7"/>
  <c r="J113" i="7" s="1"/>
  <c r="K115" i="7"/>
  <c r="F119" i="7"/>
  <c r="E119" i="7"/>
  <c r="J119" i="7" s="1"/>
  <c r="C119" i="7"/>
  <c r="F126" i="7"/>
  <c r="G133" i="7"/>
  <c r="D133" i="7"/>
  <c r="Q133" i="7" s="1"/>
  <c r="K133" i="7"/>
  <c r="C134" i="7"/>
  <c r="F142" i="7"/>
  <c r="C142" i="7"/>
  <c r="E142" i="7"/>
  <c r="J142" i="7" s="1"/>
  <c r="E147" i="7"/>
  <c r="J147" i="7" s="1"/>
  <c r="C147" i="7"/>
  <c r="F147" i="7"/>
  <c r="D146" i="7"/>
  <c r="Q146" i="7" s="1"/>
  <c r="K146" i="7"/>
  <c r="H146" i="7"/>
  <c r="I146" i="7" s="1"/>
  <c r="G146" i="7"/>
  <c r="F158" i="7"/>
  <c r="E158" i="7"/>
  <c r="J158" i="7" s="1"/>
  <c r="C158" i="7"/>
  <c r="J89" i="7"/>
  <c r="F94" i="7"/>
  <c r="C94" i="7"/>
  <c r="F95" i="7"/>
  <c r="E95" i="7"/>
  <c r="J95" i="7" s="1"/>
  <c r="F106" i="7"/>
  <c r="E106" i="7"/>
  <c r="J106" i="7" s="1"/>
  <c r="C106" i="7"/>
  <c r="C107" i="7"/>
  <c r="C113" i="7"/>
  <c r="F118" i="7"/>
  <c r="J118" i="7"/>
  <c r="G125" i="7"/>
  <c r="D125" i="7"/>
  <c r="K125" i="7"/>
  <c r="C126" i="7"/>
  <c r="G136" i="7"/>
  <c r="K136" i="7"/>
  <c r="D141" i="7"/>
  <c r="Q141" i="7" s="1"/>
  <c r="G141" i="7"/>
  <c r="K141" i="7"/>
  <c r="H141" i="7"/>
  <c r="I141" i="7" s="1"/>
  <c r="F181" i="7"/>
  <c r="E181" i="7"/>
  <c r="J181" i="7" s="1"/>
  <c r="C181" i="7"/>
  <c r="J102" i="7"/>
  <c r="E104" i="7"/>
  <c r="J104" i="7" s="1"/>
  <c r="F110" i="7"/>
  <c r="E110" i="7"/>
  <c r="J110" i="7" s="1"/>
  <c r="C110" i="7"/>
  <c r="H120" i="7"/>
  <c r="I120" i="7" s="1"/>
  <c r="F124" i="7"/>
  <c r="E124" i="7"/>
  <c r="J124" i="7" s="1"/>
  <c r="E126" i="7"/>
  <c r="J126" i="7" s="1"/>
  <c r="F129" i="7"/>
  <c r="E129" i="7"/>
  <c r="J129" i="7" s="1"/>
  <c r="E140" i="7"/>
  <c r="J140" i="7" s="1"/>
  <c r="C140" i="7"/>
  <c r="F145" i="7"/>
  <c r="J145" i="7"/>
  <c r="E162" i="7"/>
  <c r="J162" i="7" s="1"/>
  <c r="C162" i="7"/>
  <c r="F162" i="7"/>
  <c r="E165" i="7"/>
  <c r="J165" i="7" s="1"/>
  <c r="C165" i="7"/>
  <c r="F165" i="7"/>
  <c r="J112" i="7"/>
  <c r="J115" i="7"/>
  <c r="J117" i="7"/>
  <c r="J120" i="7"/>
  <c r="J128" i="7"/>
  <c r="L128" i="7" s="1"/>
  <c r="O128" i="7" s="1"/>
  <c r="P128" i="7" s="1"/>
  <c r="J131" i="7"/>
  <c r="J133" i="7"/>
  <c r="L133" i="7" s="1"/>
  <c r="O133" i="7" s="1"/>
  <c r="P133" i="7" s="1"/>
  <c r="J136" i="7"/>
  <c r="L136" i="7" s="1"/>
  <c r="O136" i="7" s="1"/>
  <c r="P136" i="7" s="1"/>
  <c r="J139" i="7"/>
  <c r="F149" i="7"/>
  <c r="C149" i="7"/>
  <c r="F154" i="7"/>
  <c r="E154" i="7"/>
  <c r="J154" i="7" s="1"/>
  <c r="E156" i="7"/>
  <c r="J156" i="7" s="1"/>
  <c r="F156" i="7"/>
  <c r="C156" i="7"/>
  <c r="D157" i="7"/>
  <c r="Q157" i="7" s="1"/>
  <c r="G157" i="7"/>
  <c r="K157" i="7"/>
  <c r="H157" i="7"/>
  <c r="I157" i="7" s="1"/>
  <c r="E168" i="7"/>
  <c r="J168" i="7" s="1"/>
  <c r="F168" i="7"/>
  <c r="C168" i="7"/>
  <c r="H148" i="7"/>
  <c r="I148" i="7" s="1"/>
  <c r="L148" i="7" s="1"/>
  <c r="O148" i="7" s="1"/>
  <c r="P148" i="7" s="1"/>
  <c r="D153" i="7"/>
  <c r="Q153" i="7" s="1"/>
  <c r="G153" i="7"/>
  <c r="K153" i="7"/>
  <c r="G122" i="7"/>
  <c r="D122" i="7"/>
  <c r="G130" i="7"/>
  <c r="D143" i="7"/>
  <c r="K143" i="7"/>
  <c r="G143" i="7"/>
  <c r="D150" i="7"/>
  <c r="Q150" i="7" s="1"/>
  <c r="K150" i="7"/>
  <c r="H150" i="7"/>
  <c r="I150" i="7" s="1"/>
  <c r="G150" i="7"/>
  <c r="E152" i="7"/>
  <c r="J152" i="7" s="1"/>
  <c r="F152" i="7"/>
  <c r="D154" i="7"/>
  <c r="H154" i="7"/>
  <c r="I154" i="7" s="1"/>
  <c r="G154" i="7"/>
  <c r="E161" i="7"/>
  <c r="J161" i="7" s="1"/>
  <c r="F161" i="7"/>
  <c r="C161" i="7"/>
  <c r="E169" i="7"/>
  <c r="J169" i="7" s="1"/>
  <c r="F169" i="7"/>
  <c r="C169" i="7"/>
  <c r="D109" i="7"/>
  <c r="E114" i="7"/>
  <c r="J114" i="7" s="1"/>
  <c r="J151" i="7"/>
  <c r="E164" i="7"/>
  <c r="J164" i="7" s="1"/>
  <c r="F164" i="7"/>
  <c r="F175" i="7"/>
  <c r="E175" i="7"/>
  <c r="J175" i="7" s="1"/>
  <c r="C175" i="7"/>
  <c r="H185" i="7"/>
  <c r="I185" i="7" s="1"/>
  <c r="D185" i="7"/>
  <c r="F197" i="7"/>
  <c r="E197" i="7"/>
  <c r="J197" i="7" s="1"/>
  <c r="C197" i="7"/>
  <c r="H166" i="7"/>
  <c r="I166" i="7" s="1"/>
  <c r="D166" i="7"/>
  <c r="Q166" i="7" s="1"/>
  <c r="H167" i="7"/>
  <c r="I167" i="7" s="1"/>
  <c r="G167" i="7"/>
  <c r="G185" i="7"/>
  <c r="F187" i="7"/>
  <c r="E187" i="7"/>
  <c r="J187" i="7" s="1"/>
  <c r="C187" i="7"/>
  <c r="F193" i="7"/>
  <c r="E193" i="7"/>
  <c r="J193" i="7" s="1"/>
  <c r="C193" i="7"/>
  <c r="H164" i="7"/>
  <c r="I164" i="7" s="1"/>
  <c r="D164" i="7"/>
  <c r="G164" i="7"/>
  <c r="H173" i="7"/>
  <c r="I173" i="7" s="1"/>
  <c r="K173" i="7"/>
  <c r="G173" i="7"/>
  <c r="D173" i="7"/>
  <c r="Q173" i="7" s="1"/>
  <c r="F182" i="7"/>
  <c r="E182" i="7"/>
  <c r="J182" i="7" s="1"/>
  <c r="C182" i="7"/>
  <c r="F189" i="7"/>
  <c r="E189" i="7"/>
  <c r="J189" i="7" s="1"/>
  <c r="C189" i="7"/>
  <c r="C144" i="7"/>
  <c r="G166" i="7"/>
  <c r="E171" i="7"/>
  <c r="J171" i="7" s="1"/>
  <c r="C171" i="7"/>
  <c r="H177" i="7"/>
  <c r="I177" i="7" s="1"/>
  <c r="D177" i="7"/>
  <c r="H184" i="7"/>
  <c r="I184" i="7" s="1"/>
  <c r="K184" i="7"/>
  <c r="G184" i="7"/>
  <c r="H172" i="7"/>
  <c r="I172" i="7" s="1"/>
  <c r="D172" i="7"/>
  <c r="Q172" i="7" s="1"/>
  <c r="F179" i="7"/>
  <c r="E179" i="7"/>
  <c r="J179" i="7" s="1"/>
  <c r="C179" i="7"/>
  <c r="E170" i="7"/>
  <c r="J170" i="7" s="1"/>
  <c r="F170" i="7"/>
  <c r="C170" i="7"/>
  <c r="F174" i="7"/>
  <c r="E174" i="7"/>
  <c r="J174" i="7" s="1"/>
  <c r="C174" i="7"/>
  <c r="F183" i="7"/>
  <c r="E183" i="7"/>
  <c r="J183" i="7" s="1"/>
  <c r="C183" i="7"/>
  <c r="F178" i="7"/>
  <c r="E178" i="7"/>
  <c r="J178" i="7" s="1"/>
  <c r="H180" i="7"/>
  <c r="I180" i="7" s="1"/>
  <c r="K180" i="7"/>
  <c r="F186" i="7"/>
  <c r="E186" i="7"/>
  <c r="J186" i="7" s="1"/>
  <c r="H188" i="7"/>
  <c r="I188" i="7" s="1"/>
  <c r="K188" i="7"/>
  <c r="H192" i="7"/>
  <c r="I192" i="7" s="1"/>
  <c r="K192" i="7"/>
  <c r="H196" i="7"/>
  <c r="I196" i="7" s="1"/>
  <c r="K196" i="7"/>
  <c r="H200" i="7"/>
  <c r="I200" i="7" s="1"/>
  <c r="K200" i="7"/>
  <c r="F177" i="7"/>
  <c r="E177" i="7"/>
  <c r="J177" i="7" s="1"/>
  <c r="D180" i="7"/>
  <c r="F185" i="7"/>
  <c r="E185" i="7"/>
  <c r="J185" i="7" s="1"/>
  <c r="D188" i="7"/>
  <c r="D192" i="7"/>
  <c r="D196" i="7"/>
  <c r="D200" i="7"/>
  <c r="E167" i="7"/>
  <c r="C178" i="7"/>
  <c r="G180" i="7"/>
  <c r="C186" i="7"/>
  <c r="G188" i="7"/>
  <c r="F190" i="7"/>
  <c r="E190" i="7"/>
  <c r="J190" i="7" s="1"/>
  <c r="C190" i="7"/>
  <c r="G192" i="7"/>
  <c r="F194" i="7"/>
  <c r="E194" i="7"/>
  <c r="J194" i="7" s="1"/>
  <c r="C194" i="7"/>
  <c r="G196" i="7"/>
  <c r="F198" i="7"/>
  <c r="E198" i="7"/>
  <c r="J198" i="7" s="1"/>
  <c r="C198" i="7"/>
  <c r="G200" i="7"/>
  <c r="F191" i="7"/>
  <c r="E191" i="7"/>
  <c r="J191" i="7" s="1"/>
  <c r="F195" i="7"/>
  <c r="E195" i="7"/>
  <c r="J195" i="7" s="1"/>
  <c r="F199" i="7"/>
  <c r="E199" i="7"/>
  <c r="J199" i="7" s="1"/>
  <c r="J173" i="7"/>
  <c r="F176" i="7"/>
  <c r="E176" i="7"/>
  <c r="J176" i="7" s="1"/>
  <c r="F180" i="7"/>
  <c r="E180" i="7"/>
  <c r="J180" i="7" s="1"/>
  <c r="F184" i="7"/>
  <c r="E184" i="7"/>
  <c r="J184" i="7" s="1"/>
  <c r="F188" i="7"/>
  <c r="E188" i="7"/>
  <c r="J188" i="7" s="1"/>
  <c r="C191" i="7"/>
  <c r="F192" i="7"/>
  <c r="E192" i="7"/>
  <c r="J192" i="7" s="1"/>
  <c r="C195" i="7"/>
  <c r="F196" i="7"/>
  <c r="E196" i="7"/>
  <c r="J196" i="7" s="1"/>
  <c r="C199" i="7"/>
  <c r="F200" i="7"/>
  <c r="E200" i="7"/>
  <c r="J200" i="7" s="1"/>
  <c r="H24" i="3" l="1"/>
  <c r="H26" i="3"/>
  <c r="H29" i="3"/>
  <c r="H27" i="3"/>
  <c r="K38" i="2"/>
  <c r="H28" i="3"/>
  <c r="H25" i="3"/>
  <c r="I25" i="3" s="1"/>
  <c r="J25" i="3" s="1"/>
  <c r="H30" i="3"/>
  <c r="H9" i="3"/>
  <c r="L88" i="7"/>
  <c r="O88" i="7" s="1"/>
  <c r="P88" i="7" s="1"/>
  <c r="F16" i="7"/>
  <c r="D151" i="7"/>
  <c r="Q151" i="7" s="1"/>
  <c r="Q103" i="7"/>
  <c r="G151" i="7"/>
  <c r="L160" i="7"/>
  <c r="O160" i="7" s="1"/>
  <c r="P160" i="7" s="1"/>
  <c r="K3" i="2"/>
  <c r="F3" i="3" s="1"/>
  <c r="D89" i="7"/>
  <c r="Q89" i="7" s="1"/>
  <c r="D47" i="7"/>
  <c r="Q47" i="7" s="1"/>
  <c r="G93" i="7"/>
  <c r="L89" i="7"/>
  <c r="O89" i="7" s="1"/>
  <c r="P89" i="7" s="1"/>
  <c r="R89" i="7" s="1"/>
  <c r="G89" i="7"/>
  <c r="D114" i="7"/>
  <c r="G47" i="7"/>
  <c r="K89" i="7"/>
  <c r="K108" i="7"/>
  <c r="H62" i="7"/>
  <c r="I62" i="7" s="1"/>
  <c r="L62" i="7" s="1"/>
  <c r="O62" i="7" s="1"/>
  <c r="P62" i="7" s="1"/>
  <c r="G108" i="7"/>
  <c r="K62" i="7"/>
  <c r="D62" i="7"/>
  <c r="Q62" i="7" s="1"/>
  <c r="I63" i="3"/>
  <c r="J63" i="3" s="1"/>
  <c r="L172" i="7"/>
  <c r="O172" i="7" s="1"/>
  <c r="P172" i="7" s="1"/>
  <c r="D160" i="7"/>
  <c r="Q160" i="7" s="1"/>
  <c r="K151" i="7"/>
  <c r="Q78" i="7"/>
  <c r="R78" i="7" s="1"/>
  <c r="K80" i="2"/>
  <c r="Q167" i="7"/>
  <c r="G45" i="7"/>
  <c r="G160" i="7"/>
  <c r="Q109" i="7"/>
  <c r="K160" i="7"/>
  <c r="D105" i="7"/>
  <c r="Q105" i="7" s="1"/>
  <c r="L159" i="7"/>
  <c r="O159" i="7" s="1"/>
  <c r="P159" i="7" s="1"/>
  <c r="R159" i="7" s="1"/>
  <c r="H10" i="3"/>
  <c r="I10" i="3" s="1"/>
  <c r="J10" i="3" s="1"/>
  <c r="K47" i="7"/>
  <c r="D96" i="7"/>
  <c r="Q96" i="7" s="1"/>
  <c r="H96" i="7"/>
  <c r="I96" i="7" s="1"/>
  <c r="L96" i="7" s="1"/>
  <c r="O96" i="7" s="1"/>
  <c r="P96" i="7" s="1"/>
  <c r="K96" i="7"/>
  <c r="D108" i="7"/>
  <c r="Q108" i="7" s="1"/>
  <c r="I42" i="3"/>
  <c r="J42" i="3" s="1"/>
  <c r="L166" i="7"/>
  <c r="O166" i="7" s="1"/>
  <c r="P166" i="7" s="1"/>
  <c r="R166" i="7" s="1"/>
  <c r="F17" i="7"/>
  <c r="H18" i="3"/>
  <c r="I18" i="3" s="1"/>
  <c r="J18" i="3" s="1"/>
  <c r="K206" i="2"/>
  <c r="H12" i="3"/>
  <c r="I12" i="3" s="1"/>
  <c r="J12" i="3" s="1"/>
  <c r="K178" i="2"/>
  <c r="K119" i="2"/>
  <c r="K91" i="2"/>
  <c r="K245" i="2"/>
  <c r="H15" i="3"/>
  <c r="I15" i="3" s="1"/>
  <c r="J15" i="3" s="1"/>
  <c r="H8" i="3"/>
  <c r="I8" i="3" s="1"/>
  <c r="J8" i="3" s="1"/>
  <c r="K214" i="2"/>
  <c r="K127" i="2"/>
  <c r="K174" i="2"/>
  <c r="K115" i="2"/>
  <c r="K106" i="2"/>
  <c r="K46" i="2"/>
  <c r="K30" i="2"/>
  <c r="K101" i="2"/>
  <c r="K239" i="2"/>
  <c r="L42" i="7"/>
  <c r="O42" i="7" s="1"/>
  <c r="P42" i="7" s="1"/>
  <c r="R42" i="7" s="1"/>
  <c r="H20" i="3"/>
  <c r="I20" i="3" s="1"/>
  <c r="J20" i="3" s="1"/>
  <c r="Q125" i="7"/>
  <c r="R125" i="7" s="1"/>
  <c r="K101" i="7"/>
  <c r="K155" i="7"/>
  <c r="G101" i="7"/>
  <c r="K97" i="7"/>
  <c r="D155" i="7"/>
  <c r="Q155" i="7" s="1"/>
  <c r="K123" i="7"/>
  <c r="D131" i="7"/>
  <c r="Q131" i="7" s="1"/>
  <c r="H131" i="7"/>
  <c r="I131" i="7" s="1"/>
  <c r="L131" i="7" s="1"/>
  <c r="O131" i="7" s="1"/>
  <c r="P131" i="7" s="1"/>
  <c r="K131" i="7"/>
  <c r="H70" i="7"/>
  <c r="I70" i="7" s="1"/>
  <c r="L70" i="7" s="1"/>
  <c r="O70" i="7" s="1"/>
  <c r="P70" i="7" s="1"/>
  <c r="Q122" i="7"/>
  <c r="K70" i="7"/>
  <c r="D70" i="7"/>
  <c r="Q70" i="7" s="1"/>
  <c r="G172" i="7"/>
  <c r="H16" i="3"/>
  <c r="I16" i="3" s="1"/>
  <c r="J16" i="3" s="1"/>
  <c r="K93" i="7"/>
  <c r="L58" i="7"/>
  <c r="O58" i="7" s="1"/>
  <c r="P58" i="7" s="1"/>
  <c r="R58" i="7" s="1"/>
  <c r="K15" i="2"/>
  <c r="F15" i="3" s="1"/>
  <c r="Q44" i="7"/>
  <c r="K78" i="2"/>
  <c r="H19" i="3"/>
  <c r="I19" i="3" s="1"/>
  <c r="J19" i="3" s="1"/>
  <c r="K211" i="2"/>
  <c r="K18" i="2"/>
  <c r="F18" i="3" s="1"/>
  <c r="K53" i="2"/>
  <c r="H13" i="3"/>
  <c r="I13" i="3" s="1"/>
  <c r="J13" i="3" s="1"/>
  <c r="H14" i="3"/>
  <c r="I14" i="3" s="1"/>
  <c r="J14" i="3" s="1"/>
  <c r="H11" i="3"/>
  <c r="I11" i="3" s="1"/>
  <c r="J11" i="3" s="1"/>
  <c r="H17" i="3"/>
  <c r="I17" i="3" s="1"/>
  <c r="J17" i="3" s="1"/>
  <c r="K160" i="2"/>
  <c r="K54" i="2"/>
  <c r="K208" i="2"/>
  <c r="E2" i="3"/>
  <c r="I2" i="3" s="1"/>
  <c r="J2" i="3" s="1"/>
  <c r="H155" i="7"/>
  <c r="I155" i="7" s="1"/>
  <c r="L155" i="7" s="1"/>
  <c r="O155" i="7" s="1"/>
  <c r="P155" i="7" s="1"/>
  <c r="K7" i="2"/>
  <c r="F7" i="3" s="1"/>
  <c r="K48" i="2"/>
  <c r="K237" i="2"/>
  <c r="K191" i="2"/>
  <c r="K112" i="2"/>
  <c r="K246" i="2"/>
  <c r="K223" i="2"/>
  <c r="H3" i="3"/>
  <c r="I3" i="3" s="1"/>
  <c r="J3" i="3" s="1"/>
  <c r="K104" i="2"/>
  <c r="K138" i="2"/>
  <c r="K59" i="2"/>
  <c r="K130" i="2"/>
  <c r="K147" i="2"/>
  <c r="K45" i="2"/>
  <c r="K173" i="2"/>
  <c r="K107" i="2"/>
  <c r="K126" i="2"/>
  <c r="K190" i="2"/>
  <c r="K150" i="2"/>
  <c r="K114" i="2"/>
  <c r="K98" i="2"/>
  <c r="K55" i="2"/>
  <c r="K163" i="2"/>
  <c r="K96" i="2"/>
  <c r="K222" i="2"/>
  <c r="K131" i="2"/>
  <c r="K20" i="2"/>
  <c r="F20" i="3" s="1"/>
  <c r="K165" i="2"/>
  <c r="K110" i="2"/>
  <c r="K94" i="2"/>
  <c r="K51" i="2"/>
  <c r="K12" i="2"/>
  <c r="F12" i="3" s="1"/>
  <c r="K149" i="2"/>
  <c r="K86" i="2"/>
  <c r="H5" i="3"/>
  <c r="I5" i="3" s="1"/>
  <c r="J5" i="3" s="1"/>
  <c r="H4" i="3"/>
  <c r="I4" i="3" s="1"/>
  <c r="J4" i="3" s="1"/>
  <c r="H6" i="3"/>
  <c r="I6" i="3" s="1"/>
  <c r="J6" i="3" s="1"/>
  <c r="H7" i="3"/>
  <c r="I7" i="3" s="1"/>
  <c r="J7" i="3" s="1"/>
  <c r="H21" i="3"/>
  <c r="I21" i="3" s="1"/>
  <c r="J21" i="3" s="1"/>
  <c r="H22" i="3"/>
  <c r="I22" i="3" s="1"/>
  <c r="J22" i="3" s="1"/>
  <c r="I40" i="3"/>
  <c r="J40" i="3" s="1"/>
  <c r="I46" i="3"/>
  <c r="J46" i="3" s="1"/>
  <c r="I38" i="3"/>
  <c r="J38" i="3" s="1"/>
  <c r="I39" i="3"/>
  <c r="J39" i="3" s="1"/>
  <c r="L54" i="7"/>
  <c r="O54" i="7" s="1"/>
  <c r="P54" i="7" s="1"/>
  <c r="R54" i="7" s="1"/>
  <c r="I71" i="3"/>
  <c r="J71" i="3" s="1"/>
  <c r="D81" i="7"/>
  <c r="Q81" i="7" s="1"/>
  <c r="I127" i="3"/>
  <c r="J127" i="3" s="1"/>
  <c r="I159" i="3"/>
  <c r="J159" i="3" s="1"/>
  <c r="I191" i="3"/>
  <c r="J191" i="3" s="1"/>
  <c r="I79" i="3"/>
  <c r="J79" i="3" s="1"/>
  <c r="Q136" i="7"/>
  <c r="R136" i="7" s="1"/>
  <c r="L66" i="7"/>
  <c r="O66" i="7" s="1"/>
  <c r="P66" i="7" s="1"/>
  <c r="R66" i="7" s="1"/>
  <c r="Q143" i="7"/>
  <c r="R143" i="7" s="1"/>
  <c r="Q60" i="7"/>
  <c r="L60" i="7"/>
  <c r="O60" i="7" s="1"/>
  <c r="P60" i="7" s="1"/>
  <c r="L150" i="7"/>
  <c r="O150" i="7" s="1"/>
  <c r="P150" i="7" s="1"/>
  <c r="R150" i="7" s="1"/>
  <c r="G115" i="7"/>
  <c r="G145" i="7"/>
  <c r="K81" i="7"/>
  <c r="H115" i="7"/>
  <c r="I115" i="7" s="1"/>
  <c r="L115" i="7" s="1"/>
  <c r="O115" i="7" s="1"/>
  <c r="P115" i="7" s="1"/>
  <c r="D93" i="7"/>
  <c r="Q93" i="7" s="1"/>
  <c r="H52" i="7"/>
  <c r="I52" i="7" s="1"/>
  <c r="L52" i="7" s="1"/>
  <c r="O52" i="7" s="1"/>
  <c r="P52" i="7" s="1"/>
  <c r="L81" i="7"/>
  <c r="O81" i="7" s="1"/>
  <c r="P81" i="7" s="1"/>
  <c r="I47" i="3"/>
  <c r="J47" i="3" s="1"/>
  <c r="L93" i="7"/>
  <c r="O93" i="7" s="1"/>
  <c r="P93" i="7" s="1"/>
  <c r="K52" i="7"/>
  <c r="L47" i="7"/>
  <c r="O47" i="7" s="1"/>
  <c r="P47" i="7" s="1"/>
  <c r="I108" i="3"/>
  <c r="J108" i="3" s="1"/>
  <c r="D52" i="7"/>
  <c r="Q52" i="7" s="1"/>
  <c r="I179" i="3"/>
  <c r="J179" i="3" s="1"/>
  <c r="I139" i="3"/>
  <c r="J139" i="3" s="1"/>
  <c r="I171" i="3"/>
  <c r="J171" i="3" s="1"/>
  <c r="I55" i="3"/>
  <c r="J55" i="3" s="1"/>
  <c r="I147" i="3"/>
  <c r="J147" i="3" s="1"/>
  <c r="I90" i="3"/>
  <c r="J90" i="3" s="1"/>
  <c r="I122" i="3"/>
  <c r="J122" i="3" s="1"/>
  <c r="I154" i="3"/>
  <c r="J154" i="3" s="1"/>
  <c r="I186" i="3"/>
  <c r="J186" i="3" s="1"/>
  <c r="L124" i="7"/>
  <c r="O124" i="7" s="1"/>
  <c r="P124" i="7" s="1"/>
  <c r="Q53" i="7"/>
  <c r="G43" i="7"/>
  <c r="I102" i="3"/>
  <c r="J102" i="3" s="1"/>
  <c r="I134" i="3"/>
  <c r="J134" i="3" s="1"/>
  <c r="I166" i="3"/>
  <c r="J166" i="3" s="1"/>
  <c r="I198" i="3"/>
  <c r="J198" i="3" s="1"/>
  <c r="I135" i="3"/>
  <c r="J135" i="3" s="1"/>
  <c r="I163" i="3"/>
  <c r="J163" i="3" s="1"/>
  <c r="I106" i="3"/>
  <c r="J106" i="3" s="1"/>
  <c r="I138" i="3"/>
  <c r="J138" i="3" s="1"/>
  <c r="I170" i="3"/>
  <c r="J170" i="3" s="1"/>
  <c r="I49" i="3"/>
  <c r="J49" i="3" s="1"/>
  <c r="I113" i="3"/>
  <c r="J113" i="3" s="1"/>
  <c r="I145" i="3"/>
  <c r="J145" i="3" s="1"/>
  <c r="I177" i="3"/>
  <c r="J177" i="3" s="1"/>
  <c r="K111" i="2"/>
  <c r="K28" i="2"/>
  <c r="K63" i="2"/>
  <c r="K62" i="2"/>
  <c r="K42" i="2"/>
  <c r="K26" i="2"/>
  <c r="K85" i="2"/>
  <c r="K69" i="2"/>
  <c r="K6" i="2"/>
  <c r="F6" i="3" s="1"/>
  <c r="I195" i="3"/>
  <c r="J195" i="3" s="1"/>
  <c r="I91" i="3"/>
  <c r="J91" i="3" s="1"/>
  <c r="I131" i="3"/>
  <c r="J131" i="3" s="1"/>
  <c r="I23" i="3"/>
  <c r="J23" i="3" s="1"/>
  <c r="Q83" i="7"/>
  <c r="D97" i="7"/>
  <c r="Q97" i="7" s="1"/>
  <c r="I151" i="3"/>
  <c r="J151" i="3" s="1"/>
  <c r="K175" i="2"/>
  <c r="K242" i="2"/>
  <c r="K198" i="2"/>
  <c r="K148" i="7"/>
  <c r="H45" i="7"/>
  <c r="I45" i="7" s="1"/>
  <c r="L45" i="7" s="1"/>
  <c r="O45" i="7" s="1"/>
  <c r="P45" i="7" s="1"/>
  <c r="D148" i="7"/>
  <c r="Q148" i="7" s="1"/>
  <c r="R148" i="7" s="1"/>
  <c r="H85" i="7"/>
  <c r="I85" i="7" s="1"/>
  <c r="L85" i="7" s="1"/>
  <c r="O85" i="7" s="1"/>
  <c r="P85" i="7" s="1"/>
  <c r="G97" i="7"/>
  <c r="K45" i="7"/>
  <c r="K85" i="7"/>
  <c r="I183" i="3"/>
  <c r="J183" i="3" s="1"/>
  <c r="I26" i="3"/>
  <c r="J26" i="3" s="1"/>
  <c r="I92" i="3"/>
  <c r="J92" i="3" s="1"/>
  <c r="Q130" i="7"/>
  <c r="D85" i="7"/>
  <c r="Q85" i="7" s="1"/>
  <c r="I94" i="3"/>
  <c r="J94" i="3" s="1"/>
  <c r="I126" i="3"/>
  <c r="J126" i="3" s="1"/>
  <c r="I158" i="3"/>
  <c r="J158" i="3" s="1"/>
  <c r="I190" i="3"/>
  <c r="J190" i="3" s="1"/>
  <c r="I101" i="3"/>
  <c r="J101" i="3" s="1"/>
  <c r="I133" i="3"/>
  <c r="J133" i="3" s="1"/>
  <c r="I165" i="3"/>
  <c r="J165" i="3" s="1"/>
  <c r="I197" i="3"/>
  <c r="J197" i="3" s="1"/>
  <c r="Q117" i="7"/>
  <c r="I48" i="3"/>
  <c r="J48" i="3" s="1"/>
  <c r="I87" i="3"/>
  <c r="J87" i="3" s="1"/>
  <c r="L141" i="7"/>
  <c r="O141" i="7" s="1"/>
  <c r="P141" i="7" s="1"/>
  <c r="R141" i="7" s="1"/>
  <c r="I45" i="3"/>
  <c r="J45" i="3" s="1"/>
  <c r="I31" i="3"/>
  <c r="J31" i="3" s="1"/>
  <c r="K68" i="7"/>
  <c r="D68" i="7"/>
  <c r="Q68" i="7" s="1"/>
  <c r="I119" i="3"/>
  <c r="J119" i="3" s="1"/>
  <c r="K194" i="2"/>
  <c r="K166" i="2"/>
  <c r="K213" i="2"/>
  <c r="K8" i="2"/>
  <c r="F8" i="3" s="1"/>
  <c r="K118" i="2"/>
  <c r="K102" i="2"/>
  <c r="K82" i="2"/>
  <c r="K176" i="2"/>
  <c r="J167" i="7"/>
  <c r="L167" i="7" s="1"/>
  <c r="O167" i="7" s="1"/>
  <c r="P167" i="7" s="1"/>
  <c r="L157" i="7"/>
  <c r="O157" i="7" s="1"/>
  <c r="P157" i="7" s="1"/>
  <c r="R157" i="7" s="1"/>
  <c r="L55" i="7"/>
  <c r="O55" i="7" s="1"/>
  <c r="P55" i="7" s="1"/>
  <c r="Q55" i="7"/>
  <c r="L44" i="7"/>
  <c r="O44" i="7" s="1"/>
  <c r="P44" i="7" s="1"/>
  <c r="I164" i="3"/>
  <c r="J164" i="3" s="1"/>
  <c r="I196" i="3"/>
  <c r="J196" i="3" s="1"/>
  <c r="Q115" i="7"/>
  <c r="K22" i="2"/>
  <c r="Q185" i="7"/>
  <c r="I59" i="3"/>
  <c r="J59" i="3" s="1"/>
  <c r="L146" i="7"/>
  <c r="O146" i="7" s="1"/>
  <c r="P146" i="7" s="1"/>
  <c r="R146" i="7" s="1"/>
  <c r="K184" i="2"/>
  <c r="I89" i="3"/>
  <c r="J89" i="3" s="1"/>
  <c r="I121" i="3"/>
  <c r="J121" i="3" s="1"/>
  <c r="I153" i="3"/>
  <c r="J153" i="3" s="1"/>
  <c r="I185" i="3"/>
  <c r="J185" i="3" s="1"/>
  <c r="I43" i="3"/>
  <c r="J43" i="3" s="1"/>
  <c r="I36" i="3"/>
  <c r="J36" i="3" s="1"/>
  <c r="K121" i="2"/>
  <c r="K70" i="2"/>
  <c r="K238" i="2"/>
  <c r="I114" i="3"/>
  <c r="J114" i="3" s="1"/>
  <c r="I146" i="3"/>
  <c r="J146" i="3" s="1"/>
  <c r="I178" i="3"/>
  <c r="J178" i="3" s="1"/>
  <c r="K241" i="2"/>
  <c r="Q45" i="7"/>
  <c r="K146" i="2"/>
  <c r="D43" i="7"/>
  <c r="Q43" i="7" s="1"/>
  <c r="H43" i="7"/>
  <c r="I43" i="7" s="1"/>
  <c r="L43" i="7" s="1"/>
  <c r="O43" i="7" s="1"/>
  <c r="P43" i="7" s="1"/>
  <c r="I52" i="3"/>
  <c r="J52" i="3" s="1"/>
  <c r="I130" i="3"/>
  <c r="J130" i="3" s="1"/>
  <c r="I162" i="3"/>
  <c r="J162" i="3" s="1"/>
  <c r="I194" i="3"/>
  <c r="J194" i="3" s="1"/>
  <c r="K205" i="2"/>
  <c r="K250" i="2"/>
  <c r="K88" i="2"/>
  <c r="Q192" i="7"/>
  <c r="L164" i="7"/>
  <c r="O164" i="7" s="1"/>
  <c r="P164" i="7" s="1"/>
  <c r="L108" i="7"/>
  <c r="O108" i="7" s="1"/>
  <c r="P108" i="7" s="1"/>
  <c r="I123" i="3"/>
  <c r="J123" i="3" s="1"/>
  <c r="K141" i="2"/>
  <c r="L188" i="7"/>
  <c r="O188" i="7" s="1"/>
  <c r="P188" i="7" s="1"/>
  <c r="Q188" i="7"/>
  <c r="I51" i="3"/>
  <c r="J51" i="3" s="1"/>
  <c r="K89" i="2"/>
  <c r="K249" i="2"/>
  <c r="L120" i="7"/>
  <c r="O120" i="7" s="1"/>
  <c r="P120" i="7" s="1"/>
  <c r="R120" i="7" s="1"/>
  <c r="K240" i="2"/>
  <c r="R128" i="7"/>
  <c r="R153" i="7"/>
  <c r="R101" i="7"/>
  <c r="I143" i="3"/>
  <c r="J143" i="3" s="1"/>
  <c r="I132" i="3"/>
  <c r="J132" i="3" s="1"/>
  <c r="K41" i="2"/>
  <c r="K177" i="2"/>
  <c r="D123" i="7"/>
  <c r="Q123" i="7" s="1"/>
  <c r="H123" i="7"/>
  <c r="I123" i="7" s="1"/>
  <c r="L123" i="7" s="1"/>
  <c r="O123" i="7" s="1"/>
  <c r="P123" i="7" s="1"/>
  <c r="G64" i="7"/>
  <c r="K64" i="7"/>
  <c r="H64" i="7"/>
  <c r="I64" i="7" s="1"/>
  <c r="L64" i="7" s="1"/>
  <c r="O64" i="7" s="1"/>
  <c r="P64" i="7" s="1"/>
  <c r="D64" i="7"/>
  <c r="Q64" i="7" s="1"/>
  <c r="K203" i="2"/>
  <c r="Q95" i="7"/>
  <c r="I155" i="3"/>
  <c r="J155" i="3" s="1"/>
  <c r="I149" i="3"/>
  <c r="J149" i="3" s="1"/>
  <c r="I181" i="3"/>
  <c r="J181" i="3" s="1"/>
  <c r="K169" i="2"/>
  <c r="K57" i="2"/>
  <c r="K113" i="2"/>
  <c r="H122" i="7"/>
  <c r="I122" i="7" s="1"/>
  <c r="L122" i="7" s="1"/>
  <c r="O122" i="7" s="1"/>
  <c r="P122" i="7" s="1"/>
  <c r="K122" i="7"/>
  <c r="G72" i="7"/>
  <c r="K72" i="7"/>
  <c r="H72" i="7"/>
  <c r="I72" i="7" s="1"/>
  <c r="L72" i="7" s="1"/>
  <c r="O72" i="7" s="1"/>
  <c r="P72" i="7" s="1"/>
  <c r="D72" i="7"/>
  <c r="Q72" i="7" s="1"/>
  <c r="K114" i="7"/>
  <c r="H114" i="7"/>
  <c r="I114" i="7" s="1"/>
  <c r="L114" i="7" s="1"/>
  <c r="O114" i="7" s="1"/>
  <c r="P114" i="7" s="1"/>
  <c r="K142" i="2"/>
  <c r="K182" i="2"/>
  <c r="K50" i="2"/>
  <c r="K210" i="2"/>
  <c r="J103" i="7"/>
  <c r="L103" i="7" s="1"/>
  <c r="O103" i="7" s="1"/>
  <c r="P103" i="7" s="1"/>
  <c r="R103" i="7" s="1"/>
  <c r="L95" i="7"/>
  <c r="O95" i="7" s="1"/>
  <c r="P95" i="7" s="1"/>
  <c r="G109" i="7"/>
  <c r="H109" i="7"/>
  <c r="I109" i="7" s="1"/>
  <c r="L109" i="7" s="1"/>
  <c r="O109" i="7" s="1"/>
  <c r="P109" i="7" s="1"/>
  <c r="R109" i="7" s="1"/>
  <c r="L53" i="7"/>
  <c r="O53" i="7" s="1"/>
  <c r="P53" i="7" s="1"/>
  <c r="K230" i="2"/>
  <c r="K134" i="2"/>
  <c r="G105" i="7"/>
  <c r="H105" i="7"/>
  <c r="I105" i="7" s="1"/>
  <c r="L105" i="7" s="1"/>
  <c r="O105" i="7" s="1"/>
  <c r="P105" i="7" s="1"/>
  <c r="K116" i="2"/>
  <c r="K197" i="2"/>
  <c r="K154" i="2"/>
  <c r="K187" i="2"/>
  <c r="L180" i="7"/>
  <c r="O180" i="7" s="1"/>
  <c r="P180" i="7" s="1"/>
  <c r="L185" i="7"/>
  <c r="O185" i="7" s="1"/>
  <c r="P185" i="7" s="1"/>
  <c r="Q154" i="7"/>
  <c r="Q87" i="7"/>
  <c r="I67" i="3"/>
  <c r="J67" i="3" s="1"/>
  <c r="I187" i="3"/>
  <c r="J187" i="3" s="1"/>
  <c r="I110" i="3"/>
  <c r="J110" i="3" s="1"/>
  <c r="I142" i="3"/>
  <c r="J142" i="3" s="1"/>
  <c r="I174" i="3"/>
  <c r="J174" i="3" s="1"/>
  <c r="I97" i="3"/>
  <c r="J97" i="3" s="1"/>
  <c r="I129" i="3"/>
  <c r="J129" i="3" s="1"/>
  <c r="I161" i="3"/>
  <c r="J161" i="3" s="1"/>
  <c r="I193" i="3"/>
  <c r="J193" i="3" s="1"/>
  <c r="K225" i="2"/>
  <c r="K44" i="7"/>
  <c r="G44" i="7"/>
  <c r="I50" i="3"/>
  <c r="J50" i="3" s="1"/>
  <c r="I82" i="3"/>
  <c r="J82" i="3" s="1"/>
  <c r="L87" i="7"/>
  <c r="O87" i="7" s="1"/>
  <c r="P87" i="7" s="1"/>
  <c r="K130" i="7"/>
  <c r="H130" i="7"/>
  <c r="I130" i="7" s="1"/>
  <c r="L130" i="7" s="1"/>
  <c r="O130" i="7" s="1"/>
  <c r="P130" i="7" s="1"/>
  <c r="K158" i="2"/>
  <c r="K90" i="2"/>
  <c r="K144" i="2"/>
  <c r="K243" i="2"/>
  <c r="K159" i="2"/>
  <c r="K95" i="2"/>
  <c r="L173" i="7"/>
  <c r="O173" i="7" s="1"/>
  <c r="P173" i="7" s="1"/>
  <c r="R173" i="7" s="1"/>
  <c r="R133" i="7"/>
  <c r="K49" i="2"/>
  <c r="K145" i="2"/>
  <c r="G46" i="7"/>
  <c r="H46" i="7"/>
  <c r="I46" i="7" s="1"/>
  <c r="L46" i="7" s="1"/>
  <c r="O46" i="7" s="1"/>
  <c r="P46" i="7" s="1"/>
  <c r="D46" i="7"/>
  <c r="Q46" i="7" s="1"/>
  <c r="K46" i="7"/>
  <c r="K92" i="2"/>
  <c r="G90" i="7"/>
  <c r="D90" i="7"/>
  <c r="Q90" i="7" s="1"/>
  <c r="K90" i="7"/>
  <c r="H90" i="7"/>
  <c r="I90" i="7" s="1"/>
  <c r="L90" i="7" s="1"/>
  <c r="O90" i="7" s="1"/>
  <c r="P90" i="7" s="1"/>
  <c r="G76" i="7"/>
  <c r="K76" i="7"/>
  <c r="H76" i="7"/>
  <c r="I76" i="7" s="1"/>
  <c r="L76" i="7" s="1"/>
  <c r="O76" i="7" s="1"/>
  <c r="P76" i="7" s="1"/>
  <c r="D76" i="7"/>
  <c r="Q76" i="7" s="1"/>
  <c r="G116" i="7"/>
  <c r="K116" i="7"/>
  <c r="H116" i="7"/>
  <c r="I116" i="7" s="1"/>
  <c r="L116" i="7" s="1"/>
  <c r="O116" i="7" s="1"/>
  <c r="P116" i="7" s="1"/>
  <c r="D116" i="7"/>
  <c r="Q116" i="7" s="1"/>
  <c r="Q74" i="7"/>
  <c r="G86" i="7"/>
  <c r="D86" i="7"/>
  <c r="Q86" i="7" s="1"/>
  <c r="K86" i="7"/>
  <c r="H86" i="7"/>
  <c r="I86" i="7" s="1"/>
  <c r="L86" i="7" s="1"/>
  <c r="O86" i="7" s="1"/>
  <c r="P86" i="7" s="1"/>
  <c r="L112" i="7"/>
  <c r="O112" i="7" s="1"/>
  <c r="P112" i="7" s="1"/>
  <c r="R112" i="7" s="1"/>
  <c r="K14" i="7"/>
  <c r="G14" i="7"/>
  <c r="D14" i="7"/>
  <c r="Q14" i="7" s="1"/>
  <c r="H14" i="7"/>
  <c r="K40" i="7"/>
  <c r="G40" i="7"/>
  <c r="H40" i="7"/>
  <c r="I40" i="7" s="1"/>
  <c r="L40" i="7" s="1"/>
  <c r="O40" i="7" s="1"/>
  <c r="P40" i="7" s="1"/>
  <c r="D40" i="7"/>
  <c r="Q40" i="7" s="1"/>
  <c r="K39" i="7"/>
  <c r="G39" i="7"/>
  <c r="H39" i="7"/>
  <c r="I39" i="7" s="1"/>
  <c r="L39" i="7" s="1"/>
  <c r="O39" i="7" s="1"/>
  <c r="P39" i="7" s="1"/>
  <c r="D39" i="7"/>
  <c r="Q39" i="7" s="1"/>
  <c r="G77" i="7"/>
  <c r="K77" i="7"/>
  <c r="H77" i="7"/>
  <c r="I77" i="7" s="1"/>
  <c r="L77" i="7" s="1"/>
  <c r="O77" i="7" s="1"/>
  <c r="P77" i="7" s="1"/>
  <c r="D77" i="7"/>
  <c r="Q77" i="7" s="1"/>
  <c r="K37" i="7"/>
  <c r="G37" i="7"/>
  <c r="H37" i="7"/>
  <c r="I37" i="7" s="1"/>
  <c r="L37" i="7" s="1"/>
  <c r="O37" i="7" s="1"/>
  <c r="P37" i="7" s="1"/>
  <c r="D37" i="7"/>
  <c r="Q37" i="7" s="1"/>
  <c r="K29" i="7"/>
  <c r="G29" i="7"/>
  <c r="H29" i="7"/>
  <c r="I29" i="7" s="1"/>
  <c r="L29" i="7" s="1"/>
  <c r="O29" i="7" s="1"/>
  <c r="P29" i="7" s="1"/>
  <c r="D29" i="7"/>
  <c r="Q29" i="7" s="1"/>
  <c r="K7" i="7"/>
  <c r="G7" i="7"/>
  <c r="H7" i="7"/>
  <c r="D7" i="7"/>
  <c r="Q7" i="7" s="1"/>
  <c r="I107" i="3"/>
  <c r="J107" i="3" s="1"/>
  <c r="I34" i="3"/>
  <c r="J34" i="3" s="1"/>
  <c r="I66" i="3"/>
  <c r="J66" i="3" s="1"/>
  <c r="I98" i="3"/>
  <c r="J98" i="3" s="1"/>
  <c r="I53" i="3"/>
  <c r="J53" i="3" s="1"/>
  <c r="I85" i="3"/>
  <c r="J85" i="3" s="1"/>
  <c r="I117" i="3"/>
  <c r="J117" i="3" s="1"/>
  <c r="I60" i="3"/>
  <c r="J60" i="3" s="1"/>
  <c r="I124" i="3"/>
  <c r="J124" i="3" s="1"/>
  <c r="I156" i="3"/>
  <c r="J156" i="3" s="1"/>
  <c r="I188" i="3"/>
  <c r="J188" i="3" s="1"/>
  <c r="D149" i="7"/>
  <c r="Q149" i="7" s="1"/>
  <c r="G149" i="7"/>
  <c r="H149" i="7"/>
  <c r="I149" i="7" s="1"/>
  <c r="L149" i="7" s="1"/>
  <c r="O149" i="7" s="1"/>
  <c r="P149" i="7" s="1"/>
  <c r="K149" i="7"/>
  <c r="H195" i="7"/>
  <c r="I195" i="7" s="1"/>
  <c r="L195" i="7" s="1"/>
  <c r="O195" i="7" s="1"/>
  <c r="P195" i="7" s="1"/>
  <c r="K195" i="7"/>
  <c r="D195" i="7"/>
  <c r="Q195" i="7" s="1"/>
  <c r="G195" i="7"/>
  <c r="Q177" i="7"/>
  <c r="D140" i="7"/>
  <c r="Q140" i="7" s="1"/>
  <c r="G140" i="7"/>
  <c r="K140" i="7"/>
  <c r="H140" i="7"/>
  <c r="I140" i="7" s="1"/>
  <c r="L140" i="7" s="1"/>
  <c r="O140" i="7" s="1"/>
  <c r="P140" i="7" s="1"/>
  <c r="G126" i="7"/>
  <c r="D126" i="7"/>
  <c r="Q126" i="7" s="1"/>
  <c r="K126" i="7"/>
  <c r="H126" i="7"/>
  <c r="I126" i="7" s="1"/>
  <c r="L126" i="7" s="1"/>
  <c r="O126" i="7" s="1"/>
  <c r="P126" i="7" s="1"/>
  <c r="D142" i="7"/>
  <c r="Q142" i="7" s="1"/>
  <c r="H142" i="7"/>
  <c r="I142" i="7" s="1"/>
  <c r="L142" i="7" s="1"/>
  <c r="O142" i="7" s="1"/>
  <c r="P142" i="7" s="1"/>
  <c r="G142" i="7"/>
  <c r="K142" i="7"/>
  <c r="G127" i="7"/>
  <c r="H127" i="7"/>
  <c r="I127" i="7" s="1"/>
  <c r="L127" i="7" s="1"/>
  <c r="O127" i="7" s="1"/>
  <c r="P127" i="7" s="1"/>
  <c r="D127" i="7"/>
  <c r="Q127" i="7" s="1"/>
  <c r="K127" i="7"/>
  <c r="L118" i="7"/>
  <c r="O118" i="7" s="1"/>
  <c r="P118" i="7" s="1"/>
  <c r="R118" i="7" s="1"/>
  <c r="L129" i="7"/>
  <c r="O129" i="7" s="1"/>
  <c r="P129" i="7" s="1"/>
  <c r="L97" i="7"/>
  <c r="O97" i="7" s="1"/>
  <c r="P97" i="7" s="1"/>
  <c r="K28" i="7"/>
  <c r="G28" i="7"/>
  <c r="H28" i="7"/>
  <c r="I28" i="7" s="1"/>
  <c r="L28" i="7" s="1"/>
  <c r="O28" i="7" s="1"/>
  <c r="P28" i="7" s="1"/>
  <c r="D28" i="7"/>
  <c r="Q28" i="7" s="1"/>
  <c r="K35" i="7"/>
  <c r="G35" i="7"/>
  <c r="H35" i="7"/>
  <c r="I35" i="7" s="1"/>
  <c r="L35" i="7" s="1"/>
  <c r="O35" i="7" s="1"/>
  <c r="P35" i="7" s="1"/>
  <c r="D35" i="7"/>
  <c r="Q35" i="7" s="1"/>
  <c r="K9" i="7"/>
  <c r="G9" i="7"/>
  <c r="H9" i="7"/>
  <c r="D9" i="7"/>
  <c r="Q9" i="7" s="1"/>
  <c r="G71" i="7"/>
  <c r="H71" i="7"/>
  <c r="I71" i="7" s="1"/>
  <c r="L71" i="7" s="1"/>
  <c r="O71" i="7" s="1"/>
  <c r="P71" i="7" s="1"/>
  <c r="K71" i="7"/>
  <c r="D71" i="7"/>
  <c r="Q71" i="7" s="1"/>
  <c r="K19" i="7"/>
  <c r="G19" i="7"/>
  <c r="D19" i="7"/>
  <c r="Q19" i="7" s="1"/>
  <c r="H19" i="7"/>
  <c r="I19" i="7" s="1"/>
  <c r="L19" i="7" s="1"/>
  <c r="O19" i="7" s="1"/>
  <c r="P19" i="7" s="1"/>
  <c r="L80" i="7"/>
  <c r="O80" i="7" s="1"/>
  <c r="P80" i="7" s="1"/>
  <c r="R80" i="7" s="1"/>
  <c r="K8" i="7"/>
  <c r="G8" i="7"/>
  <c r="D8" i="7"/>
  <c r="Q8" i="7" s="1"/>
  <c r="H8" i="7"/>
  <c r="K5" i="7"/>
  <c r="G5" i="7"/>
  <c r="H5" i="7"/>
  <c r="D5" i="7"/>
  <c r="Q5" i="7" s="1"/>
  <c r="R88" i="7"/>
  <c r="I70" i="3"/>
  <c r="J70" i="3" s="1"/>
  <c r="I57" i="3"/>
  <c r="J57" i="3" s="1"/>
  <c r="I64" i="3"/>
  <c r="J64" i="3" s="1"/>
  <c r="I96" i="3"/>
  <c r="J96" i="3" s="1"/>
  <c r="I128" i="3"/>
  <c r="J128" i="3" s="1"/>
  <c r="I160" i="3"/>
  <c r="J160" i="3" s="1"/>
  <c r="I192" i="3"/>
  <c r="J192" i="3" s="1"/>
  <c r="I27" i="3"/>
  <c r="J27" i="3" s="1"/>
  <c r="I99" i="3"/>
  <c r="J99" i="3" s="1"/>
  <c r="L154" i="7"/>
  <c r="O154" i="7" s="1"/>
  <c r="P154" i="7" s="1"/>
  <c r="G113" i="7"/>
  <c r="D113" i="7"/>
  <c r="Q113" i="7" s="1"/>
  <c r="K113" i="7"/>
  <c r="H113" i="7"/>
  <c r="I113" i="7" s="1"/>
  <c r="L113" i="7" s="1"/>
  <c r="O113" i="7" s="1"/>
  <c r="P113" i="7" s="1"/>
  <c r="L200" i="7"/>
  <c r="O200" i="7" s="1"/>
  <c r="P200" i="7" s="1"/>
  <c r="H161" i="7"/>
  <c r="I161" i="7" s="1"/>
  <c r="L161" i="7" s="1"/>
  <c r="O161" i="7" s="1"/>
  <c r="P161" i="7" s="1"/>
  <c r="G161" i="7"/>
  <c r="K161" i="7"/>
  <c r="D161" i="7"/>
  <c r="Q161" i="7" s="1"/>
  <c r="G102" i="7"/>
  <c r="D102" i="7"/>
  <c r="Q102" i="7" s="1"/>
  <c r="K102" i="7"/>
  <c r="H102" i="7"/>
  <c r="I102" i="7" s="1"/>
  <c r="L102" i="7" s="1"/>
  <c r="O102" i="7" s="1"/>
  <c r="P102" i="7" s="1"/>
  <c r="G79" i="7"/>
  <c r="D79" i="7"/>
  <c r="Q79" i="7" s="1"/>
  <c r="H79" i="7"/>
  <c r="I79" i="7" s="1"/>
  <c r="L79" i="7" s="1"/>
  <c r="O79" i="7" s="1"/>
  <c r="P79" i="7" s="1"/>
  <c r="K79" i="7"/>
  <c r="K34" i="7"/>
  <c r="G34" i="7"/>
  <c r="D34" i="7"/>
  <c r="Q34" i="7" s="1"/>
  <c r="H34" i="7"/>
  <c r="I34" i="7" s="1"/>
  <c r="L34" i="7" s="1"/>
  <c r="O34" i="7" s="1"/>
  <c r="P34" i="7" s="1"/>
  <c r="K41" i="7"/>
  <c r="G41" i="7"/>
  <c r="D41" i="7"/>
  <c r="Q41" i="7" s="1"/>
  <c r="H41" i="7"/>
  <c r="I41" i="7" s="1"/>
  <c r="L41" i="7" s="1"/>
  <c r="O41" i="7" s="1"/>
  <c r="P41" i="7" s="1"/>
  <c r="Q176" i="7"/>
  <c r="I95" i="3"/>
  <c r="J95" i="3" s="1"/>
  <c r="I75" i="3"/>
  <c r="J75" i="3" s="1"/>
  <c r="I74" i="3"/>
  <c r="J74" i="3" s="1"/>
  <c r="I61" i="3"/>
  <c r="J61" i="3" s="1"/>
  <c r="I93" i="3"/>
  <c r="J93" i="3" s="1"/>
  <c r="I125" i="3"/>
  <c r="J125" i="3" s="1"/>
  <c r="I157" i="3"/>
  <c r="J157" i="3" s="1"/>
  <c r="I189" i="3"/>
  <c r="J189" i="3" s="1"/>
  <c r="I68" i="3"/>
  <c r="J68" i="3" s="1"/>
  <c r="I100" i="3"/>
  <c r="J100" i="3" s="1"/>
  <c r="K233" i="2"/>
  <c r="K105" i="2"/>
  <c r="K161" i="2"/>
  <c r="I167" i="3"/>
  <c r="J167" i="3" s="1"/>
  <c r="K217" i="2"/>
  <c r="L184" i="7"/>
  <c r="O184" i="7" s="1"/>
  <c r="P184" i="7" s="1"/>
  <c r="H189" i="7"/>
  <c r="I189" i="7" s="1"/>
  <c r="L189" i="7" s="1"/>
  <c r="O189" i="7" s="1"/>
  <c r="P189" i="7" s="1"/>
  <c r="G189" i="7"/>
  <c r="D189" i="7"/>
  <c r="Q189" i="7" s="1"/>
  <c r="K189" i="7"/>
  <c r="H194" i="7"/>
  <c r="I194" i="7" s="1"/>
  <c r="L194" i="7" s="1"/>
  <c r="O194" i="7" s="1"/>
  <c r="P194" i="7" s="1"/>
  <c r="G194" i="7"/>
  <c r="D194" i="7"/>
  <c r="Q194" i="7" s="1"/>
  <c r="K194" i="7"/>
  <c r="H186" i="7"/>
  <c r="I186" i="7" s="1"/>
  <c r="L186" i="7" s="1"/>
  <c r="O186" i="7" s="1"/>
  <c r="P186" i="7" s="1"/>
  <c r="G186" i="7"/>
  <c r="D186" i="7"/>
  <c r="Q186" i="7" s="1"/>
  <c r="K186" i="7"/>
  <c r="L177" i="7"/>
  <c r="O177" i="7" s="1"/>
  <c r="P177" i="7" s="1"/>
  <c r="H175" i="7"/>
  <c r="I175" i="7" s="1"/>
  <c r="L175" i="7" s="1"/>
  <c r="O175" i="7" s="1"/>
  <c r="P175" i="7" s="1"/>
  <c r="K175" i="7"/>
  <c r="G175" i="7"/>
  <c r="D175" i="7"/>
  <c r="Q175" i="7" s="1"/>
  <c r="H162" i="7"/>
  <c r="I162" i="7" s="1"/>
  <c r="L162" i="7" s="1"/>
  <c r="O162" i="7" s="1"/>
  <c r="P162" i="7" s="1"/>
  <c r="G162" i="7"/>
  <c r="D162" i="7"/>
  <c r="Q162" i="7" s="1"/>
  <c r="K162" i="7"/>
  <c r="G119" i="7"/>
  <c r="H119" i="7"/>
  <c r="I119" i="7" s="1"/>
  <c r="L119" i="7" s="1"/>
  <c r="O119" i="7" s="1"/>
  <c r="P119" i="7" s="1"/>
  <c r="D119" i="7"/>
  <c r="Q119" i="7" s="1"/>
  <c r="K119" i="7"/>
  <c r="L74" i="7"/>
  <c r="O74" i="7" s="1"/>
  <c r="P74" i="7" s="1"/>
  <c r="G137" i="7"/>
  <c r="D137" i="7"/>
  <c r="Q137" i="7" s="1"/>
  <c r="K137" i="7"/>
  <c r="H137" i="7"/>
  <c r="I137" i="7" s="1"/>
  <c r="L137" i="7" s="1"/>
  <c r="O137" i="7" s="1"/>
  <c r="P137" i="7" s="1"/>
  <c r="Q104" i="7"/>
  <c r="H178" i="7"/>
  <c r="I178" i="7" s="1"/>
  <c r="L178" i="7" s="1"/>
  <c r="O178" i="7" s="1"/>
  <c r="P178" i="7" s="1"/>
  <c r="G178" i="7"/>
  <c r="D178" i="7"/>
  <c r="Q178" i="7" s="1"/>
  <c r="K178" i="7"/>
  <c r="H170" i="7"/>
  <c r="I170" i="7" s="1"/>
  <c r="L170" i="7" s="1"/>
  <c r="O170" i="7" s="1"/>
  <c r="P170" i="7" s="1"/>
  <c r="D170" i="7"/>
  <c r="Q170" i="7" s="1"/>
  <c r="K170" i="7"/>
  <c r="G170" i="7"/>
  <c r="H171" i="7"/>
  <c r="I171" i="7" s="1"/>
  <c r="L171" i="7" s="1"/>
  <c r="O171" i="7" s="1"/>
  <c r="P171" i="7" s="1"/>
  <c r="G171" i="7"/>
  <c r="K171" i="7"/>
  <c r="D171" i="7"/>
  <c r="Q171" i="7" s="1"/>
  <c r="H187" i="7"/>
  <c r="I187" i="7" s="1"/>
  <c r="L187" i="7" s="1"/>
  <c r="O187" i="7" s="1"/>
  <c r="P187" i="7" s="1"/>
  <c r="K187" i="7"/>
  <c r="G187" i="7"/>
  <c r="D187" i="7"/>
  <c r="Q187" i="7" s="1"/>
  <c r="H197" i="7"/>
  <c r="I197" i="7" s="1"/>
  <c r="L197" i="7" s="1"/>
  <c r="O197" i="7" s="1"/>
  <c r="P197" i="7" s="1"/>
  <c r="G197" i="7"/>
  <c r="D197" i="7"/>
  <c r="Q197" i="7" s="1"/>
  <c r="K197" i="7"/>
  <c r="H168" i="7"/>
  <c r="I168" i="7" s="1"/>
  <c r="L168" i="7" s="1"/>
  <c r="O168" i="7" s="1"/>
  <c r="P168" i="7" s="1"/>
  <c r="D168" i="7"/>
  <c r="Q168" i="7" s="1"/>
  <c r="K168" i="7"/>
  <c r="G168" i="7"/>
  <c r="D156" i="7"/>
  <c r="Q156" i="7" s="1"/>
  <c r="G156" i="7"/>
  <c r="H156" i="7"/>
  <c r="I156" i="7" s="1"/>
  <c r="L156" i="7" s="1"/>
  <c r="O156" i="7" s="1"/>
  <c r="P156" i="7" s="1"/>
  <c r="K156" i="7"/>
  <c r="G110" i="7"/>
  <c r="D110" i="7"/>
  <c r="Q110" i="7" s="1"/>
  <c r="K110" i="7"/>
  <c r="H110" i="7"/>
  <c r="I110" i="7" s="1"/>
  <c r="L110" i="7" s="1"/>
  <c r="O110" i="7" s="1"/>
  <c r="P110" i="7" s="1"/>
  <c r="H181" i="7"/>
  <c r="I181" i="7" s="1"/>
  <c r="L181" i="7" s="1"/>
  <c r="O181" i="7" s="1"/>
  <c r="P181" i="7" s="1"/>
  <c r="D181" i="7"/>
  <c r="Q181" i="7" s="1"/>
  <c r="K181" i="7"/>
  <c r="G181" i="7"/>
  <c r="G94" i="7"/>
  <c r="D94" i="7"/>
  <c r="Q94" i="7" s="1"/>
  <c r="K94" i="7"/>
  <c r="H94" i="7"/>
  <c r="I94" i="7" s="1"/>
  <c r="L94" i="7" s="1"/>
  <c r="O94" i="7" s="1"/>
  <c r="P94" i="7" s="1"/>
  <c r="D158" i="7"/>
  <c r="Q158" i="7" s="1"/>
  <c r="K158" i="7"/>
  <c r="H158" i="7"/>
  <c r="I158" i="7" s="1"/>
  <c r="L158" i="7" s="1"/>
  <c r="O158" i="7" s="1"/>
  <c r="P158" i="7" s="1"/>
  <c r="G158" i="7"/>
  <c r="G134" i="7"/>
  <c r="D134" i="7"/>
  <c r="Q134" i="7" s="1"/>
  <c r="K134" i="7"/>
  <c r="H134" i="7"/>
  <c r="I134" i="7" s="1"/>
  <c r="L134" i="7" s="1"/>
  <c r="O134" i="7" s="1"/>
  <c r="P134" i="7" s="1"/>
  <c r="Q124" i="7"/>
  <c r="Q129" i="7"/>
  <c r="G100" i="7"/>
  <c r="K100" i="7"/>
  <c r="H100" i="7"/>
  <c r="I100" i="7" s="1"/>
  <c r="L100" i="7" s="1"/>
  <c r="O100" i="7" s="1"/>
  <c r="P100" i="7" s="1"/>
  <c r="D100" i="7"/>
  <c r="Q100" i="7" s="1"/>
  <c r="L104" i="7"/>
  <c r="O104" i="7" s="1"/>
  <c r="P104" i="7" s="1"/>
  <c r="L83" i="7"/>
  <c r="O83" i="7" s="1"/>
  <c r="P83" i="7" s="1"/>
  <c r="G57" i="7"/>
  <c r="K57" i="7"/>
  <c r="D57" i="7"/>
  <c r="Q57" i="7" s="1"/>
  <c r="H57" i="7"/>
  <c r="I57" i="7" s="1"/>
  <c r="L57" i="7" s="1"/>
  <c r="O57" i="7" s="1"/>
  <c r="P57" i="7" s="1"/>
  <c r="K20" i="7"/>
  <c r="G20" i="7"/>
  <c r="H20" i="7"/>
  <c r="Q20" i="7"/>
  <c r="K25" i="7"/>
  <c r="G25" i="7"/>
  <c r="H25" i="7"/>
  <c r="I25" i="7" s="1"/>
  <c r="L25" i="7" s="1"/>
  <c r="O25" i="7" s="1"/>
  <c r="P25" i="7" s="1"/>
  <c r="D25" i="7"/>
  <c r="Q25" i="7" s="1"/>
  <c r="K6" i="7"/>
  <c r="G6" i="7"/>
  <c r="D6" i="7"/>
  <c r="Q6" i="7" s="1"/>
  <c r="H6" i="7"/>
  <c r="K11" i="7"/>
  <c r="G11" i="7"/>
  <c r="D11" i="7"/>
  <c r="Q11" i="7" s="1"/>
  <c r="H11" i="7"/>
  <c r="K32" i="7"/>
  <c r="G32" i="7"/>
  <c r="H32" i="7"/>
  <c r="I32" i="7" s="1"/>
  <c r="L32" i="7" s="1"/>
  <c r="O32" i="7" s="1"/>
  <c r="P32" i="7" s="1"/>
  <c r="D32" i="7"/>
  <c r="Q32" i="7" s="1"/>
  <c r="G65" i="7"/>
  <c r="K65" i="7"/>
  <c r="H65" i="7"/>
  <c r="I65" i="7" s="1"/>
  <c r="L65" i="7" s="1"/>
  <c r="O65" i="7" s="1"/>
  <c r="P65" i="7" s="1"/>
  <c r="D65" i="7"/>
  <c r="Q65" i="7" s="1"/>
  <c r="K31" i="7"/>
  <c r="G31" i="7"/>
  <c r="H31" i="7"/>
  <c r="I31" i="7" s="1"/>
  <c r="L31" i="7" s="1"/>
  <c r="O31" i="7" s="1"/>
  <c r="P31" i="7" s="1"/>
  <c r="D31" i="7"/>
  <c r="Q31" i="7" s="1"/>
  <c r="K18" i="7"/>
  <c r="G18" i="7"/>
  <c r="H18" i="7"/>
  <c r="D18" i="7"/>
  <c r="Q18" i="7" s="1"/>
  <c r="G69" i="7"/>
  <c r="K69" i="7"/>
  <c r="D69" i="7"/>
  <c r="Q69" i="7" s="1"/>
  <c r="H69" i="7"/>
  <c r="I69" i="7" s="1"/>
  <c r="L69" i="7" s="1"/>
  <c r="O69" i="7" s="1"/>
  <c r="P69" i="7" s="1"/>
  <c r="K26" i="7"/>
  <c r="G26" i="7"/>
  <c r="H26" i="7"/>
  <c r="I26" i="7" s="1"/>
  <c r="L26" i="7" s="1"/>
  <c r="O26" i="7" s="1"/>
  <c r="P26" i="7" s="1"/>
  <c r="D26" i="7"/>
  <c r="Q26" i="7" s="1"/>
  <c r="I103" i="3"/>
  <c r="J103" i="3" s="1"/>
  <c r="I175" i="3"/>
  <c r="J175" i="3" s="1"/>
  <c r="I78" i="3"/>
  <c r="J78" i="3" s="1"/>
  <c r="I33" i="3"/>
  <c r="J33" i="3" s="1"/>
  <c r="I65" i="3"/>
  <c r="J65" i="3" s="1"/>
  <c r="I72" i="3"/>
  <c r="J72" i="3" s="1"/>
  <c r="I104" i="3"/>
  <c r="J104" i="3" s="1"/>
  <c r="I136" i="3"/>
  <c r="J136" i="3" s="1"/>
  <c r="I168" i="3"/>
  <c r="J168" i="3" s="1"/>
  <c r="I200" i="3"/>
  <c r="J200" i="3" s="1"/>
  <c r="K137" i="2"/>
  <c r="K65" i="2"/>
  <c r="I24" i="3"/>
  <c r="J24" i="3" s="1"/>
  <c r="I115" i="3"/>
  <c r="J115" i="3" s="1"/>
  <c r="Q196" i="7"/>
  <c r="H182" i="7"/>
  <c r="I182" i="7" s="1"/>
  <c r="L182" i="7" s="1"/>
  <c r="O182" i="7" s="1"/>
  <c r="P182" i="7" s="1"/>
  <c r="G182" i="7"/>
  <c r="D182" i="7"/>
  <c r="Q182" i="7" s="1"/>
  <c r="K182" i="7"/>
  <c r="G49" i="7"/>
  <c r="D49" i="7"/>
  <c r="Q49" i="7" s="1"/>
  <c r="K49" i="7"/>
  <c r="H49" i="7"/>
  <c r="I49" i="7" s="1"/>
  <c r="L49" i="7" s="1"/>
  <c r="O49" i="7" s="1"/>
  <c r="P49" i="7" s="1"/>
  <c r="G59" i="7"/>
  <c r="H59" i="7"/>
  <c r="I59" i="7" s="1"/>
  <c r="L59" i="7" s="1"/>
  <c r="O59" i="7" s="1"/>
  <c r="P59" i="7" s="1"/>
  <c r="K59" i="7"/>
  <c r="D59" i="7"/>
  <c r="Q59" i="7" s="1"/>
  <c r="I37" i="3"/>
  <c r="J37" i="3" s="1"/>
  <c r="I69" i="3"/>
  <c r="J69" i="3" s="1"/>
  <c r="I76" i="3"/>
  <c r="J76" i="3" s="1"/>
  <c r="I140" i="3"/>
  <c r="J140" i="3" s="1"/>
  <c r="I172" i="3"/>
  <c r="J172" i="3" s="1"/>
  <c r="L196" i="7"/>
  <c r="O196" i="7" s="1"/>
  <c r="P196" i="7" s="1"/>
  <c r="H183" i="7"/>
  <c r="I183" i="7" s="1"/>
  <c r="L183" i="7" s="1"/>
  <c r="O183" i="7" s="1"/>
  <c r="P183" i="7" s="1"/>
  <c r="K183" i="7"/>
  <c r="G183" i="7"/>
  <c r="D183" i="7"/>
  <c r="Q183" i="7" s="1"/>
  <c r="G111" i="7"/>
  <c r="H111" i="7"/>
  <c r="I111" i="7" s="1"/>
  <c r="L111" i="7" s="1"/>
  <c r="O111" i="7" s="1"/>
  <c r="P111" i="7" s="1"/>
  <c r="K111" i="7"/>
  <c r="D111" i="7"/>
  <c r="Q111" i="7" s="1"/>
  <c r="H163" i="7"/>
  <c r="I163" i="7" s="1"/>
  <c r="L163" i="7" s="1"/>
  <c r="O163" i="7" s="1"/>
  <c r="P163" i="7" s="1"/>
  <c r="G163" i="7"/>
  <c r="K163" i="7"/>
  <c r="D163" i="7"/>
  <c r="Q163" i="7" s="1"/>
  <c r="G121" i="7"/>
  <c r="D121" i="7"/>
  <c r="Q121" i="7" s="1"/>
  <c r="K121" i="7"/>
  <c r="H121" i="7"/>
  <c r="I121" i="7" s="1"/>
  <c r="L121" i="7" s="1"/>
  <c r="O121" i="7" s="1"/>
  <c r="P121" i="7" s="1"/>
  <c r="G61" i="7"/>
  <c r="K61" i="7"/>
  <c r="D61" i="7"/>
  <c r="Q61" i="7" s="1"/>
  <c r="H61" i="7"/>
  <c r="I61" i="7" s="1"/>
  <c r="L61" i="7" s="1"/>
  <c r="O61" i="7" s="1"/>
  <c r="P61" i="7" s="1"/>
  <c r="K2" i="7"/>
  <c r="G2" i="7"/>
  <c r="H2" i="7"/>
  <c r="D2" i="7"/>
  <c r="Q2" i="7" s="1"/>
  <c r="H198" i="7"/>
  <c r="I198" i="7" s="1"/>
  <c r="L198" i="7" s="1"/>
  <c r="O198" i="7" s="1"/>
  <c r="P198" i="7" s="1"/>
  <c r="G198" i="7"/>
  <c r="D198" i="7"/>
  <c r="Q198" i="7" s="1"/>
  <c r="K198" i="7"/>
  <c r="H190" i="7"/>
  <c r="I190" i="7" s="1"/>
  <c r="L190" i="7" s="1"/>
  <c r="O190" i="7" s="1"/>
  <c r="P190" i="7" s="1"/>
  <c r="G190" i="7"/>
  <c r="D190" i="7"/>
  <c r="Q190" i="7" s="1"/>
  <c r="K190" i="7"/>
  <c r="Q180" i="7"/>
  <c r="R172" i="7"/>
  <c r="Q164" i="7"/>
  <c r="H169" i="7"/>
  <c r="I169" i="7" s="1"/>
  <c r="L169" i="7" s="1"/>
  <c r="O169" i="7" s="1"/>
  <c r="P169" i="7" s="1"/>
  <c r="G169" i="7"/>
  <c r="K169" i="7"/>
  <c r="D169" i="7"/>
  <c r="Q169" i="7" s="1"/>
  <c r="G107" i="7"/>
  <c r="H107" i="7"/>
  <c r="I107" i="7" s="1"/>
  <c r="L107" i="7" s="1"/>
  <c r="O107" i="7" s="1"/>
  <c r="P107" i="7" s="1"/>
  <c r="D107" i="7"/>
  <c r="Q107" i="7" s="1"/>
  <c r="K107" i="7"/>
  <c r="D138" i="7"/>
  <c r="Q138" i="7" s="1"/>
  <c r="H138" i="7"/>
  <c r="I138" i="7" s="1"/>
  <c r="L138" i="7" s="1"/>
  <c r="O138" i="7" s="1"/>
  <c r="P138" i="7" s="1"/>
  <c r="G138" i="7"/>
  <c r="K138" i="7"/>
  <c r="G82" i="7"/>
  <c r="D82" i="7"/>
  <c r="Q82" i="7" s="1"/>
  <c r="K82" i="7"/>
  <c r="H82" i="7"/>
  <c r="I82" i="7" s="1"/>
  <c r="L82" i="7" s="1"/>
  <c r="O82" i="7" s="1"/>
  <c r="P82" i="7" s="1"/>
  <c r="G67" i="7"/>
  <c r="H67" i="7"/>
  <c r="I67" i="7" s="1"/>
  <c r="L67" i="7" s="1"/>
  <c r="O67" i="7" s="1"/>
  <c r="P67" i="7" s="1"/>
  <c r="D67" i="7"/>
  <c r="Q67" i="7" s="1"/>
  <c r="K67" i="7"/>
  <c r="L145" i="7"/>
  <c r="O145" i="7" s="1"/>
  <c r="P145" i="7" s="1"/>
  <c r="R145" i="7" s="1"/>
  <c r="K12" i="7"/>
  <c r="G12" i="7"/>
  <c r="H12" i="7"/>
  <c r="D12" i="7"/>
  <c r="Q12" i="7" s="1"/>
  <c r="L152" i="7"/>
  <c r="O152" i="7" s="1"/>
  <c r="P152" i="7" s="1"/>
  <c r="G84" i="7"/>
  <c r="K84" i="7"/>
  <c r="H84" i="7"/>
  <c r="I84" i="7" s="1"/>
  <c r="L84" i="7" s="1"/>
  <c r="O84" i="7" s="1"/>
  <c r="P84" i="7" s="1"/>
  <c r="D84" i="7"/>
  <c r="Q84" i="7" s="1"/>
  <c r="K22" i="7"/>
  <c r="G22" i="7"/>
  <c r="D22" i="7"/>
  <c r="Q22" i="7" s="1"/>
  <c r="H22" i="7"/>
  <c r="I22" i="7" s="1"/>
  <c r="L22" i="7" s="1"/>
  <c r="O22" i="7" s="1"/>
  <c r="P22" i="7" s="1"/>
  <c r="K33" i="7"/>
  <c r="G33" i="7"/>
  <c r="D33" i="7"/>
  <c r="Q33" i="7" s="1"/>
  <c r="H33" i="7"/>
  <c r="I33" i="7" s="1"/>
  <c r="L33" i="7" s="1"/>
  <c r="O33" i="7" s="1"/>
  <c r="P33" i="7" s="1"/>
  <c r="K3" i="7"/>
  <c r="G3" i="7"/>
  <c r="D3" i="7"/>
  <c r="Q3" i="7" s="1"/>
  <c r="H3" i="7"/>
  <c r="K24" i="7"/>
  <c r="G24" i="7"/>
  <c r="D24" i="7"/>
  <c r="Q24" i="7" s="1"/>
  <c r="H24" i="7"/>
  <c r="I24" i="7" s="1"/>
  <c r="L24" i="7" s="1"/>
  <c r="O24" i="7" s="1"/>
  <c r="P24" i="7" s="1"/>
  <c r="L176" i="7"/>
  <c r="O176" i="7" s="1"/>
  <c r="P176" i="7" s="1"/>
  <c r="G51" i="7"/>
  <c r="H51" i="7"/>
  <c r="I51" i="7" s="1"/>
  <c r="L51" i="7" s="1"/>
  <c r="O51" i="7" s="1"/>
  <c r="P51" i="7" s="1"/>
  <c r="D51" i="7"/>
  <c r="Q51" i="7" s="1"/>
  <c r="K51" i="7"/>
  <c r="K21" i="7"/>
  <c r="G21" i="7"/>
  <c r="H21" i="7"/>
  <c r="I21" i="7" s="1"/>
  <c r="L21" i="7" s="1"/>
  <c r="O21" i="7" s="1"/>
  <c r="P21" i="7" s="1"/>
  <c r="D21" i="7"/>
  <c r="Q21" i="7" s="1"/>
  <c r="L48" i="7"/>
  <c r="O48" i="7" s="1"/>
  <c r="P48" i="7" s="1"/>
  <c r="R48" i="7" s="1"/>
  <c r="L117" i="7"/>
  <c r="O117" i="7" s="1"/>
  <c r="P117" i="7" s="1"/>
  <c r="I83" i="3"/>
  <c r="J83" i="3" s="1"/>
  <c r="I54" i="3"/>
  <c r="J54" i="3" s="1"/>
  <c r="I86" i="3"/>
  <c r="J86" i="3" s="1"/>
  <c r="I118" i="3"/>
  <c r="J118" i="3" s="1"/>
  <c r="I150" i="3"/>
  <c r="J150" i="3" s="1"/>
  <c r="I182" i="3"/>
  <c r="J182" i="3" s="1"/>
  <c r="I41" i="3"/>
  <c r="J41" i="3" s="1"/>
  <c r="I73" i="3"/>
  <c r="J73" i="3" s="1"/>
  <c r="I105" i="3"/>
  <c r="J105" i="3" s="1"/>
  <c r="I137" i="3"/>
  <c r="J137" i="3" s="1"/>
  <c r="I169" i="3"/>
  <c r="J169" i="3" s="1"/>
  <c r="I80" i="3"/>
  <c r="J80" i="3" s="1"/>
  <c r="I112" i="3"/>
  <c r="J112" i="3" s="1"/>
  <c r="I144" i="3"/>
  <c r="J144" i="3" s="1"/>
  <c r="I176" i="3"/>
  <c r="J176" i="3" s="1"/>
  <c r="K201" i="2"/>
  <c r="K73" i="2"/>
  <c r="I32" i="3"/>
  <c r="J32" i="3" s="1"/>
  <c r="K129" i="2"/>
  <c r="K153" i="2"/>
  <c r="I44" i="3"/>
  <c r="J44" i="3" s="1"/>
  <c r="H174" i="7"/>
  <c r="I174" i="7" s="1"/>
  <c r="L174" i="7" s="1"/>
  <c r="O174" i="7" s="1"/>
  <c r="P174" i="7" s="1"/>
  <c r="G174" i="7"/>
  <c r="D174" i="7"/>
  <c r="Q174" i="7" s="1"/>
  <c r="K174" i="7"/>
  <c r="H179" i="7"/>
  <c r="I179" i="7" s="1"/>
  <c r="L179" i="7" s="1"/>
  <c r="O179" i="7" s="1"/>
  <c r="P179" i="7" s="1"/>
  <c r="K179" i="7"/>
  <c r="G179" i="7"/>
  <c r="D179" i="7"/>
  <c r="Q179" i="7" s="1"/>
  <c r="D144" i="7"/>
  <c r="Q144" i="7" s="1"/>
  <c r="K144" i="7"/>
  <c r="H144" i="7"/>
  <c r="I144" i="7" s="1"/>
  <c r="L144" i="7" s="1"/>
  <c r="O144" i="7" s="1"/>
  <c r="P144" i="7" s="1"/>
  <c r="G144" i="7"/>
  <c r="H193" i="7"/>
  <c r="I193" i="7" s="1"/>
  <c r="L193" i="7" s="1"/>
  <c r="O193" i="7" s="1"/>
  <c r="P193" i="7" s="1"/>
  <c r="G193" i="7"/>
  <c r="D193" i="7"/>
  <c r="Q193" i="7" s="1"/>
  <c r="K193" i="7"/>
  <c r="G91" i="7"/>
  <c r="K91" i="7"/>
  <c r="H91" i="7"/>
  <c r="I91" i="7" s="1"/>
  <c r="L91" i="7" s="1"/>
  <c r="O91" i="7" s="1"/>
  <c r="P91" i="7" s="1"/>
  <c r="D91" i="7"/>
  <c r="Q91" i="7" s="1"/>
  <c r="G99" i="7"/>
  <c r="D99" i="7"/>
  <c r="Q99" i="7" s="1"/>
  <c r="K99" i="7"/>
  <c r="H99" i="7"/>
  <c r="I99" i="7" s="1"/>
  <c r="L99" i="7" s="1"/>
  <c r="O99" i="7" s="1"/>
  <c r="P99" i="7" s="1"/>
  <c r="H191" i="7"/>
  <c r="I191" i="7" s="1"/>
  <c r="L191" i="7" s="1"/>
  <c r="O191" i="7" s="1"/>
  <c r="P191" i="7" s="1"/>
  <c r="K191" i="7"/>
  <c r="D191" i="7"/>
  <c r="Q191" i="7" s="1"/>
  <c r="G191" i="7"/>
  <c r="G50" i="7"/>
  <c r="D50" i="7"/>
  <c r="Q50" i="7" s="1"/>
  <c r="H50" i="7"/>
  <c r="I50" i="7" s="1"/>
  <c r="L50" i="7" s="1"/>
  <c r="O50" i="7" s="1"/>
  <c r="P50" i="7" s="1"/>
  <c r="K50" i="7"/>
  <c r="G98" i="7"/>
  <c r="D98" i="7"/>
  <c r="Q98" i="7" s="1"/>
  <c r="H98" i="7"/>
  <c r="I98" i="7" s="1"/>
  <c r="L98" i="7" s="1"/>
  <c r="O98" i="7" s="1"/>
  <c r="P98" i="7" s="1"/>
  <c r="K98" i="7"/>
  <c r="H199" i="7"/>
  <c r="I199" i="7" s="1"/>
  <c r="L199" i="7" s="1"/>
  <c r="O199" i="7" s="1"/>
  <c r="P199" i="7" s="1"/>
  <c r="K199" i="7"/>
  <c r="D199" i="7"/>
  <c r="Q199" i="7" s="1"/>
  <c r="G199" i="7"/>
  <c r="Q200" i="7"/>
  <c r="L192" i="7"/>
  <c r="O192" i="7" s="1"/>
  <c r="P192" i="7" s="1"/>
  <c r="Q184" i="7"/>
  <c r="Q114" i="7"/>
  <c r="H165" i="7"/>
  <c r="I165" i="7" s="1"/>
  <c r="L165" i="7" s="1"/>
  <c r="O165" i="7" s="1"/>
  <c r="P165" i="7" s="1"/>
  <c r="G165" i="7"/>
  <c r="D165" i="7"/>
  <c r="Q165" i="7" s="1"/>
  <c r="K165" i="7"/>
  <c r="G106" i="7"/>
  <c r="D106" i="7"/>
  <c r="Q106" i="7" s="1"/>
  <c r="K106" i="7"/>
  <c r="H106" i="7"/>
  <c r="I106" i="7" s="1"/>
  <c r="L106" i="7" s="1"/>
  <c r="O106" i="7" s="1"/>
  <c r="P106" i="7" s="1"/>
  <c r="L151" i="7"/>
  <c r="O151" i="7" s="1"/>
  <c r="P151" i="7" s="1"/>
  <c r="R151" i="7" s="1"/>
  <c r="D147" i="7"/>
  <c r="Q147" i="7" s="1"/>
  <c r="K147" i="7"/>
  <c r="G147" i="7"/>
  <c r="H147" i="7"/>
  <c r="I147" i="7" s="1"/>
  <c r="L147" i="7" s="1"/>
  <c r="O147" i="7" s="1"/>
  <c r="P147" i="7" s="1"/>
  <c r="L68" i="7"/>
  <c r="O68" i="7" s="1"/>
  <c r="P68" i="7" s="1"/>
  <c r="G132" i="7"/>
  <c r="K132" i="7"/>
  <c r="H132" i="7"/>
  <c r="I132" i="7" s="1"/>
  <c r="L132" i="7" s="1"/>
  <c r="O132" i="7" s="1"/>
  <c r="P132" i="7" s="1"/>
  <c r="D132" i="7"/>
  <c r="Q132" i="7" s="1"/>
  <c r="G135" i="7"/>
  <c r="H135" i="7"/>
  <c r="I135" i="7" s="1"/>
  <c r="L135" i="7" s="1"/>
  <c r="O135" i="7" s="1"/>
  <c r="P135" i="7" s="1"/>
  <c r="D135" i="7"/>
  <c r="Q135" i="7" s="1"/>
  <c r="K135" i="7"/>
  <c r="K36" i="7"/>
  <c r="G36" i="7"/>
  <c r="H36" i="7"/>
  <c r="I36" i="7" s="1"/>
  <c r="L36" i="7" s="1"/>
  <c r="O36" i="7" s="1"/>
  <c r="P36" i="7" s="1"/>
  <c r="D36" i="7"/>
  <c r="Q36" i="7" s="1"/>
  <c r="K17" i="7"/>
  <c r="G17" i="7"/>
  <c r="H17" i="7"/>
  <c r="D17" i="7"/>
  <c r="Q17" i="7" s="1"/>
  <c r="Q152" i="7"/>
  <c r="L139" i="7"/>
  <c r="O139" i="7" s="1"/>
  <c r="P139" i="7" s="1"/>
  <c r="R139" i="7" s="1"/>
  <c r="G75" i="7"/>
  <c r="H75" i="7"/>
  <c r="I75" i="7" s="1"/>
  <c r="L75" i="7" s="1"/>
  <c r="O75" i="7" s="1"/>
  <c r="P75" i="7" s="1"/>
  <c r="D75" i="7"/>
  <c r="Q75" i="7" s="1"/>
  <c r="K75" i="7"/>
  <c r="G63" i="7"/>
  <c r="H63" i="7"/>
  <c r="I63" i="7" s="1"/>
  <c r="L63" i="7" s="1"/>
  <c r="O63" i="7" s="1"/>
  <c r="P63" i="7" s="1"/>
  <c r="K63" i="7"/>
  <c r="D63" i="7"/>
  <c r="Q63" i="7" s="1"/>
  <c r="G92" i="7"/>
  <c r="K92" i="7"/>
  <c r="H92" i="7"/>
  <c r="I92" i="7" s="1"/>
  <c r="L92" i="7" s="1"/>
  <c r="O92" i="7" s="1"/>
  <c r="P92" i="7" s="1"/>
  <c r="D92" i="7"/>
  <c r="Q92" i="7" s="1"/>
  <c r="L56" i="7"/>
  <c r="O56" i="7" s="1"/>
  <c r="P56" i="7" s="1"/>
  <c r="R56" i="7" s="1"/>
  <c r="I111" i="3"/>
  <c r="J111" i="3" s="1"/>
  <c r="I58" i="3"/>
  <c r="J58" i="3" s="1"/>
  <c r="I77" i="3"/>
  <c r="J77" i="3" s="1"/>
  <c r="I109" i="3"/>
  <c r="J109" i="3" s="1"/>
  <c r="I141" i="3"/>
  <c r="J141" i="3" s="1"/>
  <c r="I173" i="3"/>
  <c r="J173" i="3" s="1"/>
  <c r="I84" i="3"/>
  <c r="J84" i="3" s="1"/>
  <c r="I116" i="3"/>
  <c r="J116" i="3" s="1"/>
  <c r="I148" i="3"/>
  <c r="J148" i="3" s="1"/>
  <c r="I180" i="3"/>
  <c r="J180" i="3" s="1"/>
  <c r="I9" i="3"/>
  <c r="J9" i="3" s="1"/>
  <c r="I199" i="3"/>
  <c r="J199" i="3" s="1"/>
  <c r="I28" i="3"/>
  <c r="J28" i="3" s="1"/>
  <c r="I29" i="3"/>
  <c r="J29" i="3" s="1"/>
  <c r="K4" i="7"/>
  <c r="G4" i="7"/>
  <c r="H4" i="7"/>
  <c r="D4" i="7"/>
  <c r="Q4" i="7" s="1"/>
  <c r="K27" i="7"/>
  <c r="G27" i="7"/>
  <c r="D27" i="7"/>
  <c r="Q27" i="7" s="1"/>
  <c r="H27" i="7"/>
  <c r="I27" i="7" s="1"/>
  <c r="L27" i="7" s="1"/>
  <c r="O27" i="7" s="1"/>
  <c r="P27" i="7" s="1"/>
  <c r="K16" i="7"/>
  <c r="G16" i="7"/>
  <c r="D16" i="7"/>
  <c r="Q16" i="7" s="1"/>
  <c r="H16" i="7"/>
  <c r="G73" i="7"/>
  <c r="K73" i="7"/>
  <c r="H73" i="7"/>
  <c r="I73" i="7" s="1"/>
  <c r="L73" i="7" s="1"/>
  <c r="O73" i="7" s="1"/>
  <c r="P73" i="7" s="1"/>
  <c r="D73" i="7"/>
  <c r="Q73" i="7" s="1"/>
  <c r="K13" i="7"/>
  <c r="G13" i="7"/>
  <c r="H13" i="7"/>
  <c r="D13" i="7"/>
  <c r="Q13" i="7" s="1"/>
  <c r="K10" i="7"/>
  <c r="G10" i="7"/>
  <c r="H10" i="7"/>
  <c r="D10" i="7"/>
  <c r="Q10" i="7" s="1"/>
  <c r="K38" i="7"/>
  <c r="G38" i="7"/>
  <c r="H38" i="7"/>
  <c r="I38" i="7" s="1"/>
  <c r="L38" i="7" s="1"/>
  <c r="O38" i="7" s="1"/>
  <c r="P38" i="7" s="1"/>
  <c r="D38" i="7"/>
  <c r="Q38" i="7" s="1"/>
  <c r="K15" i="7"/>
  <c r="G15" i="7"/>
  <c r="H15" i="7"/>
  <c r="D15" i="7"/>
  <c r="Q15" i="7" s="1"/>
  <c r="K30" i="7"/>
  <c r="G30" i="7"/>
  <c r="H30" i="7"/>
  <c r="I30" i="7" s="1"/>
  <c r="L30" i="7" s="1"/>
  <c r="O30" i="7" s="1"/>
  <c r="P30" i="7" s="1"/>
  <c r="D30" i="7"/>
  <c r="Q30" i="7" s="1"/>
  <c r="K23" i="7"/>
  <c r="G23" i="7"/>
  <c r="H23" i="7"/>
  <c r="I23" i="7" s="1"/>
  <c r="L23" i="7" s="1"/>
  <c r="O23" i="7" s="1"/>
  <c r="P23" i="7" s="1"/>
  <c r="D23" i="7"/>
  <c r="Q23" i="7" s="1"/>
  <c r="I30" i="3"/>
  <c r="J30" i="3" s="1"/>
  <c r="I62" i="3"/>
  <c r="J62" i="3" s="1"/>
  <c r="I81" i="3"/>
  <c r="J81" i="3" s="1"/>
  <c r="I56" i="3"/>
  <c r="J56" i="3" s="1"/>
  <c r="I88" i="3"/>
  <c r="J88" i="3" s="1"/>
  <c r="I120" i="3"/>
  <c r="J120" i="3" s="1"/>
  <c r="I152" i="3"/>
  <c r="J152" i="3" s="1"/>
  <c r="I184" i="3"/>
  <c r="J184" i="3" s="1"/>
  <c r="K193" i="2"/>
  <c r="K185" i="2"/>
  <c r="K209" i="2"/>
  <c r="K81" i="2"/>
  <c r="I35" i="3"/>
  <c r="J35" i="3" s="1"/>
  <c r="I18" i="7" l="1"/>
  <c r="L18" i="7" s="1"/>
  <c r="O18" i="7" s="1"/>
  <c r="P18" i="7" s="1"/>
  <c r="R18" i="7" s="1"/>
  <c r="R47" i="7"/>
  <c r="I20" i="7"/>
  <c r="L20" i="7" s="1"/>
  <c r="O20" i="7" s="1"/>
  <c r="P20" i="7" s="1"/>
  <c r="R20" i="7" s="1"/>
  <c r="R160" i="7"/>
  <c r="R70" i="7"/>
  <c r="R62" i="7"/>
  <c r="R105" i="7"/>
  <c r="R131" i="7"/>
  <c r="R96" i="7"/>
  <c r="R44" i="7"/>
  <c r="R167" i="7"/>
  <c r="R122" i="7"/>
  <c r="R155" i="7"/>
  <c r="R60" i="7"/>
  <c r="R83" i="7"/>
  <c r="I17" i="7"/>
  <c r="L17" i="7" s="1"/>
  <c r="O17" i="7" s="1"/>
  <c r="P17" i="7" s="1"/>
  <c r="R17" i="7" s="1"/>
  <c r="R74" i="7"/>
  <c r="R81" i="7"/>
  <c r="R108" i="7"/>
  <c r="I16" i="7"/>
  <c r="L16" i="7" s="1"/>
  <c r="O16" i="7" s="1"/>
  <c r="P16" i="7" s="1"/>
  <c r="R16" i="7" s="1"/>
  <c r="R192" i="7"/>
  <c r="R164" i="7"/>
  <c r="R124" i="7"/>
  <c r="R180" i="7"/>
  <c r="R52" i="7"/>
  <c r="R93" i="7"/>
  <c r="R115" i="7"/>
  <c r="R28" i="7"/>
  <c r="R68" i="7"/>
  <c r="R117" i="7"/>
  <c r="R45" i="7"/>
  <c r="R123" i="7"/>
  <c r="R53" i="7"/>
  <c r="I15" i="7"/>
  <c r="L15" i="7" s="1"/>
  <c r="O15" i="7" s="1"/>
  <c r="P15" i="7" s="1"/>
  <c r="R15" i="7" s="1"/>
  <c r="I10" i="7"/>
  <c r="L10" i="7" s="1"/>
  <c r="O10" i="7" s="1"/>
  <c r="P10" i="7" s="1"/>
  <c r="R10" i="7" s="1"/>
  <c r="I14" i="7"/>
  <c r="L14" i="7" s="1"/>
  <c r="O14" i="7" s="1"/>
  <c r="P14" i="7" s="1"/>
  <c r="R14" i="7" s="1"/>
  <c r="I5" i="7"/>
  <c r="L5" i="7" s="1"/>
  <c r="O5" i="7" s="1"/>
  <c r="P5" i="7" s="1"/>
  <c r="R5" i="7" s="1"/>
  <c r="I7" i="7"/>
  <c r="L7" i="7" s="1"/>
  <c r="O7" i="7" s="1"/>
  <c r="P7" i="7" s="1"/>
  <c r="R7" i="7" s="1"/>
  <c r="I9" i="7"/>
  <c r="L9" i="7" s="1"/>
  <c r="O9" i="7" s="1"/>
  <c r="P9" i="7" s="1"/>
  <c r="R9" i="7" s="1"/>
  <c r="R110" i="7"/>
  <c r="R102" i="7"/>
  <c r="R85" i="7"/>
  <c r="R97" i="7"/>
  <c r="R34" i="7"/>
  <c r="R185" i="7"/>
  <c r="I3" i="7"/>
  <c r="L3" i="7" s="1"/>
  <c r="O3" i="7" s="1"/>
  <c r="P3" i="7" s="1"/>
  <c r="R3" i="7" s="1"/>
  <c r="R111" i="7"/>
  <c r="R59" i="7"/>
  <c r="R69" i="7"/>
  <c r="R154" i="7"/>
  <c r="R119" i="7"/>
  <c r="R184" i="7"/>
  <c r="R106" i="7"/>
  <c r="I11" i="7"/>
  <c r="L11" i="7" s="1"/>
  <c r="O11" i="7" s="1"/>
  <c r="P11" i="7" s="1"/>
  <c r="R11" i="7" s="1"/>
  <c r="R130" i="7"/>
  <c r="R162" i="7"/>
  <c r="R71" i="7"/>
  <c r="R176" i="7"/>
  <c r="R82" i="7"/>
  <c r="R95" i="7"/>
  <c r="R43" i="7"/>
  <c r="R114" i="7"/>
  <c r="R35" i="7"/>
  <c r="R55" i="7"/>
  <c r="R87" i="7"/>
  <c r="R137" i="7"/>
  <c r="R113" i="7"/>
  <c r="F23" i="3"/>
  <c r="F25" i="3"/>
  <c r="F112" i="3"/>
  <c r="F101" i="3"/>
  <c r="F190" i="3"/>
  <c r="F174" i="3"/>
  <c r="F158" i="3"/>
  <c r="F142" i="3"/>
  <c r="F126" i="3"/>
  <c r="F110" i="3"/>
  <c r="F94" i="3"/>
  <c r="F181" i="3"/>
  <c r="F64" i="3"/>
  <c r="F21" i="3"/>
  <c r="F189" i="3"/>
  <c r="F88" i="3"/>
  <c r="F54" i="3"/>
  <c r="F76" i="3"/>
  <c r="F57" i="3"/>
  <c r="F153" i="3"/>
  <c r="F97" i="3"/>
  <c r="F141" i="3"/>
  <c r="F161" i="3"/>
  <c r="F58" i="3"/>
  <c r="F48" i="3"/>
  <c r="F27" i="3"/>
  <c r="F29" i="3"/>
  <c r="F82" i="3"/>
  <c r="F195" i="3"/>
  <c r="F179" i="3"/>
  <c r="F163" i="3"/>
  <c r="F147" i="3"/>
  <c r="F131" i="3"/>
  <c r="F115" i="3"/>
  <c r="F99" i="3"/>
  <c r="F188" i="3"/>
  <c r="F172" i="3"/>
  <c r="F156" i="3"/>
  <c r="F140" i="3"/>
  <c r="F124" i="3"/>
  <c r="F85" i="3"/>
  <c r="F137" i="3"/>
  <c r="F83" i="3"/>
  <c r="F51" i="3"/>
  <c r="F28" i="3"/>
  <c r="F52" i="3"/>
  <c r="F63" i="3"/>
  <c r="F35" i="3"/>
  <c r="F32" i="3"/>
  <c r="F96" i="3"/>
  <c r="F24" i="3"/>
  <c r="F53" i="3"/>
  <c r="F186" i="3"/>
  <c r="F170" i="3"/>
  <c r="F154" i="3"/>
  <c r="F138" i="3"/>
  <c r="F122" i="3"/>
  <c r="F106" i="3"/>
  <c r="F90" i="3"/>
  <c r="F80" i="3"/>
  <c r="F61" i="3"/>
  <c r="F109" i="3"/>
  <c r="F78" i="3"/>
  <c r="F133" i="3"/>
  <c r="F73" i="3"/>
  <c r="F92" i="3"/>
  <c r="F37" i="3"/>
  <c r="F26" i="3"/>
  <c r="F191" i="3"/>
  <c r="F175" i="3"/>
  <c r="F159" i="3"/>
  <c r="F143" i="3"/>
  <c r="F127" i="3"/>
  <c r="F111" i="3"/>
  <c r="F95" i="3"/>
  <c r="F200" i="3"/>
  <c r="F184" i="3"/>
  <c r="F168" i="3"/>
  <c r="F152" i="3"/>
  <c r="F136" i="3"/>
  <c r="F120" i="3"/>
  <c r="F149" i="3"/>
  <c r="F56" i="3"/>
  <c r="F105" i="3"/>
  <c r="F75" i="3"/>
  <c r="F157" i="3"/>
  <c r="F40" i="3"/>
  <c r="F68" i="3"/>
  <c r="F121" i="3"/>
  <c r="F55" i="3"/>
  <c r="F34" i="3"/>
  <c r="F39" i="3"/>
  <c r="F129" i="3"/>
  <c r="F22" i="3"/>
  <c r="F30" i="3"/>
  <c r="F198" i="3"/>
  <c r="F182" i="3"/>
  <c r="F166" i="3"/>
  <c r="F150" i="3"/>
  <c r="F134" i="3"/>
  <c r="F118" i="3"/>
  <c r="F102" i="3"/>
  <c r="F86" i="3"/>
  <c r="F77" i="3"/>
  <c r="F45" i="3"/>
  <c r="F177" i="3"/>
  <c r="F104" i="3"/>
  <c r="F70" i="3"/>
  <c r="F197" i="3"/>
  <c r="F113" i="3"/>
  <c r="F36" i="3"/>
  <c r="F43" i="3"/>
  <c r="F187" i="3"/>
  <c r="F171" i="3"/>
  <c r="F155" i="3"/>
  <c r="F139" i="3"/>
  <c r="F123" i="3"/>
  <c r="F107" i="3"/>
  <c r="F91" i="3"/>
  <c r="F196" i="3"/>
  <c r="F180" i="3"/>
  <c r="F164" i="3"/>
  <c r="F148" i="3"/>
  <c r="F132" i="3"/>
  <c r="F116" i="3"/>
  <c r="F72" i="3"/>
  <c r="F100" i="3"/>
  <c r="F67" i="3"/>
  <c r="F42" i="3"/>
  <c r="F84" i="3"/>
  <c r="F65" i="3"/>
  <c r="F185" i="3"/>
  <c r="F79" i="3"/>
  <c r="F44" i="3"/>
  <c r="F173" i="3"/>
  <c r="F33" i="3"/>
  <c r="F193" i="3"/>
  <c r="F38" i="3"/>
  <c r="F49" i="3"/>
  <c r="F47" i="3"/>
  <c r="F194" i="3"/>
  <c r="F178" i="3"/>
  <c r="F162" i="3"/>
  <c r="F146" i="3"/>
  <c r="F130" i="3"/>
  <c r="F114" i="3"/>
  <c r="F98" i="3"/>
  <c r="F117" i="3"/>
  <c r="F169" i="3"/>
  <c r="F125" i="3"/>
  <c r="F93" i="3"/>
  <c r="F62" i="3"/>
  <c r="F60" i="3"/>
  <c r="F108" i="3"/>
  <c r="F41" i="3"/>
  <c r="F66" i="3"/>
  <c r="F74" i="3"/>
  <c r="F46" i="3"/>
  <c r="F50" i="3"/>
  <c r="F199" i="3"/>
  <c r="F183" i="3"/>
  <c r="F167" i="3"/>
  <c r="F151" i="3"/>
  <c r="F135" i="3"/>
  <c r="F119" i="3"/>
  <c r="F103" i="3"/>
  <c r="F87" i="3"/>
  <c r="F192" i="3"/>
  <c r="F176" i="3"/>
  <c r="F160" i="3"/>
  <c r="F144" i="3"/>
  <c r="F128" i="3"/>
  <c r="F69" i="3"/>
  <c r="F89" i="3"/>
  <c r="F59" i="3"/>
  <c r="F31" i="3"/>
  <c r="F145" i="3"/>
  <c r="F165" i="3"/>
  <c r="F81" i="3"/>
  <c r="F71" i="3"/>
  <c r="R188" i="7"/>
  <c r="I8" i="7"/>
  <c r="L8" i="7" s="1"/>
  <c r="O8" i="7" s="1"/>
  <c r="P8" i="7" s="1"/>
  <c r="R8" i="7" s="1"/>
  <c r="R29" i="7"/>
  <c r="R77" i="7"/>
  <c r="R199" i="7"/>
  <c r="R26" i="7"/>
  <c r="R65" i="7"/>
  <c r="R25" i="7"/>
  <c r="R168" i="7"/>
  <c r="R187" i="7"/>
  <c r="R196" i="7"/>
  <c r="I6" i="7"/>
  <c r="L6" i="7" s="1"/>
  <c r="O6" i="7" s="1"/>
  <c r="P6" i="7" s="1"/>
  <c r="R6" i="7" s="1"/>
  <c r="R38" i="7"/>
  <c r="I13" i="7"/>
  <c r="L13" i="7" s="1"/>
  <c r="O13" i="7" s="1"/>
  <c r="P13" i="7" s="1"/>
  <c r="R13" i="7" s="1"/>
  <c r="R191" i="7"/>
  <c r="R174" i="7"/>
  <c r="R138" i="7"/>
  <c r="R190" i="7"/>
  <c r="R182" i="7"/>
  <c r="R197" i="7"/>
  <c r="R171" i="7"/>
  <c r="R161" i="7"/>
  <c r="R126" i="7"/>
  <c r="R90" i="7"/>
  <c r="R30" i="7"/>
  <c r="R100" i="7"/>
  <c r="R132" i="7"/>
  <c r="R72" i="7"/>
  <c r="R64" i="7"/>
  <c r="R51" i="7"/>
  <c r="R67" i="7"/>
  <c r="R169" i="7"/>
  <c r="R61" i="7"/>
  <c r="R49" i="7"/>
  <c r="R46" i="7"/>
  <c r="R73" i="7"/>
  <c r="R21" i="7"/>
  <c r="R24" i="7"/>
  <c r="R33" i="7"/>
  <c r="R23" i="7"/>
  <c r="R75" i="7"/>
  <c r="R183" i="7"/>
  <c r="R129" i="7"/>
  <c r="R195" i="7"/>
  <c r="R79" i="7"/>
  <c r="R142" i="7"/>
  <c r="R76" i="7"/>
  <c r="R63" i="7"/>
  <c r="R165" i="7"/>
  <c r="R99" i="7"/>
  <c r="R31" i="7"/>
  <c r="R32" i="7"/>
  <c r="R104" i="7"/>
  <c r="R134" i="7"/>
  <c r="R94" i="7"/>
  <c r="R181" i="7"/>
  <c r="R149" i="7"/>
  <c r="R37" i="7"/>
  <c r="R39" i="7"/>
  <c r="R27" i="7"/>
  <c r="R50" i="7"/>
  <c r="I12" i="7"/>
  <c r="L12" i="7" s="1"/>
  <c r="O12" i="7" s="1"/>
  <c r="P12" i="7" s="1"/>
  <c r="R12" i="7" s="1"/>
  <c r="R178" i="7"/>
  <c r="R186" i="7"/>
  <c r="R189" i="7"/>
  <c r="R19" i="7"/>
  <c r="R200" i="7"/>
  <c r="R92" i="7"/>
  <c r="R135" i="7"/>
  <c r="R193" i="7"/>
  <c r="R179" i="7"/>
  <c r="R84" i="7"/>
  <c r="R107" i="7"/>
  <c r="R198" i="7"/>
  <c r="R163" i="7"/>
  <c r="R57" i="7"/>
  <c r="R175" i="7"/>
  <c r="R127" i="7"/>
  <c r="R116" i="7"/>
  <c r="R40" i="7"/>
  <c r="R147" i="7"/>
  <c r="R121" i="7"/>
  <c r="R36" i="7"/>
  <c r="R98" i="7"/>
  <c r="R91" i="7"/>
  <c r="R144" i="7"/>
  <c r="I2" i="7"/>
  <c r="L2" i="7" s="1"/>
  <c r="O2" i="7" s="1"/>
  <c r="P2" i="7" s="1"/>
  <c r="R2" i="7" s="1"/>
  <c r="R158" i="7"/>
  <c r="R170" i="7"/>
  <c r="R177" i="7"/>
  <c r="R194" i="7"/>
  <c r="R86" i="7"/>
  <c r="I4" i="7"/>
  <c r="L4" i="7" s="1"/>
  <c r="O4" i="7" s="1"/>
  <c r="P4" i="7" s="1"/>
  <c r="R4" i="7" s="1"/>
  <c r="R22" i="7"/>
  <c r="R152" i="7"/>
  <c r="R156" i="7"/>
  <c r="R41" i="7"/>
  <c r="R140" i="7"/>
</calcChain>
</file>

<file path=xl/sharedStrings.xml><?xml version="1.0" encoding="utf-8"?>
<sst xmlns="http://schemas.openxmlformats.org/spreadsheetml/2006/main" count="387" uniqueCount="139">
  <si>
    <t>Issuer</t>
  </si>
  <si>
    <t>Timestamp</t>
  </si>
  <si>
    <t>Interest Rate</t>
  </si>
  <si>
    <t>Duration (Days)</t>
  </si>
  <si>
    <t>MBB</t>
  </si>
  <si>
    <t>Listing ID</t>
  </si>
  <si>
    <t>CD ID</t>
  </si>
  <si>
    <t>Price ($)</t>
  </si>
  <si>
    <t>Value at Maturity ($)</t>
  </si>
  <si>
    <t>Maturity Date</t>
  </si>
  <si>
    <t>Remaining Duration (Days)</t>
  </si>
  <si>
    <t>Effective YTM</t>
  </si>
  <si>
    <t>Corresponding Rate</t>
  </si>
  <si>
    <t>Entry Spread</t>
  </si>
  <si>
    <t>TP03077</t>
  </si>
  <si>
    <t>TP03085</t>
  </si>
  <si>
    <t>TP03093</t>
  </si>
  <si>
    <t>TP03104</t>
  </si>
  <si>
    <t>TP00964</t>
  </si>
  <si>
    <t>TP03429</t>
  </si>
  <si>
    <t>TP00537</t>
  </si>
  <si>
    <t>TP01034</t>
  </si>
  <si>
    <t>TP00945</t>
  </si>
  <si>
    <t>TP00558</t>
  </si>
  <si>
    <t>TP00877</t>
  </si>
  <si>
    <t>TP01801</t>
  </si>
  <si>
    <t>TP00397</t>
  </si>
  <si>
    <t>TP93098</t>
  </si>
  <si>
    <t>TP01953</t>
  </si>
  <si>
    <t>TP01959</t>
  </si>
  <si>
    <t>TP01961</t>
  </si>
  <si>
    <t>TP01114</t>
  </si>
  <si>
    <t>TP00575</t>
  </si>
  <si>
    <t>Remaining Days</t>
  </si>
  <si>
    <t>Liquidity Spread</t>
  </si>
  <si>
    <t>Pricing Yield</t>
  </si>
  <si>
    <t>Model Price ($)</t>
  </si>
  <si>
    <t>L-0001</t>
  </si>
  <si>
    <t>L-0002</t>
  </si>
  <si>
    <t>L-0003</t>
  </si>
  <si>
    <t>L-0004</t>
  </si>
  <si>
    <t>L-0005</t>
  </si>
  <si>
    <t>L-0006</t>
  </si>
  <si>
    <t>L-0007</t>
  </si>
  <si>
    <t>L-0008</t>
  </si>
  <si>
    <t>L-0009</t>
  </si>
  <si>
    <t>L-0010</t>
  </si>
  <si>
    <t>L-0011</t>
  </si>
  <si>
    <t>L-0012</t>
  </si>
  <si>
    <t>L-0013</t>
  </si>
  <si>
    <t>L-0014</t>
  </si>
  <si>
    <t>L-0015</t>
  </si>
  <si>
    <t>L-0016</t>
  </si>
  <si>
    <t>L-0017</t>
  </si>
  <si>
    <t>L-0018</t>
  </si>
  <si>
    <t>L-0019</t>
  </si>
  <si>
    <t>Buy Timestamp</t>
  </si>
  <si>
    <t>Parent Listing ID</t>
  </si>
  <si>
    <t>Original Listing ID</t>
  </si>
  <si>
    <t>Face Value ($)</t>
  </si>
  <si>
    <t>Remaining Face Value ($)</t>
  </si>
  <si>
    <t>Order ID</t>
  </si>
  <si>
    <t>Prev. Order ID</t>
  </si>
  <si>
    <t>Order Timestamp</t>
  </si>
  <si>
    <t>Sell Face Value ($)</t>
  </si>
  <si>
    <t>Asking Price ($)</t>
  </si>
  <si>
    <t>O-0001</t>
  </si>
  <si>
    <t>O-0002</t>
  </si>
  <si>
    <t>O-0003</t>
  </si>
  <si>
    <t>O-0004</t>
  </si>
  <si>
    <t>O-0005</t>
  </si>
  <si>
    <t>O-0006</t>
  </si>
  <si>
    <t>O-0007</t>
  </si>
  <si>
    <t>O-0008</t>
  </si>
  <si>
    <t>O-0009</t>
  </si>
  <si>
    <t>O-0010</t>
  </si>
  <si>
    <t>O-0011</t>
  </si>
  <si>
    <t>O-0012</t>
  </si>
  <si>
    <t>O-0013</t>
  </si>
  <si>
    <t>O-0014</t>
  </si>
  <si>
    <t>O-0015</t>
  </si>
  <si>
    <t>O-0016</t>
  </si>
  <si>
    <t>Matched Timestamp</t>
  </si>
  <si>
    <t>Sold Face Value ($)</t>
  </si>
  <si>
    <t>Sell Timestamp</t>
  </si>
  <si>
    <t>Original Face Value ($)</t>
  </si>
  <si>
    <t>Original Buy Price ($)</t>
  </si>
  <si>
    <t>Allocated Buy Cost ($)</t>
  </si>
  <si>
    <t>Sell Price ($)</t>
  </si>
  <si>
    <t>Gross Profit ($)</t>
  </si>
  <si>
    <t>Tax ($)</t>
  </si>
  <si>
    <t>Fee ($)</t>
  </si>
  <si>
    <t>Net Profit ($)</t>
  </si>
  <si>
    <t>ROI</t>
  </si>
  <si>
    <t>Holding Period (Days)</t>
  </si>
  <si>
    <t>Effective Annual Return</t>
  </si>
  <si>
    <t>L-0020</t>
  </si>
  <si>
    <t>L-0021</t>
  </si>
  <si>
    <t>O-0017</t>
  </si>
  <si>
    <t>O-0018</t>
  </si>
  <si>
    <t>L-00191</t>
  </si>
  <si>
    <t>L-00192</t>
  </si>
  <si>
    <t>TP00658</t>
  </si>
  <si>
    <t>TP00665</t>
  </si>
  <si>
    <t>Effective Return</t>
  </si>
  <si>
    <t>O-0019</t>
  </si>
  <si>
    <t>O-0020</t>
  </si>
  <si>
    <t>TP60268</t>
  </si>
  <si>
    <t>L-0022</t>
  </si>
  <si>
    <t>O-0021</t>
  </si>
  <si>
    <t>TP00746</t>
  </si>
  <si>
    <t>TP51250</t>
  </si>
  <si>
    <t>TP51686</t>
  </si>
  <si>
    <t>TP03038</t>
  </si>
  <si>
    <t>TP00403</t>
  </si>
  <si>
    <t>TP96004</t>
  </si>
  <si>
    <t>TP22853</t>
  </si>
  <si>
    <t>TP01183</t>
  </si>
  <si>
    <t>TP03921</t>
  </si>
  <si>
    <t>TP00975</t>
  </si>
  <si>
    <t>L-0025</t>
  </si>
  <si>
    <t>L-0026</t>
  </si>
  <si>
    <t>L-0027</t>
  </si>
  <si>
    <t>L-0028</t>
  </si>
  <si>
    <t>L-0029</t>
  </si>
  <si>
    <t>L-0030</t>
  </si>
  <si>
    <t>L-0031</t>
  </si>
  <si>
    <t>L-0032</t>
  </si>
  <si>
    <t>L-0033</t>
  </si>
  <si>
    <t>O-0022</t>
  </si>
  <si>
    <t>TP64169</t>
  </si>
  <si>
    <t>TP04699</t>
  </si>
  <si>
    <t>TP03469</t>
  </si>
  <si>
    <t>TP26183</t>
  </si>
  <si>
    <t>TP03456</t>
  </si>
  <si>
    <t>TP40682</t>
  </si>
  <si>
    <t>TP00752</t>
  </si>
  <si>
    <t>TP78298</t>
  </si>
  <si>
    <t>TP03174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</si>
</sst>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\-yyyy"/>
    <numFmt numFmtId="165" formatCode="0.0000%"/>
    <numFmt numFmtId="166" formatCode="0.0000%;[Red]\(0.0000%\);\-"/>
    <numFmt numFmtId="167" formatCode="\$#,##0.00;[Red]\(\$#,##0.00\);\-"/>
  </numFmts>
  <fonts count="6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8000"/>
      <name val="Carlito"/>
    </font>
    <font>
      <sz val="11"/>
      <color rgb="FF000000"/>
      <name val="Carlito"/>
    </font>
    <font>
      <sz val="11"/>
      <color rgb="FF0070C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165" fontId="2" fillId="0" borderId="0" xfId="0" applyNumberFormat="1" applyFont="1" applyFill="1" applyBorder="1"/>
    <xf numFmtId="164" fontId="2" fillId="0" borderId="0" xfId="0" applyNumberFormat="1" applyFont="1" applyFill="1" applyBorder="1"/>
    <xf numFmtId="166" fontId="2" fillId="0" borderId="0" xfId="0" applyNumberFormat="1" applyFont="1" applyFill="1" applyBorder="1"/>
    <xf numFmtId="1" fontId="2" fillId="0" borderId="0" xfId="0" applyNumberFormat="1" applyFont="1" applyFill="1" applyBorder="1"/>
    <xf numFmtId="167" fontId="2" fillId="0" borderId="0" xfId="0" applyNumberFormat="1" applyFont="1" applyFill="1" applyBorder="1"/>
    <xf numFmtId="0" fontId="3" fillId="0" borderId="0" xfId="0" applyNumberFormat="1" applyFont="1" applyFill="1" applyBorder="1"/>
    <xf numFmtId="167" fontId="3" fillId="0" borderId="0" xfId="0" applyNumberFormat="1" applyFont="1" applyFill="1" applyBorder="1"/>
    <xf numFmtId="166" fontId="3" fillId="0" borderId="0" xfId="0" applyNumberFormat="1" applyFont="1" applyFill="1" applyBorder="1"/>
    <xf numFmtId="167" fontId="4" fillId="0" borderId="0" xfId="0" applyNumberFormat="1" applyFont="1" applyFill="1" applyBorder="1"/>
    <xf numFmtId="10" fontId="4" fillId="0" borderId="0" xfId="0" applyNumberFormat="1" applyFont="1" applyFill="1" applyBorder="1"/>
    <xf numFmtId="164" fontId="3" fillId="0" borderId="0" xfId="0" applyNumberFormat="1" applyFont="1" applyFill="1" applyBorder="1"/>
    <xf numFmtId="166" fontId="4" fillId="0" borderId="0" xfId="0" applyNumberFormat="1" applyFont="1" applyFill="1" applyBorder="1"/>
    <xf numFmtId="1" fontId="4" fillId="0" borderId="0" xfId="0" applyNumberFormat="1" applyFont="1" applyFill="1" applyBorder="1"/>
    <xf numFmtId="166" fontId="5" fillId="0" borderId="0" xfId="0" applyNumberFormat="1" applyFont="1" applyFill="1" applyBorder="1"/>
    <xf numFmtId="0" fontId="5" fillId="0" borderId="0" xfId="0" applyNumberFormat="1" applyFont="1" applyFill="1" applyBorder="1"/>
    <xf numFmtId="0" fontId="0" fillId="0" borderId="0" xfId="0" applyNumberFormat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rlito"/>
        <scheme val="none"/>
      </font>
      <numFmt numFmtId="166" formatCode="0.0000%;[Red]\(0.0000%\);\-"/>
      <fill>
        <patternFill patternType="none">
          <fgColor indexed="64"/>
          <bgColor indexed="65"/>
        </patternFill>
      </fill>
    </dxf>
    <dxf>
      <numFmt numFmtId="0" formatCode="General"/>
    </dxf>
    <dxf>
      <numFmt numFmtId="165" formatCode="0.0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RatesTable" displayName="BankRatesTable" ref="A1:D100" totalsRowShown="0">
  <tableColumns count="4">
    <tableColumn id="1" xr3:uid="{00000000-0010-0000-0000-000001000000}" name="Issuer"/>
    <tableColumn id="2" xr3:uid="{00000000-0010-0000-0000-000002000000}" name="Timestamp"/>
    <tableColumn id="3" xr3:uid="{00000000-0010-0000-0000-000003000000}" name="Interest Rate"/>
    <tableColumn id="4" xr3:uid="{00000000-0010-0000-0000-000004000000}" name="Duration (Day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ObservationsTable" displayName="RawObservationsTable" ref="A1:K250" totalsRowShown="0">
  <tableColumns count="11">
    <tableColumn id="1" xr3:uid="{00000000-0010-0000-0100-000001000000}" name="Listing ID"/>
    <tableColumn id="2" xr3:uid="{00000000-0010-0000-0100-000002000000}" name="CD ID"/>
    <tableColumn id="3" xr3:uid="{00000000-0010-0000-0100-000003000000}" name="Timestamp"/>
    <tableColumn id="4" xr3:uid="{00000000-0010-0000-0100-000004000000}" name="Price ($)"/>
    <tableColumn id="5" xr3:uid="{00000000-0010-0000-0100-000005000000}" name="Value at Maturity ($)"/>
    <tableColumn id="6" xr3:uid="{00000000-0010-0000-0100-000006000000}" name="Maturity Date"/>
    <tableColumn id="7" xr3:uid="{00000000-0010-0000-0100-000007000000}" name="Remaining Duration (Days)"/>
    <tableColumn id="8" xr3:uid="{00000000-0010-0000-0100-000008000000}" name="Issuer"/>
    <tableColumn id="9" xr3:uid="{00000000-0010-0000-0100-000009000000}" name="Effective YTM"/>
    <tableColumn id="10" xr3:uid="{00000000-0010-0000-0100-00000A000000}" name="Corresponding Rate" dataDxfId="2">
      <calculatedColumnFormula>IFERROR(SUMIFS(Bank_Rates!$C$2:$C$100,Bank_Rates!$A$2:$A$100,H2,Bank_Rates!$B$2:$B$100,LOOKUP(2,1/((Bank_Rates!$A$2:$A$100=H2)*(Bank_Rates!$B$2:$B$100&lt;=C2)),Bank_Rates!$B$2:$B$100),Bank_Rates!$D$2:$D$100,_xlfn.AGGREGATE(14,6,Bank_Rates!$D$2:$D$100/((Bank_Rates!$A$2:$A$100=H2)*(Bank_Rates!$B$2:$B$100=LOOKUP(2,1/((Bank_Rates!$A$2:$A$100=H2)*(Bank_Rates!$B$2:$B$100&lt;=C2)),Bank_Rates!$B$2:$B$100))*(Bank_Rates!$D$2:$D$100&lt;=G2)),1)),"No Match")</calculatedColumnFormula>
    </tableColumn>
    <tableColumn id="11" xr3:uid="{00000000-0010-0000-0100-00000B000000}" name="Entry Spre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icingTable" displayName="PricingTable" ref="A1:J200" totalsRowShown="0">
  <tableColumns count="10">
    <tableColumn id="1" xr3:uid="{00000000-0010-0000-0200-000001000000}" name="Listing ID"/>
    <tableColumn id="2" xr3:uid="{00000000-0010-0000-0200-000002000000}" name="CD ID"/>
    <tableColumn id="3" xr3:uid="{00000000-0010-0000-0200-000003000000}" name="Value at Maturity ($)"/>
    <tableColumn id="4" xr3:uid="{00000000-0010-0000-0200-000004000000}" name="Remaining Days" dataDxfId="1"/>
    <tableColumn id="5" xr3:uid="{00000000-0010-0000-0200-000005000000}" name="Corresponding Rate"/>
    <tableColumn id="6" xr3:uid="{00000000-0010-0000-0200-000006000000}" name="Entry Spread"/>
    <tableColumn id="7" xr3:uid="{00000000-0010-0000-0200-000007000000}" name="Liquidity Spread"/>
    <tableColumn id="8" xr3:uid="{00000000-0010-0000-0200-000008000000}" name="Pricing Yield"/>
    <tableColumn id="9" xr3:uid="{00000000-0010-0000-0200-000009000000}" name="Model Price ($)"/>
    <tableColumn id="10" xr3:uid="{446CFED8-D62D-4880-9279-06B84A86FE20}" name="Effective Return" dataDxfId="0">
      <calculatedColumnFormula>IFERROR((I2/LOOKUP(2,1/((Raw_Observations!$A$2:$A$999=A2)*(Raw_Observations!$B$2:$B$999=B2)),Raw_Observations!$D$2:$D$999))^365-1,"")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uyHistoryTable" displayName="BuyHistoryTable" ref="A1:F200" totalsRowShown="0">
  <tableColumns count="6">
    <tableColumn id="1" xr3:uid="{00000000-0010-0000-0300-000001000000}" name="Listing ID"/>
    <tableColumn id="2" xr3:uid="{00000000-0010-0000-0300-000002000000}" name="CD ID"/>
    <tableColumn id="3" xr3:uid="{00000000-0010-0000-0300-000003000000}" name="Buy Timestamp"/>
    <tableColumn id="4" xr3:uid="{00000000-0010-0000-0300-000004000000}" name="Parent Listing ID"/>
    <tableColumn id="6" xr3:uid="{00000000-0010-0000-0300-000006000000}" name="Face Value ($)"/>
    <tableColumn id="7" xr3:uid="{00000000-0010-0000-0300-000007000000}" name="Remaining Face Value ($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rderHistoryTable" displayName="OrderHistoryTable" ref="A1:G200" totalsRowShown="0">
  <tableColumns count="7">
    <tableColumn id="1" xr3:uid="{00000000-0010-0000-0400-000001000000}" name="Listing ID"/>
    <tableColumn id="2" xr3:uid="{00000000-0010-0000-0400-000002000000}" name="CD ID"/>
    <tableColumn id="3" xr3:uid="{00000000-0010-0000-0400-000003000000}" name="Order ID"/>
    <tableColumn id="4" xr3:uid="{00000000-0010-0000-0400-000004000000}" name="Prev. Order ID"/>
    <tableColumn id="5" xr3:uid="{00000000-0010-0000-0400-000005000000}" name="Order Timestamp"/>
    <tableColumn id="6" xr3:uid="{00000000-0010-0000-0400-000006000000}" name="Sell Face Value ($)"/>
    <tableColumn id="7" xr3:uid="{00000000-0010-0000-0400-000007000000}" name="Asking Price ($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ellHistoryTable" displayName="SellHistoryTable" ref="A1:E200" totalsRowShown="0">
  <tableColumns count="5">
    <tableColumn id="1" xr3:uid="{00000000-0010-0000-0500-000001000000}" name="Listing ID"/>
    <tableColumn id="2" xr3:uid="{00000000-0010-0000-0500-000002000000}" name="CD ID"/>
    <tableColumn id="3" xr3:uid="{00000000-0010-0000-0500-000003000000}" name="Order ID"/>
    <tableColumn id="4" xr3:uid="{00000000-0010-0000-0500-000004000000}" name="Matched Timestamp"/>
    <tableColumn id="5" xr3:uid="{00000000-0010-0000-0500-000005000000}" name="Sold Face Value ($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deResultsTable" displayName="TradeResultsTable" ref="A1:R200" totalsRowShown="0">
  <tableColumns count="18">
    <tableColumn id="1" xr3:uid="{00000000-0010-0000-0600-000001000000}" name="Listing ID"/>
    <tableColumn id="2" xr3:uid="{00000000-0010-0000-0600-000002000000}" name="CD ID"/>
    <tableColumn id="3" xr3:uid="{00000000-0010-0000-0600-000003000000}" name="Original Listing ID"/>
    <tableColumn id="4" xr3:uid="{00000000-0010-0000-0600-000004000000}" name="Buy Timestamp"/>
    <tableColumn id="5" xr3:uid="{00000000-0010-0000-0600-000005000000}" name="Sell Timestamp"/>
    <tableColumn id="6" xr3:uid="{00000000-0010-0000-0600-000006000000}" name="Sold Face Value ($)"/>
    <tableColumn id="7" xr3:uid="{00000000-0010-0000-0600-000007000000}" name="Original Face Value ($)"/>
    <tableColumn id="8" xr3:uid="{00000000-0010-0000-0600-000008000000}" name="Original Buy Price ($)"/>
    <tableColumn id="9" xr3:uid="{00000000-0010-0000-0600-000009000000}" name="Allocated Buy Cost ($)"/>
    <tableColumn id="10" xr3:uid="{00000000-0010-0000-0600-00000A000000}" name="Sell Price ($)"/>
    <tableColumn id="11" xr3:uid="{00000000-0010-0000-0600-00000B000000}" name="Liquidity Spread"/>
    <tableColumn id="12" xr3:uid="{00000000-0010-0000-0600-00000C000000}" name="Gross Profit ($)"/>
    <tableColumn id="13" xr3:uid="{00000000-0010-0000-0600-00000D000000}" name="Tax ($)"/>
    <tableColumn id="14" xr3:uid="{00000000-0010-0000-0600-00000E000000}" name="Fee ($)"/>
    <tableColumn id="15" xr3:uid="{00000000-0010-0000-0600-00000F000000}" name="Net Profit ($)"/>
    <tableColumn id="16" xr3:uid="{00000000-0010-0000-0600-000010000000}" name="ROI"/>
    <tableColumn id="17" xr3:uid="{00000000-0010-0000-0600-000011000000}" name="Holding Period (Days)"/>
    <tableColumn id="18" xr3:uid="{00000000-0010-0000-0600-000012000000}" name="Effective Annual Ret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"/>
  <sheetViews>
    <sheetView workbookViewId="0"/>
  </sheetViews>
  <sheetFormatPr defaultRowHeight="13.8"/>
  <cols>
    <col min="1" max="2" width="20" customWidth="1"/>
    <col min="3" max="3" width="16" customWidth="1"/>
    <col min="4" max="4" width="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4">
        <v>46244</v>
      </c>
      <c r="C2" s="5">
        <v>1.7999999999999999E-2</v>
      </c>
      <c r="D2" s="6">
        <v>1</v>
      </c>
    </row>
    <row r="3" spans="1:4">
      <c r="A3" s="2" t="s">
        <v>4</v>
      </c>
      <c r="B3" s="4">
        <v>46244</v>
      </c>
      <c r="C3" s="5">
        <v>0.04</v>
      </c>
      <c r="D3" s="6">
        <v>21</v>
      </c>
    </row>
    <row r="4" spans="1:4">
      <c r="A4" s="2" t="s">
        <v>4</v>
      </c>
      <c r="B4" s="4">
        <v>46244</v>
      </c>
      <c r="C4" s="5">
        <v>6.5000000000000002E-2</v>
      </c>
      <c r="D4" s="6">
        <v>30</v>
      </c>
    </row>
    <row r="5" spans="1:4">
      <c r="A5" s="2" t="s">
        <v>4</v>
      </c>
      <c r="B5" s="4">
        <v>46244</v>
      </c>
      <c r="C5" s="5">
        <v>6.7000000000000004E-2</v>
      </c>
      <c r="D5" s="6">
        <v>60</v>
      </c>
    </row>
    <row r="6" spans="1:4">
      <c r="A6" s="2" t="s">
        <v>4</v>
      </c>
      <c r="B6" s="4">
        <v>46244</v>
      </c>
      <c r="C6" s="5">
        <v>7.0000000000000007E-2</v>
      </c>
      <c r="D6" s="6">
        <v>90</v>
      </c>
    </row>
    <row r="7" spans="1:4">
      <c r="A7" s="2" t="s">
        <v>4</v>
      </c>
      <c r="B7" s="4">
        <v>46244</v>
      </c>
      <c r="C7" s="5">
        <v>7.0000000000000007E-2</v>
      </c>
      <c r="D7" s="6">
        <v>120</v>
      </c>
    </row>
    <row r="8" spans="1:4">
      <c r="A8" s="2" t="s">
        <v>4</v>
      </c>
      <c r="B8" s="4">
        <v>46244</v>
      </c>
      <c r="C8" s="5">
        <v>7.0000000000000007E-2</v>
      </c>
      <c r="D8" s="6">
        <v>150</v>
      </c>
    </row>
    <row r="9" spans="1:4">
      <c r="A9" s="2" t="s">
        <v>4</v>
      </c>
      <c r="B9" s="4">
        <v>46244</v>
      </c>
      <c r="C9" s="5">
        <v>7.0999999999999994E-2</v>
      </c>
      <c r="D9" s="6">
        <v>180</v>
      </c>
    </row>
    <row r="10" spans="1:4">
      <c r="A10" s="2" t="s">
        <v>4</v>
      </c>
      <c r="B10" s="4">
        <v>46244</v>
      </c>
      <c r="C10" s="5">
        <v>7.0999999999999994E-2</v>
      </c>
      <c r="D10" s="6">
        <v>210</v>
      </c>
    </row>
    <row r="11" spans="1:4">
      <c r="A11" s="2" t="s">
        <v>4</v>
      </c>
      <c r="B11" s="4">
        <v>46244</v>
      </c>
      <c r="C11" s="5">
        <v>7.0999999999999994E-2</v>
      </c>
      <c r="D11" s="6">
        <v>240</v>
      </c>
    </row>
    <row r="12" spans="1:4">
      <c r="A12" s="2" t="s">
        <v>4</v>
      </c>
      <c r="B12" s="4">
        <v>46244</v>
      </c>
      <c r="C12" s="5">
        <v>7.0999999999999994E-2</v>
      </c>
      <c r="D12" s="6">
        <v>270</v>
      </c>
    </row>
    <row r="13" spans="1:4">
      <c r="A13" s="2" t="s">
        <v>4</v>
      </c>
      <c r="B13" s="4">
        <v>46244</v>
      </c>
      <c r="C13" s="5">
        <v>0.02</v>
      </c>
      <c r="D13" s="6">
        <v>7</v>
      </c>
    </row>
    <row r="14" spans="1:4">
      <c r="A14" s="2" t="s">
        <v>4</v>
      </c>
      <c r="B14" s="4">
        <v>46244</v>
      </c>
      <c r="C14" s="5">
        <v>0.03</v>
      </c>
      <c r="D14" s="6">
        <v>14</v>
      </c>
    </row>
    <row r="15" spans="1:4">
      <c r="A15" s="2"/>
      <c r="B15" s="4"/>
      <c r="C15" s="5"/>
      <c r="D15" s="6"/>
    </row>
    <row r="16" spans="1:4">
      <c r="A16" s="2"/>
      <c r="B16" s="4"/>
      <c r="C16" s="5"/>
      <c r="D16" s="6"/>
    </row>
    <row r="17" spans="1:4">
      <c r="A17" s="2"/>
      <c r="B17" s="4"/>
      <c r="C17" s="5"/>
      <c r="D17" s="6"/>
    </row>
    <row r="18" spans="1:4">
      <c r="A18" s="2"/>
      <c r="B18" s="4"/>
      <c r="C18" s="5"/>
      <c r="D18" s="6"/>
    </row>
    <row r="19" spans="1:4">
      <c r="A19" s="2"/>
      <c r="B19" s="4"/>
      <c r="C19" s="5"/>
      <c r="D19" s="6"/>
    </row>
    <row r="20" spans="1:4">
      <c r="A20" s="2"/>
      <c r="B20" s="4"/>
      <c r="C20" s="5"/>
      <c r="D20" s="6"/>
    </row>
    <row r="21" spans="1:4">
      <c r="A21" s="2"/>
      <c r="B21" s="4"/>
      <c r="C21" s="5"/>
      <c r="D21" s="6"/>
    </row>
    <row r="22" spans="1:4">
      <c r="A22" s="2"/>
      <c r="B22" s="4"/>
      <c r="C22" s="5"/>
      <c r="D22" s="6"/>
    </row>
    <row r="23" spans="1:4">
      <c r="A23" s="2"/>
      <c r="B23" s="4"/>
      <c r="C23" s="5"/>
      <c r="D23" s="6"/>
    </row>
    <row r="24" spans="1:4">
      <c r="A24" s="2"/>
      <c r="B24" s="4"/>
      <c r="C24" s="5"/>
      <c r="D24" s="6"/>
    </row>
    <row r="25" spans="1:4">
      <c r="A25" s="2"/>
      <c r="B25" s="4"/>
      <c r="C25" s="5"/>
      <c r="D25" s="6"/>
    </row>
    <row r="26" spans="1:4">
      <c r="A26" s="2"/>
      <c r="B26" s="4"/>
      <c r="C26" s="5"/>
      <c r="D26" s="6"/>
    </row>
    <row r="27" spans="1:4">
      <c r="A27" s="2"/>
      <c r="B27" s="4"/>
      <c r="C27" s="5"/>
      <c r="D27" s="6"/>
    </row>
    <row r="28" spans="1:4">
      <c r="A28" s="2"/>
      <c r="B28" s="4"/>
      <c r="C28" s="5"/>
      <c r="D28" s="6"/>
    </row>
    <row r="29" spans="1:4">
      <c r="A29" s="2"/>
      <c r="B29" s="4"/>
      <c r="C29" s="5"/>
      <c r="D29" s="6"/>
    </row>
    <row r="30" spans="1:4">
      <c r="A30" s="2"/>
      <c r="B30" s="4"/>
      <c r="C30" s="5"/>
      <c r="D30" s="6"/>
    </row>
    <row r="31" spans="1:4">
      <c r="A31" s="2"/>
      <c r="B31" s="4"/>
      <c r="C31" s="5"/>
      <c r="D31" s="6"/>
    </row>
    <row r="32" spans="1:4">
      <c r="A32" s="2"/>
      <c r="B32" s="4"/>
      <c r="C32" s="5"/>
      <c r="D32" s="6"/>
    </row>
    <row r="33" spans="1:4">
      <c r="A33" s="2"/>
      <c r="B33" s="4"/>
      <c r="C33" s="5"/>
      <c r="D33" s="6"/>
    </row>
    <row r="34" spans="1:4">
      <c r="A34" s="2"/>
      <c r="B34" s="4"/>
      <c r="C34" s="5"/>
      <c r="D34" s="6"/>
    </row>
    <row r="35" spans="1:4">
      <c r="A35" s="2"/>
      <c r="B35" s="4"/>
      <c r="C35" s="5"/>
      <c r="D35" s="6"/>
    </row>
    <row r="36" spans="1:4">
      <c r="A36" s="2"/>
      <c r="B36" s="4"/>
      <c r="C36" s="5"/>
      <c r="D36" s="6"/>
    </row>
    <row r="37" spans="1:4">
      <c r="A37" s="2"/>
      <c r="B37" s="4"/>
      <c r="C37" s="5"/>
      <c r="D37" s="6"/>
    </row>
    <row r="38" spans="1:4">
      <c r="A38" s="2"/>
      <c r="B38" s="4"/>
      <c r="C38" s="5"/>
      <c r="D38" s="6"/>
    </row>
    <row r="39" spans="1:4">
      <c r="A39" s="2"/>
      <c r="B39" s="4"/>
      <c r="C39" s="5"/>
      <c r="D39" s="6"/>
    </row>
    <row r="40" spans="1:4">
      <c r="A40" s="2"/>
      <c r="B40" s="4"/>
      <c r="C40" s="5"/>
      <c r="D40" s="6"/>
    </row>
    <row r="41" spans="1:4">
      <c r="A41" s="2"/>
      <c r="B41" s="4"/>
      <c r="C41" s="5"/>
      <c r="D41" s="6"/>
    </row>
    <row r="42" spans="1:4">
      <c r="A42" s="2"/>
      <c r="B42" s="4"/>
      <c r="C42" s="5"/>
      <c r="D42" s="6"/>
    </row>
    <row r="43" spans="1:4">
      <c r="A43" s="2"/>
      <c r="B43" s="4"/>
      <c r="C43" s="5"/>
      <c r="D43" s="6"/>
    </row>
    <row r="44" spans="1:4">
      <c r="A44" s="2"/>
      <c r="B44" s="4"/>
      <c r="C44" s="5"/>
      <c r="D44" s="6"/>
    </row>
    <row r="45" spans="1:4">
      <c r="A45" s="2"/>
      <c r="B45" s="4"/>
      <c r="C45" s="5"/>
      <c r="D45" s="6"/>
    </row>
    <row r="46" spans="1:4">
      <c r="A46" s="2"/>
      <c r="B46" s="4"/>
      <c r="C46" s="5"/>
      <c r="D46" s="6"/>
    </row>
    <row r="47" spans="1:4">
      <c r="A47" s="2"/>
      <c r="B47" s="4"/>
      <c r="C47" s="5"/>
      <c r="D47" s="6"/>
    </row>
    <row r="48" spans="1:4">
      <c r="A48" s="2"/>
      <c r="B48" s="4"/>
      <c r="C48" s="5"/>
      <c r="D48" s="6"/>
    </row>
    <row r="49" spans="1:4">
      <c r="A49" s="2"/>
      <c r="B49" s="4"/>
      <c r="C49" s="5"/>
      <c r="D49" s="6"/>
    </row>
    <row r="50" spans="1:4">
      <c r="A50" s="2"/>
      <c r="B50" s="4"/>
      <c r="C50" s="5"/>
      <c r="D50" s="6"/>
    </row>
    <row r="51" spans="1:4">
      <c r="A51" s="2"/>
      <c r="B51" s="4"/>
      <c r="C51" s="5"/>
      <c r="D51" s="6"/>
    </row>
    <row r="52" spans="1:4">
      <c r="A52" s="2"/>
      <c r="B52" s="4"/>
      <c r="C52" s="5"/>
      <c r="D52" s="6"/>
    </row>
    <row r="53" spans="1:4">
      <c r="A53" s="2"/>
      <c r="B53" s="4"/>
      <c r="C53" s="5"/>
      <c r="D53" s="6"/>
    </row>
    <row r="54" spans="1:4">
      <c r="A54" s="2"/>
      <c r="B54" s="4"/>
      <c r="C54" s="5"/>
      <c r="D54" s="6"/>
    </row>
    <row r="55" spans="1:4">
      <c r="A55" s="2"/>
      <c r="B55" s="4"/>
      <c r="C55" s="5"/>
      <c r="D55" s="6"/>
    </row>
    <row r="56" spans="1:4">
      <c r="A56" s="2"/>
      <c r="B56" s="4"/>
      <c r="C56" s="5"/>
      <c r="D56" s="6"/>
    </row>
    <row r="57" spans="1:4">
      <c r="A57" s="2"/>
      <c r="B57" s="4"/>
      <c r="C57" s="5"/>
      <c r="D57" s="6"/>
    </row>
    <row r="58" spans="1:4">
      <c r="A58" s="2"/>
      <c r="B58" s="4"/>
      <c r="C58" s="5"/>
      <c r="D58" s="6"/>
    </row>
    <row r="59" spans="1:4">
      <c r="A59" s="2"/>
      <c r="B59" s="4"/>
      <c r="C59" s="5"/>
      <c r="D59" s="6"/>
    </row>
    <row r="60" spans="1:4">
      <c r="A60" s="2"/>
      <c r="B60" s="4"/>
      <c r="C60" s="5"/>
      <c r="D60" s="6"/>
    </row>
    <row r="61" spans="1:4">
      <c r="A61" s="2"/>
      <c r="B61" s="4"/>
      <c r="C61" s="5"/>
      <c r="D61" s="6"/>
    </row>
    <row r="62" spans="1:4">
      <c r="A62" s="2"/>
      <c r="B62" s="4"/>
      <c r="C62" s="5"/>
      <c r="D62" s="6"/>
    </row>
    <row r="63" spans="1:4">
      <c r="A63" s="2"/>
      <c r="B63" s="4"/>
      <c r="C63" s="5"/>
      <c r="D63" s="6"/>
    </row>
    <row r="64" spans="1:4">
      <c r="A64" s="2"/>
      <c r="B64" s="4"/>
      <c r="C64" s="5"/>
      <c r="D64" s="6"/>
    </row>
    <row r="65" spans="1:4">
      <c r="A65" s="2"/>
      <c r="B65" s="4"/>
      <c r="C65" s="5"/>
      <c r="D65" s="6"/>
    </row>
    <row r="66" spans="1:4">
      <c r="A66" s="2"/>
      <c r="B66" s="4"/>
      <c r="C66" s="5"/>
      <c r="D66" s="6"/>
    </row>
    <row r="67" spans="1:4">
      <c r="A67" s="2"/>
      <c r="B67" s="4"/>
      <c r="C67" s="5"/>
      <c r="D67" s="6"/>
    </row>
    <row r="68" spans="1:4">
      <c r="A68" s="2"/>
      <c r="B68" s="4"/>
      <c r="C68" s="5"/>
      <c r="D68" s="6"/>
    </row>
    <row r="69" spans="1:4">
      <c r="A69" s="2"/>
      <c r="B69" s="4"/>
      <c r="C69" s="5"/>
      <c r="D69" s="6"/>
    </row>
    <row r="70" spans="1:4">
      <c r="A70" s="2"/>
      <c r="B70" s="4"/>
      <c r="C70" s="5"/>
      <c r="D70" s="6"/>
    </row>
    <row r="71" spans="1:4">
      <c r="A71" s="2"/>
      <c r="B71" s="4"/>
      <c r="C71" s="5"/>
      <c r="D71" s="6"/>
    </row>
    <row r="72" spans="1:4">
      <c r="A72" s="2"/>
      <c r="B72" s="4"/>
      <c r="C72" s="5"/>
      <c r="D72" s="6"/>
    </row>
    <row r="73" spans="1:4">
      <c r="A73" s="2"/>
      <c r="B73" s="4"/>
      <c r="C73" s="5"/>
      <c r="D73" s="6"/>
    </row>
    <row r="74" spans="1:4">
      <c r="A74" s="2"/>
      <c r="B74" s="4"/>
      <c r="C74" s="5"/>
      <c r="D74" s="6"/>
    </row>
    <row r="75" spans="1:4">
      <c r="A75" s="2"/>
      <c r="B75" s="4"/>
      <c r="C75" s="5"/>
      <c r="D75" s="6"/>
    </row>
    <row r="76" spans="1:4">
      <c r="A76" s="2"/>
      <c r="B76" s="4"/>
      <c r="C76" s="5"/>
      <c r="D76" s="6"/>
    </row>
    <row r="77" spans="1:4">
      <c r="A77" s="2"/>
      <c r="B77" s="4"/>
      <c r="C77" s="5"/>
      <c r="D77" s="6"/>
    </row>
    <row r="78" spans="1:4">
      <c r="A78" s="2"/>
      <c r="B78" s="4"/>
      <c r="C78" s="5"/>
      <c r="D78" s="6"/>
    </row>
    <row r="79" spans="1:4">
      <c r="A79" s="2"/>
      <c r="B79" s="4"/>
      <c r="C79" s="5"/>
      <c r="D79" s="6"/>
    </row>
    <row r="80" spans="1:4">
      <c r="A80" s="2"/>
      <c r="B80" s="4"/>
      <c r="C80" s="5"/>
      <c r="D80" s="6"/>
    </row>
    <row r="81" spans="1:4">
      <c r="A81" s="2"/>
      <c r="B81" s="4"/>
      <c r="C81" s="5"/>
      <c r="D81" s="6"/>
    </row>
    <row r="82" spans="1:4">
      <c r="A82" s="2"/>
      <c r="B82" s="4"/>
      <c r="C82" s="5"/>
      <c r="D82" s="6"/>
    </row>
    <row r="83" spans="1:4">
      <c r="A83" s="2"/>
      <c r="B83" s="4"/>
      <c r="C83" s="5"/>
      <c r="D83" s="6"/>
    </row>
    <row r="84" spans="1:4">
      <c r="A84" s="2"/>
      <c r="B84" s="4"/>
      <c r="C84" s="5"/>
      <c r="D84" s="6"/>
    </row>
    <row r="85" spans="1:4">
      <c r="A85" s="2"/>
      <c r="B85" s="4"/>
      <c r="C85" s="5"/>
      <c r="D85" s="6"/>
    </row>
    <row r="86" spans="1:4">
      <c r="A86" s="2"/>
      <c r="B86" s="4"/>
      <c r="C86" s="5"/>
      <c r="D86" s="6"/>
    </row>
    <row r="87" spans="1:4">
      <c r="A87" s="2"/>
      <c r="B87" s="4"/>
      <c r="C87" s="5"/>
      <c r="D87" s="6"/>
    </row>
    <row r="88" spans="1:4">
      <c r="A88" s="2"/>
      <c r="B88" s="4"/>
      <c r="C88" s="5"/>
      <c r="D88" s="6"/>
    </row>
    <row r="89" spans="1:4">
      <c r="A89" s="2"/>
      <c r="B89" s="4"/>
      <c r="C89" s="5"/>
      <c r="D89" s="6"/>
    </row>
    <row r="90" spans="1:4">
      <c r="A90" s="2"/>
      <c r="B90" s="4"/>
      <c r="C90" s="5"/>
      <c r="D90" s="6"/>
    </row>
    <row r="91" spans="1:4">
      <c r="A91" s="2"/>
      <c r="B91" s="4"/>
      <c r="C91" s="5"/>
      <c r="D91" s="6"/>
    </row>
    <row r="92" spans="1:4">
      <c r="A92" s="2"/>
      <c r="B92" s="4"/>
      <c r="C92" s="5"/>
      <c r="D92" s="6"/>
    </row>
    <row r="93" spans="1:4">
      <c r="A93" s="2"/>
      <c r="B93" s="4"/>
      <c r="C93" s="5"/>
      <c r="D93" s="6"/>
    </row>
    <row r="94" spans="1:4">
      <c r="A94" s="2"/>
      <c r="B94" s="4"/>
      <c r="C94" s="5"/>
      <c r="D94" s="6"/>
    </row>
    <row r="95" spans="1:4">
      <c r="A95" s="2"/>
      <c r="B95" s="4"/>
      <c r="C95" s="5"/>
      <c r="D95" s="6"/>
    </row>
    <row r="96" spans="1:4">
      <c r="A96" s="2"/>
      <c r="B96" s="4"/>
      <c r="C96" s="5"/>
      <c r="D96" s="6"/>
    </row>
    <row r="97" spans="1:4">
      <c r="A97" s="2"/>
      <c r="B97" s="4"/>
      <c r="C97" s="5"/>
      <c r="D97" s="6"/>
    </row>
    <row r="98" spans="1:4">
      <c r="A98" s="2"/>
      <c r="B98" s="4"/>
      <c r="C98" s="5"/>
      <c r="D98" s="6"/>
    </row>
    <row r="99" spans="1:4">
      <c r="A99" s="2"/>
      <c r="B99" s="4"/>
      <c r="C99" s="5"/>
      <c r="D99" s="6"/>
    </row>
    <row r="100" spans="1:4">
      <c r="A100" s="2"/>
      <c r="B100" s="4"/>
      <c r="C100" s="5"/>
      <c r="D100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topLeftCell="A24" workbookViewId="0">
      <selection activeCell="G37" sqref="G37"/>
    </sheetView>
  </sheetViews>
  <sheetFormatPr defaultRowHeight="13.8"/>
  <cols>
    <col min="1" max="2" width="16" customWidth="1"/>
    <col min="3" max="3" width="20" customWidth="1"/>
    <col min="4" max="4" width="14" customWidth="1"/>
    <col min="5" max="5" width="20" customWidth="1"/>
    <col min="6" max="6" width="12.5" customWidth="1"/>
    <col min="7" max="7" width="15" customWidth="1"/>
    <col min="8" max="8" width="16.5" customWidth="1"/>
    <col min="9" max="9" width="10" customWidth="1"/>
    <col min="10" max="11" width="15" customWidth="1"/>
    <col min="12" max="12" width="20" customWidth="1"/>
    <col min="13" max="13" width="18" customWidth="1"/>
    <col min="14" max="14" width="16" customWidth="1"/>
  </cols>
  <sheetData>
    <row r="1" spans="1:14" ht="27.6">
      <c r="A1" s="1" t="s">
        <v>5</v>
      </c>
      <c r="B1" s="1" t="s">
        <v>6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0</v>
      </c>
      <c r="I1" s="1" t="s">
        <v>11</v>
      </c>
      <c r="J1" s="1" t="s">
        <v>12</v>
      </c>
      <c r="K1" s="1" t="s">
        <v>13</v>
      </c>
      <c r="L1" s="1"/>
      <c r="M1" s="1"/>
      <c r="N1" s="1"/>
    </row>
    <row r="2" spans="1:14">
      <c r="A2" s="2" t="str">
        <f t="shared" ref="A2:A65" si="0">IF(B2&lt;&gt;"","L-"&amp;TEXT(ROW()-1,"0000"),"")</f>
        <v>L-0001</v>
      </c>
      <c r="B2" s="2" t="s">
        <v>14</v>
      </c>
      <c r="C2" s="4">
        <v>46253</v>
      </c>
      <c r="D2" s="7">
        <v>4653638</v>
      </c>
      <c r="E2" s="7">
        <v>4671001</v>
      </c>
      <c r="F2" s="4">
        <v>46274</v>
      </c>
      <c r="G2" s="6">
        <f t="shared" ref="G2:G65" si="1">IF(OR(C2="",F2=""),"",F2-C2)</f>
        <v>21</v>
      </c>
      <c r="H2" s="2" t="s">
        <v>4</v>
      </c>
      <c r="I2" s="5">
        <f t="shared" ref="I2:I65" si="2">IF(OR(D2="",E2="",G2="",G2=0),"",(E2/D2)^(365/G2)-1)</f>
        <v>6.6869530770370389E-2</v>
      </c>
      <c r="J2" s="3">
        <f>IFERROR(SUMIFS(Bank_Rates!$C$2:$C$100,Bank_Rates!$A$2:$A$100,H2,Bank_Rates!$B$2:$B$100,LOOKUP(2,1/((Bank_Rates!$A$2:$A$100=H2)*(Bank_Rates!$B$2:$B$100&lt;=C2)),Bank_Rates!$B$2:$B$100),Bank_Rates!$D$2:$D$100,_xlfn.AGGREGATE(14,6,Bank_Rates!$D$2:$D$100/((Bank_Rates!$A$2:$A$100=H2)*(Bank_Rates!$B$2:$B$100=LOOKUP(2,1/((Bank_Rates!$A$2:$A$100=H2)*(Bank_Rates!$B$2:$B$100&lt;=C2)),Bank_Rates!$B$2:$B$100))*(Bank_Rates!$D$2:$D$100&lt;=G2)),1)),"No Match")</f>
        <v>0.04</v>
      </c>
      <c r="K2" s="5">
        <f t="shared" ref="K2:K65" si="3">IF(OR(I2="",J2="",J2="No Match"),"",I2-J2)</f>
        <v>2.6869530770370388E-2</v>
      </c>
      <c r="L2" s="2"/>
      <c r="M2" s="2"/>
      <c r="N2" s="2"/>
    </row>
    <row r="3" spans="1:14">
      <c r="A3" s="2" t="str">
        <f t="shared" si="0"/>
        <v>L-0002</v>
      </c>
      <c r="B3" s="2" t="s">
        <v>15</v>
      </c>
      <c r="C3" s="4">
        <v>46253</v>
      </c>
      <c r="D3" s="7">
        <v>3508365</v>
      </c>
      <c r="E3" s="7">
        <v>3520202</v>
      </c>
      <c r="F3" s="4">
        <v>46272</v>
      </c>
      <c r="G3" s="6">
        <f t="shared" si="1"/>
        <v>19</v>
      </c>
      <c r="H3" s="2" t="s">
        <v>4</v>
      </c>
      <c r="I3" s="5">
        <f t="shared" si="2"/>
        <v>6.6845321750421904E-2</v>
      </c>
      <c r="J3" s="3">
        <f>IFERROR(SUMIFS(Bank_Rates!$C$2:$C$100,Bank_Rates!$A$2:$A$100,H3,Bank_Rates!$B$2:$B$100,LOOKUP(2,1/((Bank_Rates!$A$2:$A$100=H3)*(Bank_Rates!$B$2:$B$100&lt;=C3)),Bank_Rates!$B$2:$B$100),Bank_Rates!$D$2:$D$100,_xlfn.AGGREGATE(14,6,Bank_Rates!$D$2:$D$100/((Bank_Rates!$A$2:$A$100=H3)*(Bank_Rates!$B$2:$B$100=LOOKUP(2,1/((Bank_Rates!$A$2:$A$100=H3)*(Bank_Rates!$B$2:$B$100&lt;=C3)),Bank_Rates!$B$2:$B$100))*(Bank_Rates!$D$2:$D$100&lt;=G3)),1)),"No Match")</f>
        <v>0.03</v>
      </c>
      <c r="K3" s="5">
        <f t="shared" si="3"/>
        <v>3.6845321750421905E-2</v>
      </c>
      <c r="L3" s="2"/>
      <c r="M3" s="2"/>
      <c r="N3" s="2"/>
    </row>
    <row r="4" spans="1:14">
      <c r="A4" s="2" t="str">
        <f t="shared" si="0"/>
        <v>L-0003</v>
      </c>
      <c r="B4" s="2" t="s">
        <v>16</v>
      </c>
      <c r="C4" s="4">
        <v>46253</v>
      </c>
      <c r="D4" s="7">
        <v>4610986</v>
      </c>
      <c r="E4" s="7">
        <v>4626551</v>
      </c>
      <c r="F4" s="4">
        <v>46272</v>
      </c>
      <c r="G4" s="6">
        <f t="shared" si="1"/>
        <v>19</v>
      </c>
      <c r="H4" s="2" t="s">
        <v>4</v>
      </c>
      <c r="I4" s="5">
        <f t="shared" si="2"/>
        <v>6.6879994290029332E-2</v>
      </c>
      <c r="J4" s="3">
        <f>IFERROR(SUMIFS(Bank_Rates!$C$2:$C$100,Bank_Rates!$A$2:$A$100,H4,Bank_Rates!$B$2:$B$100,LOOKUP(2,1/((Bank_Rates!$A$2:$A$100=H4)*(Bank_Rates!$B$2:$B$100&lt;=C4)),Bank_Rates!$B$2:$B$100),Bank_Rates!$D$2:$D$100,_xlfn.AGGREGATE(14,6,Bank_Rates!$D$2:$D$100/((Bank_Rates!$A$2:$A$100=H4)*(Bank_Rates!$B$2:$B$100=LOOKUP(2,1/((Bank_Rates!$A$2:$A$100=H4)*(Bank_Rates!$B$2:$B$100&lt;=C4)),Bank_Rates!$B$2:$B$100))*(Bank_Rates!$D$2:$D$100&lt;=G4)),1)),"No Match")</f>
        <v>0.03</v>
      </c>
      <c r="K4" s="5">
        <f t="shared" si="3"/>
        <v>3.6879994290029333E-2</v>
      </c>
      <c r="L4" s="2"/>
      <c r="M4" s="2"/>
      <c r="N4" s="2"/>
    </row>
    <row r="5" spans="1:14">
      <c r="A5" s="2" t="str">
        <f t="shared" si="0"/>
        <v>L-0004</v>
      </c>
      <c r="B5" s="2" t="s">
        <v>17</v>
      </c>
      <c r="C5" s="4">
        <v>46253</v>
      </c>
      <c r="D5" s="7">
        <v>3508456</v>
      </c>
      <c r="E5" s="7">
        <v>3520202</v>
      </c>
      <c r="F5" s="4">
        <v>46272</v>
      </c>
      <c r="G5" s="6">
        <f t="shared" si="1"/>
        <v>19</v>
      </c>
      <c r="H5" s="2" t="s">
        <v>4</v>
      </c>
      <c r="I5" s="5">
        <f t="shared" si="2"/>
        <v>6.6313870398653441E-2</v>
      </c>
      <c r="J5" s="3">
        <f>IFERROR(SUMIFS(Bank_Rates!$C$2:$C$100,Bank_Rates!$A$2:$A$100,H5,Bank_Rates!$B$2:$B$100,LOOKUP(2,1/((Bank_Rates!$A$2:$A$100=H5)*(Bank_Rates!$B$2:$B$100&lt;=C5)),Bank_Rates!$B$2:$B$100),Bank_Rates!$D$2:$D$100,_xlfn.AGGREGATE(14,6,Bank_Rates!$D$2:$D$100/((Bank_Rates!$A$2:$A$100=H5)*(Bank_Rates!$B$2:$B$100=LOOKUP(2,1/((Bank_Rates!$A$2:$A$100=H5)*(Bank_Rates!$B$2:$B$100&lt;=C5)),Bank_Rates!$B$2:$B$100))*(Bank_Rates!$D$2:$D$100&lt;=G5)),1)),"No Match")</f>
        <v>0.03</v>
      </c>
      <c r="K5" s="5">
        <f t="shared" si="3"/>
        <v>3.6313870398653442E-2</v>
      </c>
      <c r="L5" s="2"/>
      <c r="M5" s="2"/>
      <c r="N5" s="2"/>
    </row>
    <row r="6" spans="1:14">
      <c r="A6" s="2" t="str">
        <f t="shared" si="0"/>
        <v>L-0005</v>
      </c>
      <c r="B6" s="2" t="s">
        <v>18</v>
      </c>
      <c r="C6" s="4">
        <v>46245</v>
      </c>
      <c r="D6" s="7">
        <v>6671860</v>
      </c>
      <c r="E6" s="7">
        <v>6749674</v>
      </c>
      <c r="F6" s="4">
        <v>46305</v>
      </c>
      <c r="G6" s="6">
        <f t="shared" si="1"/>
        <v>60</v>
      </c>
      <c r="H6" s="2" t="s">
        <v>4</v>
      </c>
      <c r="I6" s="5">
        <f t="shared" si="2"/>
        <v>7.3086900382836495E-2</v>
      </c>
      <c r="J6" s="3">
        <f>IFERROR(SUMIFS(Bank_Rates!$C$2:$C$100,Bank_Rates!$A$2:$A$100,H6,Bank_Rates!$B$2:$B$100,LOOKUP(2,1/((Bank_Rates!$A$2:$A$100=H6)*(Bank_Rates!$B$2:$B$100&lt;=C6)),Bank_Rates!$B$2:$B$100),Bank_Rates!$D$2:$D$100,_xlfn.AGGREGATE(14,6,Bank_Rates!$D$2:$D$100/((Bank_Rates!$A$2:$A$100=H6)*(Bank_Rates!$B$2:$B$100=LOOKUP(2,1/((Bank_Rates!$A$2:$A$100=H6)*(Bank_Rates!$B$2:$B$100&lt;=C6)),Bank_Rates!$B$2:$B$100))*(Bank_Rates!$D$2:$D$100&lt;=G6)),1)),"No Match")</f>
        <v>6.7000000000000004E-2</v>
      </c>
      <c r="K6" s="5">
        <f t="shared" si="3"/>
        <v>6.0869003828364909E-3</v>
      </c>
      <c r="L6" s="2"/>
      <c r="M6" s="2"/>
      <c r="N6" s="2"/>
    </row>
    <row r="7" spans="1:14">
      <c r="A7" s="2" t="str">
        <f t="shared" si="0"/>
        <v>L-0006</v>
      </c>
      <c r="B7" s="2" t="s">
        <v>19</v>
      </c>
      <c r="C7" s="4">
        <v>46247</v>
      </c>
      <c r="D7" s="7">
        <v>20060000</v>
      </c>
      <c r="E7" s="7">
        <v>20826744</v>
      </c>
      <c r="F7" s="4">
        <v>46430</v>
      </c>
      <c r="G7" s="6">
        <f t="shared" si="1"/>
        <v>183</v>
      </c>
      <c r="H7" s="2" t="s">
        <v>4</v>
      </c>
      <c r="I7" s="5">
        <f t="shared" si="2"/>
        <v>7.7685107277584597E-2</v>
      </c>
      <c r="J7" s="3">
        <f>IFERROR(SUMIFS(Bank_Rates!$C$2:$C$100,Bank_Rates!$A$2:$A$100,H7,Bank_Rates!$B$2:$B$100,LOOKUP(2,1/((Bank_Rates!$A$2:$A$100=H7)*(Bank_Rates!$B$2:$B$100&lt;=C7)),Bank_Rates!$B$2:$B$100),Bank_Rates!$D$2:$D$100,_xlfn.AGGREGATE(14,6,Bank_Rates!$D$2:$D$100/((Bank_Rates!$A$2:$A$100=H7)*(Bank_Rates!$B$2:$B$100=LOOKUP(2,1/((Bank_Rates!$A$2:$A$100=H7)*(Bank_Rates!$B$2:$B$100&lt;=C7)),Bank_Rates!$B$2:$B$100))*(Bank_Rates!$D$2:$D$100&lt;=G7)),1)),"No Match")</f>
        <v>7.0999999999999994E-2</v>
      </c>
      <c r="K7" s="5">
        <f t="shared" si="3"/>
        <v>6.6851072775846038E-3</v>
      </c>
      <c r="L7" s="2"/>
      <c r="M7" s="2"/>
      <c r="N7" s="2"/>
    </row>
    <row r="8" spans="1:14">
      <c r="A8" s="2" t="str">
        <f t="shared" si="0"/>
        <v>L-0007</v>
      </c>
      <c r="B8" s="2" t="s">
        <v>20</v>
      </c>
      <c r="C8" s="4">
        <v>46248</v>
      </c>
      <c r="D8" s="7">
        <v>29685213</v>
      </c>
      <c r="E8" s="7">
        <v>30297331</v>
      </c>
      <c r="F8" s="4">
        <v>46346</v>
      </c>
      <c r="G8" s="6">
        <f t="shared" si="1"/>
        <v>98</v>
      </c>
      <c r="H8" s="2" t="s">
        <v>4</v>
      </c>
      <c r="I8" s="5">
        <f t="shared" si="2"/>
        <v>7.898307048992903E-2</v>
      </c>
      <c r="J8" s="3">
        <f>IFERROR(SUMIFS(Bank_Rates!$C$2:$C$100,Bank_Rates!$A$2:$A$100,H8,Bank_Rates!$B$2:$B$100,LOOKUP(2,1/((Bank_Rates!$A$2:$A$100=H8)*(Bank_Rates!$B$2:$B$100&lt;=C8)),Bank_Rates!$B$2:$B$100),Bank_Rates!$D$2:$D$100,_xlfn.AGGREGATE(14,6,Bank_Rates!$D$2:$D$100/((Bank_Rates!$A$2:$A$100=H8)*(Bank_Rates!$B$2:$B$100=LOOKUP(2,1/((Bank_Rates!$A$2:$A$100=H8)*(Bank_Rates!$B$2:$B$100&lt;=C8)),Bank_Rates!$B$2:$B$100))*(Bank_Rates!$D$2:$D$100&lt;=G8)),1)),"No Match")</f>
        <v>7.0000000000000007E-2</v>
      </c>
      <c r="K8" s="5">
        <f t="shared" si="3"/>
        <v>8.9830704899290237E-3</v>
      </c>
      <c r="L8" s="2"/>
      <c r="M8" s="2"/>
      <c r="N8" s="2"/>
    </row>
    <row r="9" spans="1:14">
      <c r="A9" s="2" t="str">
        <f t="shared" si="0"/>
        <v>L-0008</v>
      </c>
      <c r="B9" s="2" t="s">
        <v>21</v>
      </c>
      <c r="C9" s="4">
        <v>46248</v>
      </c>
      <c r="D9" s="7">
        <v>30046000</v>
      </c>
      <c r="E9" s="7">
        <v>31206091</v>
      </c>
      <c r="F9" s="4">
        <v>46431</v>
      </c>
      <c r="G9" s="6">
        <f t="shared" si="1"/>
        <v>183</v>
      </c>
      <c r="H9" s="2" t="s">
        <v>4</v>
      </c>
      <c r="I9" s="5">
        <f t="shared" si="2"/>
        <v>7.84884784833213E-2</v>
      </c>
      <c r="J9" s="3">
        <f>IFERROR(SUMIFS(Bank_Rates!$C$2:$C$100,Bank_Rates!$A$2:$A$100,H9,Bank_Rates!$B$2:$B$100,LOOKUP(2,1/((Bank_Rates!$A$2:$A$100=H9)*(Bank_Rates!$B$2:$B$100&lt;=C9)),Bank_Rates!$B$2:$B$100),Bank_Rates!$D$2:$D$100,_xlfn.AGGREGATE(14,6,Bank_Rates!$D$2:$D$100/((Bank_Rates!$A$2:$A$100=H9)*(Bank_Rates!$B$2:$B$100=LOOKUP(2,1/((Bank_Rates!$A$2:$A$100=H9)*(Bank_Rates!$B$2:$B$100&lt;=C9)),Bank_Rates!$B$2:$B$100))*(Bank_Rates!$D$2:$D$100&lt;=G9)),1)),"No Match")</f>
        <v>7.0999999999999994E-2</v>
      </c>
      <c r="K9" s="5">
        <f t="shared" si="3"/>
        <v>7.4884784833213064E-3</v>
      </c>
      <c r="L9" s="2"/>
      <c r="M9" s="2"/>
      <c r="N9" s="2"/>
    </row>
    <row r="10" spans="1:14">
      <c r="A10" s="2" t="str">
        <f t="shared" si="0"/>
        <v>L-0009</v>
      </c>
      <c r="B10" s="2" t="s">
        <v>22</v>
      </c>
      <c r="C10" s="4">
        <v>46251</v>
      </c>
      <c r="D10" s="7">
        <v>20064000</v>
      </c>
      <c r="E10" s="7">
        <v>20110411</v>
      </c>
      <c r="F10" s="4">
        <v>46264</v>
      </c>
      <c r="G10" s="6">
        <f t="shared" si="1"/>
        <v>13</v>
      </c>
      <c r="H10" s="2" t="s">
        <v>4</v>
      </c>
      <c r="I10" s="5">
        <f t="shared" si="2"/>
        <v>6.7021452010702864E-2</v>
      </c>
      <c r="J10" s="3">
        <f>IFERROR(SUMIFS(Bank_Rates!$C$2:$C$100,Bank_Rates!$A$2:$A$100,H10,Bank_Rates!$B$2:$B$100,LOOKUP(2,1/((Bank_Rates!$A$2:$A$100=H10)*(Bank_Rates!$B$2:$B$100&lt;=C10)),Bank_Rates!$B$2:$B$100),Bank_Rates!$D$2:$D$100,_xlfn.AGGREGATE(14,6,Bank_Rates!$D$2:$D$100/((Bank_Rates!$A$2:$A$100=H10)*(Bank_Rates!$B$2:$B$100=LOOKUP(2,1/((Bank_Rates!$A$2:$A$100=H10)*(Bank_Rates!$B$2:$B$100&lt;=C10)),Bank_Rates!$B$2:$B$100))*(Bank_Rates!$D$2:$D$100&lt;=G10)),1)),"No Match")</f>
        <v>0.02</v>
      </c>
      <c r="K10" s="5">
        <f t="shared" si="3"/>
        <v>4.7021452010702861E-2</v>
      </c>
      <c r="L10" s="2"/>
      <c r="M10" s="2"/>
      <c r="N10" s="2"/>
    </row>
    <row r="11" spans="1:14">
      <c r="A11" s="2" t="str">
        <f t="shared" si="0"/>
        <v>L-0010</v>
      </c>
      <c r="B11" s="2" t="s">
        <v>23</v>
      </c>
      <c r="C11" s="4">
        <v>46256</v>
      </c>
      <c r="D11" s="7">
        <v>50217550</v>
      </c>
      <c r="E11" s="7">
        <v>50305612</v>
      </c>
      <c r="F11" s="4">
        <v>46266</v>
      </c>
      <c r="G11" s="6">
        <f t="shared" si="1"/>
        <v>10</v>
      </c>
      <c r="H11" s="2" t="s">
        <v>4</v>
      </c>
      <c r="I11" s="5">
        <f t="shared" si="2"/>
        <v>6.6039853031993667E-2</v>
      </c>
      <c r="J11" s="3">
        <f>IFERROR(SUMIFS(Bank_Rates!$C$2:$C$100,Bank_Rates!$A$2:$A$100,H11,Bank_Rates!$B$2:$B$100,LOOKUP(2,1/((Bank_Rates!$A$2:$A$100=H11)*(Bank_Rates!$B$2:$B$100&lt;=C11)),Bank_Rates!$B$2:$B$100),Bank_Rates!$D$2:$D$100,_xlfn.AGGREGATE(14,6,Bank_Rates!$D$2:$D$100/((Bank_Rates!$A$2:$A$100=H11)*(Bank_Rates!$B$2:$B$100=LOOKUP(2,1/((Bank_Rates!$A$2:$A$100=H11)*(Bank_Rates!$B$2:$B$100&lt;=C11)),Bank_Rates!$B$2:$B$100))*(Bank_Rates!$D$2:$D$100&lt;=G11)),1)),"No Match")</f>
        <v>0.02</v>
      </c>
      <c r="K11" s="5">
        <f t="shared" si="3"/>
        <v>4.6039853031993663E-2</v>
      </c>
      <c r="L11" s="2"/>
      <c r="M11" s="2"/>
      <c r="N11" s="2"/>
    </row>
    <row r="12" spans="1:14">
      <c r="A12" s="2" t="str">
        <f t="shared" si="0"/>
        <v>L-0011</v>
      </c>
      <c r="B12" s="2" t="s">
        <v>24</v>
      </c>
      <c r="C12" s="4">
        <v>46256</v>
      </c>
      <c r="D12" s="7">
        <v>9927097</v>
      </c>
      <c r="E12" s="7">
        <v>9963029</v>
      </c>
      <c r="F12" s="4">
        <v>46276</v>
      </c>
      <c r="G12" s="6">
        <f t="shared" si="1"/>
        <v>20</v>
      </c>
      <c r="H12" s="2" t="s">
        <v>4</v>
      </c>
      <c r="I12" s="5">
        <f t="shared" si="2"/>
        <v>6.8160720007433229E-2</v>
      </c>
      <c r="J12" s="3">
        <f>IFERROR(SUMIFS(Bank_Rates!$C$2:$C$100,Bank_Rates!$A$2:$A$100,H12,Bank_Rates!$B$2:$B$100,LOOKUP(2,1/((Bank_Rates!$A$2:$A$100=H12)*(Bank_Rates!$B$2:$B$100&lt;=C12)),Bank_Rates!$B$2:$B$100),Bank_Rates!$D$2:$D$100,_xlfn.AGGREGATE(14,6,Bank_Rates!$D$2:$D$100/((Bank_Rates!$A$2:$A$100=H12)*(Bank_Rates!$B$2:$B$100=LOOKUP(2,1/((Bank_Rates!$A$2:$A$100=H12)*(Bank_Rates!$B$2:$B$100&lt;=C12)),Bank_Rates!$B$2:$B$100))*(Bank_Rates!$D$2:$D$100&lt;=G12)),1)),"No Match")</f>
        <v>0.03</v>
      </c>
      <c r="K12" s="5">
        <f t="shared" si="3"/>
        <v>3.816072000743323E-2</v>
      </c>
      <c r="L12" s="2"/>
      <c r="M12" s="2"/>
      <c r="N12" s="2"/>
    </row>
    <row r="13" spans="1:14">
      <c r="A13" s="2" t="str">
        <f t="shared" si="0"/>
        <v>L-0012</v>
      </c>
      <c r="B13" s="2" t="s">
        <v>25</v>
      </c>
      <c r="C13" s="4">
        <v>46256</v>
      </c>
      <c r="D13" s="7">
        <v>6557889</v>
      </c>
      <c r="E13" s="7">
        <v>6584707</v>
      </c>
      <c r="F13" s="4">
        <v>46269</v>
      </c>
      <c r="G13" s="6">
        <f t="shared" si="1"/>
        <v>13</v>
      </c>
      <c r="H13" s="2" t="s">
        <v>4</v>
      </c>
      <c r="I13" s="5">
        <f t="shared" si="2"/>
        <v>0.12140723769994732</v>
      </c>
      <c r="J13" s="3">
        <f>IFERROR(SUMIFS(Bank_Rates!$C$2:$C$100,Bank_Rates!$A$2:$A$100,H13,Bank_Rates!$B$2:$B$100,LOOKUP(2,1/((Bank_Rates!$A$2:$A$100=H13)*(Bank_Rates!$B$2:$B$100&lt;=C13)),Bank_Rates!$B$2:$B$100),Bank_Rates!$D$2:$D$100,_xlfn.AGGREGATE(14,6,Bank_Rates!$D$2:$D$100/((Bank_Rates!$A$2:$A$100=H13)*(Bank_Rates!$B$2:$B$100=LOOKUP(2,1/((Bank_Rates!$A$2:$A$100=H13)*(Bank_Rates!$B$2:$B$100&lt;=C13)),Bank_Rates!$B$2:$B$100))*(Bank_Rates!$D$2:$D$100&lt;=G13)),1)),"No Match")</f>
        <v>0.02</v>
      </c>
      <c r="K13" s="5">
        <f t="shared" si="3"/>
        <v>0.10140723769994732</v>
      </c>
      <c r="L13" s="2"/>
      <c r="M13" s="2"/>
      <c r="N13" s="2"/>
    </row>
    <row r="14" spans="1:14">
      <c r="A14" s="2" t="str">
        <f t="shared" si="0"/>
        <v>L-0013</v>
      </c>
      <c r="B14" s="2" t="s">
        <v>26</v>
      </c>
      <c r="C14" s="4">
        <v>46256</v>
      </c>
      <c r="D14" s="7">
        <v>4554317</v>
      </c>
      <c r="E14" s="7">
        <v>4574570</v>
      </c>
      <c r="F14" s="4">
        <v>46281</v>
      </c>
      <c r="G14" s="6">
        <f t="shared" si="1"/>
        <v>25</v>
      </c>
      <c r="H14" s="2" t="s">
        <v>4</v>
      </c>
      <c r="I14" s="5">
        <f t="shared" si="2"/>
        <v>6.6926527424052029E-2</v>
      </c>
      <c r="J14" s="3">
        <f>IFERROR(SUMIFS(Bank_Rates!$C$2:$C$100,Bank_Rates!$A$2:$A$100,H14,Bank_Rates!$B$2:$B$100,LOOKUP(2,1/((Bank_Rates!$A$2:$A$100=H14)*(Bank_Rates!$B$2:$B$100&lt;=C14)),Bank_Rates!$B$2:$B$100),Bank_Rates!$D$2:$D$100,_xlfn.AGGREGATE(14,6,Bank_Rates!$D$2:$D$100/((Bank_Rates!$A$2:$A$100=H14)*(Bank_Rates!$B$2:$B$100=LOOKUP(2,1/((Bank_Rates!$A$2:$A$100=H14)*(Bank_Rates!$B$2:$B$100&lt;=C14)),Bank_Rates!$B$2:$B$100))*(Bank_Rates!$D$2:$D$100&lt;=G14)),1)),"No Match")</f>
        <v>0.04</v>
      </c>
      <c r="K14" s="5">
        <f t="shared" si="3"/>
        <v>2.6926527424052028E-2</v>
      </c>
      <c r="L14" s="2"/>
      <c r="M14" s="2"/>
      <c r="N14" s="2"/>
    </row>
    <row r="15" spans="1:14">
      <c r="A15" s="2" t="str">
        <f t="shared" si="0"/>
        <v>L-0014</v>
      </c>
      <c r="B15" s="2" t="s">
        <v>27</v>
      </c>
      <c r="C15" s="4">
        <v>46256</v>
      </c>
      <c r="D15" s="7">
        <v>49969000</v>
      </c>
      <c r="E15" s="7">
        <v>51993393</v>
      </c>
      <c r="F15" s="4">
        <v>46439</v>
      </c>
      <c r="G15" s="6">
        <f t="shared" si="1"/>
        <v>183</v>
      </c>
      <c r="H15" s="2" t="s">
        <v>4</v>
      </c>
      <c r="I15" s="5">
        <f t="shared" si="2"/>
        <v>8.2432327380667303E-2</v>
      </c>
      <c r="J15" s="3">
        <f>IFERROR(SUMIFS(Bank_Rates!$C$2:$C$100,Bank_Rates!$A$2:$A$100,H15,Bank_Rates!$B$2:$B$100,LOOKUP(2,1/((Bank_Rates!$A$2:$A$100=H15)*(Bank_Rates!$B$2:$B$100&lt;=C15)),Bank_Rates!$B$2:$B$100),Bank_Rates!$D$2:$D$100,_xlfn.AGGREGATE(14,6,Bank_Rates!$D$2:$D$100/((Bank_Rates!$A$2:$A$100=H15)*(Bank_Rates!$B$2:$B$100=LOOKUP(2,1/((Bank_Rates!$A$2:$A$100=H15)*(Bank_Rates!$B$2:$B$100&lt;=C15)),Bank_Rates!$B$2:$B$100))*(Bank_Rates!$D$2:$D$100&lt;=G15)),1)),"No Match")</f>
        <v>7.0999999999999994E-2</v>
      </c>
      <c r="K15" s="5">
        <f t="shared" si="3"/>
        <v>1.1432327380667309E-2</v>
      </c>
      <c r="L15" s="2"/>
      <c r="M15" s="2"/>
      <c r="N15" s="2"/>
    </row>
    <row r="16" spans="1:14">
      <c r="A16" s="2" t="str">
        <f t="shared" si="0"/>
        <v>L-0015</v>
      </c>
      <c r="B16" s="2" t="s">
        <v>28</v>
      </c>
      <c r="C16" s="4">
        <v>46257</v>
      </c>
      <c r="D16" s="7">
        <v>15950000</v>
      </c>
      <c r="E16" s="7">
        <v>16005791</v>
      </c>
      <c r="F16" s="4">
        <v>46278</v>
      </c>
      <c r="G16" s="6">
        <f t="shared" si="1"/>
        <v>21</v>
      </c>
      <c r="H16" s="2" t="s">
        <v>4</v>
      </c>
      <c r="I16" s="5">
        <f t="shared" si="2"/>
        <v>6.2569680837883945E-2</v>
      </c>
      <c r="J16" s="3">
        <f>IFERROR(SUMIFS(Bank_Rates!$C$2:$C$100,Bank_Rates!$A$2:$A$100,H16,Bank_Rates!$B$2:$B$100,LOOKUP(2,1/((Bank_Rates!$A$2:$A$100=H16)*(Bank_Rates!$B$2:$B$100&lt;=C16)),Bank_Rates!$B$2:$B$100),Bank_Rates!$D$2:$D$100,_xlfn.AGGREGATE(14,6,Bank_Rates!$D$2:$D$100/((Bank_Rates!$A$2:$A$100=H16)*(Bank_Rates!$B$2:$B$100=LOOKUP(2,1/((Bank_Rates!$A$2:$A$100=H16)*(Bank_Rates!$B$2:$B$100&lt;=C16)),Bank_Rates!$B$2:$B$100))*(Bank_Rates!$D$2:$D$100&lt;=G16)),1)),"No Match")</f>
        <v>0.04</v>
      </c>
      <c r="K16" s="5">
        <f t="shared" si="3"/>
        <v>2.2569680837883944E-2</v>
      </c>
      <c r="L16" s="2"/>
      <c r="M16" s="2"/>
      <c r="N16" s="2"/>
    </row>
    <row r="17" spans="1:14">
      <c r="A17" s="2" t="str">
        <f t="shared" si="0"/>
        <v>L-0016</v>
      </c>
      <c r="B17" s="2" t="s">
        <v>29</v>
      </c>
      <c r="C17" s="4">
        <v>46257</v>
      </c>
      <c r="D17" s="7">
        <v>7010000</v>
      </c>
      <c r="E17" s="7">
        <v>7038644</v>
      </c>
      <c r="F17" s="4">
        <v>46282</v>
      </c>
      <c r="G17" s="6">
        <f t="shared" si="1"/>
        <v>25</v>
      </c>
      <c r="H17" s="2" t="s">
        <v>4</v>
      </c>
      <c r="I17" s="5">
        <f t="shared" si="2"/>
        <v>6.1344413639628392E-2</v>
      </c>
      <c r="J17" s="3">
        <f>IFERROR(SUMIFS(Bank_Rates!$C$2:$C$100,Bank_Rates!$A$2:$A$100,H17,Bank_Rates!$B$2:$B$100,LOOKUP(2,1/((Bank_Rates!$A$2:$A$100=H17)*(Bank_Rates!$B$2:$B$100&lt;=C17)),Bank_Rates!$B$2:$B$100),Bank_Rates!$D$2:$D$100,_xlfn.AGGREGATE(14,6,Bank_Rates!$D$2:$D$100/((Bank_Rates!$A$2:$A$100=H17)*(Bank_Rates!$B$2:$B$100=LOOKUP(2,1/((Bank_Rates!$A$2:$A$100=H17)*(Bank_Rates!$B$2:$B$100&lt;=C17)),Bank_Rates!$B$2:$B$100))*(Bank_Rates!$D$2:$D$100&lt;=G17)),1)),"No Match")</f>
        <v>0.04</v>
      </c>
      <c r="K17" s="5">
        <f t="shared" si="3"/>
        <v>2.1344413639628391E-2</v>
      </c>
      <c r="L17" s="2"/>
      <c r="M17" s="2"/>
      <c r="N17" s="2"/>
    </row>
    <row r="18" spans="1:14">
      <c r="A18" s="2" t="str">
        <f t="shared" si="0"/>
        <v>L-0017</v>
      </c>
      <c r="B18" s="2" t="s">
        <v>30</v>
      </c>
      <c r="C18" s="4">
        <v>46257</v>
      </c>
      <c r="D18" s="7">
        <v>5111466</v>
      </c>
      <c r="E18" s="7">
        <v>5124410</v>
      </c>
      <c r="F18" s="4">
        <v>46274</v>
      </c>
      <c r="G18" s="6">
        <f t="shared" si="1"/>
        <v>17</v>
      </c>
      <c r="H18" s="2" t="s">
        <v>4</v>
      </c>
      <c r="I18" s="5">
        <f t="shared" si="2"/>
        <v>5.5803648622332114E-2</v>
      </c>
      <c r="J18" s="3">
        <f>IFERROR(SUMIFS(Bank_Rates!$C$2:$C$100,Bank_Rates!$A$2:$A$100,H18,Bank_Rates!$B$2:$B$100,LOOKUP(2,1/((Bank_Rates!$A$2:$A$100=H18)*(Bank_Rates!$B$2:$B$100&lt;=C18)),Bank_Rates!$B$2:$B$100),Bank_Rates!$D$2:$D$100,_xlfn.AGGREGATE(14,6,Bank_Rates!$D$2:$D$100/((Bank_Rates!$A$2:$A$100=H18)*(Bank_Rates!$B$2:$B$100=LOOKUP(2,1/((Bank_Rates!$A$2:$A$100=H18)*(Bank_Rates!$B$2:$B$100&lt;=C18)),Bank_Rates!$B$2:$B$100))*(Bank_Rates!$D$2:$D$100&lt;=G18)),1)),"No Match")</f>
        <v>0.03</v>
      </c>
      <c r="K18" s="5">
        <f t="shared" si="3"/>
        <v>2.5803648622332115E-2</v>
      </c>
      <c r="L18" s="2"/>
      <c r="M18" s="2"/>
      <c r="N18" s="2"/>
    </row>
    <row r="19" spans="1:14">
      <c r="A19" s="2" t="str">
        <f t="shared" si="0"/>
        <v>L-0018</v>
      </c>
      <c r="B19" s="2" t="s">
        <v>31</v>
      </c>
      <c r="C19" s="4">
        <v>46258</v>
      </c>
      <c r="D19" s="7">
        <v>35282685</v>
      </c>
      <c r="E19" s="7">
        <v>35398329</v>
      </c>
      <c r="F19" s="4">
        <v>46276</v>
      </c>
      <c r="G19" s="6">
        <f t="shared" si="1"/>
        <v>18</v>
      </c>
      <c r="H19" s="2" t="s">
        <v>4</v>
      </c>
      <c r="I19" s="5">
        <f t="shared" si="2"/>
        <v>6.8605584181376633E-2</v>
      </c>
      <c r="J19" s="3">
        <f>IFERROR(SUMIFS(Bank_Rates!$C$2:$C$100,Bank_Rates!$A$2:$A$100,H19,Bank_Rates!$B$2:$B$100,LOOKUP(2,1/((Bank_Rates!$A$2:$A$100=H19)*(Bank_Rates!$B$2:$B$100&lt;=C19)),Bank_Rates!$B$2:$B$100),Bank_Rates!$D$2:$D$100,_xlfn.AGGREGATE(14,6,Bank_Rates!$D$2:$D$100/((Bank_Rates!$A$2:$A$100=H19)*(Bank_Rates!$B$2:$B$100=LOOKUP(2,1/((Bank_Rates!$A$2:$A$100=H19)*(Bank_Rates!$B$2:$B$100&lt;=C19)),Bank_Rates!$B$2:$B$100))*(Bank_Rates!$D$2:$D$100&lt;=G19)),1)),"No Match")</f>
        <v>0.03</v>
      </c>
      <c r="K19" s="5">
        <f t="shared" si="3"/>
        <v>3.8605584181376634E-2</v>
      </c>
      <c r="L19" s="2"/>
      <c r="M19" s="2"/>
      <c r="N19" s="2"/>
    </row>
    <row r="20" spans="1:14">
      <c r="A20" s="2" t="str">
        <f t="shared" si="0"/>
        <v>L-0019</v>
      </c>
      <c r="B20" s="2" t="s">
        <v>32</v>
      </c>
      <c r="C20" s="4">
        <v>46262</v>
      </c>
      <c r="D20" s="7">
        <v>45016027</v>
      </c>
      <c r="E20" s="7">
        <v>45248425</v>
      </c>
      <c r="F20" s="4">
        <v>46291</v>
      </c>
      <c r="G20" s="6">
        <f t="shared" si="1"/>
        <v>29</v>
      </c>
      <c r="H20" s="2" t="s">
        <v>4</v>
      </c>
      <c r="I20" s="5">
        <f t="shared" si="2"/>
        <v>6.6956193746280368E-2</v>
      </c>
      <c r="J20" s="3">
        <f>IFERROR(SUMIFS(Bank_Rates!$C$2:$C$100,Bank_Rates!$A$2:$A$100,H20,Bank_Rates!$B$2:$B$100,LOOKUP(2,1/((Bank_Rates!$A$2:$A$100=H20)*(Bank_Rates!$B$2:$B$100&lt;=C20)),Bank_Rates!$B$2:$B$100),Bank_Rates!$D$2:$D$100,_xlfn.AGGREGATE(14,6,Bank_Rates!$D$2:$D$100/((Bank_Rates!$A$2:$A$100=H20)*(Bank_Rates!$B$2:$B$100=LOOKUP(2,1/((Bank_Rates!$A$2:$A$100=H20)*(Bank_Rates!$B$2:$B$100&lt;=C20)),Bank_Rates!$B$2:$B$100))*(Bank_Rates!$D$2:$D$100&lt;=G20)),1)),"No Match")</f>
        <v>0.04</v>
      </c>
      <c r="K20" s="5">
        <f t="shared" si="3"/>
        <v>2.6956193746280367E-2</v>
      </c>
      <c r="L20" s="2"/>
      <c r="M20" s="2"/>
      <c r="N20" s="2"/>
    </row>
    <row r="21" spans="1:14">
      <c r="A21" s="2" t="str">
        <f t="shared" si="0"/>
        <v>L-0020</v>
      </c>
      <c r="B21" s="2" t="s">
        <v>102</v>
      </c>
      <c r="C21" s="4">
        <v>46280</v>
      </c>
      <c r="D21" s="7">
        <v>19091800</v>
      </c>
      <c r="E21" s="7">
        <v>19148155</v>
      </c>
      <c r="F21" s="4">
        <v>46298</v>
      </c>
      <c r="G21" s="6">
        <f t="shared" si="1"/>
        <v>18</v>
      </c>
      <c r="H21" s="2" t="s">
        <v>4</v>
      </c>
      <c r="I21" s="5">
        <f t="shared" si="2"/>
        <v>6.1589794784445928E-2</v>
      </c>
      <c r="J21" s="3">
        <f>IFERROR(SUMIFS(Bank_Rates!$C$2:$C$100,Bank_Rates!$A$2:$A$100,H21,Bank_Rates!$B$2:$B$100,LOOKUP(2,1/((Bank_Rates!$A$2:$A$100=H21)*(Bank_Rates!$B$2:$B$100&lt;=C21)),Bank_Rates!$B$2:$B$100),Bank_Rates!$D$2:$D$100,_xlfn.AGGREGATE(14,6,Bank_Rates!$D$2:$D$100/((Bank_Rates!$A$2:$A$100=H21)*(Bank_Rates!$B$2:$B$100=LOOKUP(2,1/((Bank_Rates!$A$2:$A$100=H21)*(Bank_Rates!$B$2:$B$100&lt;=C21)),Bank_Rates!$B$2:$B$100))*(Bank_Rates!$D$2:$D$100&lt;=G21)),1)),"No Match")</f>
        <v>0.03</v>
      </c>
      <c r="K21" s="5">
        <f t="shared" si="3"/>
        <v>3.1589794784445929E-2</v>
      </c>
      <c r="L21" s="2"/>
      <c r="M21" s="2"/>
      <c r="N21" s="2"/>
    </row>
    <row r="22" spans="1:14">
      <c r="A22" s="2" t="str">
        <f t="shared" si="0"/>
        <v>L-0021</v>
      </c>
      <c r="B22" s="2" t="s">
        <v>103</v>
      </c>
      <c r="C22" s="4">
        <v>46280</v>
      </c>
      <c r="D22" s="7">
        <v>14986000</v>
      </c>
      <c r="E22" s="7">
        <v>15030272</v>
      </c>
      <c r="F22" s="4">
        <v>46298</v>
      </c>
      <c r="G22" s="6">
        <f t="shared" si="1"/>
        <v>18</v>
      </c>
      <c r="H22" s="2" t="s">
        <v>4</v>
      </c>
      <c r="I22" s="5">
        <f>IF(OR(D22="",E22="",G22="",G22=0),"",(E22/D22)^(365/G22)-1)</f>
        <v>6.1642018879888072E-2</v>
      </c>
      <c r="J22" s="3">
        <f>IFERROR(SUMIFS(Bank_Rates!$C$2:$C$100,Bank_Rates!$A$2:$A$100,H22,Bank_Rates!$B$2:$B$100,LOOKUP(2,1/((Bank_Rates!$A$2:$A$100=H22)*(Bank_Rates!$B$2:$B$100&lt;=C22)),Bank_Rates!$B$2:$B$100),Bank_Rates!$D$2:$D$100,_xlfn.AGGREGATE(14,6,Bank_Rates!$D$2:$D$100/((Bank_Rates!$A$2:$A$100=H22)*(Bank_Rates!$B$2:$B$100=LOOKUP(2,1/((Bank_Rates!$A$2:$A$100=H22)*(Bank_Rates!$B$2:$B$100&lt;=C22)),Bank_Rates!$B$2:$B$100))*(Bank_Rates!$D$2:$D$100&lt;=G22)),1)),"No Match")</f>
        <v>0.03</v>
      </c>
      <c r="K22" s="5">
        <f t="shared" si="3"/>
        <v>3.1642018879888073E-2</v>
      </c>
      <c r="L22" s="2"/>
      <c r="M22" s="2"/>
      <c r="N22" s="2"/>
    </row>
    <row r="23" spans="1:14">
      <c r="A23" s="2" t="str">
        <f t="shared" si="0"/>
        <v>L-0022</v>
      </c>
      <c r="B23" s="2" t="s">
        <v>107</v>
      </c>
      <c r="C23" s="4">
        <v>46282</v>
      </c>
      <c r="D23" s="7">
        <v>9945000</v>
      </c>
      <c r="E23" s="7">
        <v>9992943</v>
      </c>
      <c r="F23" s="4">
        <v>46307</v>
      </c>
      <c r="G23" s="6">
        <f t="shared" si="1"/>
        <v>25</v>
      </c>
      <c r="H23" s="2" t="s">
        <v>4</v>
      </c>
      <c r="I23" s="5">
        <f>IF(OR(D23="",E23="",G23="",G23=0),"",(E23/D23)^(365/G23)-1)</f>
        <v>7.2738560206134784E-2</v>
      </c>
      <c r="J23" s="3">
        <f>IFERROR(SUMIFS(Bank_Rates!$C$2:$C$100,Bank_Rates!$A$2:$A$100,H23,Bank_Rates!$B$2:$B$100,LOOKUP(2,1/((Bank_Rates!$A$2:$A$100=H23)*(Bank_Rates!$B$2:$B$100&lt;=C23)),Bank_Rates!$B$2:$B$100),Bank_Rates!$D$2:$D$100,_xlfn.AGGREGATE(14,6,Bank_Rates!$D$2:$D$100/((Bank_Rates!$A$2:$A$100=H23)*(Bank_Rates!$B$2:$B$100=LOOKUP(2,1/((Bank_Rates!$A$2:$A$100=H23)*(Bank_Rates!$B$2:$B$100&lt;=C23)),Bank_Rates!$B$2:$B$100))*(Bank_Rates!$D$2:$D$100&lt;=G23)),1)),"No Match")</f>
        <v>0.04</v>
      </c>
      <c r="K23" s="5">
        <f t="shared" si="3"/>
        <v>3.2738560206134783E-2</v>
      </c>
      <c r="L23" s="2"/>
      <c r="M23" s="2"/>
      <c r="N23" s="2"/>
    </row>
    <row r="24" spans="1:14">
      <c r="A24" s="2" t="str">
        <f t="shared" si="0"/>
        <v>L-0023</v>
      </c>
      <c r="B24" s="2" t="s">
        <v>110</v>
      </c>
      <c r="C24" s="4">
        <v>46307</v>
      </c>
      <c r="D24" s="7">
        <v>99959000</v>
      </c>
      <c r="E24" s="7">
        <v>104482535</v>
      </c>
      <c r="F24" s="4">
        <v>46488</v>
      </c>
      <c r="G24" s="6">
        <f t="shared" si="1"/>
        <v>181</v>
      </c>
      <c r="H24" s="2" t="s">
        <v>4</v>
      </c>
      <c r="I24" s="5">
        <f t="shared" si="2"/>
        <v>9.3357504166384997E-2</v>
      </c>
      <c r="J24" s="3">
        <f>IFERROR(SUMIFS(Bank_Rates!$C$2:$C$100,Bank_Rates!$A$2:$A$100,H24,Bank_Rates!$B$2:$B$100,LOOKUP(2,1/((Bank_Rates!$A$2:$A$100=H24)*(Bank_Rates!$B$2:$B$100&lt;=C24)),Bank_Rates!$B$2:$B$100),Bank_Rates!$D$2:$D$100,_xlfn.AGGREGATE(14,6,Bank_Rates!$D$2:$D$100/((Bank_Rates!$A$2:$A$100=H24)*(Bank_Rates!$B$2:$B$100=LOOKUP(2,1/((Bank_Rates!$A$2:$A$100=H24)*(Bank_Rates!$B$2:$B$100&lt;=C24)),Bank_Rates!$B$2:$B$100))*(Bank_Rates!$D$2:$D$100&lt;=G24)),1)),"No Match")</f>
        <v>7.0999999999999994E-2</v>
      </c>
      <c r="K24" s="5">
        <f t="shared" si="3"/>
        <v>2.2357504166385003E-2</v>
      </c>
      <c r="L24" s="2"/>
      <c r="M24" s="2"/>
      <c r="N24" s="2"/>
    </row>
    <row r="25" spans="1:14">
      <c r="A25" s="2" t="str">
        <f t="shared" si="0"/>
        <v>L-0024</v>
      </c>
      <c r="B25" s="2" t="s">
        <v>111</v>
      </c>
      <c r="C25" s="4">
        <v>46307</v>
      </c>
      <c r="D25" s="7">
        <v>99988888</v>
      </c>
      <c r="E25" s="7">
        <v>104507597</v>
      </c>
      <c r="F25" s="4">
        <v>46488</v>
      </c>
      <c r="G25" s="6">
        <f t="shared" si="1"/>
        <v>181</v>
      </c>
      <c r="H25" s="2" t="s">
        <v>4</v>
      </c>
      <c r="I25" s="5">
        <f t="shared" si="2"/>
        <v>9.3227164571781485E-2</v>
      </c>
      <c r="J25" s="3">
        <f>IFERROR(SUMIFS(Bank_Rates!$C$2:$C$100,Bank_Rates!$A$2:$A$100,H25,Bank_Rates!$B$2:$B$100,LOOKUP(2,1/((Bank_Rates!$A$2:$A$100=H25)*(Bank_Rates!$B$2:$B$100&lt;=C25)),Bank_Rates!$B$2:$B$100),Bank_Rates!$D$2:$D$100,_xlfn.AGGREGATE(14,6,Bank_Rates!$D$2:$D$100/((Bank_Rates!$A$2:$A$100=H25)*(Bank_Rates!$B$2:$B$100=LOOKUP(2,1/((Bank_Rates!$A$2:$A$100=H25)*(Bank_Rates!$B$2:$B$100&lt;=C25)),Bank_Rates!$B$2:$B$100))*(Bank_Rates!$D$2:$D$100&lt;=G25)),1)),"No Match")</f>
        <v>7.0999999999999994E-2</v>
      </c>
      <c r="K25" s="5">
        <f t="shared" si="3"/>
        <v>2.2227164571781491E-2</v>
      </c>
      <c r="L25" s="2"/>
      <c r="M25" s="2"/>
      <c r="N25" s="2"/>
    </row>
    <row r="26" spans="1:14">
      <c r="A26" s="2" t="str">
        <f t="shared" si="0"/>
        <v>L-0025</v>
      </c>
      <c r="B26" s="2" t="s">
        <v>112</v>
      </c>
      <c r="C26" s="4">
        <v>46307</v>
      </c>
      <c r="D26" s="7">
        <v>49983889</v>
      </c>
      <c r="E26" s="7">
        <v>52225917</v>
      </c>
      <c r="F26" s="4">
        <v>46487</v>
      </c>
      <c r="G26" s="6">
        <f t="shared" si="1"/>
        <v>180</v>
      </c>
      <c r="H26" s="2" t="s">
        <v>4</v>
      </c>
      <c r="I26" s="5">
        <f t="shared" si="2"/>
        <v>9.3053440991562653E-2</v>
      </c>
      <c r="J26" s="3">
        <f>IFERROR(SUMIFS(Bank_Rates!$C$2:$C$100,Bank_Rates!$A$2:$A$100,H26,Bank_Rates!$B$2:$B$100,LOOKUP(2,1/((Bank_Rates!$A$2:$A$100=H26)*(Bank_Rates!$B$2:$B$100&lt;=C26)),Bank_Rates!$B$2:$B$100),Bank_Rates!$D$2:$D$100,_xlfn.AGGREGATE(14,6,Bank_Rates!$D$2:$D$100/((Bank_Rates!$A$2:$A$100=H26)*(Bank_Rates!$B$2:$B$100=LOOKUP(2,1/((Bank_Rates!$A$2:$A$100=H26)*(Bank_Rates!$B$2:$B$100&lt;=C26)),Bank_Rates!$B$2:$B$100))*(Bank_Rates!$D$2:$D$100&lt;=G26)),1)),"No Match")</f>
        <v>7.0999999999999994E-2</v>
      </c>
      <c r="K26" s="5">
        <f t="shared" si="3"/>
        <v>2.2053440991562659E-2</v>
      </c>
      <c r="L26" s="2"/>
      <c r="M26" s="2"/>
      <c r="N26" s="2"/>
    </row>
    <row r="27" spans="1:14">
      <c r="A27" s="2" t="str">
        <f t="shared" si="0"/>
        <v>L-0026</v>
      </c>
      <c r="B27" s="2" t="s">
        <v>113</v>
      </c>
      <c r="C27" s="4">
        <v>46307</v>
      </c>
      <c r="D27" s="7">
        <v>49999000</v>
      </c>
      <c r="E27" s="7">
        <v>52242252</v>
      </c>
      <c r="F27" s="4">
        <v>46487</v>
      </c>
      <c r="G27" s="6">
        <f t="shared" si="1"/>
        <v>180</v>
      </c>
      <c r="H27" s="2" t="s">
        <v>4</v>
      </c>
      <c r="I27" s="5">
        <f t="shared" si="2"/>
        <v>9.3076614680431158E-2</v>
      </c>
      <c r="J27" s="3">
        <f>IFERROR(SUMIFS(Bank_Rates!$C$2:$C$100,Bank_Rates!$A$2:$A$100,H27,Bank_Rates!$B$2:$B$100,LOOKUP(2,1/((Bank_Rates!$A$2:$A$100=H27)*(Bank_Rates!$B$2:$B$100&lt;=C27)),Bank_Rates!$B$2:$B$100),Bank_Rates!$D$2:$D$100,_xlfn.AGGREGATE(14,6,Bank_Rates!$D$2:$D$100/((Bank_Rates!$A$2:$A$100=H27)*(Bank_Rates!$B$2:$B$100=LOOKUP(2,1/((Bank_Rates!$A$2:$A$100=H27)*(Bank_Rates!$B$2:$B$100&lt;=C27)),Bank_Rates!$B$2:$B$100))*(Bank_Rates!$D$2:$D$100&lt;=G27)),1)),"No Match")</f>
        <v>7.0999999999999994E-2</v>
      </c>
      <c r="K27" s="5">
        <f t="shared" si="3"/>
        <v>2.2076614680431164E-2</v>
      </c>
      <c r="L27" s="2"/>
      <c r="M27" s="2"/>
      <c r="N27" s="2"/>
    </row>
    <row r="28" spans="1:14">
      <c r="A28" s="2" t="str">
        <f t="shared" si="0"/>
        <v>L-0027</v>
      </c>
      <c r="B28" s="2" t="s">
        <v>114</v>
      </c>
      <c r="C28" s="4">
        <v>46307</v>
      </c>
      <c r="D28" s="7">
        <v>50113688</v>
      </c>
      <c r="E28" s="7">
        <v>52372315</v>
      </c>
      <c r="F28" s="4">
        <v>46488</v>
      </c>
      <c r="G28" s="6">
        <f t="shared" si="1"/>
        <v>181</v>
      </c>
      <c r="H28" s="2" t="s">
        <v>4</v>
      </c>
      <c r="I28" s="5">
        <f t="shared" si="2"/>
        <v>9.2969745050784036E-2</v>
      </c>
      <c r="J28" s="3">
        <f>IFERROR(SUMIFS(Bank_Rates!$C$2:$C$100,Bank_Rates!$A$2:$A$100,H28,Bank_Rates!$B$2:$B$100,LOOKUP(2,1/((Bank_Rates!$A$2:$A$100=H28)*(Bank_Rates!$B$2:$B$100&lt;=C28)),Bank_Rates!$B$2:$B$100),Bank_Rates!$D$2:$D$100,_xlfn.AGGREGATE(14,6,Bank_Rates!$D$2:$D$100/((Bank_Rates!$A$2:$A$100=H28)*(Bank_Rates!$B$2:$B$100=LOOKUP(2,1/((Bank_Rates!$A$2:$A$100=H28)*(Bank_Rates!$B$2:$B$100&lt;=C28)),Bank_Rates!$B$2:$B$100))*(Bank_Rates!$D$2:$D$100&lt;=G28)),1)),"No Match")</f>
        <v>7.0999999999999994E-2</v>
      </c>
      <c r="K28" s="5">
        <f t="shared" si="3"/>
        <v>2.1969745050784042E-2</v>
      </c>
      <c r="L28" s="2"/>
      <c r="M28" s="2"/>
      <c r="N28" s="2"/>
    </row>
    <row r="29" spans="1:14">
      <c r="A29" s="2" t="str">
        <f t="shared" si="0"/>
        <v>L-0028</v>
      </c>
      <c r="B29" s="2" t="s">
        <v>115</v>
      </c>
      <c r="C29" s="4">
        <v>46307</v>
      </c>
      <c r="D29" s="7">
        <v>50052000</v>
      </c>
      <c r="E29" s="7">
        <v>52295424</v>
      </c>
      <c r="F29" s="4">
        <v>46487</v>
      </c>
      <c r="G29" s="6">
        <f t="shared" si="1"/>
        <v>180</v>
      </c>
      <c r="H29" s="2" t="s">
        <v>4</v>
      </c>
      <c r="I29" s="5">
        <f t="shared" si="2"/>
        <v>9.2983124862429545E-2</v>
      </c>
      <c r="J29" s="3">
        <f>IFERROR(SUMIFS(Bank_Rates!$C$2:$C$100,Bank_Rates!$A$2:$A$100,H29,Bank_Rates!$B$2:$B$100,LOOKUP(2,1/((Bank_Rates!$A$2:$A$100=H29)*(Bank_Rates!$B$2:$B$100&lt;=C29)),Bank_Rates!$B$2:$B$100),Bank_Rates!$D$2:$D$100,_xlfn.AGGREGATE(14,6,Bank_Rates!$D$2:$D$100/((Bank_Rates!$A$2:$A$100=H29)*(Bank_Rates!$B$2:$B$100=LOOKUP(2,1/((Bank_Rates!$A$2:$A$100=H29)*(Bank_Rates!$B$2:$B$100&lt;=C29)),Bank_Rates!$B$2:$B$100))*(Bank_Rates!$D$2:$D$100&lt;=G29)),1)),"No Match")</f>
        <v>7.0999999999999994E-2</v>
      </c>
      <c r="K29" s="5">
        <f t="shared" si="3"/>
        <v>2.1983124862429551E-2</v>
      </c>
      <c r="L29" s="2"/>
      <c r="M29" s="2"/>
      <c r="N29" s="2"/>
    </row>
    <row r="30" spans="1:14">
      <c r="A30" s="2" t="str">
        <f t="shared" si="0"/>
        <v>L-0029</v>
      </c>
      <c r="B30" s="2" t="s">
        <v>111</v>
      </c>
      <c r="C30" s="4">
        <v>46307</v>
      </c>
      <c r="D30" s="7">
        <v>50013333</v>
      </c>
      <c r="E30" s="7">
        <v>52266726</v>
      </c>
      <c r="F30" s="4">
        <v>46488</v>
      </c>
      <c r="G30" s="6">
        <f t="shared" si="1"/>
        <v>181</v>
      </c>
      <c r="H30" s="2" t="s">
        <v>4</v>
      </c>
      <c r="I30" s="5">
        <f t="shared" si="2"/>
        <v>9.2939763496380667E-2</v>
      </c>
      <c r="J30" s="3">
        <f>IFERROR(SUMIFS(Bank_Rates!$C$2:$C$100,Bank_Rates!$A$2:$A$100,H30,Bank_Rates!$B$2:$B$100,LOOKUP(2,1/((Bank_Rates!$A$2:$A$100=H30)*(Bank_Rates!$B$2:$B$100&lt;=C30)),Bank_Rates!$B$2:$B$100),Bank_Rates!$D$2:$D$100,_xlfn.AGGREGATE(14,6,Bank_Rates!$D$2:$D$100/((Bank_Rates!$A$2:$A$100=H30)*(Bank_Rates!$B$2:$B$100=LOOKUP(2,1/((Bank_Rates!$A$2:$A$100=H30)*(Bank_Rates!$B$2:$B$100&lt;=C30)),Bank_Rates!$B$2:$B$100))*(Bank_Rates!$D$2:$D$100&lt;=G30)),1)),"No Match")</f>
        <v>7.0999999999999994E-2</v>
      </c>
      <c r="K30" s="5">
        <f t="shared" si="3"/>
        <v>2.1939763496380674E-2</v>
      </c>
      <c r="L30" s="2"/>
      <c r="M30" s="2"/>
      <c r="N30" s="2"/>
    </row>
    <row r="31" spans="1:14">
      <c r="A31" s="2" t="str">
        <f t="shared" si="0"/>
        <v>L-0030</v>
      </c>
      <c r="B31" s="2" t="s">
        <v>116</v>
      </c>
      <c r="C31" s="4">
        <v>46307</v>
      </c>
      <c r="D31" s="7">
        <v>50001000</v>
      </c>
      <c r="E31" s="7">
        <v>52256593</v>
      </c>
      <c r="F31" s="4">
        <v>46488</v>
      </c>
      <c r="G31" s="6">
        <f t="shared" si="1"/>
        <v>181</v>
      </c>
      <c r="H31" s="2" t="s">
        <v>4</v>
      </c>
      <c r="I31" s="5">
        <f t="shared" si="2"/>
        <v>9.3055997117133638E-2</v>
      </c>
      <c r="J31" s="3">
        <f>IFERROR(SUMIFS(Bank_Rates!$C$2:$C$100,Bank_Rates!$A$2:$A$100,H31,Bank_Rates!$B$2:$B$100,LOOKUP(2,1/((Bank_Rates!$A$2:$A$100=H31)*(Bank_Rates!$B$2:$B$100&lt;=C31)),Bank_Rates!$B$2:$B$100),Bank_Rates!$D$2:$D$100,_xlfn.AGGREGATE(14,6,Bank_Rates!$D$2:$D$100/((Bank_Rates!$A$2:$A$100=H31)*(Bank_Rates!$B$2:$B$100=LOOKUP(2,1/((Bank_Rates!$A$2:$A$100=H31)*(Bank_Rates!$B$2:$B$100&lt;=C31)),Bank_Rates!$B$2:$B$100))*(Bank_Rates!$D$2:$D$100&lt;=G31)),1)),"No Match")</f>
        <v>7.0999999999999994E-2</v>
      </c>
      <c r="K31" s="5">
        <f t="shared" si="3"/>
        <v>2.2055997117133644E-2</v>
      </c>
      <c r="L31" s="2"/>
      <c r="M31" s="2"/>
      <c r="N31" s="2"/>
    </row>
    <row r="32" spans="1:14">
      <c r="A32" s="2" t="str">
        <f t="shared" si="0"/>
        <v>L-0031</v>
      </c>
      <c r="B32" s="2" t="s">
        <v>117</v>
      </c>
      <c r="C32" s="4">
        <v>46307</v>
      </c>
      <c r="D32" s="7">
        <v>32986000</v>
      </c>
      <c r="E32" s="7">
        <v>34463041</v>
      </c>
      <c r="F32" s="4">
        <v>46487</v>
      </c>
      <c r="G32" s="6">
        <f t="shared" si="1"/>
        <v>180</v>
      </c>
      <c r="H32" s="2" t="s">
        <v>4</v>
      </c>
      <c r="I32" s="5">
        <f t="shared" si="2"/>
        <v>9.2889684975957287E-2</v>
      </c>
      <c r="J32" s="3">
        <f>IFERROR(SUMIFS(Bank_Rates!$C$2:$C$100,Bank_Rates!$A$2:$A$100,H32,Bank_Rates!$B$2:$B$100,LOOKUP(2,1/((Bank_Rates!$A$2:$A$100=H32)*(Bank_Rates!$B$2:$B$100&lt;=C32)),Bank_Rates!$B$2:$B$100),Bank_Rates!$D$2:$D$100,_xlfn.AGGREGATE(14,6,Bank_Rates!$D$2:$D$100/((Bank_Rates!$A$2:$A$100=H32)*(Bank_Rates!$B$2:$B$100=LOOKUP(2,1/((Bank_Rates!$A$2:$A$100=H32)*(Bank_Rates!$B$2:$B$100&lt;=C32)),Bank_Rates!$B$2:$B$100))*(Bank_Rates!$D$2:$D$100&lt;=G32)),1)),"No Match")</f>
        <v>7.0999999999999994E-2</v>
      </c>
      <c r="K32" s="5">
        <f t="shared" si="3"/>
        <v>2.1889684975957294E-2</v>
      </c>
      <c r="L32" s="2"/>
      <c r="M32" s="2"/>
      <c r="N32" s="2"/>
    </row>
    <row r="33" spans="1:14">
      <c r="A33" s="2" t="str">
        <f t="shared" si="0"/>
        <v>L-0032</v>
      </c>
      <c r="B33" s="2" t="s">
        <v>118</v>
      </c>
      <c r="C33" s="4">
        <v>46307</v>
      </c>
      <c r="D33" s="7">
        <v>32968000</v>
      </c>
      <c r="E33" s="7">
        <v>34443606</v>
      </c>
      <c r="F33" s="4">
        <v>46487</v>
      </c>
      <c r="G33" s="6">
        <f t="shared" si="1"/>
        <v>180</v>
      </c>
      <c r="H33" s="2" t="s">
        <v>4</v>
      </c>
      <c r="I33" s="5">
        <f t="shared" si="2"/>
        <v>9.2849215623804326E-2</v>
      </c>
      <c r="J33" s="3">
        <f>IFERROR(SUMIFS(Bank_Rates!$C$2:$C$100,Bank_Rates!$A$2:$A$100,H33,Bank_Rates!$B$2:$B$100,LOOKUP(2,1/((Bank_Rates!$A$2:$A$100=H33)*(Bank_Rates!$B$2:$B$100&lt;=C33)),Bank_Rates!$B$2:$B$100),Bank_Rates!$D$2:$D$100,_xlfn.AGGREGATE(14,6,Bank_Rates!$D$2:$D$100/((Bank_Rates!$A$2:$A$100=H33)*(Bank_Rates!$B$2:$B$100=LOOKUP(2,1/((Bank_Rates!$A$2:$A$100=H33)*(Bank_Rates!$B$2:$B$100&lt;=C33)),Bank_Rates!$B$2:$B$100))*(Bank_Rates!$D$2:$D$100&lt;=G33)),1)),"No Match")</f>
        <v>7.0999999999999994E-2</v>
      </c>
      <c r="K33" s="5">
        <f t="shared" si="3"/>
        <v>2.1849215623804333E-2</v>
      </c>
      <c r="L33" s="2"/>
      <c r="M33" s="2"/>
      <c r="N33" s="2"/>
    </row>
    <row r="34" spans="1:14">
      <c r="A34" s="2" t="str">
        <f t="shared" si="0"/>
        <v>L-0033</v>
      </c>
      <c r="B34" s="2" t="s">
        <v>119</v>
      </c>
      <c r="C34" s="4">
        <v>46307</v>
      </c>
      <c r="D34" s="7">
        <v>33000000</v>
      </c>
      <c r="E34" s="7">
        <v>34475656</v>
      </c>
      <c r="F34" s="4">
        <v>46487</v>
      </c>
      <c r="G34" s="6">
        <f t="shared" si="1"/>
        <v>180</v>
      </c>
      <c r="H34" s="2" t="s">
        <v>4</v>
      </c>
      <c r="I34" s="5">
        <f t="shared" si="2"/>
        <v>9.2760369683881683E-2</v>
      </c>
      <c r="J34" s="3">
        <f>IFERROR(SUMIFS(Bank_Rates!$C$2:$C$100,Bank_Rates!$A$2:$A$100,H34,Bank_Rates!$B$2:$B$100,LOOKUP(2,1/((Bank_Rates!$A$2:$A$100=H34)*(Bank_Rates!$B$2:$B$100&lt;=C34)),Bank_Rates!$B$2:$B$100),Bank_Rates!$D$2:$D$100,_xlfn.AGGREGATE(14,6,Bank_Rates!$D$2:$D$100/((Bank_Rates!$A$2:$A$100=H34)*(Bank_Rates!$B$2:$B$100=LOOKUP(2,1/((Bank_Rates!$A$2:$A$100=H34)*(Bank_Rates!$B$2:$B$100&lt;=C34)),Bank_Rates!$B$2:$B$100))*(Bank_Rates!$D$2:$D$100&lt;=G34)),1)),"No Match")</f>
        <v>7.0999999999999994E-2</v>
      </c>
      <c r="K34" s="5">
        <f t="shared" si="3"/>
        <v>2.1760369683881689E-2</v>
      </c>
      <c r="L34" s="2"/>
      <c r="M34" s="2"/>
      <c r="N34" s="2"/>
    </row>
    <row r="35" spans="1:14">
      <c r="A35" s="2" t="str">
        <f t="shared" si="0"/>
        <v>L-0034</v>
      </c>
      <c r="B35" s="2" t="s">
        <v>130</v>
      </c>
      <c r="C35" s="4">
        <v>46308</v>
      </c>
      <c r="D35" s="7">
        <v>99963333</v>
      </c>
      <c r="E35" s="7">
        <v>104484688</v>
      </c>
      <c r="F35" s="4">
        <v>46489</v>
      </c>
      <c r="G35" s="6">
        <f t="shared" si="1"/>
        <v>181</v>
      </c>
      <c r="H35" s="2" t="s">
        <v>4</v>
      </c>
      <c r="I35" s="5">
        <f t="shared" si="2"/>
        <v>9.330736571262821E-2</v>
      </c>
      <c r="J35" s="3">
        <f>IFERROR(SUMIFS(Bank_Rates!$C$2:$C$100,Bank_Rates!$A$2:$A$100,H35,Bank_Rates!$B$2:$B$100,LOOKUP(2,1/((Bank_Rates!$A$2:$A$100=H35)*(Bank_Rates!$B$2:$B$100&lt;=C35)),Bank_Rates!$B$2:$B$100),Bank_Rates!$D$2:$D$100,_xlfn.AGGREGATE(14,6,Bank_Rates!$D$2:$D$100/((Bank_Rates!$A$2:$A$100=H35)*(Bank_Rates!$B$2:$B$100=LOOKUP(2,1/((Bank_Rates!$A$2:$A$100=H35)*(Bank_Rates!$B$2:$B$100&lt;=C35)),Bank_Rates!$B$2:$B$100))*(Bank_Rates!$D$2:$D$100&lt;=G35)),1)),"No Match")</f>
        <v>7.0999999999999994E-2</v>
      </c>
      <c r="K35" s="5">
        <f t="shared" si="3"/>
        <v>2.2307365712628216E-2</v>
      </c>
      <c r="L35" s="2"/>
      <c r="M35" s="2"/>
      <c r="N35" s="2"/>
    </row>
    <row r="36" spans="1:14">
      <c r="A36" s="2" t="str">
        <f t="shared" si="0"/>
        <v>L-0035</v>
      </c>
      <c r="B36" s="2" t="s">
        <v>131</v>
      </c>
      <c r="C36" s="4">
        <v>46308</v>
      </c>
      <c r="D36" s="7">
        <v>50038000</v>
      </c>
      <c r="E36" s="7">
        <v>51760741</v>
      </c>
      <c r="F36" s="4">
        <v>46446</v>
      </c>
      <c r="G36" s="6">
        <f t="shared" si="1"/>
        <v>138</v>
      </c>
      <c r="H36" s="2" t="s">
        <v>4</v>
      </c>
      <c r="I36" s="5">
        <f t="shared" si="2"/>
        <v>9.3658843129874825E-2</v>
      </c>
      <c r="J36" s="3">
        <f>IFERROR(SUMIFS(Bank_Rates!$C$2:$C$100,Bank_Rates!$A$2:$A$100,H36,Bank_Rates!$B$2:$B$100,LOOKUP(2,1/((Bank_Rates!$A$2:$A$100=H36)*(Bank_Rates!$B$2:$B$100&lt;=C36)),Bank_Rates!$B$2:$B$100),Bank_Rates!$D$2:$D$100,_xlfn.AGGREGATE(14,6,Bank_Rates!$D$2:$D$100/((Bank_Rates!$A$2:$A$100=H36)*(Bank_Rates!$B$2:$B$100=LOOKUP(2,1/((Bank_Rates!$A$2:$A$100=H36)*(Bank_Rates!$B$2:$B$100&lt;=C36)),Bank_Rates!$B$2:$B$100))*(Bank_Rates!$D$2:$D$100&lt;=G36)),1)),"No Match")</f>
        <v>7.0000000000000007E-2</v>
      </c>
      <c r="K36" s="5">
        <f t="shared" si="3"/>
        <v>2.3658843129874818E-2</v>
      </c>
      <c r="L36" s="2"/>
      <c r="M36" s="2"/>
      <c r="N36" s="2"/>
    </row>
    <row r="37" spans="1:14">
      <c r="A37" s="2" t="str">
        <f t="shared" si="0"/>
        <v>L-0036</v>
      </c>
      <c r="B37" s="2" t="s">
        <v>132</v>
      </c>
      <c r="C37" s="4">
        <v>46308</v>
      </c>
      <c r="D37" s="7">
        <v>60935000</v>
      </c>
      <c r="E37" s="7">
        <v>63031225</v>
      </c>
      <c r="F37" s="4">
        <v>46446</v>
      </c>
      <c r="G37" s="6">
        <f t="shared" si="1"/>
        <v>138</v>
      </c>
      <c r="H37" s="2" t="s">
        <v>4</v>
      </c>
      <c r="I37" s="5">
        <f t="shared" si="2"/>
        <v>9.3581516290228928E-2</v>
      </c>
      <c r="J37" s="3">
        <f>IFERROR(SUMIFS(Bank_Rates!$C$2:$C$100,Bank_Rates!$A$2:$A$100,H37,Bank_Rates!$B$2:$B$100,LOOKUP(2,1/((Bank_Rates!$A$2:$A$100=H37)*(Bank_Rates!$B$2:$B$100&lt;=C37)),Bank_Rates!$B$2:$B$100),Bank_Rates!$D$2:$D$100,_xlfn.AGGREGATE(14,6,Bank_Rates!$D$2:$D$100/((Bank_Rates!$A$2:$A$100=H37)*(Bank_Rates!$B$2:$B$100=LOOKUP(2,1/((Bank_Rates!$A$2:$A$100=H37)*(Bank_Rates!$B$2:$B$100&lt;=C37)),Bank_Rates!$B$2:$B$100))*(Bank_Rates!$D$2:$D$100&lt;=G37)),1)),"No Match")</f>
        <v>7.0000000000000007E-2</v>
      </c>
      <c r="K37" s="5">
        <f t="shared" si="3"/>
        <v>2.3581516290228921E-2</v>
      </c>
      <c r="L37" s="2"/>
      <c r="M37" s="2"/>
      <c r="N37" s="2"/>
    </row>
    <row r="38" spans="1:14">
      <c r="A38" s="2" t="str">
        <f t="shared" si="0"/>
        <v>L-0037</v>
      </c>
      <c r="B38" s="2" t="s">
        <v>133</v>
      </c>
      <c r="C38" s="4">
        <v>46308</v>
      </c>
      <c r="D38" s="7">
        <v>50013157</v>
      </c>
      <c r="E38" s="7">
        <v>52268961</v>
      </c>
      <c r="F38" s="4">
        <v>46489</v>
      </c>
      <c r="G38" s="6">
        <f t="shared" si="1"/>
        <v>181</v>
      </c>
      <c r="H38" s="2" t="s">
        <v>4</v>
      </c>
      <c r="I38" s="5">
        <f t="shared" si="2"/>
        <v>9.3041768208439901E-2</v>
      </c>
      <c r="J38" s="3">
        <f>IFERROR(SUMIFS(Bank_Rates!$C$2:$C$100,Bank_Rates!$A$2:$A$100,H38,Bank_Rates!$B$2:$B$100,LOOKUP(2,1/((Bank_Rates!$A$2:$A$100=H38)*(Bank_Rates!$B$2:$B$100&lt;=C38)),Bank_Rates!$B$2:$B$100),Bank_Rates!$D$2:$D$100,_xlfn.AGGREGATE(14,6,Bank_Rates!$D$2:$D$100/((Bank_Rates!$A$2:$A$100=H38)*(Bank_Rates!$B$2:$B$100=LOOKUP(2,1/((Bank_Rates!$A$2:$A$100=H38)*(Bank_Rates!$B$2:$B$100&lt;=C38)),Bank_Rates!$B$2:$B$100))*(Bank_Rates!$D$2:$D$100&lt;=G38)),1)),"No Match")</f>
        <v>7.0999999999999994E-2</v>
      </c>
      <c r="K38" s="5">
        <f t="shared" si="3"/>
        <v>2.2041768208439907E-2</v>
      </c>
      <c r="L38" s="2"/>
      <c r="M38" s="2"/>
      <c r="N38" s="2"/>
    </row>
    <row r="39" spans="1:14">
      <c r="A39" s="2" t="str">
        <f t="shared" si="0"/>
        <v>L-0038</v>
      </c>
      <c r="B39" s="2" t="s">
        <v>134</v>
      </c>
      <c r="C39" s="4">
        <v>46308</v>
      </c>
      <c r="D39" s="7">
        <v>61944000</v>
      </c>
      <c r="E39" s="7">
        <v>64074789</v>
      </c>
      <c r="F39" s="4">
        <v>46446</v>
      </c>
      <c r="G39" s="6">
        <f t="shared" si="1"/>
        <v>138</v>
      </c>
      <c r="H39" s="2" t="s">
        <v>4</v>
      </c>
      <c r="I39" s="5">
        <f t="shared" si="2"/>
        <v>9.3574898092118053E-2</v>
      </c>
      <c r="J39" s="3">
        <f>IFERROR(SUMIFS(Bank_Rates!$C$2:$C$100,Bank_Rates!$A$2:$A$100,H39,Bank_Rates!$B$2:$B$100,LOOKUP(2,1/((Bank_Rates!$A$2:$A$100=H39)*(Bank_Rates!$B$2:$B$100&lt;=C39)),Bank_Rates!$B$2:$B$100),Bank_Rates!$D$2:$D$100,_xlfn.AGGREGATE(14,6,Bank_Rates!$D$2:$D$100/((Bank_Rates!$A$2:$A$100=H39)*(Bank_Rates!$B$2:$B$100=LOOKUP(2,1/((Bank_Rates!$A$2:$A$100=H39)*(Bank_Rates!$B$2:$B$100&lt;=C39)),Bank_Rates!$B$2:$B$100))*(Bank_Rates!$D$2:$D$100&lt;=G39)),1)),"No Match")</f>
        <v>7.0000000000000007E-2</v>
      </c>
      <c r="K39" s="5">
        <f t="shared" si="3"/>
        <v>2.3574898092118046E-2</v>
      </c>
      <c r="L39" s="2"/>
      <c r="M39" s="2"/>
      <c r="N39" s="2"/>
    </row>
    <row r="40" spans="1:14">
      <c r="A40" s="2" t="str">
        <f t="shared" si="0"/>
        <v>L-0039</v>
      </c>
      <c r="B40" s="2" t="s">
        <v>135</v>
      </c>
      <c r="C40" s="4">
        <v>46308</v>
      </c>
      <c r="D40" s="7">
        <v>50084000</v>
      </c>
      <c r="E40" s="7">
        <v>52342712</v>
      </c>
      <c r="F40" s="4">
        <v>46489</v>
      </c>
      <c r="G40" s="6">
        <f t="shared" si="1"/>
        <v>181</v>
      </c>
      <c r="H40" s="2" t="s">
        <v>4</v>
      </c>
      <c r="I40" s="5">
        <f t="shared" si="2"/>
        <v>9.3029669095769929E-2</v>
      </c>
      <c r="J40" s="3">
        <f>IFERROR(SUMIFS(Bank_Rates!$C$2:$C$100,Bank_Rates!$A$2:$A$100,H40,Bank_Rates!$B$2:$B$100,LOOKUP(2,1/((Bank_Rates!$A$2:$A$100=H40)*(Bank_Rates!$B$2:$B$100&lt;=C40)),Bank_Rates!$B$2:$B$100),Bank_Rates!$D$2:$D$100,_xlfn.AGGREGATE(14,6,Bank_Rates!$D$2:$D$100/((Bank_Rates!$A$2:$A$100=H40)*(Bank_Rates!$B$2:$B$100=LOOKUP(2,1/((Bank_Rates!$A$2:$A$100=H40)*(Bank_Rates!$B$2:$B$100&lt;=C40)),Bank_Rates!$B$2:$B$100))*(Bank_Rates!$D$2:$D$100&lt;=G40)),1)),"No Match")</f>
        <v>7.0999999999999994E-2</v>
      </c>
      <c r="K40" s="5">
        <f t="shared" si="3"/>
        <v>2.2029669095769935E-2</v>
      </c>
      <c r="L40" s="2"/>
      <c r="M40" s="2"/>
      <c r="N40" s="2"/>
    </row>
    <row r="41" spans="1:14">
      <c r="A41" s="2" t="str">
        <f t="shared" si="0"/>
        <v>L-0040</v>
      </c>
      <c r="B41" s="2" t="s">
        <v>130</v>
      </c>
      <c r="C41" s="4">
        <v>46308</v>
      </c>
      <c r="D41" s="7">
        <v>49988888</v>
      </c>
      <c r="E41" s="7">
        <v>52242344</v>
      </c>
      <c r="F41" s="4">
        <v>46489</v>
      </c>
      <c r="G41" s="6">
        <f t="shared" si="1"/>
        <v>181</v>
      </c>
      <c r="H41" s="2" t="s">
        <v>4</v>
      </c>
      <c r="I41" s="5">
        <f t="shared" si="2"/>
        <v>9.2988888317427465E-2</v>
      </c>
      <c r="J41" s="3">
        <f>IFERROR(SUMIFS(Bank_Rates!$C$2:$C$100,Bank_Rates!$A$2:$A$100,H41,Bank_Rates!$B$2:$B$100,LOOKUP(2,1/((Bank_Rates!$A$2:$A$100=H41)*(Bank_Rates!$B$2:$B$100&lt;=C41)),Bank_Rates!$B$2:$B$100),Bank_Rates!$D$2:$D$100,_xlfn.AGGREGATE(14,6,Bank_Rates!$D$2:$D$100/((Bank_Rates!$A$2:$A$100=H41)*(Bank_Rates!$B$2:$B$100=LOOKUP(2,1/((Bank_Rates!$A$2:$A$100=H41)*(Bank_Rates!$B$2:$B$100&lt;=C41)),Bank_Rates!$B$2:$B$100))*(Bank_Rates!$D$2:$D$100&lt;=G41)),1)),"No Match")</f>
        <v>7.0999999999999994E-2</v>
      </c>
      <c r="K41" s="5">
        <f t="shared" si="3"/>
        <v>2.1988888317427471E-2</v>
      </c>
      <c r="L41" s="2"/>
      <c r="M41" s="2"/>
      <c r="N41" s="2"/>
    </row>
    <row r="42" spans="1:14">
      <c r="A42" s="2" t="str">
        <f t="shared" si="0"/>
        <v>L-0041</v>
      </c>
      <c r="B42" s="2" t="s">
        <v>136</v>
      </c>
      <c r="C42" s="4">
        <v>46308</v>
      </c>
      <c r="D42" s="7">
        <v>40048000</v>
      </c>
      <c r="E42" s="7">
        <v>41792326</v>
      </c>
      <c r="F42" s="4">
        <v>46483</v>
      </c>
      <c r="G42" s="6">
        <f t="shared" si="1"/>
        <v>175</v>
      </c>
      <c r="H42" s="2" t="s">
        <v>4</v>
      </c>
      <c r="I42" s="5">
        <f t="shared" si="2"/>
        <v>9.2995772893570416E-2</v>
      </c>
      <c r="J42" s="3">
        <f>IFERROR(SUMIFS(Bank_Rates!$C$2:$C$100,Bank_Rates!$A$2:$A$100,H42,Bank_Rates!$B$2:$B$100,LOOKUP(2,1/((Bank_Rates!$A$2:$A$100=H42)*(Bank_Rates!$B$2:$B$100&lt;=C42)),Bank_Rates!$B$2:$B$100),Bank_Rates!$D$2:$D$100,_xlfn.AGGREGATE(14,6,Bank_Rates!$D$2:$D$100/((Bank_Rates!$A$2:$A$100=H42)*(Bank_Rates!$B$2:$B$100=LOOKUP(2,1/((Bank_Rates!$A$2:$A$100=H42)*(Bank_Rates!$B$2:$B$100&lt;=C42)),Bank_Rates!$B$2:$B$100))*(Bank_Rates!$D$2:$D$100&lt;=G42)),1)),"No Match")</f>
        <v>7.0000000000000007E-2</v>
      </c>
      <c r="K42" s="5">
        <f t="shared" si="3"/>
        <v>2.299577289357041E-2</v>
      </c>
      <c r="L42" s="2"/>
      <c r="M42" s="2"/>
      <c r="N42" s="2"/>
    </row>
    <row r="43" spans="1:14">
      <c r="A43" s="2" t="str">
        <f t="shared" si="0"/>
        <v>L-0042</v>
      </c>
      <c r="B43" s="2" t="s">
        <v>137</v>
      </c>
      <c r="C43" s="4">
        <v>46308</v>
      </c>
      <c r="D43" s="7">
        <v>19950000</v>
      </c>
      <c r="E43" s="7">
        <v>20846219</v>
      </c>
      <c r="F43" s="4">
        <v>46489</v>
      </c>
      <c r="G43" s="6">
        <f t="shared" si="1"/>
        <v>181</v>
      </c>
      <c r="H43" s="2" t="s">
        <v>4</v>
      </c>
      <c r="I43" s="5">
        <f t="shared" si="2"/>
        <v>9.2660158572153151E-2</v>
      </c>
      <c r="J43" s="3">
        <f>IFERROR(SUMIFS(Bank_Rates!$C$2:$C$100,Bank_Rates!$A$2:$A$100,H43,Bank_Rates!$B$2:$B$100,LOOKUP(2,1/((Bank_Rates!$A$2:$A$100=H43)*(Bank_Rates!$B$2:$B$100&lt;=C43)),Bank_Rates!$B$2:$B$100),Bank_Rates!$D$2:$D$100,_xlfn.AGGREGATE(14,6,Bank_Rates!$D$2:$D$100/((Bank_Rates!$A$2:$A$100=H43)*(Bank_Rates!$B$2:$B$100=LOOKUP(2,1/((Bank_Rates!$A$2:$A$100=H43)*(Bank_Rates!$B$2:$B$100&lt;=C43)),Bank_Rates!$B$2:$B$100))*(Bank_Rates!$D$2:$D$100&lt;=G43)),1)),"No Match")</f>
        <v>7.0999999999999994E-2</v>
      </c>
      <c r="K43" s="5">
        <f t="shared" si="3"/>
        <v>2.1660158572153157E-2</v>
      </c>
      <c r="L43" s="2"/>
      <c r="M43" s="2"/>
      <c r="N43" s="2"/>
    </row>
    <row r="44" spans="1:14">
      <c r="A44" s="2" t="str">
        <f t="shared" si="0"/>
        <v>L-0043</v>
      </c>
      <c r="B44" s="2" t="s">
        <v>138</v>
      </c>
      <c r="C44" s="4">
        <v>46308</v>
      </c>
      <c r="D44" s="7">
        <v>33013000</v>
      </c>
      <c r="E44" s="7">
        <v>34490255</v>
      </c>
      <c r="F44" s="4">
        <v>46488</v>
      </c>
      <c r="G44" s="6">
        <f t="shared" si="1"/>
        <v>180</v>
      </c>
      <c r="H44" s="2" t="s">
        <v>4</v>
      </c>
      <c r="I44" s="5">
        <f t="shared" si="2"/>
        <v>9.2825754957256201E-2</v>
      </c>
      <c r="J44" s="3">
        <f>IFERROR(SUMIFS(Bank_Rates!$C$2:$C$100,Bank_Rates!$A$2:$A$100,H44,Bank_Rates!$B$2:$B$100,LOOKUP(2,1/((Bank_Rates!$A$2:$A$100=H44)*(Bank_Rates!$B$2:$B$100&lt;=C44)),Bank_Rates!$B$2:$B$100),Bank_Rates!$D$2:$D$100,_xlfn.AGGREGATE(14,6,Bank_Rates!$D$2:$D$100/((Bank_Rates!$A$2:$A$100=H44)*(Bank_Rates!$B$2:$B$100=LOOKUP(2,1/((Bank_Rates!$A$2:$A$100=H44)*(Bank_Rates!$B$2:$B$100&lt;=C44)),Bank_Rates!$B$2:$B$100))*(Bank_Rates!$D$2:$D$100&lt;=G44)),1)),"No Match")</f>
        <v>7.0999999999999994E-2</v>
      </c>
      <c r="K44" s="5">
        <f t="shared" si="3"/>
        <v>2.1825754957256208E-2</v>
      </c>
      <c r="L44" s="2"/>
      <c r="M44" s="2"/>
      <c r="N44" s="2"/>
    </row>
    <row r="45" spans="1:14">
      <c r="A45" s="2" t="str">
        <f t="shared" si="0"/>
        <v>L-0044</v>
      </c>
      <c r="B45" s="2" t="s">
        <v>137</v>
      </c>
      <c r="C45" s="4">
        <v>46308</v>
      </c>
      <c r="D45" s="7">
        <v>40000000</v>
      </c>
      <c r="E45" s="7">
        <v>41797721</v>
      </c>
      <c r="F45" s="4">
        <v>46489</v>
      </c>
      <c r="G45" s="6">
        <f t="shared" si="1"/>
        <v>181</v>
      </c>
      <c r="H45" s="2" t="s">
        <v>4</v>
      </c>
      <c r="I45" s="5">
        <f t="shared" si="2"/>
        <v>9.2701841358837411E-2</v>
      </c>
      <c r="J45" s="3">
        <f>IFERROR(SUMIFS(Bank_Rates!$C$2:$C$100,Bank_Rates!$A$2:$A$100,H45,Bank_Rates!$B$2:$B$100,LOOKUP(2,1/((Bank_Rates!$A$2:$A$100=H45)*(Bank_Rates!$B$2:$B$100&lt;=C45)),Bank_Rates!$B$2:$B$100),Bank_Rates!$D$2:$D$100,_xlfn.AGGREGATE(14,6,Bank_Rates!$D$2:$D$100/((Bank_Rates!$A$2:$A$100=H45)*(Bank_Rates!$B$2:$B$100=LOOKUP(2,1/((Bank_Rates!$A$2:$A$100=H45)*(Bank_Rates!$B$2:$B$100&lt;=C45)),Bank_Rates!$B$2:$B$100))*(Bank_Rates!$D$2:$D$100&lt;=G45)),1)),"No Match")</f>
        <v>7.0999999999999994E-2</v>
      </c>
      <c r="K45" s="5">
        <f t="shared" si="3"/>
        <v>2.1701841358837418E-2</v>
      </c>
      <c r="L45" s="2"/>
      <c r="M45" s="2"/>
      <c r="N45" s="2"/>
    </row>
    <row r="46" spans="1:14">
      <c r="A46" s="2" t="str">
        <f t="shared" si="0"/>
        <v/>
      </c>
      <c r="B46" s="2"/>
      <c r="C46" s="4"/>
      <c r="D46" s="7"/>
      <c r="E46" s="7"/>
      <c r="F46" s="4"/>
      <c r="G46" s="6" t="str">
        <f t="shared" si="1"/>
        <v/>
      </c>
      <c r="H46" s="2"/>
      <c r="I46" s="5" t="str">
        <f t="shared" si="2"/>
        <v/>
      </c>
      <c r="J46" s="3">
        <f>IFERROR(SUMIFS(Bank_Rates!$C$2:$C$100,Bank_Rates!$A$2:$A$100,H46,Bank_Rates!$B$2:$B$100,LOOKUP(2,1/((Bank_Rates!$A$2:$A$100=H46)*(Bank_Rates!$B$2:$B$100&lt;=C46)),Bank_Rates!$B$2:$B$100),Bank_Rates!$D$2:$D$100,_xlfn.AGGREGATE(14,6,Bank_Rates!$D$2:$D$100/((Bank_Rates!$A$2:$A$100=H46)*(Bank_Rates!$B$2:$B$100=LOOKUP(2,1/((Bank_Rates!$A$2:$A$100=H46)*(Bank_Rates!$B$2:$B$100&lt;=C46)),Bank_Rates!$B$2:$B$100))*(Bank_Rates!$D$2:$D$100&lt;=G46)),1)),"No Match")</f>
        <v>0</v>
      </c>
      <c r="K46" s="5" t="str">
        <f t="shared" si="3"/>
        <v/>
      </c>
      <c r="L46" s="2"/>
      <c r="M46" s="2"/>
      <c r="N46" s="2"/>
    </row>
    <row r="47" spans="1:14">
      <c r="A47" s="2" t="str">
        <f t="shared" si="0"/>
        <v/>
      </c>
      <c r="B47" s="2"/>
      <c r="C47" s="4"/>
      <c r="D47" s="7"/>
      <c r="E47" s="7"/>
      <c r="F47" s="4"/>
      <c r="G47" s="6" t="str">
        <f t="shared" si="1"/>
        <v/>
      </c>
      <c r="H47" s="2"/>
      <c r="I47" s="5" t="str">
        <f t="shared" si="2"/>
        <v/>
      </c>
      <c r="J47" s="3">
        <f>IFERROR(SUMIFS(Bank_Rates!$C$2:$C$100,Bank_Rates!$A$2:$A$100,H47,Bank_Rates!$B$2:$B$100,LOOKUP(2,1/((Bank_Rates!$A$2:$A$100=H47)*(Bank_Rates!$B$2:$B$100&lt;=C47)),Bank_Rates!$B$2:$B$100),Bank_Rates!$D$2:$D$100,_xlfn.AGGREGATE(14,6,Bank_Rates!$D$2:$D$100/((Bank_Rates!$A$2:$A$100=H47)*(Bank_Rates!$B$2:$B$100=LOOKUP(2,1/((Bank_Rates!$A$2:$A$100=H47)*(Bank_Rates!$B$2:$B$100&lt;=C47)),Bank_Rates!$B$2:$B$100))*(Bank_Rates!$D$2:$D$100&lt;=G47)),1)),"No Match")</f>
        <v>0</v>
      </c>
      <c r="K47" s="5" t="str">
        <f t="shared" si="3"/>
        <v/>
      </c>
      <c r="L47" s="2"/>
      <c r="M47" s="2"/>
      <c r="N47" s="2"/>
    </row>
    <row r="48" spans="1:14">
      <c r="A48" s="2" t="str">
        <f t="shared" si="0"/>
        <v/>
      </c>
      <c r="B48" s="2"/>
      <c r="C48" s="4"/>
      <c r="D48" s="7"/>
      <c r="E48" s="7"/>
      <c r="F48" s="4"/>
      <c r="G48" s="6" t="str">
        <f t="shared" si="1"/>
        <v/>
      </c>
      <c r="H48" s="2"/>
      <c r="I48" s="5" t="str">
        <f t="shared" si="2"/>
        <v/>
      </c>
      <c r="J48" s="3">
        <f>IFERROR(SUMIFS(Bank_Rates!$C$2:$C$100,Bank_Rates!$A$2:$A$100,H48,Bank_Rates!$B$2:$B$100,LOOKUP(2,1/((Bank_Rates!$A$2:$A$100=H48)*(Bank_Rates!$B$2:$B$100&lt;=C48)),Bank_Rates!$B$2:$B$100),Bank_Rates!$D$2:$D$100,_xlfn.AGGREGATE(14,6,Bank_Rates!$D$2:$D$100/((Bank_Rates!$A$2:$A$100=H48)*(Bank_Rates!$B$2:$B$100=LOOKUP(2,1/((Bank_Rates!$A$2:$A$100=H48)*(Bank_Rates!$B$2:$B$100&lt;=C48)),Bank_Rates!$B$2:$B$100))*(Bank_Rates!$D$2:$D$100&lt;=G48)),1)),"No Match")</f>
        <v>0</v>
      </c>
      <c r="K48" s="5" t="str">
        <f t="shared" si="3"/>
        <v/>
      </c>
      <c r="L48" s="2"/>
      <c r="M48" s="2"/>
      <c r="N48" s="2"/>
    </row>
    <row r="49" spans="1:14">
      <c r="A49" s="2" t="str">
        <f t="shared" si="0"/>
        <v/>
      </c>
      <c r="B49" s="2"/>
      <c r="C49" s="4"/>
      <c r="D49" s="7"/>
      <c r="E49" s="7"/>
      <c r="F49" s="4"/>
      <c r="G49" s="6" t="str">
        <f t="shared" si="1"/>
        <v/>
      </c>
      <c r="H49" s="2"/>
      <c r="I49" s="5" t="str">
        <f t="shared" si="2"/>
        <v/>
      </c>
      <c r="J49" s="3">
        <f>IFERROR(SUMIFS(Bank_Rates!$C$2:$C$100,Bank_Rates!$A$2:$A$100,H49,Bank_Rates!$B$2:$B$100,LOOKUP(2,1/((Bank_Rates!$A$2:$A$100=H49)*(Bank_Rates!$B$2:$B$100&lt;=C49)),Bank_Rates!$B$2:$B$100),Bank_Rates!$D$2:$D$100,_xlfn.AGGREGATE(14,6,Bank_Rates!$D$2:$D$100/((Bank_Rates!$A$2:$A$100=H49)*(Bank_Rates!$B$2:$B$100=LOOKUP(2,1/((Bank_Rates!$A$2:$A$100=H49)*(Bank_Rates!$B$2:$B$100&lt;=C49)),Bank_Rates!$B$2:$B$100))*(Bank_Rates!$D$2:$D$100&lt;=G49)),1)),"No Match")</f>
        <v>0</v>
      </c>
      <c r="K49" s="5" t="str">
        <f t="shared" si="3"/>
        <v/>
      </c>
      <c r="L49" s="2"/>
      <c r="M49" s="2"/>
      <c r="N49" s="2"/>
    </row>
    <row r="50" spans="1:14">
      <c r="A50" s="2" t="str">
        <f t="shared" si="0"/>
        <v/>
      </c>
      <c r="B50" s="2"/>
      <c r="C50" s="4"/>
      <c r="D50" s="7"/>
      <c r="E50" s="7"/>
      <c r="F50" s="4"/>
      <c r="G50" s="6" t="str">
        <f t="shared" si="1"/>
        <v/>
      </c>
      <c r="H50" s="2"/>
      <c r="I50" s="5" t="str">
        <f t="shared" si="2"/>
        <v/>
      </c>
      <c r="J50" s="3">
        <f>IFERROR(SUMIFS(Bank_Rates!$C$2:$C$100,Bank_Rates!$A$2:$A$100,H50,Bank_Rates!$B$2:$B$100,LOOKUP(2,1/((Bank_Rates!$A$2:$A$100=H50)*(Bank_Rates!$B$2:$B$100&lt;=C50)),Bank_Rates!$B$2:$B$100),Bank_Rates!$D$2:$D$100,_xlfn.AGGREGATE(14,6,Bank_Rates!$D$2:$D$100/((Bank_Rates!$A$2:$A$100=H50)*(Bank_Rates!$B$2:$B$100=LOOKUP(2,1/((Bank_Rates!$A$2:$A$100=H50)*(Bank_Rates!$B$2:$B$100&lt;=C50)),Bank_Rates!$B$2:$B$100))*(Bank_Rates!$D$2:$D$100&lt;=G50)),1)),"No Match")</f>
        <v>0</v>
      </c>
      <c r="K50" s="5" t="str">
        <f t="shared" si="3"/>
        <v/>
      </c>
      <c r="L50" s="2"/>
      <c r="M50" s="2"/>
      <c r="N50" s="2"/>
    </row>
    <row r="51" spans="1:14">
      <c r="A51" s="2" t="str">
        <f t="shared" si="0"/>
        <v/>
      </c>
      <c r="B51" s="2"/>
      <c r="C51" s="4"/>
      <c r="D51" s="7"/>
      <c r="E51" s="7"/>
      <c r="F51" s="4"/>
      <c r="G51" s="6" t="str">
        <f t="shared" si="1"/>
        <v/>
      </c>
      <c r="H51" s="2"/>
      <c r="I51" s="5" t="str">
        <f t="shared" si="2"/>
        <v/>
      </c>
      <c r="J51" s="3">
        <f>IFERROR(SUMIFS(Bank_Rates!$C$2:$C$100,Bank_Rates!$A$2:$A$100,H51,Bank_Rates!$B$2:$B$100,LOOKUP(2,1/((Bank_Rates!$A$2:$A$100=H51)*(Bank_Rates!$B$2:$B$100&lt;=C51)),Bank_Rates!$B$2:$B$100),Bank_Rates!$D$2:$D$100,_xlfn.AGGREGATE(14,6,Bank_Rates!$D$2:$D$100/((Bank_Rates!$A$2:$A$100=H51)*(Bank_Rates!$B$2:$B$100=LOOKUP(2,1/((Bank_Rates!$A$2:$A$100=H51)*(Bank_Rates!$B$2:$B$100&lt;=C51)),Bank_Rates!$B$2:$B$100))*(Bank_Rates!$D$2:$D$100&lt;=G51)),1)),"No Match")</f>
        <v>0</v>
      </c>
      <c r="K51" s="5" t="str">
        <f t="shared" si="3"/>
        <v/>
      </c>
      <c r="L51" s="2"/>
      <c r="M51" s="2"/>
      <c r="N51" s="2"/>
    </row>
    <row r="52" spans="1:14">
      <c r="A52" s="2" t="str">
        <f t="shared" si="0"/>
        <v/>
      </c>
      <c r="B52" s="2"/>
      <c r="C52" s="4"/>
      <c r="D52" s="7"/>
      <c r="E52" s="7"/>
      <c r="F52" s="4"/>
      <c r="G52" s="6" t="str">
        <f t="shared" si="1"/>
        <v/>
      </c>
      <c r="H52" s="2"/>
      <c r="I52" s="5" t="str">
        <f t="shared" si="2"/>
        <v/>
      </c>
      <c r="J52" s="3">
        <f>IFERROR(SUMIFS(Bank_Rates!$C$2:$C$100,Bank_Rates!$A$2:$A$100,H52,Bank_Rates!$B$2:$B$100,LOOKUP(2,1/((Bank_Rates!$A$2:$A$100=H52)*(Bank_Rates!$B$2:$B$100&lt;=C52)),Bank_Rates!$B$2:$B$100),Bank_Rates!$D$2:$D$100,_xlfn.AGGREGATE(14,6,Bank_Rates!$D$2:$D$100/((Bank_Rates!$A$2:$A$100=H52)*(Bank_Rates!$B$2:$B$100=LOOKUP(2,1/((Bank_Rates!$A$2:$A$100=H52)*(Bank_Rates!$B$2:$B$100&lt;=C52)),Bank_Rates!$B$2:$B$100))*(Bank_Rates!$D$2:$D$100&lt;=G52)),1)),"No Match")</f>
        <v>0</v>
      </c>
      <c r="K52" s="5" t="str">
        <f t="shared" si="3"/>
        <v/>
      </c>
      <c r="L52" s="2"/>
      <c r="M52" s="2"/>
      <c r="N52" s="2"/>
    </row>
    <row r="53" spans="1:14">
      <c r="A53" s="2" t="str">
        <f t="shared" si="0"/>
        <v/>
      </c>
      <c r="B53" s="2"/>
      <c r="C53" s="4"/>
      <c r="D53" s="7"/>
      <c r="E53" s="7"/>
      <c r="F53" s="4"/>
      <c r="G53" s="6" t="str">
        <f t="shared" si="1"/>
        <v/>
      </c>
      <c r="H53" s="2"/>
      <c r="I53" s="5" t="str">
        <f t="shared" si="2"/>
        <v/>
      </c>
      <c r="J53" s="3">
        <f>IFERROR(SUMIFS(Bank_Rates!$C$2:$C$100,Bank_Rates!$A$2:$A$100,H53,Bank_Rates!$B$2:$B$100,LOOKUP(2,1/((Bank_Rates!$A$2:$A$100=H53)*(Bank_Rates!$B$2:$B$100&lt;=C53)),Bank_Rates!$B$2:$B$100),Bank_Rates!$D$2:$D$100,_xlfn.AGGREGATE(14,6,Bank_Rates!$D$2:$D$100/((Bank_Rates!$A$2:$A$100=H53)*(Bank_Rates!$B$2:$B$100=LOOKUP(2,1/((Bank_Rates!$A$2:$A$100=H53)*(Bank_Rates!$B$2:$B$100&lt;=C53)),Bank_Rates!$B$2:$B$100))*(Bank_Rates!$D$2:$D$100&lt;=G53)),1)),"No Match")</f>
        <v>0</v>
      </c>
      <c r="K53" s="5" t="str">
        <f t="shared" si="3"/>
        <v/>
      </c>
      <c r="L53" s="2"/>
      <c r="M53" s="2"/>
      <c r="N53" s="2"/>
    </row>
    <row r="54" spans="1:14">
      <c r="A54" s="2" t="str">
        <f t="shared" si="0"/>
        <v/>
      </c>
      <c r="B54" s="2"/>
      <c r="C54" s="4"/>
      <c r="D54" s="7"/>
      <c r="E54" s="7"/>
      <c r="F54" s="4"/>
      <c r="G54" s="6" t="str">
        <f t="shared" si="1"/>
        <v/>
      </c>
      <c r="H54" s="2"/>
      <c r="I54" s="5" t="str">
        <f t="shared" si="2"/>
        <v/>
      </c>
      <c r="J54" s="3">
        <f>IFERROR(SUMIFS(Bank_Rates!$C$2:$C$100,Bank_Rates!$A$2:$A$100,H54,Bank_Rates!$B$2:$B$100,LOOKUP(2,1/((Bank_Rates!$A$2:$A$100=H54)*(Bank_Rates!$B$2:$B$100&lt;=C54)),Bank_Rates!$B$2:$B$100),Bank_Rates!$D$2:$D$100,_xlfn.AGGREGATE(14,6,Bank_Rates!$D$2:$D$100/((Bank_Rates!$A$2:$A$100=H54)*(Bank_Rates!$B$2:$B$100=LOOKUP(2,1/((Bank_Rates!$A$2:$A$100=H54)*(Bank_Rates!$B$2:$B$100&lt;=C54)),Bank_Rates!$B$2:$B$100))*(Bank_Rates!$D$2:$D$100&lt;=G54)),1)),"No Match")</f>
        <v>0</v>
      </c>
      <c r="K54" s="5" t="str">
        <f t="shared" si="3"/>
        <v/>
      </c>
      <c r="L54" s="2"/>
      <c r="M54" s="2"/>
      <c r="N54" s="2"/>
    </row>
    <row r="55" spans="1:14">
      <c r="A55" s="2" t="str">
        <f t="shared" si="0"/>
        <v/>
      </c>
      <c r="B55" s="2"/>
      <c r="C55" s="4"/>
      <c r="D55" s="7"/>
      <c r="E55" s="7"/>
      <c r="F55" s="4"/>
      <c r="G55" s="6" t="str">
        <f t="shared" si="1"/>
        <v/>
      </c>
      <c r="H55" s="2"/>
      <c r="I55" s="5" t="str">
        <f t="shared" si="2"/>
        <v/>
      </c>
      <c r="J55" s="3">
        <f>IFERROR(SUMIFS(Bank_Rates!$C$2:$C$100,Bank_Rates!$A$2:$A$100,H55,Bank_Rates!$B$2:$B$100,LOOKUP(2,1/((Bank_Rates!$A$2:$A$100=H55)*(Bank_Rates!$B$2:$B$100&lt;=C55)),Bank_Rates!$B$2:$B$100),Bank_Rates!$D$2:$D$100,_xlfn.AGGREGATE(14,6,Bank_Rates!$D$2:$D$100/((Bank_Rates!$A$2:$A$100=H55)*(Bank_Rates!$B$2:$B$100=LOOKUP(2,1/((Bank_Rates!$A$2:$A$100=H55)*(Bank_Rates!$B$2:$B$100&lt;=C55)),Bank_Rates!$B$2:$B$100))*(Bank_Rates!$D$2:$D$100&lt;=G55)),1)),"No Match")</f>
        <v>0</v>
      </c>
      <c r="K55" s="5" t="str">
        <f t="shared" si="3"/>
        <v/>
      </c>
      <c r="L55" s="2"/>
      <c r="M55" s="2"/>
      <c r="N55" s="2"/>
    </row>
    <row r="56" spans="1:14">
      <c r="A56" s="2" t="str">
        <f t="shared" si="0"/>
        <v/>
      </c>
      <c r="B56" s="2"/>
      <c r="C56" s="4"/>
      <c r="D56" s="7"/>
      <c r="E56" s="7"/>
      <c r="F56" s="4"/>
      <c r="G56" s="6" t="str">
        <f t="shared" si="1"/>
        <v/>
      </c>
      <c r="H56" s="2"/>
      <c r="I56" s="5" t="str">
        <f t="shared" si="2"/>
        <v/>
      </c>
      <c r="J56" s="3">
        <f>IFERROR(SUMIFS(Bank_Rates!$C$2:$C$100,Bank_Rates!$A$2:$A$100,H56,Bank_Rates!$B$2:$B$100,LOOKUP(2,1/((Bank_Rates!$A$2:$A$100=H56)*(Bank_Rates!$B$2:$B$100&lt;=C56)),Bank_Rates!$B$2:$B$100),Bank_Rates!$D$2:$D$100,_xlfn.AGGREGATE(14,6,Bank_Rates!$D$2:$D$100/((Bank_Rates!$A$2:$A$100=H56)*(Bank_Rates!$B$2:$B$100=LOOKUP(2,1/((Bank_Rates!$A$2:$A$100=H56)*(Bank_Rates!$B$2:$B$100&lt;=C56)),Bank_Rates!$B$2:$B$100))*(Bank_Rates!$D$2:$D$100&lt;=G56)),1)),"No Match")</f>
        <v>0</v>
      </c>
      <c r="K56" s="5" t="str">
        <f t="shared" si="3"/>
        <v/>
      </c>
      <c r="L56" s="2"/>
      <c r="M56" s="2"/>
      <c r="N56" s="2"/>
    </row>
    <row r="57" spans="1:14">
      <c r="A57" s="2" t="str">
        <f t="shared" si="0"/>
        <v/>
      </c>
      <c r="B57" s="2"/>
      <c r="C57" s="4"/>
      <c r="D57" s="7"/>
      <c r="E57" s="7"/>
      <c r="F57" s="4"/>
      <c r="G57" s="6" t="str">
        <f t="shared" si="1"/>
        <v/>
      </c>
      <c r="H57" s="2"/>
      <c r="I57" s="5" t="str">
        <f t="shared" si="2"/>
        <v/>
      </c>
      <c r="J57" s="3">
        <f>IFERROR(SUMIFS(Bank_Rates!$C$2:$C$100,Bank_Rates!$A$2:$A$100,H57,Bank_Rates!$B$2:$B$100,LOOKUP(2,1/((Bank_Rates!$A$2:$A$100=H57)*(Bank_Rates!$B$2:$B$100&lt;=C57)),Bank_Rates!$B$2:$B$100),Bank_Rates!$D$2:$D$100,_xlfn.AGGREGATE(14,6,Bank_Rates!$D$2:$D$100/((Bank_Rates!$A$2:$A$100=H57)*(Bank_Rates!$B$2:$B$100=LOOKUP(2,1/((Bank_Rates!$A$2:$A$100=H57)*(Bank_Rates!$B$2:$B$100&lt;=C57)),Bank_Rates!$B$2:$B$100))*(Bank_Rates!$D$2:$D$100&lt;=G57)),1)),"No Match")</f>
        <v>0</v>
      </c>
      <c r="K57" s="5" t="str">
        <f t="shared" si="3"/>
        <v/>
      </c>
      <c r="L57" s="2"/>
      <c r="M57" s="2"/>
      <c r="N57" s="2"/>
    </row>
    <row r="58" spans="1:14">
      <c r="A58" s="2" t="str">
        <f t="shared" si="0"/>
        <v/>
      </c>
      <c r="B58" s="2"/>
      <c r="C58" s="4"/>
      <c r="D58" s="7"/>
      <c r="E58" s="7"/>
      <c r="F58" s="4"/>
      <c r="G58" s="6" t="str">
        <f t="shared" si="1"/>
        <v/>
      </c>
      <c r="H58" s="2"/>
      <c r="I58" s="5" t="str">
        <f t="shared" si="2"/>
        <v/>
      </c>
      <c r="J58" s="3">
        <f>IFERROR(SUMIFS(Bank_Rates!$C$2:$C$100,Bank_Rates!$A$2:$A$100,H58,Bank_Rates!$B$2:$B$100,LOOKUP(2,1/((Bank_Rates!$A$2:$A$100=H58)*(Bank_Rates!$B$2:$B$100&lt;=C58)),Bank_Rates!$B$2:$B$100),Bank_Rates!$D$2:$D$100,_xlfn.AGGREGATE(14,6,Bank_Rates!$D$2:$D$100/((Bank_Rates!$A$2:$A$100=H58)*(Bank_Rates!$B$2:$B$100=LOOKUP(2,1/((Bank_Rates!$A$2:$A$100=H58)*(Bank_Rates!$B$2:$B$100&lt;=C58)),Bank_Rates!$B$2:$B$100))*(Bank_Rates!$D$2:$D$100&lt;=G58)),1)),"No Match")</f>
        <v>0</v>
      </c>
      <c r="K58" s="5" t="str">
        <f t="shared" si="3"/>
        <v/>
      </c>
      <c r="L58" s="2"/>
      <c r="M58" s="2"/>
      <c r="N58" s="2"/>
    </row>
    <row r="59" spans="1:14">
      <c r="A59" s="2" t="str">
        <f t="shared" si="0"/>
        <v/>
      </c>
      <c r="B59" s="2"/>
      <c r="C59" s="4"/>
      <c r="D59" s="7"/>
      <c r="E59" s="7"/>
      <c r="F59" s="4"/>
      <c r="G59" s="6" t="str">
        <f t="shared" si="1"/>
        <v/>
      </c>
      <c r="H59" s="2"/>
      <c r="I59" s="5" t="str">
        <f t="shared" si="2"/>
        <v/>
      </c>
      <c r="J59" s="3">
        <f>IFERROR(SUMIFS(Bank_Rates!$C$2:$C$100,Bank_Rates!$A$2:$A$100,H59,Bank_Rates!$B$2:$B$100,LOOKUP(2,1/((Bank_Rates!$A$2:$A$100=H59)*(Bank_Rates!$B$2:$B$100&lt;=C59)),Bank_Rates!$B$2:$B$100),Bank_Rates!$D$2:$D$100,_xlfn.AGGREGATE(14,6,Bank_Rates!$D$2:$D$100/((Bank_Rates!$A$2:$A$100=H59)*(Bank_Rates!$B$2:$B$100=LOOKUP(2,1/((Bank_Rates!$A$2:$A$100=H59)*(Bank_Rates!$B$2:$B$100&lt;=C59)),Bank_Rates!$B$2:$B$100))*(Bank_Rates!$D$2:$D$100&lt;=G59)),1)),"No Match")</f>
        <v>0</v>
      </c>
      <c r="K59" s="5" t="str">
        <f t="shared" si="3"/>
        <v/>
      </c>
      <c r="L59" s="2"/>
      <c r="M59" s="2"/>
      <c r="N59" s="2"/>
    </row>
    <row r="60" spans="1:14">
      <c r="A60" s="2" t="str">
        <f t="shared" si="0"/>
        <v/>
      </c>
      <c r="B60" s="2"/>
      <c r="C60" s="4"/>
      <c r="D60" s="7"/>
      <c r="E60" s="7"/>
      <c r="F60" s="4"/>
      <c r="G60" s="6" t="str">
        <f t="shared" si="1"/>
        <v/>
      </c>
      <c r="H60" s="2"/>
      <c r="I60" s="5" t="str">
        <f t="shared" si="2"/>
        <v/>
      </c>
      <c r="J60" s="3">
        <f>IFERROR(SUMIFS(Bank_Rates!$C$2:$C$100,Bank_Rates!$A$2:$A$100,H60,Bank_Rates!$B$2:$B$100,LOOKUP(2,1/((Bank_Rates!$A$2:$A$100=H60)*(Bank_Rates!$B$2:$B$100&lt;=C60)),Bank_Rates!$B$2:$B$100),Bank_Rates!$D$2:$D$100,_xlfn.AGGREGATE(14,6,Bank_Rates!$D$2:$D$100/((Bank_Rates!$A$2:$A$100=H60)*(Bank_Rates!$B$2:$B$100=LOOKUP(2,1/((Bank_Rates!$A$2:$A$100=H60)*(Bank_Rates!$B$2:$B$100&lt;=C60)),Bank_Rates!$B$2:$B$100))*(Bank_Rates!$D$2:$D$100&lt;=G60)),1)),"No Match")</f>
        <v>0</v>
      </c>
      <c r="K60" s="5" t="str">
        <f t="shared" si="3"/>
        <v/>
      </c>
      <c r="L60" s="2"/>
      <c r="M60" s="2"/>
      <c r="N60" s="2"/>
    </row>
    <row r="61" spans="1:14">
      <c r="A61" s="2" t="str">
        <f t="shared" si="0"/>
        <v/>
      </c>
      <c r="B61" s="2"/>
      <c r="C61" s="4"/>
      <c r="D61" s="7"/>
      <c r="E61" s="7"/>
      <c r="F61" s="4"/>
      <c r="G61" s="6" t="str">
        <f t="shared" si="1"/>
        <v/>
      </c>
      <c r="H61" s="2"/>
      <c r="I61" s="5" t="str">
        <f t="shared" si="2"/>
        <v/>
      </c>
      <c r="J61" s="3">
        <f>IFERROR(SUMIFS(Bank_Rates!$C$2:$C$100,Bank_Rates!$A$2:$A$100,H61,Bank_Rates!$B$2:$B$100,LOOKUP(2,1/((Bank_Rates!$A$2:$A$100=H61)*(Bank_Rates!$B$2:$B$100&lt;=C61)),Bank_Rates!$B$2:$B$100),Bank_Rates!$D$2:$D$100,_xlfn.AGGREGATE(14,6,Bank_Rates!$D$2:$D$100/((Bank_Rates!$A$2:$A$100=H61)*(Bank_Rates!$B$2:$B$100=LOOKUP(2,1/((Bank_Rates!$A$2:$A$100=H61)*(Bank_Rates!$B$2:$B$100&lt;=C61)),Bank_Rates!$B$2:$B$100))*(Bank_Rates!$D$2:$D$100&lt;=G61)),1)),"No Match")</f>
        <v>0</v>
      </c>
      <c r="K61" s="5" t="str">
        <f t="shared" si="3"/>
        <v/>
      </c>
      <c r="L61" s="2"/>
      <c r="M61" s="2"/>
      <c r="N61" s="2"/>
    </row>
    <row r="62" spans="1:14">
      <c r="A62" s="2" t="str">
        <f t="shared" si="0"/>
        <v/>
      </c>
      <c r="B62" s="2"/>
      <c r="C62" s="4"/>
      <c r="D62" s="7"/>
      <c r="E62" s="7"/>
      <c r="F62" s="4"/>
      <c r="G62" s="6" t="str">
        <f t="shared" si="1"/>
        <v/>
      </c>
      <c r="H62" s="2"/>
      <c r="I62" s="5" t="str">
        <f t="shared" si="2"/>
        <v/>
      </c>
      <c r="J62" s="3">
        <f>IFERROR(SUMIFS(Bank_Rates!$C$2:$C$100,Bank_Rates!$A$2:$A$100,H62,Bank_Rates!$B$2:$B$100,LOOKUP(2,1/((Bank_Rates!$A$2:$A$100=H62)*(Bank_Rates!$B$2:$B$100&lt;=C62)),Bank_Rates!$B$2:$B$100),Bank_Rates!$D$2:$D$100,_xlfn.AGGREGATE(14,6,Bank_Rates!$D$2:$D$100/((Bank_Rates!$A$2:$A$100=H62)*(Bank_Rates!$B$2:$B$100=LOOKUP(2,1/((Bank_Rates!$A$2:$A$100=H62)*(Bank_Rates!$B$2:$B$100&lt;=C62)),Bank_Rates!$B$2:$B$100))*(Bank_Rates!$D$2:$D$100&lt;=G62)),1)),"No Match")</f>
        <v>0</v>
      </c>
      <c r="K62" s="5" t="str">
        <f t="shared" si="3"/>
        <v/>
      </c>
      <c r="L62" s="2"/>
      <c r="M62" s="2"/>
      <c r="N62" s="2"/>
    </row>
    <row r="63" spans="1:14">
      <c r="A63" s="2" t="str">
        <f t="shared" si="0"/>
        <v/>
      </c>
      <c r="B63" s="2"/>
      <c r="C63" s="4"/>
      <c r="D63" s="7"/>
      <c r="E63" s="7"/>
      <c r="F63" s="4"/>
      <c r="G63" s="6" t="str">
        <f t="shared" si="1"/>
        <v/>
      </c>
      <c r="H63" s="2"/>
      <c r="I63" s="5" t="str">
        <f t="shared" si="2"/>
        <v/>
      </c>
      <c r="J63" s="3">
        <f>IFERROR(SUMIFS(Bank_Rates!$C$2:$C$100,Bank_Rates!$A$2:$A$100,H63,Bank_Rates!$B$2:$B$100,LOOKUP(2,1/((Bank_Rates!$A$2:$A$100=H63)*(Bank_Rates!$B$2:$B$100&lt;=C63)),Bank_Rates!$B$2:$B$100),Bank_Rates!$D$2:$D$100,_xlfn.AGGREGATE(14,6,Bank_Rates!$D$2:$D$100/((Bank_Rates!$A$2:$A$100=H63)*(Bank_Rates!$B$2:$B$100=LOOKUP(2,1/((Bank_Rates!$A$2:$A$100=H63)*(Bank_Rates!$B$2:$B$100&lt;=C63)),Bank_Rates!$B$2:$B$100))*(Bank_Rates!$D$2:$D$100&lt;=G63)),1)),"No Match")</f>
        <v>0</v>
      </c>
      <c r="K63" s="5" t="str">
        <f t="shared" si="3"/>
        <v/>
      </c>
      <c r="L63" s="2"/>
      <c r="M63" s="2"/>
      <c r="N63" s="2"/>
    </row>
    <row r="64" spans="1:14">
      <c r="A64" s="2" t="str">
        <f t="shared" si="0"/>
        <v/>
      </c>
      <c r="B64" s="2"/>
      <c r="C64" s="4"/>
      <c r="D64" s="7"/>
      <c r="E64" s="7"/>
      <c r="F64" s="4"/>
      <c r="G64" s="6" t="str">
        <f t="shared" si="1"/>
        <v/>
      </c>
      <c r="H64" s="2"/>
      <c r="I64" s="5" t="str">
        <f t="shared" si="2"/>
        <v/>
      </c>
      <c r="J64" s="3">
        <f>IFERROR(SUMIFS(Bank_Rates!$C$2:$C$100,Bank_Rates!$A$2:$A$100,H64,Bank_Rates!$B$2:$B$100,LOOKUP(2,1/((Bank_Rates!$A$2:$A$100=H64)*(Bank_Rates!$B$2:$B$100&lt;=C64)),Bank_Rates!$B$2:$B$100),Bank_Rates!$D$2:$D$100,_xlfn.AGGREGATE(14,6,Bank_Rates!$D$2:$D$100/((Bank_Rates!$A$2:$A$100=H64)*(Bank_Rates!$B$2:$B$100=LOOKUP(2,1/((Bank_Rates!$A$2:$A$100=H64)*(Bank_Rates!$B$2:$B$100&lt;=C64)),Bank_Rates!$B$2:$B$100))*(Bank_Rates!$D$2:$D$100&lt;=G64)),1)),"No Match")</f>
        <v>0</v>
      </c>
      <c r="K64" s="5" t="str">
        <f t="shared" si="3"/>
        <v/>
      </c>
      <c r="L64" s="2"/>
      <c r="M64" s="2"/>
      <c r="N64" s="2"/>
    </row>
    <row r="65" spans="1:14">
      <c r="A65" s="2" t="str">
        <f t="shared" si="0"/>
        <v/>
      </c>
      <c r="B65" s="2"/>
      <c r="C65" s="4"/>
      <c r="D65" s="7"/>
      <c r="E65" s="7"/>
      <c r="F65" s="4"/>
      <c r="G65" s="6" t="str">
        <f t="shared" si="1"/>
        <v/>
      </c>
      <c r="H65" s="2"/>
      <c r="I65" s="5" t="str">
        <f t="shared" si="2"/>
        <v/>
      </c>
      <c r="J65" s="3">
        <f>IFERROR(SUMIFS(Bank_Rates!$C$2:$C$100,Bank_Rates!$A$2:$A$100,H65,Bank_Rates!$B$2:$B$100,LOOKUP(2,1/((Bank_Rates!$A$2:$A$100=H65)*(Bank_Rates!$B$2:$B$100&lt;=C65)),Bank_Rates!$B$2:$B$100),Bank_Rates!$D$2:$D$100,_xlfn.AGGREGATE(14,6,Bank_Rates!$D$2:$D$100/((Bank_Rates!$A$2:$A$100=H65)*(Bank_Rates!$B$2:$B$100=LOOKUP(2,1/((Bank_Rates!$A$2:$A$100=H65)*(Bank_Rates!$B$2:$B$100&lt;=C65)),Bank_Rates!$B$2:$B$100))*(Bank_Rates!$D$2:$D$100&lt;=G65)),1)),"No Match")</f>
        <v>0</v>
      </c>
      <c r="K65" s="5" t="str">
        <f t="shared" si="3"/>
        <v/>
      </c>
      <c r="L65" s="2"/>
      <c r="M65" s="2"/>
      <c r="N65" s="2"/>
    </row>
    <row r="66" spans="1:14">
      <c r="A66" s="2" t="str">
        <f t="shared" ref="A66:A129" si="4">IF(B66&lt;&gt;"","L-"&amp;TEXT(ROW()-1,"0000"),"")</f>
        <v/>
      </c>
      <c r="B66" s="2"/>
      <c r="C66" s="4"/>
      <c r="D66" s="7"/>
      <c r="E66" s="7"/>
      <c r="F66" s="4"/>
      <c r="G66" s="6" t="str">
        <f t="shared" ref="G66:G129" si="5">IF(OR(C66="",F66=""),"",F66-C66)</f>
        <v/>
      </c>
      <c r="H66" s="2"/>
      <c r="I66" s="5" t="str">
        <f t="shared" ref="I66:I129" si="6">IF(OR(D66="",E66="",G66="",G66=0),"",(E66/D66)^(365/G66)-1)</f>
        <v/>
      </c>
      <c r="J66" s="3">
        <f>IFERROR(SUMIFS(Bank_Rates!$C$2:$C$100,Bank_Rates!$A$2:$A$100,H66,Bank_Rates!$B$2:$B$100,LOOKUP(2,1/((Bank_Rates!$A$2:$A$100=H66)*(Bank_Rates!$B$2:$B$100&lt;=C66)),Bank_Rates!$B$2:$B$100),Bank_Rates!$D$2:$D$100,_xlfn.AGGREGATE(14,6,Bank_Rates!$D$2:$D$100/((Bank_Rates!$A$2:$A$100=H66)*(Bank_Rates!$B$2:$B$100=LOOKUP(2,1/((Bank_Rates!$A$2:$A$100=H66)*(Bank_Rates!$B$2:$B$100&lt;=C66)),Bank_Rates!$B$2:$B$100))*(Bank_Rates!$D$2:$D$100&lt;=G66)),1)),"No Match")</f>
        <v>0</v>
      </c>
      <c r="K66" s="5" t="str">
        <f t="shared" ref="K66:K129" si="7">IF(OR(I66="",J66="",J66="No Match"),"",I66-J66)</f>
        <v/>
      </c>
      <c r="L66" s="2"/>
      <c r="M66" s="2"/>
      <c r="N66" s="2"/>
    </row>
    <row r="67" spans="1:14">
      <c r="A67" s="2" t="str">
        <f t="shared" si="4"/>
        <v/>
      </c>
      <c r="B67" s="2"/>
      <c r="C67" s="4"/>
      <c r="D67" s="7"/>
      <c r="E67" s="7"/>
      <c r="F67" s="4"/>
      <c r="G67" s="6" t="str">
        <f t="shared" si="5"/>
        <v/>
      </c>
      <c r="H67" s="2"/>
      <c r="I67" s="5" t="str">
        <f t="shared" si="6"/>
        <v/>
      </c>
      <c r="J67" s="3">
        <f>IFERROR(SUMIFS(Bank_Rates!$C$2:$C$100,Bank_Rates!$A$2:$A$100,H67,Bank_Rates!$B$2:$B$100,LOOKUP(2,1/((Bank_Rates!$A$2:$A$100=H67)*(Bank_Rates!$B$2:$B$100&lt;=C67)),Bank_Rates!$B$2:$B$100),Bank_Rates!$D$2:$D$100,_xlfn.AGGREGATE(14,6,Bank_Rates!$D$2:$D$100/((Bank_Rates!$A$2:$A$100=H67)*(Bank_Rates!$B$2:$B$100=LOOKUP(2,1/((Bank_Rates!$A$2:$A$100=H67)*(Bank_Rates!$B$2:$B$100&lt;=C67)),Bank_Rates!$B$2:$B$100))*(Bank_Rates!$D$2:$D$100&lt;=G67)),1)),"No Match")</f>
        <v>0</v>
      </c>
      <c r="K67" s="5" t="str">
        <f t="shared" si="7"/>
        <v/>
      </c>
      <c r="L67" s="2"/>
      <c r="M67" s="2"/>
      <c r="N67" s="2"/>
    </row>
    <row r="68" spans="1:14">
      <c r="A68" s="2" t="str">
        <f t="shared" si="4"/>
        <v/>
      </c>
      <c r="B68" s="2"/>
      <c r="C68" s="4"/>
      <c r="D68" s="7"/>
      <c r="E68" s="7"/>
      <c r="F68" s="4"/>
      <c r="G68" s="6" t="str">
        <f t="shared" si="5"/>
        <v/>
      </c>
      <c r="H68" s="2"/>
      <c r="I68" s="5" t="str">
        <f t="shared" si="6"/>
        <v/>
      </c>
      <c r="J68" s="3">
        <f>IFERROR(SUMIFS(Bank_Rates!$C$2:$C$100,Bank_Rates!$A$2:$A$100,H68,Bank_Rates!$B$2:$B$100,LOOKUP(2,1/((Bank_Rates!$A$2:$A$100=H68)*(Bank_Rates!$B$2:$B$100&lt;=C68)),Bank_Rates!$B$2:$B$100),Bank_Rates!$D$2:$D$100,_xlfn.AGGREGATE(14,6,Bank_Rates!$D$2:$D$100/((Bank_Rates!$A$2:$A$100=H68)*(Bank_Rates!$B$2:$B$100=LOOKUP(2,1/((Bank_Rates!$A$2:$A$100=H68)*(Bank_Rates!$B$2:$B$100&lt;=C68)),Bank_Rates!$B$2:$B$100))*(Bank_Rates!$D$2:$D$100&lt;=G68)),1)),"No Match")</f>
        <v>0</v>
      </c>
      <c r="K68" s="5" t="str">
        <f t="shared" si="7"/>
        <v/>
      </c>
      <c r="L68" s="2"/>
      <c r="M68" s="2"/>
      <c r="N68" s="2"/>
    </row>
    <row r="69" spans="1:14">
      <c r="A69" s="2" t="str">
        <f t="shared" si="4"/>
        <v/>
      </c>
      <c r="B69" s="2"/>
      <c r="C69" s="4"/>
      <c r="D69" s="7"/>
      <c r="E69" s="7"/>
      <c r="F69" s="4"/>
      <c r="G69" s="6" t="str">
        <f t="shared" si="5"/>
        <v/>
      </c>
      <c r="H69" s="2"/>
      <c r="I69" s="5" t="str">
        <f t="shared" si="6"/>
        <v/>
      </c>
      <c r="J69" s="3">
        <f>IFERROR(SUMIFS(Bank_Rates!$C$2:$C$100,Bank_Rates!$A$2:$A$100,H69,Bank_Rates!$B$2:$B$100,LOOKUP(2,1/((Bank_Rates!$A$2:$A$100=H69)*(Bank_Rates!$B$2:$B$100&lt;=C69)),Bank_Rates!$B$2:$B$100),Bank_Rates!$D$2:$D$100,_xlfn.AGGREGATE(14,6,Bank_Rates!$D$2:$D$100/((Bank_Rates!$A$2:$A$100=H69)*(Bank_Rates!$B$2:$B$100=LOOKUP(2,1/((Bank_Rates!$A$2:$A$100=H69)*(Bank_Rates!$B$2:$B$100&lt;=C69)),Bank_Rates!$B$2:$B$100))*(Bank_Rates!$D$2:$D$100&lt;=G69)),1)),"No Match")</f>
        <v>0</v>
      </c>
      <c r="K69" s="5" t="str">
        <f t="shared" si="7"/>
        <v/>
      </c>
      <c r="L69" s="2"/>
      <c r="M69" s="2"/>
      <c r="N69" s="2"/>
    </row>
    <row r="70" spans="1:14">
      <c r="A70" s="2" t="str">
        <f t="shared" si="4"/>
        <v/>
      </c>
      <c r="B70" s="2"/>
      <c r="C70" s="4"/>
      <c r="D70" s="7"/>
      <c r="E70" s="7"/>
      <c r="F70" s="4"/>
      <c r="G70" s="6" t="str">
        <f t="shared" si="5"/>
        <v/>
      </c>
      <c r="H70" s="2"/>
      <c r="I70" s="5" t="str">
        <f t="shared" si="6"/>
        <v/>
      </c>
      <c r="J70" s="3">
        <f>IFERROR(SUMIFS(Bank_Rates!$C$2:$C$100,Bank_Rates!$A$2:$A$100,H70,Bank_Rates!$B$2:$B$100,LOOKUP(2,1/((Bank_Rates!$A$2:$A$100=H70)*(Bank_Rates!$B$2:$B$100&lt;=C70)),Bank_Rates!$B$2:$B$100),Bank_Rates!$D$2:$D$100,_xlfn.AGGREGATE(14,6,Bank_Rates!$D$2:$D$100/((Bank_Rates!$A$2:$A$100=H70)*(Bank_Rates!$B$2:$B$100=LOOKUP(2,1/((Bank_Rates!$A$2:$A$100=H70)*(Bank_Rates!$B$2:$B$100&lt;=C70)),Bank_Rates!$B$2:$B$100))*(Bank_Rates!$D$2:$D$100&lt;=G70)),1)),"No Match")</f>
        <v>0</v>
      </c>
      <c r="K70" s="5" t="str">
        <f t="shared" si="7"/>
        <v/>
      </c>
      <c r="L70" s="2"/>
      <c r="M70" s="2"/>
      <c r="N70" s="2"/>
    </row>
    <row r="71" spans="1:14">
      <c r="A71" s="2" t="str">
        <f t="shared" si="4"/>
        <v/>
      </c>
      <c r="B71" s="2"/>
      <c r="C71" s="4"/>
      <c r="D71" s="7"/>
      <c r="E71" s="7"/>
      <c r="F71" s="4"/>
      <c r="G71" s="6" t="str">
        <f t="shared" si="5"/>
        <v/>
      </c>
      <c r="H71" s="2"/>
      <c r="I71" s="5" t="str">
        <f t="shared" si="6"/>
        <v/>
      </c>
      <c r="J71" s="3">
        <f>IFERROR(SUMIFS(Bank_Rates!$C$2:$C$100,Bank_Rates!$A$2:$A$100,H71,Bank_Rates!$B$2:$B$100,LOOKUP(2,1/((Bank_Rates!$A$2:$A$100=H71)*(Bank_Rates!$B$2:$B$100&lt;=C71)),Bank_Rates!$B$2:$B$100),Bank_Rates!$D$2:$D$100,_xlfn.AGGREGATE(14,6,Bank_Rates!$D$2:$D$100/((Bank_Rates!$A$2:$A$100=H71)*(Bank_Rates!$B$2:$B$100=LOOKUP(2,1/((Bank_Rates!$A$2:$A$100=H71)*(Bank_Rates!$B$2:$B$100&lt;=C71)),Bank_Rates!$B$2:$B$100))*(Bank_Rates!$D$2:$D$100&lt;=G71)),1)),"No Match")</f>
        <v>0</v>
      </c>
      <c r="K71" s="5" t="str">
        <f t="shared" si="7"/>
        <v/>
      </c>
      <c r="L71" s="2"/>
      <c r="M71" s="2"/>
      <c r="N71" s="2"/>
    </row>
    <row r="72" spans="1:14">
      <c r="A72" s="2" t="str">
        <f t="shared" si="4"/>
        <v/>
      </c>
      <c r="B72" s="2"/>
      <c r="C72" s="4"/>
      <c r="D72" s="7"/>
      <c r="E72" s="7"/>
      <c r="F72" s="4"/>
      <c r="G72" s="6" t="str">
        <f t="shared" si="5"/>
        <v/>
      </c>
      <c r="H72" s="2"/>
      <c r="I72" s="5" t="str">
        <f t="shared" si="6"/>
        <v/>
      </c>
      <c r="J72" s="3">
        <f>IFERROR(SUMIFS(Bank_Rates!$C$2:$C$100,Bank_Rates!$A$2:$A$100,H72,Bank_Rates!$B$2:$B$100,LOOKUP(2,1/((Bank_Rates!$A$2:$A$100=H72)*(Bank_Rates!$B$2:$B$100&lt;=C72)),Bank_Rates!$B$2:$B$100),Bank_Rates!$D$2:$D$100,_xlfn.AGGREGATE(14,6,Bank_Rates!$D$2:$D$100/((Bank_Rates!$A$2:$A$100=H72)*(Bank_Rates!$B$2:$B$100=LOOKUP(2,1/((Bank_Rates!$A$2:$A$100=H72)*(Bank_Rates!$B$2:$B$100&lt;=C72)),Bank_Rates!$B$2:$B$100))*(Bank_Rates!$D$2:$D$100&lt;=G72)),1)),"No Match")</f>
        <v>0</v>
      </c>
      <c r="K72" s="5" t="str">
        <f t="shared" si="7"/>
        <v/>
      </c>
      <c r="L72" s="2"/>
      <c r="M72" s="2"/>
      <c r="N72" s="2"/>
    </row>
    <row r="73" spans="1:14">
      <c r="A73" s="2" t="str">
        <f t="shared" si="4"/>
        <v/>
      </c>
      <c r="B73" s="2"/>
      <c r="C73" s="4"/>
      <c r="D73" s="7"/>
      <c r="E73" s="7"/>
      <c r="F73" s="4"/>
      <c r="G73" s="6" t="str">
        <f t="shared" si="5"/>
        <v/>
      </c>
      <c r="H73" s="2"/>
      <c r="I73" s="5" t="str">
        <f t="shared" si="6"/>
        <v/>
      </c>
      <c r="J73" s="3">
        <f>IFERROR(SUMIFS(Bank_Rates!$C$2:$C$100,Bank_Rates!$A$2:$A$100,H73,Bank_Rates!$B$2:$B$100,LOOKUP(2,1/((Bank_Rates!$A$2:$A$100=H73)*(Bank_Rates!$B$2:$B$100&lt;=C73)),Bank_Rates!$B$2:$B$100),Bank_Rates!$D$2:$D$100,_xlfn.AGGREGATE(14,6,Bank_Rates!$D$2:$D$100/((Bank_Rates!$A$2:$A$100=H73)*(Bank_Rates!$B$2:$B$100=LOOKUP(2,1/((Bank_Rates!$A$2:$A$100=H73)*(Bank_Rates!$B$2:$B$100&lt;=C73)),Bank_Rates!$B$2:$B$100))*(Bank_Rates!$D$2:$D$100&lt;=G73)),1)),"No Match")</f>
        <v>0</v>
      </c>
      <c r="K73" s="5" t="str">
        <f t="shared" si="7"/>
        <v/>
      </c>
      <c r="L73" s="2"/>
      <c r="M73" s="2"/>
      <c r="N73" s="2"/>
    </row>
    <row r="74" spans="1:14">
      <c r="A74" s="2" t="str">
        <f t="shared" si="4"/>
        <v/>
      </c>
      <c r="B74" s="2"/>
      <c r="C74" s="4"/>
      <c r="D74" s="7"/>
      <c r="E74" s="7"/>
      <c r="F74" s="4"/>
      <c r="G74" s="6" t="str">
        <f t="shared" si="5"/>
        <v/>
      </c>
      <c r="H74" s="2"/>
      <c r="I74" s="5" t="str">
        <f t="shared" si="6"/>
        <v/>
      </c>
      <c r="J74" s="3">
        <f>IFERROR(SUMIFS(Bank_Rates!$C$2:$C$100,Bank_Rates!$A$2:$A$100,H74,Bank_Rates!$B$2:$B$100,LOOKUP(2,1/((Bank_Rates!$A$2:$A$100=H74)*(Bank_Rates!$B$2:$B$100&lt;=C74)),Bank_Rates!$B$2:$B$100),Bank_Rates!$D$2:$D$100,_xlfn.AGGREGATE(14,6,Bank_Rates!$D$2:$D$100/((Bank_Rates!$A$2:$A$100=H74)*(Bank_Rates!$B$2:$B$100=LOOKUP(2,1/((Bank_Rates!$A$2:$A$100=H74)*(Bank_Rates!$B$2:$B$100&lt;=C74)),Bank_Rates!$B$2:$B$100))*(Bank_Rates!$D$2:$D$100&lt;=G74)),1)),"No Match")</f>
        <v>0</v>
      </c>
      <c r="K74" s="5" t="str">
        <f t="shared" si="7"/>
        <v/>
      </c>
      <c r="L74" s="2"/>
      <c r="M74" s="2"/>
      <c r="N74" s="2"/>
    </row>
    <row r="75" spans="1:14">
      <c r="A75" s="2" t="str">
        <f t="shared" si="4"/>
        <v/>
      </c>
      <c r="B75" s="2"/>
      <c r="C75" s="4"/>
      <c r="D75" s="7"/>
      <c r="E75" s="7"/>
      <c r="F75" s="4"/>
      <c r="G75" s="6" t="str">
        <f t="shared" si="5"/>
        <v/>
      </c>
      <c r="H75" s="2"/>
      <c r="I75" s="5" t="str">
        <f t="shared" si="6"/>
        <v/>
      </c>
      <c r="J75" s="3">
        <f>IFERROR(SUMIFS(Bank_Rates!$C$2:$C$100,Bank_Rates!$A$2:$A$100,H75,Bank_Rates!$B$2:$B$100,LOOKUP(2,1/((Bank_Rates!$A$2:$A$100=H75)*(Bank_Rates!$B$2:$B$100&lt;=C75)),Bank_Rates!$B$2:$B$100),Bank_Rates!$D$2:$D$100,_xlfn.AGGREGATE(14,6,Bank_Rates!$D$2:$D$100/((Bank_Rates!$A$2:$A$100=H75)*(Bank_Rates!$B$2:$B$100=LOOKUP(2,1/((Bank_Rates!$A$2:$A$100=H75)*(Bank_Rates!$B$2:$B$100&lt;=C75)),Bank_Rates!$B$2:$B$100))*(Bank_Rates!$D$2:$D$100&lt;=G75)),1)),"No Match")</f>
        <v>0</v>
      </c>
      <c r="K75" s="5" t="str">
        <f t="shared" si="7"/>
        <v/>
      </c>
      <c r="L75" s="2"/>
      <c r="M75" s="2"/>
      <c r="N75" s="2"/>
    </row>
    <row r="76" spans="1:14">
      <c r="A76" s="2" t="str">
        <f t="shared" si="4"/>
        <v/>
      </c>
      <c r="B76" s="2"/>
      <c r="C76" s="4"/>
      <c r="D76" s="7"/>
      <c r="E76" s="7"/>
      <c r="F76" s="4"/>
      <c r="G76" s="6" t="str">
        <f t="shared" si="5"/>
        <v/>
      </c>
      <c r="H76" s="2"/>
      <c r="I76" s="5" t="str">
        <f t="shared" si="6"/>
        <v/>
      </c>
      <c r="J76" s="3">
        <f>IFERROR(SUMIFS(Bank_Rates!$C$2:$C$100,Bank_Rates!$A$2:$A$100,H76,Bank_Rates!$B$2:$B$100,LOOKUP(2,1/((Bank_Rates!$A$2:$A$100=H76)*(Bank_Rates!$B$2:$B$100&lt;=C76)),Bank_Rates!$B$2:$B$100),Bank_Rates!$D$2:$D$100,_xlfn.AGGREGATE(14,6,Bank_Rates!$D$2:$D$100/((Bank_Rates!$A$2:$A$100=H76)*(Bank_Rates!$B$2:$B$100=LOOKUP(2,1/((Bank_Rates!$A$2:$A$100=H76)*(Bank_Rates!$B$2:$B$100&lt;=C76)),Bank_Rates!$B$2:$B$100))*(Bank_Rates!$D$2:$D$100&lt;=G76)),1)),"No Match")</f>
        <v>0</v>
      </c>
      <c r="K76" s="5" t="str">
        <f t="shared" si="7"/>
        <v/>
      </c>
      <c r="L76" s="2"/>
      <c r="M76" s="2"/>
      <c r="N76" s="2"/>
    </row>
    <row r="77" spans="1:14">
      <c r="A77" s="2" t="str">
        <f t="shared" si="4"/>
        <v/>
      </c>
      <c r="B77" s="2"/>
      <c r="C77" s="4"/>
      <c r="D77" s="7"/>
      <c r="E77" s="7"/>
      <c r="F77" s="4"/>
      <c r="G77" s="6" t="str">
        <f t="shared" si="5"/>
        <v/>
      </c>
      <c r="H77" s="2"/>
      <c r="I77" s="5" t="str">
        <f t="shared" si="6"/>
        <v/>
      </c>
      <c r="J77" s="3">
        <f>IFERROR(SUMIFS(Bank_Rates!$C$2:$C$100,Bank_Rates!$A$2:$A$100,H77,Bank_Rates!$B$2:$B$100,LOOKUP(2,1/((Bank_Rates!$A$2:$A$100=H77)*(Bank_Rates!$B$2:$B$100&lt;=C77)),Bank_Rates!$B$2:$B$100),Bank_Rates!$D$2:$D$100,_xlfn.AGGREGATE(14,6,Bank_Rates!$D$2:$D$100/((Bank_Rates!$A$2:$A$100=H77)*(Bank_Rates!$B$2:$B$100=LOOKUP(2,1/((Bank_Rates!$A$2:$A$100=H77)*(Bank_Rates!$B$2:$B$100&lt;=C77)),Bank_Rates!$B$2:$B$100))*(Bank_Rates!$D$2:$D$100&lt;=G77)),1)),"No Match")</f>
        <v>0</v>
      </c>
      <c r="K77" s="5" t="str">
        <f t="shared" si="7"/>
        <v/>
      </c>
      <c r="L77" s="2"/>
      <c r="M77" s="2"/>
      <c r="N77" s="2"/>
    </row>
    <row r="78" spans="1:14">
      <c r="A78" s="2" t="str">
        <f t="shared" si="4"/>
        <v/>
      </c>
      <c r="B78" s="2"/>
      <c r="C78" s="4"/>
      <c r="D78" s="7"/>
      <c r="E78" s="7"/>
      <c r="F78" s="4"/>
      <c r="G78" s="6" t="str">
        <f t="shared" si="5"/>
        <v/>
      </c>
      <c r="H78" s="2"/>
      <c r="I78" s="5" t="str">
        <f t="shared" si="6"/>
        <v/>
      </c>
      <c r="J78" s="3">
        <f>IFERROR(SUMIFS(Bank_Rates!$C$2:$C$100,Bank_Rates!$A$2:$A$100,H78,Bank_Rates!$B$2:$B$100,LOOKUP(2,1/((Bank_Rates!$A$2:$A$100=H78)*(Bank_Rates!$B$2:$B$100&lt;=C78)),Bank_Rates!$B$2:$B$100),Bank_Rates!$D$2:$D$100,_xlfn.AGGREGATE(14,6,Bank_Rates!$D$2:$D$100/((Bank_Rates!$A$2:$A$100=H78)*(Bank_Rates!$B$2:$B$100=LOOKUP(2,1/((Bank_Rates!$A$2:$A$100=H78)*(Bank_Rates!$B$2:$B$100&lt;=C78)),Bank_Rates!$B$2:$B$100))*(Bank_Rates!$D$2:$D$100&lt;=G78)),1)),"No Match")</f>
        <v>0</v>
      </c>
      <c r="K78" s="5" t="str">
        <f t="shared" si="7"/>
        <v/>
      </c>
      <c r="L78" s="2"/>
      <c r="M78" s="2"/>
      <c r="N78" s="2"/>
    </row>
    <row r="79" spans="1:14">
      <c r="A79" s="2" t="str">
        <f t="shared" si="4"/>
        <v/>
      </c>
      <c r="B79" s="2"/>
      <c r="C79" s="4"/>
      <c r="D79" s="7"/>
      <c r="E79" s="7"/>
      <c r="F79" s="4"/>
      <c r="G79" s="6" t="str">
        <f t="shared" si="5"/>
        <v/>
      </c>
      <c r="H79" s="2"/>
      <c r="I79" s="5" t="str">
        <f t="shared" si="6"/>
        <v/>
      </c>
      <c r="J79" s="3">
        <f>IFERROR(SUMIFS(Bank_Rates!$C$2:$C$100,Bank_Rates!$A$2:$A$100,H79,Bank_Rates!$B$2:$B$100,LOOKUP(2,1/((Bank_Rates!$A$2:$A$100=H79)*(Bank_Rates!$B$2:$B$100&lt;=C79)),Bank_Rates!$B$2:$B$100),Bank_Rates!$D$2:$D$100,_xlfn.AGGREGATE(14,6,Bank_Rates!$D$2:$D$100/((Bank_Rates!$A$2:$A$100=H79)*(Bank_Rates!$B$2:$B$100=LOOKUP(2,1/((Bank_Rates!$A$2:$A$100=H79)*(Bank_Rates!$B$2:$B$100&lt;=C79)),Bank_Rates!$B$2:$B$100))*(Bank_Rates!$D$2:$D$100&lt;=G79)),1)),"No Match")</f>
        <v>0</v>
      </c>
      <c r="K79" s="5" t="str">
        <f t="shared" si="7"/>
        <v/>
      </c>
      <c r="L79" s="2"/>
      <c r="M79" s="2"/>
      <c r="N79" s="2"/>
    </row>
    <row r="80" spans="1:14">
      <c r="A80" s="2" t="str">
        <f t="shared" si="4"/>
        <v/>
      </c>
      <c r="B80" s="2"/>
      <c r="C80" s="4"/>
      <c r="D80" s="7"/>
      <c r="E80" s="7"/>
      <c r="F80" s="4"/>
      <c r="G80" s="6" t="str">
        <f t="shared" si="5"/>
        <v/>
      </c>
      <c r="H80" s="2"/>
      <c r="I80" s="5" t="str">
        <f t="shared" si="6"/>
        <v/>
      </c>
      <c r="J80" s="3">
        <f>IFERROR(SUMIFS(Bank_Rates!$C$2:$C$100,Bank_Rates!$A$2:$A$100,H80,Bank_Rates!$B$2:$B$100,LOOKUP(2,1/((Bank_Rates!$A$2:$A$100=H80)*(Bank_Rates!$B$2:$B$100&lt;=C80)),Bank_Rates!$B$2:$B$100),Bank_Rates!$D$2:$D$100,_xlfn.AGGREGATE(14,6,Bank_Rates!$D$2:$D$100/((Bank_Rates!$A$2:$A$100=H80)*(Bank_Rates!$B$2:$B$100=LOOKUP(2,1/((Bank_Rates!$A$2:$A$100=H80)*(Bank_Rates!$B$2:$B$100&lt;=C80)),Bank_Rates!$B$2:$B$100))*(Bank_Rates!$D$2:$D$100&lt;=G80)),1)),"No Match")</f>
        <v>0</v>
      </c>
      <c r="K80" s="5" t="str">
        <f t="shared" si="7"/>
        <v/>
      </c>
      <c r="L80" s="2"/>
      <c r="M80" s="2"/>
      <c r="N80" s="2"/>
    </row>
    <row r="81" spans="1:14">
      <c r="A81" s="2" t="str">
        <f t="shared" si="4"/>
        <v/>
      </c>
      <c r="B81" s="2"/>
      <c r="C81" s="4"/>
      <c r="D81" s="7"/>
      <c r="E81" s="7"/>
      <c r="F81" s="4"/>
      <c r="G81" s="6" t="str">
        <f t="shared" si="5"/>
        <v/>
      </c>
      <c r="H81" s="2"/>
      <c r="I81" s="5" t="str">
        <f t="shared" si="6"/>
        <v/>
      </c>
      <c r="J81" s="3">
        <f>IFERROR(SUMIFS(Bank_Rates!$C$2:$C$100,Bank_Rates!$A$2:$A$100,H81,Bank_Rates!$B$2:$B$100,LOOKUP(2,1/((Bank_Rates!$A$2:$A$100=H81)*(Bank_Rates!$B$2:$B$100&lt;=C81)),Bank_Rates!$B$2:$B$100),Bank_Rates!$D$2:$D$100,_xlfn.AGGREGATE(14,6,Bank_Rates!$D$2:$D$100/((Bank_Rates!$A$2:$A$100=H81)*(Bank_Rates!$B$2:$B$100=LOOKUP(2,1/((Bank_Rates!$A$2:$A$100=H81)*(Bank_Rates!$B$2:$B$100&lt;=C81)),Bank_Rates!$B$2:$B$100))*(Bank_Rates!$D$2:$D$100&lt;=G81)),1)),"No Match")</f>
        <v>0</v>
      </c>
      <c r="K81" s="5" t="str">
        <f t="shared" si="7"/>
        <v/>
      </c>
      <c r="L81" s="2"/>
      <c r="M81" s="2"/>
      <c r="N81" s="2"/>
    </row>
    <row r="82" spans="1:14">
      <c r="A82" s="2" t="str">
        <f t="shared" si="4"/>
        <v/>
      </c>
      <c r="B82" s="2"/>
      <c r="C82" s="4"/>
      <c r="D82" s="7"/>
      <c r="E82" s="7"/>
      <c r="F82" s="4"/>
      <c r="G82" s="6" t="str">
        <f t="shared" si="5"/>
        <v/>
      </c>
      <c r="H82" s="2"/>
      <c r="I82" s="5" t="str">
        <f t="shared" si="6"/>
        <v/>
      </c>
      <c r="J82" s="3">
        <f>IFERROR(SUMIFS(Bank_Rates!$C$2:$C$100,Bank_Rates!$A$2:$A$100,H82,Bank_Rates!$B$2:$B$100,LOOKUP(2,1/((Bank_Rates!$A$2:$A$100=H82)*(Bank_Rates!$B$2:$B$100&lt;=C82)),Bank_Rates!$B$2:$B$100),Bank_Rates!$D$2:$D$100,_xlfn.AGGREGATE(14,6,Bank_Rates!$D$2:$D$100/((Bank_Rates!$A$2:$A$100=H82)*(Bank_Rates!$B$2:$B$100=LOOKUP(2,1/((Bank_Rates!$A$2:$A$100=H82)*(Bank_Rates!$B$2:$B$100&lt;=C82)),Bank_Rates!$B$2:$B$100))*(Bank_Rates!$D$2:$D$100&lt;=G82)),1)),"No Match")</f>
        <v>0</v>
      </c>
      <c r="K82" s="5" t="str">
        <f t="shared" si="7"/>
        <v/>
      </c>
      <c r="L82" s="2"/>
      <c r="M82" s="2"/>
      <c r="N82" s="2"/>
    </row>
    <row r="83" spans="1:14">
      <c r="A83" s="2" t="str">
        <f t="shared" si="4"/>
        <v/>
      </c>
      <c r="B83" s="2"/>
      <c r="C83" s="4"/>
      <c r="D83" s="7"/>
      <c r="E83" s="7"/>
      <c r="F83" s="4"/>
      <c r="G83" s="6" t="str">
        <f t="shared" si="5"/>
        <v/>
      </c>
      <c r="H83" s="2"/>
      <c r="I83" s="5" t="str">
        <f t="shared" si="6"/>
        <v/>
      </c>
      <c r="J83" s="3">
        <f>IFERROR(SUMIFS(Bank_Rates!$C$2:$C$100,Bank_Rates!$A$2:$A$100,H83,Bank_Rates!$B$2:$B$100,LOOKUP(2,1/((Bank_Rates!$A$2:$A$100=H83)*(Bank_Rates!$B$2:$B$100&lt;=C83)),Bank_Rates!$B$2:$B$100),Bank_Rates!$D$2:$D$100,_xlfn.AGGREGATE(14,6,Bank_Rates!$D$2:$D$100/((Bank_Rates!$A$2:$A$100=H83)*(Bank_Rates!$B$2:$B$100=LOOKUP(2,1/((Bank_Rates!$A$2:$A$100=H83)*(Bank_Rates!$B$2:$B$100&lt;=C83)),Bank_Rates!$B$2:$B$100))*(Bank_Rates!$D$2:$D$100&lt;=G83)),1)),"No Match")</f>
        <v>0</v>
      </c>
      <c r="K83" s="5" t="str">
        <f t="shared" si="7"/>
        <v/>
      </c>
      <c r="L83" s="2"/>
      <c r="M83" s="2"/>
      <c r="N83" s="2"/>
    </row>
    <row r="84" spans="1:14">
      <c r="A84" s="2" t="str">
        <f t="shared" si="4"/>
        <v/>
      </c>
      <c r="B84" s="2"/>
      <c r="C84" s="4"/>
      <c r="D84" s="7"/>
      <c r="E84" s="7"/>
      <c r="F84" s="4"/>
      <c r="G84" s="6" t="str">
        <f t="shared" si="5"/>
        <v/>
      </c>
      <c r="H84" s="2"/>
      <c r="I84" s="5" t="str">
        <f t="shared" si="6"/>
        <v/>
      </c>
      <c r="J84" s="3">
        <f>IFERROR(SUMIFS(Bank_Rates!$C$2:$C$100,Bank_Rates!$A$2:$A$100,H84,Bank_Rates!$B$2:$B$100,LOOKUP(2,1/((Bank_Rates!$A$2:$A$100=H84)*(Bank_Rates!$B$2:$B$100&lt;=C84)),Bank_Rates!$B$2:$B$100),Bank_Rates!$D$2:$D$100,_xlfn.AGGREGATE(14,6,Bank_Rates!$D$2:$D$100/((Bank_Rates!$A$2:$A$100=H84)*(Bank_Rates!$B$2:$B$100=LOOKUP(2,1/((Bank_Rates!$A$2:$A$100=H84)*(Bank_Rates!$B$2:$B$100&lt;=C84)),Bank_Rates!$B$2:$B$100))*(Bank_Rates!$D$2:$D$100&lt;=G84)),1)),"No Match")</f>
        <v>0</v>
      </c>
      <c r="K84" s="5" t="str">
        <f t="shared" si="7"/>
        <v/>
      </c>
      <c r="L84" s="2"/>
      <c r="M84" s="2"/>
      <c r="N84" s="2"/>
    </row>
    <row r="85" spans="1:14">
      <c r="A85" s="2" t="str">
        <f t="shared" si="4"/>
        <v/>
      </c>
      <c r="B85" s="2"/>
      <c r="C85" s="4"/>
      <c r="D85" s="7"/>
      <c r="E85" s="7"/>
      <c r="F85" s="4"/>
      <c r="G85" s="6" t="str">
        <f t="shared" si="5"/>
        <v/>
      </c>
      <c r="H85" s="2"/>
      <c r="I85" s="5" t="str">
        <f t="shared" si="6"/>
        <v/>
      </c>
      <c r="J85" s="3">
        <f>IFERROR(SUMIFS(Bank_Rates!$C$2:$C$100,Bank_Rates!$A$2:$A$100,H85,Bank_Rates!$B$2:$B$100,LOOKUP(2,1/((Bank_Rates!$A$2:$A$100=H85)*(Bank_Rates!$B$2:$B$100&lt;=C85)),Bank_Rates!$B$2:$B$100),Bank_Rates!$D$2:$D$100,_xlfn.AGGREGATE(14,6,Bank_Rates!$D$2:$D$100/((Bank_Rates!$A$2:$A$100=H85)*(Bank_Rates!$B$2:$B$100=LOOKUP(2,1/((Bank_Rates!$A$2:$A$100=H85)*(Bank_Rates!$B$2:$B$100&lt;=C85)),Bank_Rates!$B$2:$B$100))*(Bank_Rates!$D$2:$D$100&lt;=G85)),1)),"No Match")</f>
        <v>0</v>
      </c>
      <c r="K85" s="5" t="str">
        <f t="shared" si="7"/>
        <v/>
      </c>
      <c r="L85" s="2"/>
      <c r="M85" s="2"/>
      <c r="N85" s="2"/>
    </row>
    <row r="86" spans="1:14">
      <c r="A86" s="2" t="str">
        <f t="shared" si="4"/>
        <v/>
      </c>
      <c r="B86" s="2"/>
      <c r="C86" s="4"/>
      <c r="D86" s="7"/>
      <c r="E86" s="7"/>
      <c r="F86" s="4"/>
      <c r="G86" s="6" t="str">
        <f t="shared" si="5"/>
        <v/>
      </c>
      <c r="H86" s="2"/>
      <c r="I86" s="5" t="str">
        <f t="shared" si="6"/>
        <v/>
      </c>
      <c r="J86" s="3">
        <f>IFERROR(SUMIFS(Bank_Rates!$C$2:$C$100,Bank_Rates!$A$2:$A$100,H86,Bank_Rates!$B$2:$B$100,LOOKUP(2,1/((Bank_Rates!$A$2:$A$100=H86)*(Bank_Rates!$B$2:$B$100&lt;=C86)),Bank_Rates!$B$2:$B$100),Bank_Rates!$D$2:$D$100,_xlfn.AGGREGATE(14,6,Bank_Rates!$D$2:$D$100/((Bank_Rates!$A$2:$A$100=H86)*(Bank_Rates!$B$2:$B$100=LOOKUP(2,1/((Bank_Rates!$A$2:$A$100=H86)*(Bank_Rates!$B$2:$B$100&lt;=C86)),Bank_Rates!$B$2:$B$100))*(Bank_Rates!$D$2:$D$100&lt;=G86)),1)),"No Match")</f>
        <v>0</v>
      </c>
      <c r="K86" s="5" t="str">
        <f t="shared" si="7"/>
        <v/>
      </c>
      <c r="L86" s="2"/>
      <c r="M86" s="2"/>
      <c r="N86" s="2"/>
    </row>
    <row r="87" spans="1:14">
      <c r="A87" s="2" t="str">
        <f t="shared" si="4"/>
        <v/>
      </c>
      <c r="B87" s="2"/>
      <c r="C87" s="4"/>
      <c r="D87" s="7"/>
      <c r="E87" s="7"/>
      <c r="F87" s="4"/>
      <c r="G87" s="6" t="str">
        <f t="shared" si="5"/>
        <v/>
      </c>
      <c r="H87" s="2"/>
      <c r="I87" s="5" t="str">
        <f t="shared" si="6"/>
        <v/>
      </c>
      <c r="J87" s="3">
        <f>IFERROR(SUMIFS(Bank_Rates!$C$2:$C$100,Bank_Rates!$A$2:$A$100,H87,Bank_Rates!$B$2:$B$100,LOOKUP(2,1/((Bank_Rates!$A$2:$A$100=H87)*(Bank_Rates!$B$2:$B$100&lt;=C87)),Bank_Rates!$B$2:$B$100),Bank_Rates!$D$2:$D$100,_xlfn.AGGREGATE(14,6,Bank_Rates!$D$2:$D$100/((Bank_Rates!$A$2:$A$100=H87)*(Bank_Rates!$B$2:$B$100=LOOKUP(2,1/((Bank_Rates!$A$2:$A$100=H87)*(Bank_Rates!$B$2:$B$100&lt;=C87)),Bank_Rates!$B$2:$B$100))*(Bank_Rates!$D$2:$D$100&lt;=G87)),1)),"No Match")</f>
        <v>0</v>
      </c>
      <c r="K87" s="5" t="str">
        <f t="shared" si="7"/>
        <v/>
      </c>
      <c r="L87" s="2"/>
      <c r="M87" s="2"/>
      <c r="N87" s="2"/>
    </row>
    <row r="88" spans="1:14">
      <c r="A88" s="2" t="str">
        <f t="shared" si="4"/>
        <v/>
      </c>
      <c r="B88" s="2"/>
      <c r="C88" s="4"/>
      <c r="D88" s="7"/>
      <c r="E88" s="7"/>
      <c r="F88" s="4"/>
      <c r="G88" s="6" t="str">
        <f t="shared" si="5"/>
        <v/>
      </c>
      <c r="H88" s="2"/>
      <c r="I88" s="5" t="str">
        <f t="shared" si="6"/>
        <v/>
      </c>
      <c r="J88" s="3">
        <f>IFERROR(SUMIFS(Bank_Rates!$C$2:$C$100,Bank_Rates!$A$2:$A$100,H88,Bank_Rates!$B$2:$B$100,LOOKUP(2,1/((Bank_Rates!$A$2:$A$100=H88)*(Bank_Rates!$B$2:$B$100&lt;=C88)),Bank_Rates!$B$2:$B$100),Bank_Rates!$D$2:$D$100,_xlfn.AGGREGATE(14,6,Bank_Rates!$D$2:$D$100/((Bank_Rates!$A$2:$A$100=H88)*(Bank_Rates!$B$2:$B$100=LOOKUP(2,1/((Bank_Rates!$A$2:$A$100=H88)*(Bank_Rates!$B$2:$B$100&lt;=C88)),Bank_Rates!$B$2:$B$100))*(Bank_Rates!$D$2:$D$100&lt;=G88)),1)),"No Match")</f>
        <v>0</v>
      </c>
      <c r="K88" s="5" t="str">
        <f t="shared" si="7"/>
        <v/>
      </c>
      <c r="L88" s="2"/>
      <c r="M88" s="2"/>
      <c r="N88" s="2"/>
    </row>
    <row r="89" spans="1:14">
      <c r="A89" s="2" t="str">
        <f t="shared" si="4"/>
        <v/>
      </c>
      <c r="B89" s="2"/>
      <c r="C89" s="4"/>
      <c r="D89" s="7"/>
      <c r="E89" s="7"/>
      <c r="F89" s="4"/>
      <c r="G89" s="6" t="str">
        <f t="shared" si="5"/>
        <v/>
      </c>
      <c r="H89" s="2"/>
      <c r="I89" s="5" t="str">
        <f t="shared" si="6"/>
        <v/>
      </c>
      <c r="J89" s="3">
        <f>IFERROR(SUMIFS(Bank_Rates!$C$2:$C$100,Bank_Rates!$A$2:$A$100,H89,Bank_Rates!$B$2:$B$100,LOOKUP(2,1/((Bank_Rates!$A$2:$A$100=H89)*(Bank_Rates!$B$2:$B$100&lt;=C89)),Bank_Rates!$B$2:$B$100),Bank_Rates!$D$2:$D$100,_xlfn.AGGREGATE(14,6,Bank_Rates!$D$2:$D$100/((Bank_Rates!$A$2:$A$100=H89)*(Bank_Rates!$B$2:$B$100=LOOKUP(2,1/((Bank_Rates!$A$2:$A$100=H89)*(Bank_Rates!$B$2:$B$100&lt;=C89)),Bank_Rates!$B$2:$B$100))*(Bank_Rates!$D$2:$D$100&lt;=G89)),1)),"No Match")</f>
        <v>0</v>
      </c>
      <c r="K89" s="5" t="str">
        <f t="shared" si="7"/>
        <v/>
      </c>
      <c r="L89" s="2"/>
      <c r="M89" s="2"/>
      <c r="N89" s="2"/>
    </row>
    <row r="90" spans="1:14">
      <c r="A90" s="2" t="str">
        <f t="shared" si="4"/>
        <v/>
      </c>
      <c r="B90" s="2"/>
      <c r="C90" s="4"/>
      <c r="D90" s="7"/>
      <c r="E90" s="7"/>
      <c r="F90" s="4"/>
      <c r="G90" s="6" t="str">
        <f t="shared" si="5"/>
        <v/>
      </c>
      <c r="H90" s="2"/>
      <c r="I90" s="5" t="str">
        <f t="shared" si="6"/>
        <v/>
      </c>
      <c r="J90" s="3">
        <f>IFERROR(SUMIFS(Bank_Rates!$C$2:$C$100,Bank_Rates!$A$2:$A$100,H90,Bank_Rates!$B$2:$B$100,LOOKUP(2,1/((Bank_Rates!$A$2:$A$100=H90)*(Bank_Rates!$B$2:$B$100&lt;=C90)),Bank_Rates!$B$2:$B$100),Bank_Rates!$D$2:$D$100,_xlfn.AGGREGATE(14,6,Bank_Rates!$D$2:$D$100/((Bank_Rates!$A$2:$A$100=H90)*(Bank_Rates!$B$2:$B$100=LOOKUP(2,1/((Bank_Rates!$A$2:$A$100=H90)*(Bank_Rates!$B$2:$B$100&lt;=C90)),Bank_Rates!$B$2:$B$100))*(Bank_Rates!$D$2:$D$100&lt;=G90)),1)),"No Match")</f>
        <v>0</v>
      </c>
      <c r="K90" s="5" t="str">
        <f t="shared" si="7"/>
        <v/>
      </c>
      <c r="L90" s="2"/>
      <c r="M90" s="2"/>
      <c r="N90" s="2"/>
    </row>
    <row r="91" spans="1:14">
      <c r="A91" s="2" t="str">
        <f t="shared" si="4"/>
        <v/>
      </c>
      <c r="B91" s="2"/>
      <c r="C91" s="4"/>
      <c r="D91" s="7"/>
      <c r="E91" s="7"/>
      <c r="F91" s="4"/>
      <c r="G91" s="6" t="str">
        <f t="shared" si="5"/>
        <v/>
      </c>
      <c r="H91" s="2"/>
      <c r="I91" s="5" t="str">
        <f t="shared" si="6"/>
        <v/>
      </c>
      <c r="J91" s="3">
        <f>IFERROR(SUMIFS(Bank_Rates!$C$2:$C$100,Bank_Rates!$A$2:$A$100,H91,Bank_Rates!$B$2:$B$100,LOOKUP(2,1/((Bank_Rates!$A$2:$A$100=H91)*(Bank_Rates!$B$2:$B$100&lt;=C91)),Bank_Rates!$B$2:$B$100),Bank_Rates!$D$2:$D$100,_xlfn.AGGREGATE(14,6,Bank_Rates!$D$2:$D$100/((Bank_Rates!$A$2:$A$100=H91)*(Bank_Rates!$B$2:$B$100=LOOKUP(2,1/((Bank_Rates!$A$2:$A$100=H91)*(Bank_Rates!$B$2:$B$100&lt;=C91)),Bank_Rates!$B$2:$B$100))*(Bank_Rates!$D$2:$D$100&lt;=G91)),1)),"No Match")</f>
        <v>0</v>
      </c>
      <c r="K91" s="5" t="str">
        <f t="shared" si="7"/>
        <v/>
      </c>
      <c r="L91" s="2"/>
      <c r="M91" s="2"/>
      <c r="N91" s="2"/>
    </row>
    <row r="92" spans="1:14">
      <c r="A92" s="2" t="str">
        <f t="shared" si="4"/>
        <v/>
      </c>
      <c r="B92" s="2"/>
      <c r="C92" s="4"/>
      <c r="D92" s="7"/>
      <c r="E92" s="7"/>
      <c r="F92" s="4"/>
      <c r="G92" s="6" t="str">
        <f t="shared" si="5"/>
        <v/>
      </c>
      <c r="H92" s="2"/>
      <c r="I92" s="5" t="str">
        <f t="shared" si="6"/>
        <v/>
      </c>
      <c r="J92" s="3">
        <f>IFERROR(SUMIFS(Bank_Rates!$C$2:$C$100,Bank_Rates!$A$2:$A$100,H92,Bank_Rates!$B$2:$B$100,LOOKUP(2,1/((Bank_Rates!$A$2:$A$100=H92)*(Bank_Rates!$B$2:$B$100&lt;=C92)),Bank_Rates!$B$2:$B$100),Bank_Rates!$D$2:$D$100,_xlfn.AGGREGATE(14,6,Bank_Rates!$D$2:$D$100/((Bank_Rates!$A$2:$A$100=H92)*(Bank_Rates!$B$2:$B$100=LOOKUP(2,1/((Bank_Rates!$A$2:$A$100=H92)*(Bank_Rates!$B$2:$B$100&lt;=C92)),Bank_Rates!$B$2:$B$100))*(Bank_Rates!$D$2:$D$100&lt;=G92)),1)),"No Match")</f>
        <v>0</v>
      </c>
      <c r="K92" s="5" t="str">
        <f t="shared" si="7"/>
        <v/>
      </c>
      <c r="L92" s="2"/>
      <c r="M92" s="2"/>
      <c r="N92" s="2"/>
    </row>
    <row r="93" spans="1:14">
      <c r="A93" s="2" t="str">
        <f t="shared" si="4"/>
        <v/>
      </c>
      <c r="B93" s="2"/>
      <c r="C93" s="4"/>
      <c r="D93" s="7"/>
      <c r="E93" s="7"/>
      <c r="F93" s="4"/>
      <c r="G93" s="6" t="str">
        <f t="shared" si="5"/>
        <v/>
      </c>
      <c r="H93" s="2"/>
      <c r="I93" s="5" t="str">
        <f t="shared" si="6"/>
        <v/>
      </c>
      <c r="J93" s="3">
        <f>IFERROR(SUMIFS(Bank_Rates!$C$2:$C$100,Bank_Rates!$A$2:$A$100,H93,Bank_Rates!$B$2:$B$100,LOOKUP(2,1/((Bank_Rates!$A$2:$A$100=H93)*(Bank_Rates!$B$2:$B$100&lt;=C93)),Bank_Rates!$B$2:$B$100),Bank_Rates!$D$2:$D$100,_xlfn.AGGREGATE(14,6,Bank_Rates!$D$2:$D$100/((Bank_Rates!$A$2:$A$100=H93)*(Bank_Rates!$B$2:$B$100=LOOKUP(2,1/((Bank_Rates!$A$2:$A$100=H93)*(Bank_Rates!$B$2:$B$100&lt;=C93)),Bank_Rates!$B$2:$B$100))*(Bank_Rates!$D$2:$D$100&lt;=G93)),1)),"No Match")</f>
        <v>0</v>
      </c>
      <c r="K93" s="5" t="str">
        <f t="shared" si="7"/>
        <v/>
      </c>
      <c r="L93" s="2"/>
      <c r="M93" s="2"/>
      <c r="N93" s="2"/>
    </row>
    <row r="94" spans="1:14">
      <c r="A94" s="2" t="str">
        <f t="shared" si="4"/>
        <v/>
      </c>
      <c r="B94" s="2"/>
      <c r="C94" s="4"/>
      <c r="D94" s="7"/>
      <c r="E94" s="7"/>
      <c r="F94" s="4"/>
      <c r="G94" s="6" t="str">
        <f t="shared" si="5"/>
        <v/>
      </c>
      <c r="H94" s="2"/>
      <c r="I94" s="5" t="str">
        <f t="shared" si="6"/>
        <v/>
      </c>
      <c r="J94" s="3">
        <f>IFERROR(SUMIFS(Bank_Rates!$C$2:$C$100,Bank_Rates!$A$2:$A$100,H94,Bank_Rates!$B$2:$B$100,LOOKUP(2,1/((Bank_Rates!$A$2:$A$100=H94)*(Bank_Rates!$B$2:$B$100&lt;=C94)),Bank_Rates!$B$2:$B$100),Bank_Rates!$D$2:$D$100,_xlfn.AGGREGATE(14,6,Bank_Rates!$D$2:$D$100/((Bank_Rates!$A$2:$A$100=H94)*(Bank_Rates!$B$2:$B$100=LOOKUP(2,1/((Bank_Rates!$A$2:$A$100=H94)*(Bank_Rates!$B$2:$B$100&lt;=C94)),Bank_Rates!$B$2:$B$100))*(Bank_Rates!$D$2:$D$100&lt;=G94)),1)),"No Match")</f>
        <v>0</v>
      </c>
      <c r="K94" s="5" t="str">
        <f t="shared" si="7"/>
        <v/>
      </c>
      <c r="L94" s="2"/>
      <c r="M94" s="2"/>
      <c r="N94" s="2"/>
    </row>
    <row r="95" spans="1:14">
      <c r="A95" s="2" t="str">
        <f t="shared" si="4"/>
        <v/>
      </c>
      <c r="B95" s="2"/>
      <c r="C95" s="4"/>
      <c r="D95" s="7"/>
      <c r="E95" s="7"/>
      <c r="F95" s="4"/>
      <c r="G95" s="6" t="str">
        <f t="shared" si="5"/>
        <v/>
      </c>
      <c r="H95" s="2"/>
      <c r="I95" s="5" t="str">
        <f t="shared" si="6"/>
        <v/>
      </c>
      <c r="J95" s="3">
        <f>IFERROR(SUMIFS(Bank_Rates!$C$2:$C$100,Bank_Rates!$A$2:$A$100,H95,Bank_Rates!$B$2:$B$100,LOOKUP(2,1/((Bank_Rates!$A$2:$A$100=H95)*(Bank_Rates!$B$2:$B$100&lt;=C95)),Bank_Rates!$B$2:$B$100),Bank_Rates!$D$2:$D$100,_xlfn.AGGREGATE(14,6,Bank_Rates!$D$2:$D$100/((Bank_Rates!$A$2:$A$100=H95)*(Bank_Rates!$B$2:$B$100=LOOKUP(2,1/((Bank_Rates!$A$2:$A$100=H95)*(Bank_Rates!$B$2:$B$100&lt;=C95)),Bank_Rates!$B$2:$B$100))*(Bank_Rates!$D$2:$D$100&lt;=G95)),1)),"No Match")</f>
        <v>0</v>
      </c>
      <c r="K95" s="5" t="str">
        <f t="shared" si="7"/>
        <v/>
      </c>
      <c r="L95" s="2"/>
      <c r="M95" s="2"/>
      <c r="N95" s="2"/>
    </row>
    <row r="96" spans="1:14">
      <c r="A96" s="2" t="str">
        <f t="shared" si="4"/>
        <v/>
      </c>
      <c r="B96" s="2"/>
      <c r="C96" s="4"/>
      <c r="D96" s="7"/>
      <c r="E96" s="7"/>
      <c r="F96" s="4"/>
      <c r="G96" s="6" t="str">
        <f t="shared" si="5"/>
        <v/>
      </c>
      <c r="H96" s="2"/>
      <c r="I96" s="5" t="str">
        <f t="shared" si="6"/>
        <v/>
      </c>
      <c r="J96" s="3">
        <f>IFERROR(SUMIFS(Bank_Rates!$C$2:$C$100,Bank_Rates!$A$2:$A$100,H96,Bank_Rates!$B$2:$B$100,LOOKUP(2,1/((Bank_Rates!$A$2:$A$100=H96)*(Bank_Rates!$B$2:$B$100&lt;=C96)),Bank_Rates!$B$2:$B$100),Bank_Rates!$D$2:$D$100,_xlfn.AGGREGATE(14,6,Bank_Rates!$D$2:$D$100/((Bank_Rates!$A$2:$A$100=H96)*(Bank_Rates!$B$2:$B$100=LOOKUP(2,1/((Bank_Rates!$A$2:$A$100=H96)*(Bank_Rates!$B$2:$B$100&lt;=C96)),Bank_Rates!$B$2:$B$100))*(Bank_Rates!$D$2:$D$100&lt;=G96)),1)),"No Match")</f>
        <v>0</v>
      </c>
      <c r="K96" s="5" t="str">
        <f t="shared" si="7"/>
        <v/>
      </c>
      <c r="L96" s="2"/>
      <c r="M96" s="2"/>
      <c r="N96" s="2"/>
    </row>
    <row r="97" spans="1:14">
      <c r="A97" s="2" t="str">
        <f t="shared" si="4"/>
        <v/>
      </c>
      <c r="B97" s="2"/>
      <c r="C97" s="4"/>
      <c r="D97" s="7"/>
      <c r="E97" s="7"/>
      <c r="F97" s="4"/>
      <c r="G97" s="6" t="str">
        <f t="shared" si="5"/>
        <v/>
      </c>
      <c r="H97" s="2"/>
      <c r="I97" s="5" t="str">
        <f t="shared" si="6"/>
        <v/>
      </c>
      <c r="J97" s="3">
        <f>IFERROR(SUMIFS(Bank_Rates!$C$2:$C$100,Bank_Rates!$A$2:$A$100,H97,Bank_Rates!$B$2:$B$100,LOOKUP(2,1/((Bank_Rates!$A$2:$A$100=H97)*(Bank_Rates!$B$2:$B$100&lt;=C97)),Bank_Rates!$B$2:$B$100),Bank_Rates!$D$2:$D$100,_xlfn.AGGREGATE(14,6,Bank_Rates!$D$2:$D$100/((Bank_Rates!$A$2:$A$100=H97)*(Bank_Rates!$B$2:$B$100=LOOKUP(2,1/((Bank_Rates!$A$2:$A$100=H97)*(Bank_Rates!$B$2:$B$100&lt;=C97)),Bank_Rates!$B$2:$B$100))*(Bank_Rates!$D$2:$D$100&lt;=G97)),1)),"No Match")</f>
        <v>0</v>
      </c>
      <c r="K97" s="5" t="str">
        <f t="shared" si="7"/>
        <v/>
      </c>
      <c r="L97" s="2"/>
      <c r="M97" s="2"/>
      <c r="N97" s="2"/>
    </row>
    <row r="98" spans="1:14">
      <c r="A98" s="2" t="str">
        <f t="shared" si="4"/>
        <v/>
      </c>
      <c r="B98" s="2"/>
      <c r="C98" s="4"/>
      <c r="D98" s="7"/>
      <c r="E98" s="7"/>
      <c r="F98" s="4"/>
      <c r="G98" s="6" t="str">
        <f t="shared" si="5"/>
        <v/>
      </c>
      <c r="H98" s="2"/>
      <c r="I98" s="5" t="str">
        <f t="shared" si="6"/>
        <v/>
      </c>
      <c r="J98" s="3">
        <f>IFERROR(SUMIFS(Bank_Rates!$C$2:$C$100,Bank_Rates!$A$2:$A$100,H98,Bank_Rates!$B$2:$B$100,LOOKUP(2,1/((Bank_Rates!$A$2:$A$100=H98)*(Bank_Rates!$B$2:$B$100&lt;=C98)),Bank_Rates!$B$2:$B$100),Bank_Rates!$D$2:$D$100,_xlfn.AGGREGATE(14,6,Bank_Rates!$D$2:$D$100/((Bank_Rates!$A$2:$A$100=H98)*(Bank_Rates!$B$2:$B$100=LOOKUP(2,1/((Bank_Rates!$A$2:$A$100=H98)*(Bank_Rates!$B$2:$B$100&lt;=C98)),Bank_Rates!$B$2:$B$100))*(Bank_Rates!$D$2:$D$100&lt;=G98)),1)),"No Match")</f>
        <v>0</v>
      </c>
      <c r="K98" s="5" t="str">
        <f t="shared" si="7"/>
        <v/>
      </c>
      <c r="L98" s="2"/>
      <c r="M98" s="2"/>
      <c r="N98" s="2"/>
    </row>
    <row r="99" spans="1:14">
      <c r="A99" s="2" t="str">
        <f t="shared" si="4"/>
        <v/>
      </c>
      <c r="B99" s="2"/>
      <c r="C99" s="4"/>
      <c r="D99" s="7"/>
      <c r="E99" s="7"/>
      <c r="F99" s="4"/>
      <c r="G99" s="6" t="str">
        <f t="shared" si="5"/>
        <v/>
      </c>
      <c r="H99" s="2"/>
      <c r="I99" s="5" t="str">
        <f t="shared" si="6"/>
        <v/>
      </c>
      <c r="J99" s="3">
        <f>IFERROR(SUMIFS(Bank_Rates!$C$2:$C$100,Bank_Rates!$A$2:$A$100,H99,Bank_Rates!$B$2:$B$100,LOOKUP(2,1/((Bank_Rates!$A$2:$A$100=H99)*(Bank_Rates!$B$2:$B$100&lt;=C99)),Bank_Rates!$B$2:$B$100),Bank_Rates!$D$2:$D$100,_xlfn.AGGREGATE(14,6,Bank_Rates!$D$2:$D$100/((Bank_Rates!$A$2:$A$100=H99)*(Bank_Rates!$B$2:$B$100=LOOKUP(2,1/((Bank_Rates!$A$2:$A$100=H99)*(Bank_Rates!$B$2:$B$100&lt;=C99)),Bank_Rates!$B$2:$B$100))*(Bank_Rates!$D$2:$D$100&lt;=G99)),1)),"No Match")</f>
        <v>0</v>
      </c>
      <c r="K99" s="5" t="str">
        <f t="shared" si="7"/>
        <v/>
      </c>
      <c r="L99" s="2"/>
      <c r="M99" s="2"/>
      <c r="N99" s="2"/>
    </row>
    <row r="100" spans="1:14">
      <c r="A100" s="2" t="str">
        <f t="shared" si="4"/>
        <v/>
      </c>
      <c r="B100" s="2"/>
      <c r="C100" s="4"/>
      <c r="D100" s="7"/>
      <c r="E100" s="7"/>
      <c r="F100" s="4"/>
      <c r="G100" s="6" t="str">
        <f t="shared" si="5"/>
        <v/>
      </c>
      <c r="H100" s="2"/>
      <c r="I100" s="5" t="str">
        <f t="shared" si="6"/>
        <v/>
      </c>
      <c r="J100" s="3">
        <f>IFERROR(SUMIFS(Bank_Rates!$C$2:$C$100,Bank_Rates!$A$2:$A$100,H100,Bank_Rates!$B$2:$B$100,LOOKUP(2,1/((Bank_Rates!$A$2:$A$100=H100)*(Bank_Rates!$B$2:$B$100&lt;=C100)),Bank_Rates!$B$2:$B$100),Bank_Rates!$D$2:$D$100,_xlfn.AGGREGATE(14,6,Bank_Rates!$D$2:$D$100/((Bank_Rates!$A$2:$A$100=H100)*(Bank_Rates!$B$2:$B$100=LOOKUP(2,1/((Bank_Rates!$A$2:$A$100=H100)*(Bank_Rates!$B$2:$B$100&lt;=C100)),Bank_Rates!$B$2:$B$100))*(Bank_Rates!$D$2:$D$100&lt;=G100)),1)),"No Match")</f>
        <v>0</v>
      </c>
      <c r="K100" s="5" t="str">
        <f t="shared" si="7"/>
        <v/>
      </c>
      <c r="L100" s="2"/>
      <c r="M100" s="2"/>
      <c r="N100" s="2"/>
    </row>
    <row r="101" spans="1:14">
      <c r="A101" s="2" t="str">
        <f t="shared" si="4"/>
        <v/>
      </c>
      <c r="B101" s="2"/>
      <c r="C101" s="4"/>
      <c r="D101" s="7"/>
      <c r="E101" s="7"/>
      <c r="F101" s="4"/>
      <c r="G101" s="6" t="str">
        <f t="shared" si="5"/>
        <v/>
      </c>
      <c r="H101" s="2"/>
      <c r="I101" s="5" t="str">
        <f t="shared" si="6"/>
        <v/>
      </c>
      <c r="J101" s="3">
        <f>IFERROR(SUMIFS(Bank_Rates!$C$2:$C$100,Bank_Rates!$A$2:$A$100,H101,Bank_Rates!$B$2:$B$100,LOOKUP(2,1/((Bank_Rates!$A$2:$A$100=H101)*(Bank_Rates!$B$2:$B$100&lt;=C101)),Bank_Rates!$B$2:$B$100),Bank_Rates!$D$2:$D$100,_xlfn.AGGREGATE(14,6,Bank_Rates!$D$2:$D$100/((Bank_Rates!$A$2:$A$100=H101)*(Bank_Rates!$B$2:$B$100=LOOKUP(2,1/((Bank_Rates!$A$2:$A$100=H101)*(Bank_Rates!$B$2:$B$100&lt;=C101)),Bank_Rates!$B$2:$B$100))*(Bank_Rates!$D$2:$D$100&lt;=G101)),1)),"No Match")</f>
        <v>0</v>
      </c>
      <c r="K101" s="5" t="str">
        <f t="shared" si="7"/>
        <v/>
      </c>
      <c r="L101" s="2"/>
      <c r="M101" s="2"/>
      <c r="N101" s="2"/>
    </row>
    <row r="102" spans="1:14">
      <c r="A102" s="2" t="str">
        <f t="shared" si="4"/>
        <v/>
      </c>
      <c r="B102" s="2"/>
      <c r="C102" s="4"/>
      <c r="D102" s="7"/>
      <c r="E102" s="7"/>
      <c r="F102" s="4"/>
      <c r="G102" s="6" t="str">
        <f t="shared" si="5"/>
        <v/>
      </c>
      <c r="H102" s="2"/>
      <c r="I102" s="5" t="str">
        <f t="shared" si="6"/>
        <v/>
      </c>
      <c r="J102" s="3">
        <f>IFERROR(SUMIFS(Bank_Rates!$C$2:$C$100,Bank_Rates!$A$2:$A$100,H102,Bank_Rates!$B$2:$B$100,LOOKUP(2,1/((Bank_Rates!$A$2:$A$100=H102)*(Bank_Rates!$B$2:$B$100&lt;=C102)),Bank_Rates!$B$2:$B$100),Bank_Rates!$D$2:$D$100,_xlfn.AGGREGATE(14,6,Bank_Rates!$D$2:$D$100/((Bank_Rates!$A$2:$A$100=H102)*(Bank_Rates!$B$2:$B$100=LOOKUP(2,1/((Bank_Rates!$A$2:$A$100=H102)*(Bank_Rates!$B$2:$B$100&lt;=C102)),Bank_Rates!$B$2:$B$100))*(Bank_Rates!$D$2:$D$100&lt;=G102)),1)),"No Match")</f>
        <v>0</v>
      </c>
      <c r="K102" s="5" t="str">
        <f t="shared" si="7"/>
        <v/>
      </c>
      <c r="L102" s="2"/>
      <c r="M102" s="2"/>
      <c r="N102" s="2"/>
    </row>
    <row r="103" spans="1:14">
      <c r="A103" s="2" t="str">
        <f t="shared" si="4"/>
        <v/>
      </c>
      <c r="B103" s="2"/>
      <c r="C103" s="4"/>
      <c r="D103" s="7"/>
      <c r="E103" s="7"/>
      <c r="F103" s="4"/>
      <c r="G103" s="6" t="str">
        <f t="shared" si="5"/>
        <v/>
      </c>
      <c r="H103" s="2"/>
      <c r="I103" s="5" t="str">
        <f t="shared" si="6"/>
        <v/>
      </c>
      <c r="J103" s="3">
        <f>IFERROR(SUMIFS(Bank_Rates!$C$2:$C$100,Bank_Rates!$A$2:$A$100,H103,Bank_Rates!$B$2:$B$100,LOOKUP(2,1/((Bank_Rates!$A$2:$A$100=H103)*(Bank_Rates!$B$2:$B$100&lt;=C103)),Bank_Rates!$B$2:$B$100),Bank_Rates!$D$2:$D$100,_xlfn.AGGREGATE(14,6,Bank_Rates!$D$2:$D$100/((Bank_Rates!$A$2:$A$100=H103)*(Bank_Rates!$B$2:$B$100=LOOKUP(2,1/((Bank_Rates!$A$2:$A$100=H103)*(Bank_Rates!$B$2:$B$100&lt;=C103)),Bank_Rates!$B$2:$B$100))*(Bank_Rates!$D$2:$D$100&lt;=G103)),1)),"No Match")</f>
        <v>0</v>
      </c>
      <c r="K103" s="5" t="str">
        <f t="shared" si="7"/>
        <v/>
      </c>
      <c r="L103" s="2"/>
      <c r="M103" s="2"/>
      <c r="N103" s="2"/>
    </row>
    <row r="104" spans="1:14">
      <c r="A104" s="2" t="str">
        <f t="shared" si="4"/>
        <v/>
      </c>
      <c r="B104" s="2"/>
      <c r="C104" s="4"/>
      <c r="D104" s="7"/>
      <c r="E104" s="7"/>
      <c r="F104" s="4"/>
      <c r="G104" s="6" t="str">
        <f t="shared" si="5"/>
        <v/>
      </c>
      <c r="H104" s="2"/>
      <c r="I104" s="5" t="str">
        <f t="shared" si="6"/>
        <v/>
      </c>
      <c r="J104" s="3">
        <f>IFERROR(SUMIFS(Bank_Rates!$C$2:$C$100,Bank_Rates!$A$2:$A$100,H104,Bank_Rates!$B$2:$B$100,LOOKUP(2,1/((Bank_Rates!$A$2:$A$100=H104)*(Bank_Rates!$B$2:$B$100&lt;=C104)),Bank_Rates!$B$2:$B$100),Bank_Rates!$D$2:$D$100,_xlfn.AGGREGATE(14,6,Bank_Rates!$D$2:$D$100/((Bank_Rates!$A$2:$A$100=H104)*(Bank_Rates!$B$2:$B$100=LOOKUP(2,1/((Bank_Rates!$A$2:$A$100=H104)*(Bank_Rates!$B$2:$B$100&lt;=C104)),Bank_Rates!$B$2:$B$100))*(Bank_Rates!$D$2:$D$100&lt;=G104)),1)),"No Match")</f>
        <v>0</v>
      </c>
      <c r="K104" s="5" t="str">
        <f t="shared" si="7"/>
        <v/>
      </c>
      <c r="L104" s="2"/>
      <c r="M104" s="2"/>
      <c r="N104" s="2"/>
    </row>
    <row r="105" spans="1:14">
      <c r="A105" s="2" t="str">
        <f t="shared" si="4"/>
        <v/>
      </c>
      <c r="B105" s="2"/>
      <c r="C105" s="4"/>
      <c r="D105" s="7"/>
      <c r="E105" s="7"/>
      <c r="F105" s="4"/>
      <c r="G105" s="6" t="str">
        <f t="shared" si="5"/>
        <v/>
      </c>
      <c r="H105" s="2"/>
      <c r="I105" s="5" t="str">
        <f t="shared" si="6"/>
        <v/>
      </c>
      <c r="J105" s="3">
        <f>IFERROR(SUMIFS(Bank_Rates!$C$2:$C$100,Bank_Rates!$A$2:$A$100,H105,Bank_Rates!$B$2:$B$100,LOOKUP(2,1/((Bank_Rates!$A$2:$A$100=H105)*(Bank_Rates!$B$2:$B$100&lt;=C105)),Bank_Rates!$B$2:$B$100),Bank_Rates!$D$2:$D$100,_xlfn.AGGREGATE(14,6,Bank_Rates!$D$2:$D$100/((Bank_Rates!$A$2:$A$100=H105)*(Bank_Rates!$B$2:$B$100=LOOKUP(2,1/((Bank_Rates!$A$2:$A$100=H105)*(Bank_Rates!$B$2:$B$100&lt;=C105)),Bank_Rates!$B$2:$B$100))*(Bank_Rates!$D$2:$D$100&lt;=G105)),1)),"No Match")</f>
        <v>0</v>
      </c>
      <c r="K105" s="5" t="str">
        <f t="shared" si="7"/>
        <v/>
      </c>
      <c r="L105" s="2"/>
      <c r="M105" s="2"/>
      <c r="N105" s="2"/>
    </row>
    <row r="106" spans="1:14">
      <c r="A106" s="2" t="str">
        <f t="shared" si="4"/>
        <v/>
      </c>
      <c r="B106" s="2"/>
      <c r="C106" s="4"/>
      <c r="D106" s="7"/>
      <c r="E106" s="7"/>
      <c r="F106" s="4"/>
      <c r="G106" s="6" t="str">
        <f t="shared" si="5"/>
        <v/>
      </c>
      <c r="H106" s="2"/>
      <c r="I106" s="5" t="str">
        <f t="shared" si="6"/>
        <v/>
      </c>
      <c r="J106" s="3">
        <f>IFERROR(SUMIFS(Bank_Rates!$C$2:$C$100,Bank_Rates!$A$2:$A$100,H106,Bank_Rates!$B$2:$B$100,LOOKUP(2,1/((Bank_Rates!$A$2:$A$100=H106)*(Bank_Rates!$B$2:$B$100&lt;=C106)),Bank_Rates!$B$2:$B$100),Bank_Rates!$D$2:$D$100,_xlfn.AGGREGATE(14,6,Bank_Rates!$D$2:$D$100/((Bank_Rates!$A$2:$A$100=H106)*(Bank_Rates!$B$2:$B$100=LOOKUP(2,1/((Bank_Rates!$A$2:$A$100=H106)*(Bank_Rates!$B$2:$B$100&lt;=C106)),Bank_Rates!$B$2:$B$100))*(Bank_Rates!$D$2:$D$100&lt;=G106)),1)),"No Match")</f>
        <v>0</v>
      </c>
      <c r="K106" s="5" t="str">
        <f t="shared" si="7"/>
        <v/>
      </c>
      <c r="L106" s="2"/>
      <c r="M106" s="2"/>
      <c r="N106" s="2"/>
    </row>
    <row r="107" spans="1:14">
      <c r="A107" s="2" t="str">
        <f t="shared" si="4"/>
        <v/>
      </c>
      <c r="B107" s="2"/>
      <c r="C107" s="4"/>
      <c r="D107" s="7"/>
      <c r="E107" s="7"/>
      <c r="F107" s="4"/>
      <c r="G107" s="6" t="str">
        <f t="shared" si="5"/>
        <v/>
      </c>
      <c r="H107" s="2"/>
      <c r="I107" s="5" t="str">
        <f t="shared" si="6"/>
        <v/>
      </c>
      <c r="J107" s="3">
        <f>IFERROR(SUMIFS(Bank_Rates!$C$2:$C$100,Bank_Rates!$A$2:$A$100,H107,Bank_Rates!$B$2:$B$100,LOOKUP(2,1/((Bank_Rates!$A$2:$A$100=H107)*(Bank_Rates!$B$2:$B$100&lt;=C107)),Bank_Rates!$B$2:$B$100),Bank_Rates!$D$2:$D$100,_xlfn.AGGREGATE(14,6,Bank_Rates!$D$2:$D$100/((Bank_Rates!$A$2:$A$100=H107)*(Bank_Rates!$B$2:$B$100=LOOKUP(2,1/((Bank_Rates!$A$2:$A$100=H107)*(Bank_Rates!$B$2:$B$100&lt;=C107)),Bank_Rates!$B$2:$B$100))*(Bank_Rates!$D$2:$D$100&lt;=G107)),1)),"No Match")</f>
        <v>0</v>
      </c>
      <c r="K107" s="5" t="str">
        <f t="shared" si="7"/>
        <v/>
      </c>
      <c r="L107" s="2"/>
      <c r="M107" s="2"/>
      <c r="N107" s="2"/>
    </row>
    <row r="108" spans="1:14">
      <c r="A108" s="2" t="str">
        <f t="shared" si="4"/>
        <v/>
      </c>
      <c r="B108" s="2"/>
      <c r="C108" s="4"/>
      <c r="D108" s="7"/>
      <c r="E108" s="7"/>
      <c r="F108" s="4"/>
      <c r="G108" s="6" t="str">
        <f t="shared" si="5"/>
        <v/>
      </c>
      <c r="H108" s="2"/>
      <c r="I108" s="5" t="str">
        <f t="shared" si="6"/>
        <v/>
      </c>
      <c r="J108" s="3">
        <f>IFERROR(SUMIFS(Bank_Rates!$C$2:$C$100,Bank_Rates!$A$2:$A$100,H108,Bank_Rates!$B$2:$B$100,LOOKUP(2,1/((Bank_Rates!$A$2:$A$100=H108)*(Bank_Rates!$B$2:$B$100&lt;=C108)),Bank_Rates!$B$2:$B$100),Bank_Rates!$D$2:$D$100,_xlfn.AGGREGATE(14,6,Bank_Rates!$D$2:$D$100/((Bank_Rates!$A$2:$A$100=H108)*(Bank_Rates!$B$2:$B$100=LOOKUP(2,1/((Bank_Rates!$A$2:$A$100=H108)*(Bank_Rates!$B$2:$B$100&lt;=C108)),Bank_Rates!$B$2:$B$100))*(Bank_Rates!$D$2:$D$100&lt;=G108)),1)),"No Match")</f>
        <v>0</v>
      </c>
      <c r="K108" s="5" t="str">
        <f t="shared" si="7"/>
        <v/>
      </c>
      <c r="L108" s="2"/>
      <c r="M108" s="2"/>
      <c r="N108" s="2"/>
    </row>
    <row r="109" spans="1:14">
      <c r="A109" s="2" t="str">
        <f t="shared" si="4"/>
        <v/>
      </c>
      <c r="B109" s="2"/>
      <c r="C109" s="4"/>
      <c r="D109" s="7"/>
      <c r="E109" s="7"/>
      <c r="F109" s="4"/>
      <c r="G109" s="6" t="str">
        <f t="shared" si="5"/>
        <v/>
      </c>
      <c r="H109" s="2"/>
      <c r="I109" s="5" t="str">
        <f t="shared" si="6"/>
        <v/>
      </c>
      <c r="J109" s="3">
        <f>IFERROR(SUMIFS(Bank_Rates!$C$2:$C$100,Bank_Rates!$A$2:$A$100,H109,Bank_Rates!$B$2:$B$100,LOOKUP(2,1/((Bank_Rates!$A$2:$A$100=H109)*(Bank_Rates!$B$2:$B$100&lt;=C109)),Bank_Rates!$B$2:$B$100),Bank_Rates!$D$2:$D$100,_xlfn.AGGREGATE(14,6,Bank_Rates!$D$2:$D$100/((Bank_Rates!$A$2:$A$100=H109)*(Bank_Rates!$B$2:$B$100=LOOKUP(2,1/((Bank_Rates!$A$2:$A$100=H109)*(Bank_Rates!$B$2:$B$100&lt;=C109)),Bank_Rates!$B$2:$B$100))*(Bank_Rates!$D$2:$D$100&lt;=G109)),1)),"No Match")</f>
        <v>0</v>
      </c>
      <c r="K109" s="5" t="str">
        <f t="shared" si="7"/>
        <v/>
      </c>
      <c r="L109" s="2"/>
      <c r="M109" s="2"/>
      <c r="N109" s="2"/>
    </row>
    <row r="110" spans="1:14">
      <c r="A110" s="2" t="str">
        <f t="shared" si="4"/>
        <v/>
      </c>
      <c r="B110" s="2"/>
      <c r="C110" s="4"/>
      <c r="D110" s="7"/>
      <c r="E110" s="7"/>
      <c r="F110" s="4"/>
      <c r="G110" s="6" t="str">
        <f t="shared" si="5"/>
        <v/>
      </c>
      <c r="H110" s="2"/>
      <c r="I110" s="5" t="str">
        <f t="shared" si="6"/>
        <v/>
      </c>
      <c r="J110" s="3">
        <f>IFERROR(SUMIFS(Bank_Rates!$C$2:$C$100,Bank_Rates!$A$2:$A$100,H110,Bank_Rates!$B$2:$B$100,LOOKUP(2,1/((Bank_Rates!$A$2:$A$100=H110)*(Bank_Rates!$B$2:$B$100&lt;=C110)),Bank_Rates!$B$2:$B$100),Bank_Rates!$D$2:$D$100,_xlfn.AGGREGATE(14,6,Bank_Rates!$D$2:$D$100/((Bank_Rates!$A$2:$A$100=H110)*(Bank_Rates!$B$2:$B$100=LOOKUP(2,1/((Bank_Rates!$A$2:$A$100=H110)*(Bank_Rates!$B$2:$B$100&lt;=C110)),Bank_Rates!$B$2:$B$100))*(Bank_Rates!$D$2:$D$100&lt;=G110)),1)),"No Match")</f>
        <v>0</v>
      </c>
      <c r="K110" s="5" t="str">
        <f t="shared" si="7"/>
        <v/>
      </c>
      <c r="L110" s="2"/>
      <c r="M110" s="2"/>
      <c r="N110" s="2"/>
    </row>
    <row r="111" spans="1:14">
      <c r="A111" s="2" t="str">
        <f t="shared" si="4"/>
        <v/>
      </c>
      <c r="B111" s="2"/>
      <c r="C111" s="4"/>
      <c r="D111" s="7"/>
      <c r="E111" s="7"/>
      <c r="F111" s="4"/>
      <c r="G111" s="6" t="str">
        <f t="shared" si="5"/>
        <v/>
      </c>
      <c r="H111" s="2"/>
      <c r="I111" s="5" t="str">
        <f t="shared" si="6"/>
        <v/>
      </c>
      <c r="J111" s="3">
        <f>IFERROR(SUMIFS(Bank_Rates!$C$2:$C$100,Bank_Rates!$A$2:$A$100,H111,Bank_Rates!$B$2:$B$100,LOOKUP(2,1/((Bank_Rates!$A$2:$A$100=H111)*(Bank_Rates!$B$2:$B$100&lt;=C111)),Bank_Rates!$B$2:$B$100),Bank_Rates!$D$2:$D$100,_xlfn.AGGREGATE(14,6,Bank_Rates!$D$2:$D$100/((Bank_Rates!$A$2:$A$100=H111)*(Bank_Rates!$B$2:$B$100=LOOKUP(2,1/((Bank_Rates!$A$2:$A$100=H111)*(Bank_Rates!$B$2:$B$100&lt;=C111)),Bank_Rates!$B$2:$B$100))*(Bank_Rates!$D$2:$D$100&lt;=G111)),1)),"No Match")</f>
        <v>0</v>
      </c>
      <c r="K111" s="5" t="str">
        <f t="shared" si="7"/>
        <v/>
      </c>
      <c r="L111" s="2"/>
      <c r="M111" s="2"/>
      <c r="N111" s="2"/>
    </row>
    <row r="112" spans="1:14">
      <c r="A112" s="2" t="str">
        <f t="shared" si="4"/>
        <v/>
      </c>
      <c r="B112" s="2"/>
      <c r="C112" s="4"/>
      <c r="D112" s="7"/>
      <c r="E112" s="7"/>
      <c r="F112" s="4"/>
      <c r="G112" s="6" t="str">
        <f t="shared" si="5"/>
        <v/>
      </c>
      <c r="H112" s="2"/>
      <c r="I112" s="5" t="str">
        <f t="shared" si="6"/>
        <v/>
      </c>
      <c r="J112" s="3">
        <f>IFERROR(SUMIFS(Bank_Rates!$C$2:$C$100,Bank_Rates!$A$2:$A$100,H112,Bank_Rates!$B$2:$B$100,LOOKUP(2,1/((Bank_Rates!$A$2:$A$100=H112)*(Bank_Rates!$B$2:$B$100&lt;=C112)),Bank_Rates!$B$2:$B$100),Bank_Rates!$D$2:$D$100,_xlfn.AGGREGATE(14,6,Bank_Rates!$D$2:$D$100/((Bank_Rates!$A$2:$A$100=H112)*(Bank_Rates!$B$2:$B$100=LOOKUP(2,1/((Bank_Rates!$A$2:$A$100=H112)*(Bank_Rates!$B$2:$B$100&lt;=C112)),Bank_Rates!$B$2:$B$100))*(Bank_Rates!$D$2:$D$100&lt;=G112)),1)),"No Match")</f>
        <v>0</v>
      </c>
      <c r="K112" s="5" t="str">
        <f t="shared" si="7"/>
        <v/>
      </c>
      <c r="L112" s="2"/>
      <c r="M112" s="2"/>
      <c r="N112" s="2"/>
    </row>
    <row r="113" spans="1:14">
      <c r="A113" s="2" t="str">
        <f t="shared" si="4"/>
        <v/>
      </c>
      <c r="B113" s="2"/>
      <c r="C113" s="4"/>
      <c r="D113" s="7"/>
      <c r="E113" s="7"/>
      <c r="F113" s="4"/>
      <c r="G113" s="6" t="str">
        <f t="shared" si="5"/>
        <v/>
      </c>
      <c r="H113" s="2"/>
      <c r="I113" s="5" t="str">
        <f t="shared" si="6"/>
        <v/>
      </c>
      <c r="J113" s="3">
        <f>IFERROR(SUMIFS(Bank_Rates!$C$2:$C$100,Bank_Rates!$A$2:$A$100,H113,Bank_Rates!$B$2:$B$100,LOOKUP(2,1/((Bank_Rates!$A$2:$A$100=H113)*(Bank_Rates!$B$2:$B$100&lt;=C113)),Bank_Rates!$B$2:$B$100),Bank_Rates!$D$2:$D$100,_xlfn.AGGREGATE(14,6,Bank_Rates!$D$2:$D$100/((Bank_Rates!$A$2:$A$100=H113)*(Bank_Rates!$B$2:$B$100=LOOKUP(2,1/((Bank_Rates!$A$2:$A$100=H113)*(Bank_Rates!$B$2:$B$100&lt;=C113)),Bank_Rates!$B$2:$B$100))*(Bank_Rates!$D$2:$D$100&lt;=G113)),1)),"No Match")</f>
        <v>0</v>
      </c>
      <c r="K113" s="5" t="str">
        <f t="shared" si="7"/>
        <v/>
      </c>
      <c r="L113" s="2"/>
      <c r="M113" s="2"/>
      <c r="N113" s="2"/>
    </row>
    <row r="114" spans="1:14">
      <c r="A114" s="2" t="str">
        <f t="shared" si="4"/>
        <v/>
      </c>
      <c r="B114" s="2"/>
      <c r="C114" s="4"/>
      <c r="D114" s="7"/>
      <c r="E114" s="7"/>
      <c r="F114" s="4"/>
      <c r="G114" s="6" t="str">
        <f t="shared" si="5"/>
        <v/>
      </c>
      <c r="H114" s="2"/>
      <c r="I114" s="5" t="str">
        <f t="shared" si="6"/>
        <v/>
      </c>
      <c r="J114" s="3">
        <f>IFERROR(SUMIFS(Bank_Rates!$C$2:$C$100,Bank_Rates!$A$2:$A$100,H114,Bank_Rates!$B$2:$B$100,LOOKUP(2,1/((Bank_Rates!$A$2:$A$100=H114)*(Bank_Rates!$B$2:$B$100&lt;=C114)),Bank_Rates!$B$2:$B$100),Bank_Rates!$D$2:$D$100,_xlfn.AGGREGATE(14,6,Bank_Rates!$D$2:$D$100/((Bank_Rates!$A$2:$A$100=H114)*(Bank_Rates!$B$2:$B$100=LOOKUP(2,1/((Bank_Rates!$A$2:$A$100=H114)*(Bank_Rates!$B$2:$B$100&lt;=C114)),Bank_Rates!$B$2:$B$100))*(Bank_Rates!$D$2:$D$100&lt;=G114)),1)),"No Match")</f>
        <v>0</v>
      </c>
      <c r="K114" s="5" t="str">
        <f t="shared" si="7"/>
        <v/>
      </c>
      <c r="L114" s="2"/>
      <c r="M114" s="2"/>
      <c r="N114" s="2"/>
    </row>
    <row r="115" spans="1:14">
      <c r="A115" s="2" t="str">
        <f t="shared" si="4"/>
        <v/>
      </c>
      <c r="B115" s="2"/>
      <c r="C115" s="4"/>
      <c r="D115" s="7"/>
      <c r="E115" s="7"/>
      <c r="F115" s="4"/>
      <c r="G115" s="6" t="str">
        <f t="shared" si="5"/>
        <v/>
      </c>
      <c r="H115" s="2"/>
      <c r="I115" s="5" t="str">
        <f t="shared" si="6"/>
        <v/>
      </c>
      <c r="J115" s="3">
        <f>IFERROR(SUMIFS(Bank_Rates!$C$2:$C$100,Bank_Rates!$A$2:$A$100,H115,Bank_Rates!$B$2:$B$100,LOOKUP(2,1/((Bank_Rates!$A$2:$A$100=H115)*(Bank_Rates!$B$2:$B$100&lt;=C115)),Bank_Rates!$B$2:$B$100),Bank_Rates!$D$2:$D$100,_xlfn.AGGREGATE(14,6,Bank_Rates!$D$2:$D$100/((Bank_Rates!$A$2:$A$100=H115)*(Bank_Rates!$B$2:$B$100=LOOKUP(2,1/((Bank_Rates!$A$2:$A$100=H115)*(Bank_Rates!$B$2:$B$100&lt;=C115)),Bank_Rates!$B$2:$B$100))*(Bank_Rates!$D$2:$D$100&lt;=G115)),1)),"No Match")</f>
        <v>0</v>
      </c>
      <c r="K115" s="5" t="str">
        <f t="shared" si="7"/>
        <v/>
      </c>
      <c r="L115" s="2"/>
      <c r="M115" s="2"/>
      <c r="N115" s="2"/>
    </row>
    <row r="116" spans="1:14">
      <c r="A116" s="2" t="str">
        <f t="shared" si="4"/>
        <v/>
      </c>
      <c r="B116" s="2"/>
      <c r="C116" s="4"/>
      <c r="D116" s="7"/>
      <c r="E116" s="7"/>
      <c r="F116" s="4"/>
      <c r="G116" s="6" t="str">
        <f t="shared" si="5"/>
        <v/>
      </c>
      <c r="H116" s="2"/>
      <c r="I116" s="5" t="str">
        <f t="shared" si="6"/>
        <v/>
      </c>
      <c r="J116" s="3">
        <f>IFERROR(SUMIFS(Bank_Rates!$C$2:$C$100,Bank_Rates!$A$2:$A$100,H116,Bank_Rates!$B$2:$B$100,LOOKUP(2,1/((Bank_Rates!$A$2:$A$100=H116)*(Bank_Rates!$B$2:$B$100&lt;=C116)),Bank_Rates!$B$2:$B$100),Bank_Rates!$D$2:$D$100,_xlfn.AGGREGATE(14,6,Bank_Rates!$D$2:$D$100/((Bank_Rates!$A$2:$A$100=H116)*(Bank_Rates!$B$2:$B$100=LOOKUP(2,1/((Bank_Rates!$A$2:$A$100=H116)*(Bank_Rates!$B$2:$B$100&lt;=C116)),Bank_Rates!$B$2:$B$100))*(Bank_Rates!$D$2:$D$100&lt;=G116)),1)),"No Match")</f>
        <v>0</v>
      </c>
      <c r="K116" s="5" t="str">
        <f t="shared" si="7"/>
        <v/>
      </c>
      <c r="L116" s="2"/>
      <c r="M116" s="2"/>
      <c r="N116" s="2"/>
    </row>
    <row r="117" spans="1:14">
      <c r="A117" s="2" t="str">
        <f t="shared" si="4"/>
        <v/>
      </c>
      <c r="B117" s="2"/>
      <c r="C117" s="4"/>
      <c r="D117" s="7"/>
      <c r="E117" s="7"/>
      <c r="F117" s="4"/>
      <c r="G117" s="6" t="str">
        <f t="shared" si="5"/>
        <v/>
      </c>
      <c r="H117" s="2"/>
      <c r="I117" s="5" t="str">
        <f t="shared" si="6"/>
        <v/>
      </c>
      <c r="J117" s="3">
        <f>IFERROR(SUMIFS(Bank_Rates!$C$2:$C$100,Bank_Rates!$A$2:$A$100,H117,Bank_Rates!$B$2:$B$100,LOOKUP(2,1/((Bank_Rates!$A$2:$A$100=H117)*(Bank_Rates!$B$2:$B$100&lt;=C117)),Bank_Rates!$B$2:$B$100),Bank_Rates!$D$2:$D$100,_xlfn.AGGREGATE(14,6,Bank_Rates!$D$2:$D$100/((Bank_Rates!$A$2:$A$100=H117)*(Bank_Rates!$B$2:$B$100=LOOKUP(2,1/((Bank_Rates!$A$2:$A$100=H117)*(Bank_Rates!$B$2:$B$100&lt;=C117)),Bank_Rates!$B$2:$B$100))*(Bank_Rates!$D$2:$D$100&lt;=G117)),1)),"No Match")</f>
        <v>0</v>
      </c>
      <c r="K117" s="5" t="str">
        <f t="shared" si="7"/>
        <v/>
      </c>
      <c r="L117" s="2"/>
      <c r="M117" s="2"/>
      <c r="N117" s="2"/>
    </row>
    <row r="118" spans="1:14">
      <c r="A118" s="2" t="str">
        <f t="shared" si="4"/>
        <v/>
      </c>
      <c r="B118" s="2"/>
      <c r="C118" s="4"/>
      <c r="D118" s="7"/>
      <c r="E118" s="7"/>
      <c r="F118" s="4"/>
      <c r="G118" s="6" t="str">
        <f t="shared" si="5"/>
        <v/>
      </c>
      <c r="H118" s="2"/>
      <c r="I118" s="5" t="str">
        <f t="shared" si="6"/>
        <v/>
      </c>
      <c r="J118" s="3">
        <f>IFERROR(SUMIFS(Bank_Rates!$C$2:$C$100,Bank_Rates!$A$2:$A$100,H118,Bank_Rates!$B$2:$B$100,LOOKUP(2,1/((Bank_Rates!$A$2:$A$100=H118)*(Bank_Rates!$B$2:$B$100&lt;=C118)),Bank_Rates!$B$2:$B$100),Bank_Rates!$D$2:$D$100,_xlfn.AGGREGATE(14,6,Bank_Rates!$D$2:$D$100/((Bank_Rates!$A$2:$A$100=H118)*(Bank_Rates!$B$2:$B$100=LOOKUP(2,1/((Bank_Rates!$A$2:$A$100=H118)*(Bank_Rates!$B$2:$B$100&lt;=C118)),Bank_Rates!$B$2:$B$100))*(Bank_Rates!$D$2:$D$100&lt;=G118)),1)),"No Match")</f>
        <v>0</v>
      </c>
      <c r="K118" s="5" t="str">
        <f t="shared" si="7"/>
        <v/>
      </c>
      <c r="L118" s="2"/>
      <c r="M118" s="2"/>
      <c r="N118" s="2"/>
    </row>
    <row r="119" spans="1:14">
      <c r="A119" s="2" t="str">
        <f t="shared" si="4"/>
        <v/>
      </c>
      <c r="B119" s="2"/>
      <c r="C119" s="4"/>
      <c r="D119" s="7"/>
      <c r="E119" s="7"/>
      <c r="F119" s="4"/>
      <c r="G119" s="6" t="str">
        <f t="shared" si="5"/>
        <v/>
      </c>
      <c r="H119" s="2"/>
      <c r="I119" s="5" t="str">
        <f t="shared" si="6"/>
        <v/>
      </c>
      <c r="J119" s="3">
        <f>IFERROR(SUMIFS(Bank_Rates!$C$2:$C$100,Bank_Rates!$A$2:$A$100,H119,Bank_Rates!$B$2:$B$100,LOOKUP(2,1/((Bank_Rates!$A$2:$A$100=H119)*(Bank_Rates!$B$2:$B$100&lt;=C119)),Bank_Rates!$B$2:$B$100),Bank_Rates!$D$2:$D$100,_xlfn.AGGREGATE(14,6,Bank_Rates!$D$2:$D$100/((Bank_Rates!$A$2:$A$100=H119)*(Bank_Rates!$B$2:$B$100=LOOKUP(2,1/((Bank_Rates!$A$2:$A$100=H119)*(Bank_Rates!$B$2:$B$100&lt;=C119)),Bank_Rates!$B$2:$B$100))*(Bank_Rates!$D$2:$D$100&lt;=G119)),1)),"No Match")</f>
        <v>0</v>
      </c>
      <c r="K119" s="5" t="str">
        <f t="shared" si="7"/>
        <v/>
      </c>
      <c r="L119" s="2"/>
      <c r="M119" s="2"/>
      <c r="N119" s="2"/>
    </row>
    <row r="120" spans="1:14">
      <c r="A120" s="2" t="str">
        <f t="shared" si="4"/>
        <v/>
      </c>
      <c r="B120" s="2"/>
      <c r="C120" s="4"/>
      <c r="D120" s="7"/>
      <c r="E120" s="7"/>
      <c r="F120" s="4"/>
      <c r="G120" s="6" t="str">
        <f t="shared" si="5"/>
        <v/>
      </c>
      <c r="H120" s="2"/>
      <c r="I120" s="5" t="str">
        <f t="shared" si="6"/>
        <v/>
      </c>
      <c r="J120" s="3">
        <f>IFERROR(SUMIFS(Bank_Rates!$C$2:$C$100,Bank_Rates!$A$2:$A$100,H120,Bank_Rates!$B$2:$B$100,LOOKUP(2,1/((Bank_Rates!$A$2:$A$100=H120)*(Bank_Rates!$B$2:$B$100&lt;=C120)),Bank_Rates!$B$2:$B$100),Bank_Rates!$D$2:$D$100,_xlfn.AGGREGATE(14,6,Bank_Rates!$D$2:$D$100/((Bank_Rates!$A$2:$A$100=H120)*(Bank_Rates!$B$2:$B$100=LOOKUP(2,1/((Bank_Rates!$A$2:$A$100=H120)*(Bank_Rates!$B$2:$B$100&lt;=C120)),Bank_Rates!$B$2:$B$100))*(Bank_Rates!$D$2:$D$100&lt;=G120)),1)),"No Match")</f>
        <v>0</v>
      </c>
      <c r="K120" s="5" t="str">
        <f t="shared" si="7"/>
        <v/>
      </c>
      <c r="L120" s="2"/>
      <c r="M120" s="2"/>
      <c r="N120" s="2"/>
    </row>
    <row r="121" spans="1:14">
      <c r="A121" s="2" t="str">
        <f t="shared" si="4"/>
        <v/>
      </c>
      <c r="B121" s="2"/>
      <c r="C121" s="4"/>
      <c r="D121" s="7"/>
      <c r="E121" s="7"/>
      <c r="F121" s="4"/>
      <c r="G121" s="6" t="str">
        <f t="shared" si="5"/>
        <v/>
      </c>
      <c r="H121" s="2"/>
      <c r="I121" s="5" t="str">
        <f t="shared" si="6"/>
        <v/>
      </c>
      <c r="J121" s="3">
        <f>IFERROR(SUMIFS(Bank_Rates!$C$2:$C$100,Bank_Rates!$A$2:$A$100,H121,Bank_Rates!$B$2:$B$100,LOOKUP(2,1/((Bank_Rates!$A$2:$A$100=H121)*(Bank_Rates!$B$2:$B$100&lt;=C121)),Bank_Rates!$B$2:$B$100),Bank_Rates!$D$2:$D$100,_xlfn.AGGREGATE(14,6,Bank_Rates!$D$2:$D$100/((Bank_Rates!$A$2:$A$100=H121)*(Bank_Rates!$B$2:$B$100=LOOKUP(2,1/((Bank_Rates!$A$2:$A$100=H121)*(Bank_Rates!$B$2:$B$100&lt;=C121)),Bank_Rates!$B$2:$B$100))*(Bank_Rates!$D$2:$D$100&lt;=G121)),1)),"No Match")</f>
        <v>0</v>
      </c>
      <c r="K121" s="5" t="str">
        <f t="shared" si="7"/>
        <v/>
      </c>
      <c r="L121" s="2"/>
      <c r="M121" s="2"/>
      <c r="N121" s="2"/>
    </row>
    <row r="122" spans="1:14">
      <c r="A122" s="2" t="str">
        <f t="shared" si="4"/>
        <v/>
      </c>
      <c r="B122" s="2"/>
      <c r="C122" s="4"/>
      <c r="D122" s="7"/>
      <c r="E122" s="7"/>
      <c r="F122" s="4"/>
      <c r="G122" s="6" t="str">
        <f t="shared" si="5"/>
        <v/>
      </c>
      <c r="H122" s="2"/>
      <c r="I122" s="5" t="str">
        <f t="shared" si="6"/>
        <v/>
      </c>
      <c r="J122" s="3">
        <f>IFERROR(SUMIFS(Bank_Rates!$C$2:$C$100,Bank_Rates!$A$2:$A$100,H122,Bank_Rates!$B$2:$B$100,LOOKUP(2,1/((Bank_Rates!$A$2:$A$100=H122)*(Bank_Rates!$B$2:$B$100&lt;=C122)),Bank_Rates!$B$2:$B$100),Bank_Rates!$D$2:$D$100,_xlfn.AGGREGATE(14,6,Bank_Rates!$D$2:$D$100/((Bank_Rates!$A$2:$A$100=H122)*(Bank_Rates!$B$2:$B$100=LOOKUP(2,1/((Bank_Rates!$A$2:$A$100=H122)*(Bank_Rates!$B$2:$B$100&lt;=C122)),Bank_Rates!$B$2:$B$100))*(Bank_Rates!$D$2:$D$100&lt;=G122)),1)),"No Match")</f>
        <v>0</v>
      </c>
      <c r="K122" s="5" t="str">
        <f t="shared" si="7"/>
        <v/>
      </c>
      <c r="L122" s="2"/>
      <c r="M122" s="2"/>
      <c r="N122" s="2"/>
    </row>
    <row r="123" spans="1:14">
      <c r="A123" s="2" t="str">
        <f t="shared" si="4"/>
        <v/>
      </c>
      <c r="B123" s="2"/>
      <c r="C123" s="4"/>
      <c r="D123" s="7"/>
      <c r="E123" s="7"/>
      <c r="F123" s="4"/>
      <c r="G123" s="6" t="str">
        <f t="shared" si="5"/>
        <v/>
      </c>
      <c r="H123" s="2"/>
      <c r="I123" s="5" t="str">
        <f t="shared" si="6"/>
        <v/>
      </c>
      <c r="J123" s="3">
        <f>IFERROR(SUMIFS(Bank_Rates!$C$2:$C$100,Bank_Rates!$A$2:$A$100,H123,Bank_Rates!$B$2:$B$100,LOOKUP(2,1/((Bank_Rates!$A$2:$A$100=H123)*(Bank_Rates!$B$2:$B$100&lt;=C123)),Bank_Rates!$B$2:$B$100),Bank_Rates!$D$2:$D$100,_xlfn.AGGREGATE(14,6,Bank_Rates!$D$2:$D$100/((Bank_Rates!$A$2:$A$100=H123)*(Bank_Rates!$B$2:$B$100=LOOKUP(2,1/((Bank_Rates!$A$2:$A$100=H123)*(Bank_Rates!$B$2:$B$100&lt;=C123)),Bank_Rates!$B$2:$B$100))*(Bank_Rates!$D$2:$D$100&lt;=G123)),1)),"No Match")</f>
        <v>0</v>
      </c>
      <c r="K123" s="5" t="str">
        <f t="shared" si="7"/>
        <v/>
      </c>
      <c r="L123" s="2"/>
      <c r="M123" s="2"/>
      <c r="N123" s="2"/>
    </row>
    <row r="124" spans="1:14">
      <c r="A124" s="2" t="str">
        <f t="shared" si="4"/>
        <v/>
      </c>
      <c r="B124" s="2"/>
      <c r="C124" s="4"/>
      <c r="D124" s="7"/>
      <c r="E124" s="7"/>
      <c r="F124" s="4"/>
      <c r="G124" s="6" t="str">
        <f t="shared" si="5"/>
        <v/>
      </c>
      <c r="H124" s="2"/>
      <c r="I124" s="5" t="str">
        <f t="shared" si="6"/>
        <v/>
      </c>
      <c r="J124" s="3">
        <f>IFERROR(SUMIFS(Bank_Rates!$C$2:$C$100,Bank_Rates!$A$2:$A$100,H124,Bank_Rates!$B$2:$B$100,LOOKUP(2,1/((Bank_Rates!$A$2:$A$100=H124)*(Bank_Rates!$B$2:$B$100&lt;=C124)),Bank_Rates!$B$2:$B$100),Bank_Rates!$D$2:$D$100,_xlfn.AGGREGATE(14,6,Bank_Rates!$D$2:$D$100/((Bank_Rates!$A$2:$A$100=H124)*(Bank_Rates!$B$2:$B$100=LOOKUP(2,1/((Bank_Rates!$A$2:$A$100=H124)*(Bank_Rates!$B$2:$B$100&lt;=C124)),Bank_Rates!$B$2:$B$100))*(Bank_Rates!$D$2:$D$100&lt;=G124)),1)),"No Match")</f>
        <v>0</v>
      </c>
      <c r="K124" s="5" t="str">
        <f t="shared" si="7"/>
        <v/>
      </c>
      <c r="L124" s="2"/>
      <c r="M124" s="2"/>
      <c r="N124" s="2"/>
    </row>
    <row r="125" spans="1:14">
      <c r="A125" s="2" t="str">
        <f t="shared" si="4"/>
        <v/>
      </c>
      <c r="B125" s="2"/>
      <c r="C125" s="4"/>
      <c r="D125" s="7"/>
      <c r="E125" s="7"/>
      <c r="F125" s="4"/>
      <c r="G125" s="6" t="str">
        <f t="shared" si="5"/>
        <v/>
      </c>
      <c r="H125" s="2"/>
      <c r="I125" s="5" t="str">
        <f t="shared" si="6"/>
        <v/>
      </c>
      <c r="J125" s="3">
        <f>IFERROR(SUMIFS(Bank_Rates!$C$2:$C$100,Bank_Rates!$A$2:$A$100,H125,Bank_Rates!$B$2:$B$100,LOOKUP(2,1/((Bank_Rates!$A$2:$A$100=H125)*(Bank_Rates!$B$2:$B$100&lt;=C125)),Bank_Rates!$B$2:$B$100),Bank_Rates!$D$2:$D$100,_xlfn.AGGREGATE(14,6,Bank_Rates!$D$2:$D$100/((Bank_Rates!$A$2:$A$100=H125)*(Bank_Rates!$B$2:$B$100=LOOKUP(2,1/((Bank_Rates!$A$2:$A$100=H125)*(Bank_Rates!$B$2:$B$100&lt;=C125)),Bank_Rates!$B$2:$B$100))*(Bank_Rates!$D$2:$D$100&lt;=G125)),1)),"No Match")</f>
        <v>0</v>
      </c>
      <c r="K125" s="5" t="str">
        <f t="shared" si="7"/>
        <v/>
      </c>
      <c r="L125" s="2"/>
      <c r="M125" s="2"/>
      <c r="N125" s="2"/>
    </row>
    <row r="126" spans="1:14">
      <c r="A126" s="2" t="str">
        <f t="shared" si="4"/>
        <v/>
      </c>
      <c r="B126" s="2"/>
      <c r="C126" s="4"/>
      <c r="D126" s="7"/>
      <c r="E126" s="7"/>
      <c r="F126" s="4"/>
      <c r="G126" s="6" t="str">
        <f t="shared" si="5"/>
        <v/>
      </c>
      <c r="H126" s="2"/>
      <c r="I126" s="5" t="str">
        <f t="shared" si="6"/>
        <v/>
      </c>
      <c r="J126" s="3">
        <f>IFERROR(SUMIFS(Bank_Rates!$C$2:$C$100,Bank_Rates!$A$2:$A$100,H126,Bank_Rates!$B$2:$B$100,LOOKUP(2,1/((Bank_Rates!$A$2:$A$100=H126)*(Bank_Rates!$B$2:$B$100&lt;=C126)),Bank_Rates!$B$2:$B$100),Bank_Rates!$D$2:$D$100,_xlfn.AGGREGATE(14,6,Bank_Rates!$D$2:$D$100/((Bank_Rates!$A$2:$A$100=H126)*(Bank_Rates!$B$2:$B$100=LOOKUP(2,1/((Bank_Rates!$A$2:$A$100=H126)*(Bank_Rates!$B$2:$B$100&lt;=C126)),Bank_Rates!$B$2:$B$100))*(Bank_Rates!$D$2:$D$100&lt;=G126)),1)),"No Match")</f>
        <v>0</v>
      </c>
      <c r="K126" s="5" t="str">
        <f t="shared" si="7"/>
        <v/>
      </c>
      <c r="L126" s="2"/>
      <c r="M126" s="2"/>
      <c r="N126" s="2"/>
    </row>
    <row r="127" spans="1:14">
      <c r="A127" s="2" t="str">
        <f t="shared" si="4"/>
        <v/>
      </c>
      <c r="B127" s="2"/>
      <c r="C127" s="4"/>
      <c r="D127" s="7"/>
      <c r="E127" s="7"/>
      <c r="F127" s="4"/>
      <c r="G127" s="6" t="str">
        <f t="shared" si="5"/>
        <v/>
      </c>
      <c r="H127" s="2"/>
      <c r="I127" s="5" t="str">
        <f t="shared" si="6"/>
        <v/>
      </c>
      <c r="J127" s="3">
        <f>IFERROR(SUMIFS(Bank_Rates!$C$2:$C$100,Bank_Rates!$A$2:$A$100,H127,Bank_Rates!$B$2:$B$100,LOOKUP(2,1/((Bank_Rates!$A$2:$A$100=H127)*(Bank_Rates!$B$2:$B$100&lt;=C127)),Bank_Rates!$B$2:$B$100),Bank_Rates!$D$2:$D$100,_xlfn.AGGREGATE(14,6,Bank_Rates!$D$2:$D$100/((Bank_Rates!$A$2:$A$100=H127)*(Bank_Rates!$B$2:$B$100=LOOKUP(2,1/((Bank_Rates!$A$2:$A$100=H127)*(Bank_Rates!$B$2:$B$100&lt;=C127)),Bank_Rates!$B$2:$B$100))*(Bank_Rates!$D$2:$D$100&lt;=G127)),1)),"No Match")</f>
        <v>0</v>
      </c>
      <c r="K127" s="5" t="str">
        <f t="shared" si="7"/>
        <v/>
      </c>
      <c r="L127" s="2"/>
      <c r="M127" s="2"/>
      <c r="N127" s="2"/>
    </row>
    <row r="128" spans="1:14">
      <c r="A128" s="2" t="str">
        <f t="shared" si="4"/>
        <v/>
      </c>
      <c r="B128" s="2"/>
      <c r="C128" s="4"/>
      <c r="D128" s="7"/>
      <c r="E128" s="7"/>
      <c r="F128" s="4"/>
      <c r="G128" s="6" t="str">
        <f t="shared" si="5"/>
        <v/>
      </c>
      <c r="H128" s="2"/>
      <c r="I128" s="5" t="str">
        <f t="shared" si="6"/>
        <v/>
      </c>
      <c r="J128" s="3">
        <f>IFERROR(SUMIFS(Bank_Rates!$C$2:$C$100,Bank_Rates!$A$2:$A$100,H128,Bank_Rates!$B$2:$B$100,LOOKUP(2,1/((Bank_Rates!$A$2:$A$100=H128)*(Bank_Rates!$B$2:$B$100&lt;=C128)),Bank_Rates!$B$2:$B$100),Bank_Rates!$D$2:$D$100,_xlfn.AGGREGATE(14,6,Bank_Rates!$D$2:$D$100/((Bank_Rates!$A$2:$A$100=H128)*(Bank_Rates!$B$2:$B$100=LOOKUP(2,1/((Bank_Rates!$A$2:$A$100=H128)*(Bank_Rates!$B$2:$B$100&lt;=C128)),Bank_Rates!$B$2:$B$100))*(Bank_Rates!$D$2:$D$100&lt;=G128)),1)),"No Match")</f>
        <v>0</v>
      </c>
      <c r="K128" s="5" t="str">
        <f t="shared" si="7"/>
        <v/>
      </c>
      <c r="L128" s="2"/>
      <c r="M128" s="2"/>
      <c r="N128" s="2"/>
    </row>
    <row r="129" spans="1:14">
      <c r="A129" s="2" t="str">
        <f t="shared" si="4"/>
        <v/>
      </c>
      <c r="B129" s="2"/>
      <c r="C129" s="4"/>
      <c r="D129" s="7"/>
      <c r="E129" s="7"/>
      <c r="F129" s="4"/>
      <c r="G129" s="6" t="str">
        <f t="shared" si="5"/>
        <v/>
      </c>
      <c r="H129" s="2"/>
      <c r="I129" s="5" t="str">
        <f t="shared" si="6"/>
        <v/>
      </c>
      <c r="J129" s="3">
        <f>IFERROR(SUMIFS(Bank_Rates!$C$2:$C$100,Bank_Rates!$A$2:$A$100,H129,Bank_Rates!$B$2:$B$100,LOOKUP(2,1/((Bank_Rates!$A$2:$A$100=H129)*(Bank_Rates!$B$2:$B$100&lt;=C129)),Bank_Rates!$B$2:$B$100),Bank_Rates!$D$2:$D$100,_xlfn.AGGREGATE(14,6,Bank_Rates!$D$2:$D$100/((Bank_Rates!$A$2:$A$100=H129)*(Bank_Rates!$B$2:$B$100=LOOKUP(2,1/((Bank_Rates!$A$2:$A$100=H129)*(Bank_Rates!$B$2:$B$100&lt;=C129)),Bank_Rates!$B$2:$B$100))*(Bank_Rates!$D$2:$D$100&lt;=G129)),1)),"No Match")</f>
        <v>0</v>
      </c>
      <c r="K129" s="5" t="str">
        <f t="shared" si="7"/>
        <v/>
      </c>
      <c r="L129" s="2"/>
      <c r="M129" s="2"/>
      <c r="N129" s="2"/>
    </row>
    <row r="130" spans="1:14">
      <c r="A130" s="2" t="str">
        <f t="shared" ref="A130:A193" si="8">IF(B130&lt;&gt;"","L-"&amp;TEXT(ROW()-1,"0000"),"")</f>
        <v/>
      </c>
      <c r="B130" s="2"/>
      <c r="C130" s="4"/>
      <c r="D130" s="7"/>
      <c r="E130" s="7"/>
      <c r="F130" s="4"/>
      <c r="G130" s="6" t="str">
        <f t="shared" ref="G130:G193" si="9">IF(OR(C130="",F130=""),"",F130-C130)</f>
        <v/>
      </c>
      <c r="H130" s="2"/>
      <c r="I130" s="5" t="str">
        <f t="shared" ref="I130:I193" si="10">IF(OR(D130="",E130="",G130="",G130=0),"",(E130/D130)^(365/G130)-1)</f>
        <v/>
      </c>
      <c r="J130" s="3">
        <f>IFERROR(SUMIFS(Bank_Rates!$C$2:$C$100,Bank_Rates!$A$2:$A$100,H130,Bank_Rates!$B$2:$B$100,LOOKUP(2,1/((Bank_Rates!$A$2:$A$100=H130)*(Bank_Rates!$B$2:$B$100&lt;=C130)),Bank_Rates!$B$2:$B$100),Bank_Rates!$D$2:$D$100,_xlfn.AGGREGATE(14,6,Bank_Rates!$D$2:$D$100/((Bank_Rates!$A$2:$A$100=H130)*(Bank_Rates!$B$2:$B$100=LOOKUP(2,1/((Bank_Rates!$A$2:$A$100=H130)*(Bank_Rates!$B$2:$B$100&lt;=C130)),Bank_Rates!$B$2:$B$100))*(Bank_Rates!$D$2:$D$100&lt;=G130)),1)),"No Match")</f>
        <v>0</v>
      </c>
      <c r="K130" s="5" t="str">
        <f t="shared" ref="K130:K193" si="11">IF(OR(I130="",J130="",J130="No Match"),"",I130-J130)</f>
        <v/>
      </c>
      <c r="L130" s="2"/>
      <c r="M130" s="2"/>
      <c r="N130" s="2"/>
    </row>
    <row r="131" spans="1:14">
      <c r="A131" s="2" t="str">
        <f t="shared" si="8"/>
        <v/>
      </c>
      <c r="B131" s="2"/>
      <c r="C131" s="4"/>
      <c r="D131" s="7"/>
      <c r="E131" s="7"/>
      <c r="F131" s="4"/>
      <c r="G131" s="6" t="str">
        <f t="shared" si="9"/>
        <v/>
      </c>
      <c r="H131" s="2"/>
      <c r="I131" s="5" t="str">
        <f t="shared" si="10"/>
        <v/>
      </c>
      <c r="J131" s="3">
        <f>IFERROR(SUMIFS(Bank_Rates!$C$2:$C$100,Bank_Rates!$A$2:$A$100,H131,Bank_Rates!$B$2:$B$100,LOOKUP(2,1/((Bank_Rates!$A$2:$A$100=H131)*(Bank_Rates!$B$2:$B$100&lt;=C131)),Bank_Rates!$B$2:$B$100),Bank_Rates!$D$2:$D$100,_xlfn.AGGREGATE(14,6,Bank_Rates!$D$2:$D$100/((Bank_Rates!$A$2:$A$100=H131)*(Bank_Rates!$B$2:$B$100=LOOKUP(2,1/((Bank_Rates!$A$2:$A$100=H131)*(Bank_Rates!$B$2:$B$100&lt;=C131)),Bank_Rates!$B$2:$B$100))*(Bank_Rates!$D$2:$D$100&lt;=G131)),1)),"No Match")</f>
        <v>0</v>
      </c>
      <c r="K131" s="5" t="str">
        <f t="shared" si="11"/>
        <v/>
      </c>
      <c r="L131" s="2"/>
      <c r="M131" s="2"/>
      <c r="N131" s="2"/>
    </row>
    <row r="132" spans="1:14">
      <c r="A132" s="2" t="str">
        <f t="shared" si="8"/>
        <v/>
      </c>
      <c r="B132" s="2"/>
      <c r="C132" s="4"/>
      <c r="D132" s="7"/>
      <c r="E132" s="7"/>
      <c r="F132" s="4"/>
      <c r="G132" s="6" t="str">
        <f t="shared" si="9"/>
        <v/>
      </c>
      <c r="H132" s="2"/>
      <c r="I132" s="5" t="str">
        <f t="shared" si="10"/>
        <v/>
      </c>
      <c r="J132" s="3">
        <f>IFERROR(SUMIFS(Bank_Rates!$C$2:$C$100,Bank_Rates!$A$2:$A$100,H132,Bank_Rates!$B$2:$B$100,LOOKUP(2,1/((Bank_Rates!$A$2:$A$100=H132)*(Bank_Rates!$B$2:$B$100&lt;=C132)),Bank_Rates!$B$2:$B$100),Bank_Rates!$D$2:$D$100,_xlfn.AGGREGATE(14,6,Bank_Rates!$D$2:$D$100/((Bank_Rates!$A$2:$A$100=H132)*(Bank_Rates!$B$2:$B$100=LOOKUP(2,1/((Bank_Rates!$A$2:$A$100=H132)*(Bank_Rates!$B$2:$B$100&lt;=C132)),Bank_Rates!$B$2:$B$100))*(Bank_Rates!$D$2:$D$100&lt;=G132)),1)),"No Match")</f>
        <v>0</v>
      </c>
      <c r="K132" s="5" t="str">
        <f t="shared" si="11"/>
        <v/>
      </c>
      <c r="L132" s="2"/>
      <c r="M132" s="2"/>
      <c r="N132" s="2"/>
    </row>
    <row r="133" spans="1:14">
      <c r="A133" s="2" t="str">
        <f t="shared" si="8"/>
        <v/>
      </c>
      <c r="B133" s="2"/>
      <c r="C133" s="4"/>
      <c r="D133" s="7"/>
      <c r="E133" s="7"/>
      <c r="F133" s="4"/>
      <c r="G133" s="6" t="str">
        <f t="shared" si="9"/>
        <v/>
      </c>
      <c r="H133" s="2"/>
      <c r="I133" s="5" t="str">
        <f t="shared" si="10"/>
        <v/>
      </c>
      <c r="J133" s="3">
        <f>IFERROR(SUMIFS(Bank_Rates!$C$2:$C$100,Bank_Rates!$A$2:$A$100,H133,Bank_Rates!$B$2:$B$100,LOOKUP(2,1/((Bank_Rates!$A$2:$A$100=H133)*(Bank_Rates!$B$2:$B$100&lt;=C133)),Bank_Rates!$B$2:$B$100),Bank_Rates!$D$2:$D$100,_xlfn.AGGREGATE(14,6,Bank_Rates!$D$2:$D$100/((Bank_Rates!$A$2:$A$100=H133)*(Bank_Rates!$B$2:$B$100=LOOKUP(2,1/((Bank_Rates!$A$2:$A$100=H133)*(Bank_Rates!$B$2:$B$100&lt;=C133)),Bank_Rates!$B$2:$B$100))*(Bank_Rates!$D$2:$D$100&lt;=G133)),1)),"No Match")</f>
        <v>0</v>
      </c>
      <c r="K133" s="5" t="str">
        <f t="shared" si="11"/>
        <v/>
      </c>
      <c r="L133" s="2"/>
      <c r="M133" s="2"/>
      <c r="N133" s="2"/>
    </row>
    <row r="134" spans="1:14">
      <c r="A134" s="2" t="str">
        <f t="shared" si="8"/>
        <v/>
      </c>
      <c r="B134" s="2"/>
      <c r="C134" s="4"/>
      <c r="D134" s="7"/>
      <c r="E134" s="7"/>
      <c r="F134" s="4"/>
      <c r="G134" s="6" t="str">
        <f t="shared" si="9"/>
        <v/>
      </c>
      <c r="H134" s="2"/>
      <c r="I134" s="5" t="str">
        <f t="shared" si="10"/>
        <v/>
      </c>
      <c r="J134" s="3">
        <f>IFERROR(SUMIFS(Bank_Rates!$C$2:$C$100,Bank_Rates!$A$2:$A$100,H134,Bank_Rates!$B$2:$B$100,LOOKUP(2,1/((Bank_Rates!$A$2:$A$100=H134)*(Bank_Rates!$B$2:$B$100&lt;=C134)),Bank_Rates!$B$2:$B$100),Bank_Rates!$D$2:$D$100,_xlfn.AGGREGATE(14,6,Bank_Rates!$D$2:$D$100/((Bank_Rates!$A$2:$A$100=H134)*(Bank_Rates!$B$2:$B$100=LOOKUP(2,1/((Bank_Rates!$A$2:$A$100=H134)*(Bank_Rates!$B$2:$B$100&lt;=C134)),Bank_Rates!$B$2:$B$100))*(Bank_Rates!$D$2:$D$100&lt;=G134)),1)),"No Match")</f>
        <v>0</v>
      </c>
      <c r="K134" s="5" t="str">
        <f t="shared" si="11"/>
        <v/>
      </c>
      <c r="L134" s="2"/>
      <c r="M134" s="2"/>
      <c r="N134" s="2"/>
    </row>
    <row r="135" spans="1:14">
      <c r="A135" s="2" t="str">
        <f t="shared" si="8"/>
        <v/>
      </c>
      <c r="B135" s="2"/>
      <c r="C135" s="4"/>
      <c r="D135" s="7"/>
      <c r="E135" s="7"/>
      <c r="F135" s="4"/>
      <c r="G135" s="6" t="str">
        <f t="shared" si="9"/>
        <v/>
      </c>
      <c r="H135" s="2"/>
      <c r="I135" s="5" t="str">
        <f t="shared" si="10"/>
        <v/>
      </c>
      <c r="J135" s="3">
        <f>IFERROR(SUMIFS(Bank_Rates!$C$2:$C$100,Bank_Rates!$A$2:$A$100,H135,Bank_Rates!$B$2:$B$100,LOOKUP(2,1/((Bank_Rates!$A$2:$A$100=H135)*(Bank_Rates!$B$2:$B$100&lt;=C135)),Bank_Rates!$B$2:$B$100),Bank_Rates!$D$2:$D$100,_xlfn.AGGREGATE(14,6,Bank_Rates!$D$2:$D$100/((Bank_Rates!$A$2:$A$100=H135)*(Bank_Rates!$B$2:$B$100=LOOKUP(2,1/((Bank_Rates!$A$2:$A$100=H135)*(Bank_Rates!$B$2:$B$100&lt;=C135)),Bank_Rates!$B$2:$B$100))*(Bank_Rates!$D$2:$D$100&lt;=G135)),1)),"No Match")</f>
        <v>0</v>
      </c>
      <c r="K135" s="5" t="str">
        <f t="shared" si="11"/>
        <v/>
      </c>
      <c r="L135" s="2"/>
      <c r="M135" s="2"/>
      <c r="N135" s="2"/>
    </row>
    <row r="136" spans="1:14">
      <c r="A136" s="2" t="str">
        <f t="shared" si="8"/>
        <v/>
      </c>
      <c r="B136" s="2"/>
      <c r="C136" s="4"/>
      <c r="D136" s="7"/>
      <c r="E136" s="7"/>
      <c r="F136" s="4"/>
      <c r="G136" s="6" t="str">
        <f t="shared" si="9"/>
        <v/>
      </c>
      <c r="H136" s="2"/>
      <c r="I136" s="5" t="str">
        <f t="shared" si="10"/>
        <v/>
      </c>
      <c r="J136" s="3">
        <f>IFERROR(SUMIFS(Bank_Rates!$C$2:$C$100,Bank_Rates!$A$2:$A$100,H136,Bank_Rates!$B$2:$B$100,LOOKUP(2,1/((Bank_Rates!$A$2:$A$100=H136)*(Bank_Rates!$B$2:$B$100&lt;=C136)),Bank_Rates!$B$2:$B$100),Bank_Rates!$D$2:$D$100,_xlfn.AGGREGATE(14,6,Bank_Rates!$D$2:$D$100/((Bank_Rates!$A$2:$A$100=H136)*(Bank_Rates!$B$2:$B$100=LOOKUP(2,1/((Bank_Rates!$A$2:$A$100=H136)*(Bank_Rates!$B$2:$B$100&lt;=C136)),Bank_Rates!$B$2:$B$100))*(Bank_Rates!$D$2:$D$100&lt;=G136)),1)),"No Match")</f>
        <v>0</v>
      </c>
      <c r="K136" s="5" t="str">
        <f t="shared" si="11"/>
        <v/>
      </c>
      <c r="L136" s="2"/>
      <c r="M136" s="2"/>
      <c r="N136" s="2"/>
    </row>
    <row r="137" spans="1:14">
      <c r="A137" s="2" t="str">
        <f t="shared" si="8"/>
        <v/>
      </c>
      <c r="B137" s="2"/>
      <c r="C137" s="4"/>
      <c r="D137" s="7"/>
      <c r="E137" s="7"/>
      <c r="F137" s="4"/>
      <c r="G137" s="6" t="str">
        <f t="shared" si="9"/>
        <v/>
      </c>
      <c r="H137" s="2"/>
      <c r="I137" s="5" t="str">
        <f t="shared" si="10"/>
        <v/>
      </c>
      <c r="J137" s="3">
        <f>IFERROR(SUMIFS(Bank_Rates!$C$2:$C$100,Bank_Rates!$A$2:$A$100,H137,Bank_Rates!$B$2:$B$100,LOOKUP(2,1/((Bank_Rates!$A$2:$A$100=H137)*(Bank_Rates!$B$2:$B$100&lt;=C137)),Bank_Rates!$B$2:$B$100),Bank_Rates!$D$2:$D$100,_xlfn.AGGREGATE(14,6,Bank_Rates!$D$2:$D$100/((Bank_Rates!$A$2:$A$100=H137)*(Bank_Rates!$B$2:$B$100=LOOKUP(2,1/((Bank_Rates!$A$2:$A$100=H137)*(Bank_Rates!$B$2:$B$100&lt;=C137)),Bank_Rates!$B$2:$B$100))*(Bank_Rates!$D$2:$D$100&lt;=G137)),1)),"No Match")</f>
        <v>0</v>
      </c>
      <c r="K137" s="5" t="str">
        <f t="shared" si="11"/>
        <v/>
      </c>
      <c r="L137" s="2"/>
      <c r="M137" s="2"/>
      <c r="N137" s="2"/>
    </row>
    <row r="138" spans="1:14">
      <c r="A138" s="2" t="str">
        <f t="shared" si="8"/>
        <v/>
      </c>
      <c r="B138" s="2"/>
      <c r="C138" s="4"/>
      <c r="D138" s="7"/>
      <c r="E138" s="7"/>
      <c r="F138" s="4"/>
      <c r="G138" s="6" t="str">
        <f t="shared" si="9"/>
        <v/>
      </c>
      <c r="H138" s="2"/>
      <c r="I138" s="5" t="str">
        <f t="shared" si="10"/>
        <v/>
      </c>
      <c r="J138" s="3">
        <f>IFERROR(SUMIFS(Bank_Rates!$C$2:$C$100,Bank_Rates!$A$2:$A$100,H138,Bank_Rates!$B$2:$B$100,LOOKUP(2,1/((Bank_Rates!$A$2:$A$100=H138)*(Bank_Rates!$B$2:$B$100&lt;=C138)),Bank_Rates!$B$2:$B$100),Bank_Rates!$D$2:$D$100,_xlfn.AGGREGATE(14,6,Bank_Rates!$D$2:$D$100/((Bank_Rates!$A$2:$A$100=H138)*(Bank_Rates!$B$2:$B$100=LOOKUP(2,1/((Bank_Rates!$A$2:$A$100=H138)*(Bank_Rates!$B$2:$B$100&lt;=C138)),Bank_Rates!$B$2:$B$100))*(Bank_Rates!$D$2:$D$100&lt;=G138)),1)),"No Match")</f>
        <v>0</v>
      </c>
      <c r="K138" s="5" t="str">
        <f t="shared" si="11"/>
        <v/>
      </c>
      <c r="L138" s="2"/>
      <c r="M138" s="2"/>
      <c r="N138" s="2"/>
    </row>
    <row r="139" spans="1:14">
      <c r="A139" s="2" t="str">
        <f t="shared" si="8"/>
        <v/>
      </c>
      <c r="B139" s="2"/>
      <c r="C139" s="4"/>
      <c r="D139" s="7"/>
      <c r="E139" s="7"/>
      <c r="F139" s="4"/>
      <c r="G139" s="6" t="str">
        <f t="shared" si="9"/>
        <v/>
      </c>
      <c r="H139" s="2"/>
      <c r="I139" s="5" t="str">
        <f t="shared" si="10"/>
        <v/>
      </c>
      <c r="J139" s="3">
        <f>IFERROR(SUMIFS(Bank_Rates!$C$2:$C$100,Bank_Rates!$A$2:$A$100,H139,Bank_Rates!$B$2:$B$100,LOOKUP(2,1/((Bank_Rates!$A$2:$A$100=H139)*(Bank_Rates!$B$2:$B$100&lt;=C139)),Bank_Rates!$B$2:$B$100),Bank_Rates!$D$2:$D$100,_xlfn.AGGREGATE(14,6,Bank_Rates!$D$2:$D$100/((Bank_Rates!$A$2:$A$100=H139)*(Bank_Rates!$B$2:$B$100=LOOKUP(2,1/((Bank_Rates!$A$2:$A$100=H139)*(Bank_Rates!$B$2:$B$100&lt;=C139)),Bank_Rates!$B$2:$B$100))*(Bank_Rates!$D$2:$D$100&lt;=G139)),1)),"No Match")</f>
        <v>0</v>
      </c>
      <c r="K139" s="5" t="str">
        <f t="shared" si="11"/>
        <v/>
      </c>
      <c r="L139" s="2"/>
      <c r="M139" s="2"/>
      <c r="N139" s="2"/>
    </row>
    <row r="140" spans="1:14">
      <c r="A140" s="2" t="str">
        <f t="shared" si="8"/>
        <v/>
      </c>
      <c r="B140" s="2"/>
      <c r="C140" s="4"/>
      <c r="D140" s="7"/>
      <c r="E140" s="7"/>
      <c r="F140" s="4"/>
      <c r="G140" s="6" t="str">
        <f t="shared" si="9"/>
        <v/>
      </c>
      <c r="H140" s="2"/>
      <c r="I140" s="5" t="str">
        <f t="shared" si="10"/>
        <v/>
      </c>
      <c r="J140" s="3">
        <f>IFERROR(SUMIFS(Bank_Rates!$C$2:$C$100,Bank_Rates!$A$2:$A$100,H140,Bank_Rates!$B$2:$B$100,LOOKUP(2,1/((Bank_Rates!$A$2:$A$100=H140)*(Bank_Rates!$B$2:$B$100&lt;=C140)),Bank_Rates!$B$2:$B$100),Bank_Rates!$D$2:$D$100,_xlfn.AGGREGATE(14,6,Bank_Rates!$D$2:$D$100/((Bank_Rates!$A$2:$A$100=H140)*(Bank_Rates!$B$2:$B$100=LOOKUP(2,1/((Bank_Rates!$A$2:$A$100=H140)*(Bank_Rates!$B$2:$B$100&lt;=C140)),Bank_Rates!$B$2:$B$100))*(Bank_Rates!$D$2:$D$100&lt;=G140)),1)),"No Match")</f>
        <v>0</v>
      </c>
      <c r="K140" s="5" t="str">
        <f t="shared" si="11"/>
        <v/>
      </c>
      <c r="L140" s="2"/>
      <c r="M140" s="2"/>
      <c r="N140" s="2"/>
    </row>
    <row r="141" spans="1:14">
      <c r="A141" s="2" t="str">
        <f t="shared" si="8"/>
        <v/>
      </c>
      <c r="B141" s="2"/>
      <c r="C141" s="4"/>
      <c r="D141" s="7"/>
      <c r="E141" s="7"/>
      <c r="F141" s="4"/>
      <c r="G141" s="6" t="str">
        <f t="shared" si="9"/>
        <v/>
      </c>
      <c r="H141" s="2"/>
      <c r="I141" s="5" t="str">
        <f t="shared" si="10"/>
        <v/>
      </c>
      <c r="J141" s="3">
        <f>IFERROR(SUMIFS(Bank_Rates!$C$2:$C$100,Bank_Rates!$A$2:$A$100,H141,Bank_Rates!$B$2:$B$100,LOOKUP(2,1/((Bank_Rates!$A$2:$A$100=H141)*(Bank_Rates!$B$2:$B$100&lt;=C141)),Bank_Rates!$B$2:$B$100),Bank_Rates!$D$2:$D$100,_xlfn.AGGREGATE(14,6,Bank_Rates!$D$2:$D$100/((Bank_Rates!$A$2:$A$100=H141)*(Bank_Rates!$B$2:$B$100=LOOKUP(2,1/((Bank_Rates!$A$2:$A$100=H141)*(Bank_Rates!$B$2:$B$100&lt;=C141)),Bank_Rates!$B$2:$B$100))*(Bank_Rates!$D$2:$D$100&lt;=G141)),1)),"No Match")</f>
        <v>0</v>
      </c>
      <c r="K141" s="5" t="str">
        <f t="shared" si="11"/>
        <v/>
      </c>
      <c r="L141" s="2"/>
      <c r="M141" s="2"/>
      <c r="N141" s="2"/>
    </row>
    <row r="142" spans="1:14">
      <c r="A142" s="2" t="str">
        <f t="shared" si="8"/>
        <v/>
      </c>
      <c r="B142" s="2"/>
      <c r="C142" s="4"/>
      <c r="D142" s="7"/>
      <c r="E142" s="7"/>
      <c r="F142" s="4"/>
      <c r="G142" s="6" t="str">
        <f t="shared" si="9"/>
        <v/>
      </c>
      <c r="H142" s="2"/>
      <c r="I142" s="5" t="str">
        <f t="shared" si="10"/>
        <v/>
      </c>
      <c r="J142" s="3">
        <f>IFERROR(SUMIFS(Bank_Rates!$C$2:$C$100,Bank_Rates!$A$2:$A$100,H142,Bank_Rates!$B$2:$B$100,LOOKUP(2,1/((Bank_Rates!$A$2:$A$100=H142)*(Bank_Rates!$B$2:$B$100&lt;=C142)),Bank_Rates!$B$2:$B$100),Bank_Rates!$D$2:$D$100,_xlfn.AGGREGATE(14,6,Bank_Rates!$D$2:$D$100/((Bank_Rates!$A$2:$A$100=H142)*(Bank_Rates!$B$2:$B$100=LOOKUP(2,1/((Bank_Rates!$A$2:$A$100=H142)*(Bank_Rates!$B$2:$B$100&lt;=C142)),Bank_Rates!$B$2:$B$100))*(Bank_Rates!$D$2:$D$100&lt;=G142)),1)),"No Match")</f>
        <v>0</v>
      </c>
      <c r="K142" s="5" t="str">
        <f t="shared" si="11"/>
        <v/>
      </c>
      <c r="L142" s="2"/>
      <c r="M142" s="2"/>
      <c r="N142" s="2"/>
    </row>
    <row r="143" spans="1:14">
      <c r="A143" s="2" t="str">
        <f t="shared" si="8"/>
        <v/>
      </c>
      <c r="B143" s="2"/>
      <c r="C143" s="4"/>
      <c r="D143" s="7"/>
      <c r="E143" s="7"/>
      <c r="F143" s="4"/>
      <c r="G143" s="6" t="str">
        <f t="shared" si="9"/>
        <v/>
      </c>
      <c r="H143" s="2"/>
      <c r="I143" s="5" t="str">
        <f t="shared" si="10"/>
        <v/>
      </c>
      <c r="J143" s="3">
        <f>IFERROR(SUMIFS(Bank_Rates!$C$2:$C$100,Bank_Rates!$A$2:$A$100,H143,Bank_Rates!$B$2:$B$100,LOOKUP(2,1/((Bank_Rates!$A$2:$A$100=H143)*(Bank_Rates!$B$2:$B$100&lt;=C143)),Bank_Rates!$B$2:$B$100),Bank_Rates!$D$2:$D$100,_xlfn.AGGREGATE(14,6,Bank_Rates!$D$2:$D$100/((Bank_Rates!$A$2:$A$100=H143)*(Bank_Rates!$B$2:$B$100=LOOKUP(2,1/((Bank_Rates!$A$2:$A$100=H143)*(Bank_Rates!$B$2:$B$100&lt;=C143)),Bank_Rates!$B$2:$B$100))*(Bank_Rates!$D$2:$D$100&lt;=G143)),1)),"No Match")</f>
        <v>0</v>
      </c>
      <c r="K143" s="5" t="str">
        <f t="shared" si="11"/>
        <v/>
      </c>
      <c r="L143" s="2"/>
      <c r="M143" s="2"/>
      <c r="N143" s="2"/>
    </row>
    <row r="144" spans="1:14">
      <c r="A144" s="2" t="str">
        <f t="shared" si="8"/>
        <v/>
      </c>
      <c r="B144" s="2"/>
      <c r="C144" s="4"/>
      <c r="D144" s="7"/>
      <c r="E144" s="7"/>
      <c r="F144" s="4"/>
      <c r="G144" s="6" t="str">
        <f t="shared" si="9"/>
        <v/>
      </c>
      <c r="H144" s="2"/>
      <c r="I144" s="5" t="str">
        <f t="shared" si="10"/>
        <v/>
      </c>
      <c r="J144" s="3">
        <f>IFERROR(SUMIFS(Bank_Rates!$C$2:$C$100,Bank_Rates!$A$2:$A$100,H144,Bank_Rates!$B$2:$B$100,LOOKUP(2,1/((Bank_Rates!$A$2:$A$100=H144)*(Bank_Rates!$B$2:$B$100&lt;=C144)),Bank_Rates!$B$2:$B$100),Bank_Rates!$D$2:$D$100,_xlfn.AGGREGATE(14,6,Bank_Rates!$D$2:$D$100/((Bank_Rates!$A$2:$A$100=H144)*(Bank_Rates!$B$2:$B$100=LOOKUP(2,1/((Bank_Rates!$A$2:$A$100=H144)*(Bank_Rates!$B$2:$B$100&lt;=C144)),Bank_Rates!$B$2:$B$100))*(Bank_Rates!$D$2:$D$100&lt;=G144)),1)),"No Match")</f>
        <v>0</v>
      </c>
      <c r="K144" s="5" t="str">
        <f t="shared" si="11"/>
        <v/>
      </c>
      <c r="L144" s="2"/>
      <c r="M144" s="2"/>
      <c r="N144" s="2"/>
    </row>
    <row r="145" spans="1:14">
      <c r="A145" s="2" t="str">
        <f t="shared" si="8"/>
        <v/>
      </c>
      <c r="B145" s="2"/>
      <c r="C145" s="4"/>
      <c r="D145" s="7"/>
      <c r="E145" s="7"/>
      <c r="F145" s="4"/>
      <c r="G145" s="6" t="str">
        <f t="shared" si="9"/>
        <v/>
      </c>
      <c r="H145" s="2"/>
      <c r="I145" s="5" t="str">
        <f t="shared" si="10"/>
        <v/>
      </c>
      <c r="J145" s="3">
        <f>IFERROR(SUMIFS(Bank_Rates!$C$2:$C$100,Bank_Rates!$A$2:$A$100,H145,Bank_Rates!$B$2:$B$100,LOOKUP(2,1/((Bank_Rates!$A$2:$A$100=H145)*(Bank_Rates!$B$2:$B$100&lt;=C145)),Bank_Rates!$B$2:$B$100),Bank_Rates!$D$2:$D$100,_xlfn.AGGREGATE(14,6,Bank_Rates!$D$2:$D$100/((Bank_Rates!$A$2:$A$100=H145)*(Bank_Rates!$B$2:$B$100=LOOKUP(2,1/((Bank_Rates!$A$2:$A$100=H145)*(Bank_Rates!$B$2:$B$100&lt;=C145)),Bank_Rates!$B$2:$B$100))*(Bank_Rates!$D$2:$D$100&lt;=G145)),1)),"No Match")</f>
        <v>0</v>
      </c>
      <c r="K145" s="5" t="str">
        <f t="shared" si="11"/>
        <v/>
      </c>
      <c r="L145" s="2"/>
      <c r="M145" s="2"/>
      <c r="N145" s="2"/>
    </row>
    <row r="146" spans="1:14">
      <c r="A146" s="2" t="str">
        <f t="shared" si="8"/>
        <v/>
      </c>
      <c r="B146" s="2"/>
      <c r="C146" s="4"/>
      <c r="D146" s="7"/>
      <c r="E146" s="7"/>
      <c r="F146" s="4"/>
      <c r="G146" s="6" t="str">
        <f t="shared" si="9"/>
        <v/>
      </c>
      <c r="H146" s="2"/>
      <c r="I146" s="5" t="str">
        <f t="shared" si="10"/>
        <v/>
      </c>
      <c r="J146" s="3">
        <f>IFERROR(SUMIFS(Bank_Rates!$C$2:$C$100,Bank_Rates!$A$2:$A$100,H146,Bank_Rates!$B$2:$B$100,LOOKUP(2,1/((Bank_Rates!$A$2:$A$100=H146)*(Bank_Rates!$B$2:$B$100&lt;=C146)),Bank_Rates!$B$2:$B$100),Bank_Rates!$D$2:$D$100,_xlfn.AGGREGATE(14,6,Bank_Rates!$D$2:$D$100/((Bank_Rates!$A$2:$A$100=H146)*(Bank_Rates!$B$2:$B$100=LOOKUP(2,1/((Bank_Rates!$A$2:$A$100=H146)*(Bank_Rates!$B$2:$B$100&lt;=C146)),Bank_Rates!$B$2:$B$100))*(Bank_Rates!$D$2:$D$100&lt;=G146)),1)),"No Match")</f>
        <v>0</v>
      </c>
      <c r="K146" s="5" t="str">
        <f t="shared" si="11"/>
        <v/>
      </c>
      <c r="L146" s="2"/>
      <c r="M146" s="2"/>
      <c r="N146" s="2"/>
    </row>
    <row r="147" spans="1:14">
      <c r="A147" s="2" t="str">
        <f t="shared" si="8"/>
        <v/>
      </c>
      <c r="B147" s="2"/>
      <c r="C147" s="4"/>
      <c r="D147" s="7"/>
      <c r="E147" s="7"/>
      <c r="F147" s="4"/>
      <c r="G147" s="6" t="str">
        <f t="shared" si="9"/>
        <v/>
      </c>
      <c r="H147" s="2"/>
      <c r="I147" s="5" t="str">
        <f t="shared" si="10"/>
        <v/>
      </c>
      <c r="J147" s="3">
        <f>IFERROR(SUMIFS(Bank_Rates!$C$2:$C$100,Bank_Rates!$A$2:$A$100,H147,Bank_Rates!$B$2:$B$100,LOOKUP(2,1/((Bank_Rates!$A$2:$A$100=H147)*(Bank_Rates!$B$2:$B$100&lt;=C147)),Bank_Rates!$B$2:$B$100),Bank_Rates!$D$2:$D$100,_xlfn.AGGREGATE(14,6,Bank_Rates!$D$2:$D$100/((Bank_Rates!$A$2:$A$100=H147)*(Bank_Rates!$B$2:$B$100=LOOKUP(2,1/((Bank_Rates!$A$2:$A$100=H147)*(Bank_Rates!$B$2:$B$100&lt;=C147)),Bank_Rates!$B$2:$B$100))*(Bank_Rates!$D$2:$D$100&lt;=G147)),1)),"No Match")</f>
        <v>0</v>
      </c>
      <c r="K147" s="5" t="str">
        <f t="shared" si="11"/>
        <v/>
      </c>
      <c r="L147" s="2"/>
      <c r="M147" s="2"/>
      <c r="N147" s="2"/>
    </row>
    <row r="148" spans="1:14">
      <c r="A148" s="2" t="str">
        <f t="shared" si="8"/>
        <v/>
      </c>
      <c r="B148" s="2"/>
      <c r="C148" s="4"/>
      <c r="D148" s="7"/>
      <c r="E148" s="7"/>
      <c r="F148" s="4"/>
      <c r="G148" s="6" t="str">
        <f t="shared" si="9"/>
        <v/>
      </c>
      <c r="H148" s="2"/>
      <c r="I148" s="5" t="str">
        <f t="shared" si="10"/>
        <v/>
      </c>
      <c r="J148" s="3">
        <f>IFERROR(SUMIFS(Bank_Rates!$C$2:$C$100,Bank_Rates!$A$2:$A$100,H148,Bank_Rates!$B$2:$B$100,LOOKUP(2,1/((Bank_Rates!$A$2:$A$100=H148)*(Bank_Rates!$B$2:$B$100&lt;=C148)),Bank_Rates!$B$2:$B$100),Bank_Rates!$D$2:$D$100,_xlfn.AGGREGATE(14,6,Bank_Rates!$D$2:$D$100/((Bank_Rates!$A$2:$A$100=H148)*(Bank_Rates!$B$2:$B$100=LOOKUP(2,1/((Bank_Rates!$A$2:$A$100=H148)*(Bank_Rates!$B$2:$B$100&lt;=C148)),Bank_Rates!$B$2:$B$100))*(Bank_Rates!$D$2:$D$100&lt;=G148)),1)),"No Match")</f>
        <v>0</v>
      </c>
      <c r="K148" s="5" t="str">
        <f t="shared" si="11"/>
        <v/>
      </c>
      <c r="L148" s="2"/>
      <c r="M148" s="2"/>
      <c r="N148" s="2"/>
    </row>
    <row r="149" spans="1:14">
      <c r="A149" s="2" t="str">
        <f t="shared" si="8"/>
        <v/>
      </c>
      <c r="B149" s="2"/>
      <c r="C149" s="4"/>
      <c r="D149" s="7"/>
      <c r="E149" s="7"/>
      <c r="F149" s="4"/>
      <c r="G149" s="6" t="str">
        <f t="shared" si="9"/>
        <v/>
      </c>
      <c r="H149" s="2"/>
      <c r="I149" s="5" t="str">
        <f t="shared" si="10"/>
        <v/>
      </c>
      <c r="J149" s="3">
        <f>IFERROR(SUMIFS(Bank_Rates!$C$2:$C$100,Bank_Rates!$A$2:$A$100,H149,Bank_Rates!$B$2:$B$100,LOOKUP(2,1/((Bank_Rates!$A$2:$A$100=H149)*(Bank_Rates!$B$2:$B$100&lt;=C149)),Bank_Rates!$B$2:$B$100),Bank_Rates!$D$2:$D$100,_xlfn.AGGREGATE(14,6,Bank_Rates!$D$2:$D$100/((Bank_Rates!$A$2:$A$100=H149)*(Bank_Rates!$B$2:$B$100=LOOKUP(2,1/((Bank_Rates!$A$2:$A$100=H149)*(Bank_Rates!$B$2:$B$100&lt;=C149)),Bank_Rates!$B$2:$B$100))*(Bank_Rates!$D$2:$D$100&lt;=G149)),1)),"No Match")</f>
        <v>0</v>
      </c>
      <c r="K149" s="5" t="str">
        <f t="shared" si="11"/>
        <v/>
      </c>
      <c r="L149" s="2"/>
      <c r="M149" s="2"/>
      <c r="N149" s="2"/>
    </row>
    <row r="150" spans="1:14">
      <c r="A150" s="2" t="str">
        <f t="shared" si="8"/>
        <v/>
      </c>
      <c r="B150" s="2"/>
      <c r="C150" s="4"/>
      <c r="D150" s="7"/>
      <c r="E150" s="7"/>
      <c r="F150" s="4"/>
      <c r="G150" s="6" t="str">
        <f t="shared" si="9"/>
        <v/>
      </c>
      <c r="H150" s="2"/>
      <c r="I150" s="5" t="str">
        <f t="shared" si="10"/>
        <v/>
      </c>
      <c r="J150" s="3">
        <f>IFERROR(SUMIFS(Bank_Rates!$C$2:$C$100,Bank_Rates!$A$2:$A$100,H150,Bank_Rates!$B$2:$B$100,LOOKUP(2,1/((Bank_Rates!$A$2:$A$100=H150)*(Bank_Rates!$B$2:$B$100&lt;=C150)),Bank_Rates!$B$2:$B$100),Bank_Rates!$D$2:$D$100,_xlfn.AGGREGATE(14,6,Bank_Rates!$D$2:$D$100/((Bank_Rates!$A$2:$A$100=H150)*(Bank_Rates!$B$2:$B$100=LOOKUP(2,1/((Bank_Rates!$A$2:$A$100=H150)*(Bank_Rates!$B$2:$B$100&lt;=C150)),Bank_Rates!$B$2:$B$100))*(Bank_Rates!$D$2:$D$100&lt;=G150)),1)),"No Match")</f>
        <v>0</v>
      </c>
      <c r="K150" s="5" t="str">
        <f t="shared" si="11"/>
        <v/>
      </c>
      <c r="L150" s="2"/>
      <c r="M150" s="2"/>
      <c r="N150" s="2"/>
    </row>
    <row r="151" spans="1:14">
      <c r="A151" s="2" t="str">
        <f t="shared" si="8"/>
        <v/>
      </c>
      <c r="B151" s="2"/>
      <c r="C151" s="4"/>
      <c r="D151" s="7"/>
      <c r="E151" s="7"/>
      <c r="F151" s="4"/>
      <c r="G151" s="6" t="str">
        <f t="shared" si="9"/>
        <v/>
      </c>
      <c r="H151" s="2"/>
      <c r="I151" s="5" t="str">
        <f t="shared" si="10"/>
        <v/>
      </c>
      <c r="J151" s="3">
        <f>IFERROR(SUMIFS(Bank_Rates!$C$2:$C$100,Bank_Rates!$A$2:$A$100,H151,Bank_Rates!$B$2:$B$100,LOOKUP(2,1/((Bank_Rates!$A$2:$A$100=H151)*(Bank_Rates!$B$2:$B$100&lt;=C151)),Bank_Rates!$B$2:$B$100),Bank_Rates!$D$2:$D$100,_xlfn.AGGREGATE(14,6,Bank_Rates!$D$2:$D$100/((Bank_Rates!$A$2:$A$100=H151)*(Bank_Rates!$B$2:$B$100=LOOKUP(2,1/((Bank_Rates!$A$2:$A$100=H151)*(Bank_Rates!$B$2:$B$100&lt;=C151)),Bank_Rates!$B$2:$B$100))*(Bank_Rates!$D$2:$D$100&lt;=G151)),1)),"No Match")</f>
        <v>0</v>
      </c>
      <c r="K151" s="5" t="str">
        <f t="shared" si="11"/>
        <v/>
      </c>
      <c r="L151" s="2"/>
      <c r="M151" s="2"/>
      <c r="N151" s="2"/>
    </row>
    <row r="152" spans="1:14">
      <c r="A152" s="2" t="str">
        <f t="shared" si="8"/>
        <v/>
      </c>
      <c r="B152" s="2"/>
      <c r="C152" s="4"/>
      <c r="D152" s="7"/>
      <c r="E152" s="7"/>
      <c r="F152" s="4"/>
      <c r="G152" s="6" t="str">
        <f t="shared" si="9"/>
        <v/>
      </c>
      <c r="H152" s="2"/>
      <c r="I152" s="5" t="str">
        <f t="shared" si="10"/>
        <v/>
      </c>
      <c r="J152" s="3">
        <f>IFERROR(SUMIFS(Bank_Rates!$C$2:$C$100,Bank_Rates!$A$2:$A$100,H152,Bank_Rates!$B$2:$B$100,LOOKUP(2,1/((Bank_Rates!$A$2:$A$100=H152)*(Bank_Rates!$B$2:$B$100&lt;=C152)),Bank_Rates!$B$2:$B$100),Bank_Rates!$D$2:$D$100,_xlfn.AGGREGATE(14,6,Bank_Rates!$D$2:$D$100/((Bank_Rates!$A$2:$A$100=H152)*(Bank_Rates!$B$2:$B$100=LOOKUP(2,1/((Bank_Rates!$A$2:$A$100=H152)*(Bank_Rates!$B$2:$B$100&lt;=C152)),Bank_Rates!$B$2:$B$100))*(Bank_Rates!$D$2:$D$100&lt;=G152)),1)),"No Match")</f>
        <v>0</v>
      </c>
      <c r="K152" s="5" t="str">
        <f t="shared" si="11"/>
        <v/>
      </c>
      <c r="L152" s="2"/>
      <c r="M152" s="2"/>
      <c r="N152" s="2"/>
    </row>
    <row r="153" spans="1:14">
      <c r="A153" s="2" t="str">
        <f t="shared" si="8"/>
        <v/>
      </c>
      <c r="B153" s="2"/>
      <c r="C153" s="4"/>
      <c r="D153" s="7"/>
      <c r="E153" s="7"/>
      <c r="F153" s="4"/>
      <c r="G153" s="6" t="str">
        <f t="shared" si="9"/>
        <v/>
      </c>
      <c r="H153" s="2"/>
      <c r="I153" s="5" t="str">
        <f t="shared" si="10"/>
        <v/>
      </c>
      <c r="J153" s="3">
        <f>IFERROR(SUMIFS(Bank_Rates!$C$2:$C$100,Bank_Rates!$A$2:$A$100,H153,Bank_Rates!$B$2:$B$100,LOOKUP(2,1/((Bank_Rates!$A$2:$A$100=H153)*(Bank_Rates!$B$2:$B$100&lt;=C153)),Bank_Rates!$B$2:$B$100),Bank_Rates!$D$2:$D$100,_xlfn.AGGREGATE(14,6,Bank_Rates!$D$2:$D$100/((Bank_Rates!$A$2:$A$100=H153)*(Bank_Rates!$B$2:$B$100=LOOKUP(2,1/((Bank_Rates!$A$2:$A$100=H153)*(Bank_Rates!$B$2:$B$100&lt;=C153)),Bank_Rates!$B$2:$B$100))*(Bank_Rates!$D$2:$D$100&lt;=G153)),1)),"No Match")</f>
        <v>0</v>
      </c>
      <c r="K153" s="5" t="str">
        <f t="shared" si="11"/>
        <v/>
      </c>
      <c r="L153" s="2"/>
      <c r="M153" s="2"/>
      <c r="N153" s="2"/>
    </row>
    <row r="154" spans="1:14">
      <c r="A154" s="2" t="str">
        <f t="shared" si="8"/>
        <v/>
      </c>
      <c r="B154" s="2"/>
      <c r="C154" s="4"/>
      <c r="D154" s="7"/>
      <c r="E154" s="7"/>
      <c r="F154" s="4"/>
      <c r="G154" s="6" t="str">
        <f t="shared" si="9"/>
        <v/>
      </c>
      <c r="H154" s="2"/>
      <c r="I154" s="5" t="str">
        <f t="shared" si="10"/>
        <v/>
      </c>
      <c r="J154" s="3">
        <f>IFERROR(SUMIFS(Bank_Rates!$C$2:$C$100,Bank_Rates!$A$2:$A$100,H154,Bank_Rates!$B$2:$B$100,LOOKUP(2,1/((Bank_Rates!$A$2:$A$100=H154)*(Bank_Rates!$B$2:$B$100&lt;=C154)),Bank_Rates!$B$2:$B$100),Bank_Rates!$D$2:$D$100,_xlfn.AGGREGATE(14,6,Bank_Rates!$D$2:$D$100/((Bank_Rates!$A$2:$A$100=H154)*(Bank_Rates!$B$2:$B$100=LOOKUP(2,1/((Bank_Rates!$A$2:$A$100=H154)*(Bank_Rates!$B$2:$B$100&lt;=C154)),Bank_Rates!$B$2:$B$100))*(Bank_Rates!$D$2:$D$100&lt;=G154)),1)),"No Match")</f>
        <v>0</v>
      </c>
      <c r="K154" s="5" t="str">
        <f t="shared" si="11"/>
        <v/>
      </c>
      <c r="L154" s="2"/>
      <c r="M154" s="2"/>
      <c r="N154" s="2"/>
    </row>
    <row r="155" spans="1:14">
      <c r="A155" s="2" t="str">
        <f t="shared" si="8"/>
        <v/>
      </c>
      <c r="B155" s="2"/>
      <c r="C155" s="4"/>
      <c r="D155" s="7"/>
      <c r="E155" s="7"/>
      <c r="F155" s="4"/>
      <c r="G155" s="6" t="str">
        <f t="shared" si="9"/>
        <v/>
      </c>
      <c r="H155" s="2"/>
      <c r="I155" s="5" t="str">
        <f t="shared" si="10"/>
        <v/>
      </c>
      <c r="J155" s="3">
        <f>IFERROR(SUMIFS(Bank_Rates!$C$2:$C$100,Bank_Rates!$A$2:$A$100,H155,Bank_Rates!$B$2:$B$100,LOOKUP(2,1/((Bank_Rates!$A$2:$A$100=H155)*(Bank_Rates!$B$2:$B$100&lt;=C155)),Bank_Rates!$B$2:$B$100),Bank_Rates!$D$2:$D$100,_xlfn.AGGREGATE(14,6,Bank_Rates!$D$2:$D$100/((Bank_Rates!$A$2:$A$100=H155)*(Bank_Rates!$B$2:$B$100=LOOKUP(2,1/((Bank_Rates!$A$2:$A$100=H155)*(Bank_Rates!$B$2:$B$100&lt;=C155)),Bank_Rates!$B$2:$B$100))*(Bank_Rates!$D$2:$D$100&lt;=G155)),1)),"No Match")</f>
        <v>0</v>
      </c>
      <c r="K155" s="5" t="str">
        <f t="shared" si="11"/>
        <v/>
      </c>
      <c r="L155" s="2"/>
      <c r="M155" s="2"/>
      <c r="N155" s="2"/>
    </row>
    <row r="156" spans="1:14">
      <c r="A156" s="2" t="str">
        <f t="shared" si="8"/>
        <v/>
      </c>
      <c r="B156" s="2"/>
      <c r="C156" s="4"/>
      <c r="D156" s="7"/>
      <c r="E156" s="7"/>
      <c r="F156" s="4"/>
      <c r="G156" s="6" t="str">
        <f t="shared" si="9"/>
        <v/>
      </c>
      <c r="H156" s="2"/>
      <c r="I156" s="5" t="str">
        <f t="shared" si="10"/>
        <v/>
      </c>
      <c r="J156" s="3">
        <f>IFERROR(SUMIFS(Bank_Rates!$C$2:$C$100,Bank_Rates!$A$2:$A$100,H156,Bank_Rates!$B$2:$B$100,LOOKUP(2,1/((Bank_Rates!$A$2:$A$100=H156)*(Bank_Rates!$B$2:$B$100&lt;=C156)),Bank_Rates!$B$2:$B$100),Bank_Rates!$D$2:$D$100,_xlfn.AGGREGATE(14,6,Bank_Rates!$D$2:$D$100/((Bank_Rates!$A$2:$A$100=H156)*(Bank_Rates!$B$2:$B$100=LOOKUP(2,1/((Bank_Rates!$A$2:$A$100=H156)*(Bank_Rates!$B$2:$B$100&lt;=C156)),Bank_Rates!$B$2:$B$100))*(Bank_Rates!$D$2:$D$100&lt;=G156)),1)),"No Match")</f>
        <v>0</v>
      </c>
      <c r="K156" s="5" t="str">
        <f t="shared" si="11"/>
        <v/>
      </c>
      <c r="L156" s="2"/>
      <c r="M156" s="2"/>
      <c r="N156" s="2"/>
    </row>
    <row r="157" spans="1:14">
      <c r="A157" s="2" t="str">
        <f t="shared" si="8"/>
        <v/>
      </c>
      <c r="B157" s="2"/>
      <c r="C157" s="4"/>
      <c r="D157" s="7"/>
      <c r="E157" s="7"/>
      <c r="F157" s="4"/>
      <c r="G157" s="6" t="str">
        <f t="shared" si="9"/>
        <v/>
      </c>
      <c r="H157" s="2"/>
      <c r="I157" s="5" t="str">
        <f t="shared" si="10"/>
        <v/>
      </c>
      <c r="J157" s="3">
        <f>IFERROR(SUMIFS(Bank_Rates!$C$2:$C$100,Bank_Rates!$A$2:$A$100,H157,Bank_Rates!$B$2:$B$100,LOOKUP(2,1/((Bank_Rates!$A$2:$A$100=H157)*(Bank_Rates!$B$2:$B$100&lt;=C157)),Bank_Rates!$B$2:$B$100),Bank_Rates!$D$2:$D$100,_xlfn.AGGREGATE(14,6,Bank_Rates!$D$2:$D$100/((Bank_Rates!$A$2:$A$100=H157)*(Bank_Rates!$B$2:$B$100=LOOKUP(2,1/((Bank_Rates!$A$2:$A$100=H157)*(Bank_Rates!$B$2:$B$100&lt;=C157)),Bank_Rates!$B$2:$B$100))*(Bank_Rates!$D$2:$D$100&lt;=G157)),1)),"No Match")</f>
        <v>0</v>
      </c>
      <c r="K157" s="5" t="str">
        <f t="shared" si="11"/>
        <v/>
      </c>
      <c r="L157" s="2"/>
      <c r="M157" s="2"/>
      <c r="N157" s="2"/>
    </row>
    <row r="158" spans="1:14">
      <c r="A158" s="2" t="str">
        <f t="shared" si="8"/>
        <v/>
      </c>
      <c r="B158" s="2"/>
      <c r="C158" s="4"/>
      <c r="D158" s="7"/>
      <c r="E158" s="7"/>
      <c r="F158" s="4"/>
      <c r="G158" s="6" t="str">
        <f t="shared" si="9"/>
        <v/>
      </c>
      <c r="H158" s="2"/>
      <c r="I158" s="5" t="str">
        <f t="shared" si="10"/>
        <v/>
      </c>
      <c r="J158" s="3">
        <f>IFERROR(SUMIFS(Bank_Rates!$C$2:$C$100,Bank_Rates!$A$2:$A$100,H158,Bank_Rates!$B$2:$B$100,LOOKUP(2,1/((Bank_Rates!$A$2:$A$100=H158)*(Bank_Rates!$B$2:$B$100&lt;=C158)),Bank_Rates!$B$2:$B$100),Bank_Rates!$D$2:$D$100,_xlfn.AGGREGATE(14,6,Bank_Rates!$D$2:$D$100/((Bank_Rates!$A$2:$A$100=H158)*(Bank_Rates!$B$2:$B$100=LOOKUP(2,1/((Bank_Rates!$A$2:$A$100=H158)*(Bank_Rates!$B$2:$B$100&lt;=C158)),Bank_Rates!$B$2:$B$100))*(Bank_Rates!$D$2:$D$100&lt;=G158)),1)),"No Match")</f>
        <v>0</v>
      </c>
      <c r="K158" s="5" t="str">
        <f t="shared" si="11"/>
        <v/>
      </c>
      <c r="L158" s="2"/>
      <c r="M158" s="2"/>
      <c r="N158" s="2"/>
    </row>
    <row r="159" spans="1:14">
      <c r="A159" s="2" t="str">
        <f t="shared" si="8"/>
        <v/>
      </c>
      <c r="B159" s="2"/>
      <c r="C159" s="4"/>
      <c r="D159" s="7"/>
      <c r="E159" s="7"/>
      <c r="F159" s="4"/>
      <c r="G159" s="6" t="str">
        <f t="shared" si="9"/>
        <v/>
      </c>
      <c r="H159" s="2"/>
      <c r="I159" s="5" t="str">
        <f t="shared" si="10"/>
        <v/>
      </c>
      <c r="J159" s="3">
        <f>IFERROR(SUMIFS(Bank_Rates!$C$2:$C$100,Bank_Rates!$A$2:$A$100,H159,Bank_Rates!$B$2:$B$100,LOOKUP(2,1/((Bank_Rates!$A$2:$A$100=H159)*(Bank_Rates!$B$2:$B$100&lt;=C159)),Bank_Rates!$B$2:$B$100),Bank_Rates!$D$2:$D$100,_xlfn.AGGREGATE(14,6,Bank_Rates!$D$2:$D$100/((Bank_Rates!$A$2:$A$100=H159)*(Bank_Rates!$B$2:$B$100=LOOKUP(2,1/((Bank_Rates!$A$2:$A$100=H159)*(Bank_Rates!$B$2:$B$100&lt;=C159)),Bank_Rates!$B$2:$B$100))*(Bank_Rates!$D$2:$D$100&lt;=G159)),1)),"No Match")</f>
        <v>0</v>
      </c>
      <c r="K159" s="5" t="str">
        <f t="shared" si="11"/>
        <v/>
      </c>
      <c r="L159" s="2"/>
      <c r="M159" s="2"/>
      <c r="N159" s="2"/>
    </row>
    <row r="160" spans="1:14">
      <c r="A160" s="2" t="str">
        <f t="shared" si="8"/>
        <v/>
      </c>
      <c r="B160" s="2"/>
      <c r="C160" s="4"/>
      <c r="D160" s="7"/>
      <c r="E160" s="7"/>
      <c r="F160" s="4"/>
      <c r="G160" s="6" t="str">
        <f t="shared" si="9"/>
        <v/>
      </c>
      <c r="H160" s="2"/>
      <c r="I160" s="5" t="str">
        <f t="shared" si="10"/>
        <v/>
      </c>
      <c r="J160" s="3">
        <f>IFERROR(SUMIFS(Bank_Rates!$C$2:$C$100,Bank_Rates!$A$2:$A$100,H160,Bank_Rates!$B$2:$B$100,LOOKUP(2,1/((Bank_Rates!$A$2:$A$100=H160)*(Bank_Rates!$B$2:$B$100&lt;=C160)),Bank_Rates!$B$2:$B$100),Bank_Rates!$D$2:$D$100,_xlfn.AGGREGATE(14,6,Bank_Rates!$D$2:$D$100/((Bank_Rates!$A$2:$A$100=H160)*(Bank_Rates!$B$2:$B$100=LOOKUP(2,1/((Bank_Rates!$A$2:$A$100=H160)*(Bank_Rates!$B$2:$B$100&lt;=C160)),Bank_Rates!$B$2:$B$100))*(Bank_Rates!$D$2:$D$100&lt;=G160)),1)),"No Match")</f>
        <v>0</v>
      </c>
      <c r="K160" s="5" t="str">
        <f t="shared" si="11"/>
        <v/>
      </c>
      <c r="L160" s="2"/>
      <c r="M160" s="2"/>
      <c r="N160" s="2"/>
    </row>
    <row r="161" spans="1:14">
      <c r="A161" s="2" t="str">
        <f t="shared" si="8"/>
        <v/>
      </c>
      <c r="B161" s="2"/>
      <c r="C161" s="4"/>
      <c r="D161" s="7"/>
      <c r="E161" s="7"/>
      <c r="F161" s="4"/>
      <c r="G161" s="6" t="str">
        <f t="shared" si="9"/>
        <v/>
      </c>
      <c r="H161" s="2"/>
      <c r="I161" s="5" t="str">
        <f t="shared" si="10"/>
        <v/>
      </c>
      <c r="J161" s="3">
        <f>IFERROR(SUMIFS(Bank_Rates!$C$2:$C$100,Bank_Rates!$A$2:$A$100,H161,Bank_Rates!$B$2:$B$100,LOOKUP(2,1/((Bank_Rates!$A$2:$A$100=H161)*(Bank_Rates!$B$2:$B$100&lt;=C161)),Bank_Rates!$B$2:$B$100),Bank_Rates!$D$2:$D$100,_xlfn.AGGREGATE(14,6,Bank_Rates!$D$2:$D$100/((Bank_Rates!$A$2:$A$100=H161)*(Bank_Rates!$B$2:$B$100=LOOKUP(2,1/((Bank_Rates!$A$2:$A$100=H161)*(Bank_Rates!$B$2:$B$100&lt;=C161)),Bank_Rates!$B$2:$B$100))*(Bank_Rates!$D$2:$D$100&lt;=G161)),1)),"No Match")</f>
        <v>0</v>
      </c>
      <c r="K161" s="5" t="str">
        <f t="shared" si="11"/>
        <v/>
      </c>
      <c r="L161" s="2"/>
      <c r="M161" s="2"/>
      <c r="N161" s="2"/>
    </row>
    <row r="162" spans="1:14">
      <c r="A162" s="2" t="str">
        <f t="shared" si="8"/>
        <v/>
      </c>
      <c r="B162" s="2"/>
      <c r="C162" s="4"/>
      <c r="D162" s="7"/>
      <c r="E162" s="7"/>
      <c r="F162" s="4"/>
      <c r="G162" s="6" t="str">
        <f t="shared" si="9"/>
        <v/>
      </c>
      <c r="H162" s="2"/>
      <c r="I162" s="5" t="str">
        <f t="shared" si="10"/>
        <v/>
      </c>
      <c r="J162" s="3">
        <f>IFERROR(SUMIFS(Bank_Rates!$C$2:$C$100,Bank_Rates!$A$2:$A$100,H162,Bank_Rates!$B$2:$B$100,LOOKUP(2,1/((Bank_Rates!$A$2:$A$100=H162)*(Bank_Rates!$B$2:$B$100&lt;=C162)),Bank_Rates!$B$2:$B$100),Bank_Rates!$D$2:$D$100,_xlfn.AGGREGATE(14,6,Bank_Rates!$D$2:$D$100/((Bank_Rates!$A$2:$A$100=H162)*(Bank_Rates!$B$2:$B$100=LOOKUP(2,1/((Bank_Rates!$A$2:$A$100=H162)*(Bank_Rates!$B$2:$B$100&lt;=C162)),Bank_Rates!$B$2:$B$100))*(Bank_Rates!$D$2:$D$100&lt;=G162)),1)),"No Match")</f>
        <v>0</v>
      </c>
      <c r="K162" s="5" t="str">
        <f t="shared" si="11"/>
        <v/>
      </c>
      <c r="L162" s="2"/>
      <c r="M162" s="2"/>
      <c r="N162" s="2"/>
    </row>
    <row r="163" spans="1:14">
      <c r="A163" s="2" t="str">
        <f t="shared" si="8"/>
        <v/>
      </c>
      <c r="B163" s="2"/>
      <c r="C163" s="4"/>
      <c r="D163" s="7"/>
      <c r="E163" s="7"/>
      <c r="F163" s="4"/>
      <c r="G163" s="6" t="str">
        <f t="shared" si="9"/>
        <v/>
      </c>
      <c r="H163" s="2"/>
      <c r="I163" s="5" t="str">
        <f t="shared" si="10"/>
        <v/>
      </c>
      <c r="J163" s="3">
        <f>IFERROR(SUMIFS(Bank_Rates!$C$2:$C$100,Bank_Rates!$A$2:$A$100,H163,Bank_Rates!$B$2:$B$100,LOOKUP(2,1/((Bank_Rates!$A$2:$A$100=H163)*(Bank_Rates!$B$2:$B$100&lt;=C163)),Bank_Rates!$B$2:$B$100),Bank_Rates!$D$2:$D$100,_xlfn.AGGREGATE(14,6,Bank_Rates!$D$2:$D$100/((Bank_Rates!$A$2:$A$100=H163)*(Bank_Rates!$B$2:$B$100=LOOKUP(2,1/((Bank_Rates!$A$2:$A$100=H163)*(Bank_Rates!$B$2:$B$100&lt;=C163)),Bank_Rates!$B$2:$B$100))*(Bank_Rates!$D$2:$D$100&lt;=G163)),1)),"No Match")</f>
        <v>0</v>
      </c>
      <c r="K163" s="5" t="str">
        <f t="shared" si="11"/>
        <v/>
      </c>
      <c r="L163" s="2"/>
      <c r="M163" s="2"/>
      <c r="N163" s="2"/>
    </row>
    <row r="164" spans="1:14">
      <c r="A164" s="2" t="str">
        <f t="shared" si="8"/>
        <v/>
      </c>
      <c r="B164" s="2"/>
      <c r="C164" s="4"/>
      <c r="D164" s="7"/>
      <c r="E164" s="7"/>
      <c r="F164" s="4"/>
      <c r="G164" s="6" t="str">
        <f t="shared" si="9"/>
        <v/>
      </c>
      <c r="H164" s="2"/>
      <c r="I164" s="5" t="str">
        <f t="shared" si="10"/>
        <v/>
      </c>
      <c r="J164" s="3">
        <f>IFERROR(SUMIFS(Bank_Rates!$C$2:$C$100,Bank_Rates!$A$2:$A$100,H164,Bank_Rates!$B$2:$B$100,LOOKUP(2,1/((Bank_Rates!$A$2:$A$100=H164)*(Bank_Rates!$B$2:$B$100&lt;=C164)),Bank_Rates!$B$2:$B$100),Bank_Rates!$D$2:$D$100,_xlfn.AGGREGATE(14,6,Bank_Rates!$D$2:$D$100/((Bank_Rates!$A$2:$A$100=H164)*(Bank_Rates!$B$2:$B$100=LOOKUP(2,1/((Bank_Rates!$A$2:$A$100=H164)*(Bank_Rates!$B$2:$B$100&lt;=C164)),Bank_Rates!$B$2:$B$100))*(Bank_Rates!$D$2:$D$100&lt;=G164)),1)),"No Match")</f>
        <v>0</v>
      </c>
      <c r="K164" s="5" t="str">
        <f t="shared" si="11"/>
        <v/>
      </c>
      <c r="L164" s="2"/>
      <c r="M164" s="2"/>
      <c r="N164" s="2"/>
    </row>
    <row r="165" spans="1:14">
      <c r="A165" s="2" t="str">
        <f t="shared" si="8"/>
        <v/>
      </c>
      <c r="B165" s="2"/>
      <c r="C165" s="4"/>
      <c r="D165" s="7"/>
      <c r="E165" s="7"/>
      <c r="F165" s="4"/>
      <c r="G165" s="6" t="str">
        <f t="shared" si="9"/>
        <v/>
      </c>
      <c r="H165" s="2"/>
      <c r="I165" s="5" t="str">
        <f t="shared" si="10"/>
        <v/>
      </c>
      <c r="J165" s="3">
        <f>IFERROR(SUMIFS(Bank_Rates!$C$2:$C$100,Bank_Rates!$A$2:$A$100,H165,Bank_Rates!$B$2:$B$100,LOOKUP(2,1/((Bank_Rates!$A$2:$A$100=H165)*(Bank_Rates!$B$2:$B$100&lt;=C165)),Bank_Rates!$B$2:$B$100),Bank_Rates!$D$2:$D$100,_xlfn.AGGREGATE(14,6,Bank_Rates!$D$2:$D$100/((Bank_Rates!$A$2:$A$100=H165)*(Bank_Rates!$B$2:$B$100=LOOKUP(2,1/((Bank_Rates!$A$2:$A$100=H165)*(Bank_Rates!$B$2:$B$100&lt;=C165)),Bank_Rates!$B$2:$B$100))*(Bank_Rates!$D$2:$D$100&lt;=G165)),1)),"No Match")</f>
        <v>0</v>
      </c>
      <c r="K165" s="5" t="str">
        <f t="shared" si="11"/>
        <v/>
      </c>
      <c r="L165" s="2"/>
      <c r="M165" s="2"/>
      <c r="N165" s="2"/>
    </row>
    <row r="166" spans="1:14">
      <c r="A166" s="2" t="str">
        <f t="shared" si="8"/>
        <v/>
      </c>
      <c r="B166" s="2"/>
      <c r="C166" s="4"/>
      <c r="D166" s="7"/>
      <c r="E166" s="7"/>
      <c r="F166" s="4"/>
      <c r="G166" s="6" t="str">
        <f t="shared" si="9"/>
        <v/>
      </c>
      <c r="H166" s="2"/>
      <c r="I166" s="5" t="str">
        <f t="shared" si="10"/>
        <v/>
      </c>
      <c r="J166" s="3">
        <f>IFERROR(SUMIFS(Bank_Rates!$C$2:$C$100,Bank_Rates!$A$2:$A$100,H166,Bank_Rates!$B$2:$B$100,LOOKUP(2,1/((Bank_Rates!$A$2:$A$100=H166)*(Bank_Rates!$B$2:$B$100&lt;=C166)),Bank_Rates!$B$2:$B$100),Bank_Rates!$D$2:$D$100,_xlfn.AGGREGATE(14,6,Bank_Rates!$D$2:$D$100/((Bank_Rates!$A$2:$A$100=H166)*(Bank_Rates!$B$2:$B$100=LOOKUP(2,1/((Bank_Rates!$A$2:$A$100=H166)*(Bank_Rates!$B$2:$B$100&lt;=C166)),Bank_Rates!$B$2:$B$100))*(Bank_Rates!$D$2:$D$100&lt;=G166)),1)),"No Match")</f>
        <v>0</v>
      </c>
      <c r="K166" s="5" t="str">
        <f t="shared" si="11"/>
        <v/>
      </c>
      <c r="L166" s="2"/>
      <c r="M166" s="2"/>
      <c r="N166" s="2"/>
    </row>
    <row r="167" spans="1:14">
      <c r="A167" s="2" t="str">
        <f t="shared" si="8"/>
        <v/>
      </c>
      <c r="B167" s="2"/>
      <c r="C167" s="4"/>
      <c r="D167" s="7"/>
      <c r="E167" s="7"/>
      <c r="F167" s="4"/>
      <c r="G167" s="6" t="str">
        <f t="shared" si="9"/>
        <v/>
      </c>
      <c r="H167" s="2"/>
      <c r="I167" s="5" t="str">
        <f t="shared" si="10"/>
        <v/>
      </c>
      <c r="J167" s="3">
        <f>IFERROR(SUMIFS(Bank_Rates!$C$2:$C$100,Bank_Rates!$A$2:$A$100,H167,Bank_Rates!$B$2:$B$100,LOOKUP(2,1/((Bank_Rates!$A$2:$A$100=H167)*(Bank_Rates!$B$2:$B$100&lt;=C167)),Bank_Rates!$B$2:$B$100),Bank_Rates!$D$2:$D$100,_xlfn.AGGREGATE(14,6,Bank_Rates!$D$2:$D$100/((Bank_Rates!$A$2:$A$100=H167)*(Bank_Rates!$B$2:$B$100=LOOKUP(2,1/((Bank_Rates!$A$2:$A$100=H167)*(Bank_Rates!$B$2:$B$100&lt;=C167)),Bank_Rates!$B$2:$B$100))*(Bank_Rates!$D$2:$D$100&lt;=G167)),1)),"No Match")</f>
        <v>0</v>
      </c>
      <c r="K167" s="5" t="str">
        <f t="shared" si="11"/>
        <v/>
      </c>
      <c r="L167" s="2"/>
      <c r="M167" s="2"/>
      <c r="N167" s="2"/>
    </row>
    <row r="168" spans="1:14">
      <c r="A168" s="2" t="str">
        <f t="shared" si="8"/>
        <v/>
      </c>
      <c r="B168" s="2"/>
      <c r="C168" s="4"/>
      <c r="D168" s="7"/>
      <c r="E168" s="7"/>
      <c r="F168" s="4"/>
      <c r="G168" s="6" t="str">
        <f t="shared" si="9"/>
        <v/>
      </c>
      <c r="H168" s="2"/>
      <c r="I168" s="5" t="str">
        <f t="shared" si="10"/>
        <v/>
      </c>
      <c r="J168" s="3">
        <f>IFERROR(SUMIFS(Bank_Rates!$C$2:$C$100,Bank_Rates!$A$2:$A$100,H168,Bank_Rates!$B$2:$B$100,LOOKUP(2,1/((Bank_Rates!$A$2:$A$100=H168)*(Bank_Rates!$B$2:$B$100&lt;=C168)),Bank_Rates!$B$2:$B$100),Bank_Rates!$D$2:$D$100,_xlfn.AGGREGATE(14,6,Bank_Rates!$D$2:$D$100/((Bank_Rates!$A$2:$A$100=H168)*(Bank_Rates!$B$2:$B$100=LOOKUP(2,1/((Bank_Rates!$A$2:$A$100=H168)*(Bank_Rates!$B$2:$B$100&lt;=C168)),Bank_Rates!$B$2:$B$100))*(Bank_Rates!$D$2:$D$100&lt;=G168)),1)),"No Match")</f>
        <v>0</v>
      </c>
      <c r="K168" s="5" t="str">
        <f t="shared" si="11"/>
        <v/>
      </c>
      <c r="L168" s="2"/>
      <c r="M168" s="2"/>
      <c r="N168" s="2"/>
    </row>
    <row r="169" spans="1:14">
      <c r="A169" s="2" t="str">
        <f t="shared" si="8"/>
        <v/>
      </c>
      <c r="B169" s="2"/>
      <c r="C169" s="4"/>
      <c r="D169" s="7"/>
      <c r="E169" s="7"/>
      <c r="F169" s="4"/>
      <c r="G169" s="6" t="str">
        <f t="shared" si="9"/>
        <v/>
      </c>
      <c r="H169" s="2"/>
      <c r="I169" s="5" t="str">
        <f t="shared" si="10"/>
        <v/>
      </c>
      <c r="J169" s="3">
        <f>IFERROR(SUMIFS(Bank_Rates!$C$2:$C$100,Bank_Rates!$A$2:$A$100,H169,Bank_Rates!$B$2:$B$100,LOOKUP(2,1/((Bank_Rates!$A$2:$A$100=H169)*(Bank_Rates!$B$2:$B$100&lt;=C169)),Bank_Rates!$B$2:$B$100),Bank_Rates!$D$2:$D$100,_xlfn.AGGREGATE(14,6,Bank_Rates!$D$2:$D$100/((Bank_Rates!$A$2:$A$100=H169)*(Bank_Rates!$B$2:$B$100=LOOKUP(2,1/((Bank_Rates!$A$2:$A$100=H169)*(Bank_Rates!$B$2:$B$100&lt;=C169)),Bank_Rates!$B$2:$B$100))*(Bank_Rates!$D$2:$D$100&lt;=G169)),1)),"No Match")</f>
        <v>0</v>
      </c>
      <c r="K169" s="5" t="str">
        <f t="shared" si="11"/>
        <v/>
      </c>
      <c r="L169" s="2"/>
      <c r="M169" s="2"/>
      <c r="N169" s="2"/>
    </row>
    <row r="170" spans="1:14">
      <c r="A170" s="2" t="str">
        <f t="shared" si="8"/>
        <v/>
      </c>
      <c r="B170" s="2"/>
      <c r="C170" s="4"/>
      <c r="D170" s="7"/>
      <c r="E170" s="7"/>
      <c r="F170" s="4"/>
      <c r="G170" s="6" t="str">
        <f t="shared" si="9"/>
        <v/>
      </c>
      <c r="H170" s="2"/>
      <c r="I170" s="5" t="str">
        <f t="shared" si="10"/>
        <v/>
      </c>
      <c r="J170" s="3">
        <f>IFERROR(SUMIFS(Bank_Rates!$C$2:$C$100,Bank_Rates!$A$2:$A$100,H170,Bank_Rates!$B$2:$B$100,LOOKUP(2,1/((Bank_Rates!$A$2:$A$100=H170)*(Bank_Rates!$B$2:$B$100&lt;=C170)),Bank_Rates!$B$2:$B$100),Bank_Rates!$D$2:$D$100,_xlfn.AGGREGATE(14,6,Bank_Rates!$D$2:$D$100/((Bank_Rates!$A$2:$A$100=H170)*(Bank_Rates!$B$2:$B$100=LOOKUP(2,1/((Bank_Rates!$A$2:$A$100=H170)*(Bank_Rates!$B$2:$B$100&lt;=C170)),Bank_Rates!$B$2:$B$100))*(Bank_Rates!$D$2:$D$100&lt;=G170)),1)),"No Match")</f>
        <v>0</v>
      </c>
      <c r="K170" s="5" t="str">
        <f t="shared" si="11"/>
        <v/>
      </c>
      <c r="L170" s="2"/>
      <c r="M170" s="2"/>
      <c r="N170" s="2"/>
    </row>
    <row r="171" spans="1:14">
      <c r="A171" s="2" t="str">
        <f t="shared" si="8"/>
        <v/>
      </c>
      <c r="B171" s="2"/>
      <c r="C171" s="4"/>
      <c r="D171" s="7"/>
      <c r="E171" s="7"/>
      <c r="F171" s="4"/>
      <c r="G171" s="6" t="str">
        <f t="shared" si="9"/>
        <v/>
      </c>
      <c r="H171" s="2"/>
      <c r="I171" s="5" t="str">
        <f t="shared" si="10"/>
        <v/>
      </c>
      <c r="J171" s="3">
        <f>IFERROR(SUMIFS(Bank_Rates!$C$2:$C$100,Bank_Rates!$A$2:$A$100,H171,Bank_Rates!$B$2:$B$100,LOOKUP(2,1/((Bank_Rates!$A$2:$A$100=H171)*(Bank_Rates!$B$2:$B$100&lt;=C171)),Bank_Rates!$B$2:$B$100),Bank_Rates!$D$2:$D$100,_xlfn.AGGREGATE(14,6,Bank_Rates!$D$2:$D$100/((Bank_Rates!$A$2:$A$100=H171)*(Bank_Rates!$B$2:$B$100=LOOKUP(2,1/((Bank_Rates!$A$2:$A$100=H171)*(Bank_Rates!$B$2:$B$100&lt;=C171)),Bank_Rates!$B$2:$B$100))*(Bank_Rates!$D$2:$D$100&lt;=G171)),1)),"No Match")</f>
        <v>0</v>
      </c>
      <c r="K171" s="5" t="str">
        <f t="shared" si="11"/>
        <v/>
      </c>
      <c r="L171" s="2"/>
      <c r="M171" s="2"/>
      <c r="N171" s="2"/>
    </row>
    <row r="172" spans="1:14">
      <c r="A172" s="2" t="str">
        <f t="shared" si="8"/>
        <v/>
      </c>
      <c r="B172" s="2"/>
      <c r="C172" s="4"/>
      <c r="D172" s="7"/>
      <c r="E172" s="7"/>
      <c r="F172" s="4"/>
      <c r="G172" s="6" t="str">
        <f t="shared" si="9"/>
        <v/>
      </c>
      <c r="H172" s="2"/>
      <c r="I172" s="5" t="str">
        <f t="shared" si="10"/>
        <v/>
      </c>
      <c r="J172" s="3">
        <f>IFERROR(SUMIFS(Bank_Rates!$C$2:$C$100,Bank_Rates!$A$2:$A$100,H172,Bank_Rates!$B$2:$B$100,LOOKUP(2,1/((Bank_Rates!$A$2:$A$100=H172)*(Bank_Rates!$B$2:$B$100&lt;=C172)),Bank_Rates!$B$2:$B$100),Bank_Rates!$D$2:$D$100,_xlfn.AGGREGATE(14,6,Bank_Rates!$D$2:$D$100/((Bank_Rates!$A$2:$A$100=H172)*(Bank_Rates!$B$2:$B$100=LOOKUP(2,1/((Bank_Rates!$A$2:$A$100=H172)*(Bank_Rates!$B$2:$B$100&lt;=C172)),Bank_Rates!$B$2:$B$100))*(Bank_Rates!$D$2:$D$100&lt;=G172)),1)),"No Match")</f>
        <v>0</v>
      </c>
      <c r="K172" s="5" t="str">
        <f t="shared" si="11"/>
        <v/>
      </c>
      <c r="L172" s="2"/>
      <c r="M172" s="2"/>
      <c r="N172" s="2"/>
    </row>
    <row r="173" spans="1:14">
      <c r="A173" s="2" t="str">
        <f t="shared" si="8"/>
        <v/>
      </c>
      <c r="B173" s="2"/>
      <c r="C173" s="4"/>
      <c r="D173" s="7"/>
      <c r="E173" s="7"/>
      <c r="F173" s="4"/>
      <c r="G173" s="6" t="str">
        <f t="shared" si="9"/>
        <v/>
      </c>
      <c r="H173" s="2"/>
      <c r="I173" s="5" t="str">
        <f t="shared" si="10"/>
        <v/>
      </c>
      <c r="J173" s="3">
        <f>IFERROR(SUMIFS(Bank_Rates!$C$2:$C$100,Bank_Rates!$A$2:$A$100,H173,Bank_Rates!$B$2:$B$100,LOOKUP(2,1/((Bank_Rates!$A$2:$A$100=H173)*(Bank_Rates!$B$2:$B$100&lt;=C173)),Bank_Rates!$B$2:$B$100),Bank_Rates!$D$2:$D$100,_xlfn.AGGREGATE(14,6,Bank_Rates!$D$2:$D$100/((Bank_Rates!$A$2:$A$100=H173)*(Bank_Rates!$B$2:$B$100=LOOKUP(2,1/((Bank_Rates!$A$2:$A$100=H173)*(Bank_Rates!$B$2:$B$100&lt;=C173)),Bank_Rates!$B$2:$B$100))*(Bank_Rates!$D$2:$D$100&lt;=G173)),1)),"No Match")</f>
        <v>0</v>
      </c>
      <c r="K173" s="5" t="str">
        <f t="shared" si="11"/>
        <v/>
      </c>
      <c r="L173" s="2"/>
      <c r="M173" s="2"/>
      <c r="N173" s="2"/>
    </row>
    <row r="174" spans="1:14">
      <c r="A174" s="2" t="str">
        <f t="shared" si="8"/>
        <v/>
      </c>
      <c r="B174" s="2"/>
      <c r="C174" s="4"/>
      <c r="D174" s="7"/>
      <c r="E174" s="7"/>
      <c r="F174" s="4"/>
      <c r="G174" s="6" t="str">
        <f t="shared" si="9"/>
        <v/>
      </c>
      <c r="H174" s="2"/>
      <c r="I174" s="5" t="str">
        <f t="shared" si="10"/>
        <v/>
      </c>
      <c r="J174" s="3">
        <f>IFERROR(SUMIFS(Bank_Rates!$C$2:$C$100,Bank_Rates!$A$2:$A$100,H174,Bank_Rates!$B$2:$B$100,LOOKUP(2,1/((Bank_Rates!$A$2:$A$100=H174)*(Bank_Rates!$B$2:$B$100&lt;=C174)),Bank_Rates!$B$2:$B$100),Bank_Rates!$D$2:$D$100,_xlfn.AGGREGATE(14,6,Bank_Rates!$D$2:$D$100/((Bank_Rates!$A$2:$A$100=H174)*(Bank_Rates!$B$2:$B$100=LOOKUP(2,1/((Bank_Rates!$A$2:$A$100=H174)*(Bank_Rates!$B$2:$B$100&lt;=C174)),Bank_Rates!$B$2:$B$100))*(Bank_Rates!$D$2:$D$100&lt;=G174)),1)),"No Match")</f>
        <v>0</v>
      </c>
      <c r="K174" s="5" t="str">
        <f t="shared" si="11"/>
        <v/>
      </c>
      <c r="L174" s="2"/>
      <c r="M174" s="2"/>
      <c r="N174" s="2"/>
    </row>
    <row r="175" spans="1:14">
      <c r="A175" s="2" t="str">
        <f t="shared" si="8"/>
        <v/>
      </c>
      <c r="B175" s="2"/>
      <c r="C175" s="4"/>
      <c r="D175" s="7"/>
      <c r="E175" s="7"/>
      <c r="F175" s="4"/>
      <c r="G175" s="6" t="str">
        <f t="shared" si="9"/>
        <v/>
      </c>
      <c r="H175" s="2"/>
      <c r="I175" s="5" t="str">
        <f t="shared" si="10"/>
        <v/>
      </c>
      <c r="J175" s="3">
        <f>IFERROR(SUMIFS(Bank_Rates!$C$2:$C$100,Bank_Rates!$A$2:$A$100,H175,Bank_Rates!$B$2:$B$100,LOOKUP(2,1/((Bank_Rates!$A$2:$A$100=H175)*(Bank_Rates!$B$2:$B$100&lt;=C175)),Bank_Rates!$B$2:$B$100),Bank_Rates!$D$2:$D$100,_xlfn.AGGREGATE(14,6,Bank_Rates!$D$2:$D$100/((Bank_Rates!$A$2:$A$100=H175)*(Bank_Rates!$B$2:$B$100=LOOKUP(2,1/((Bank_Rates!$A$2:$A$100=H175)*(Bank_Rates!$B$2:$B$100&lt;=C175)),Bank_Rates!$B$2:$B$100))*(Bank_Rates!$D$2:$D$100&lt;=G175)),1)),"No Match")</f>
        <v>0</v>
      </c>
      <c r="K175" s="5" t="str">
        <f t="shared" si="11"/>
        <v/>
      </c>
      <c r="L175" s="2"/>
      <c r="M175" s="2"/>
      <c r="N175" s="2"/>
    </row>
    <row r="176" spans="1:14">
      <c r="A176" s="2" t="str">
        <f t="shared" si="8"/>
        <v/>
      </c>
      <c r="B176" s="2"/>
      <c r="C176" s="4"/>
      <c r="D176" s="7"/>
      <c r="E176" s="7"/>
      <c r="F176" s="4"/>
      <c r="G176" s="6" t="str">
        <f t="shared" si="9"/>
        <v/>
      </c>
      <c r="H176" s="2"/>
      <c r="I176" s="5" t="str">
        <f t="shared" si="10"/>
        <v/>
      </c>
      <c r="J176" s="3">
        <f>IFERROR(SUMIFS(Bank_Rates!$C$2:$C$100,Bank_Rates!$A$2:$A$100,H176,Bank_Rates!$B$2:$B$100,LOOKUP(2,1/((Bank_Rates!$A$2:$A$100=H176)*(Bank_Rates!$B$2:$B$100&lt;=C176)),Bank_Rates!$B$2:$B$100),Bank_Rates!$D$2:$D$100,_xlfn.AGGREGATE(14,6,Bank_Rates!$D$2:$D$100/((Bank_Rates!$A$2:$A$100=H176)*(Bank_Rates!$B$2:$B$100=LOOKUP(2,1/((Bank_Rates!$A$2:$A$100=H176)*(Bank_Rates!$B$2:$B$100&lt;=C176)),Bank_Rates!$B$2:$B$100))*(Bank_Rates!$D$2:$D$100&lt;=G176)),1)),"No Match")</f>
        <v>0</v>
      </c>
      <c r="K176" s="5" t="str">
        <f t="shared" si="11"/>
        <v/>
      </c>
      <c r="L176" s="2"/>
      <c r="M176" s="2"/>
      <c r="N176" s="2"/>
    </row>
    <row r="177" spans="1:14">
      <c r="A177" s="2" t="str">
        <f t="shared" si="8"/>
        <v/>
      </c>
      <c r="B177" s="2"/>
      <c r="C177" s="4"/>
      <c r="D177" s="7"/>
      <c r="E177" s="7"/>
      <c r="F177" s="4"/>
      <c r="G177" s="6" t="str">
        <f t="shared" si="9"/>
        <v/>
      </c>
      <c r="H177" s="2"/>
      <c r="I177" s="5" t="str">
        <f t="shared" si="10"/>
        <v/>
      </c>
      <c r="J177" s="3">
        <f>IFERROR(SUMIFS(Bank_Rates!$C$2:$C$100,Bank_Rates!$A$2:$A$100,H177,Bank_Rates!$B$2:$B$100,LOOKUP(2,1/((Bank_Rates!$A$2:$A$100=H177)*(Bank_Rates!$B$2:$B$100&lt;=C177)),Bank_Rates!$B$2:$B$100),Bank_Rates!$D$2:$D$100,_xlfn.AGGREGATE(14,6,Bank_Rates!$D$2:$D$100/((Bank_Rates!$A$2:$A$100=H177)*(Bank_Rates!$B$2:$B$100=LOOKUP(2,1/((Bank_Rates!$A$2:$A$100=H177)*(Bank_Rates!$B$2:$B$100&lt;=C177)),Bank_Rates!$B$2:$B$100))*(Bank_Rates!$D$2:$D$100&lt;=G177)),1)),"No Match")</f>
        <v>0</v>
      </c>
      <c r="K177" s="5" t="str">
        <f t="shared" si="11"/>
        <v/>
      </c>
      <c r="L177" s="2"/>
      <c r="M177" s="2"/>
      <c r="N177" s="2"/>
    </row>
    <row r="178" spans="1:14">
      <c r="A178" s="2" t="str">
        <f t="shared" si="8"/>
        <v/>
      </c>
      <c r="B178" s="2"/>
      <c r="C178" s="4"/>
      <c r="D178" s="7"/>
      <c r="E178" s="7"/>
      <c r="F178" s="4"/>
      <c r="G178" s="6" t="str">
        <f t="shared" si="9"/>
        <v/>
      </c>
      <c r="H178" s="2"/>
      <c r="I178" s="5" t="str">
        <f t="shared" si="10"/>
        <v/>
      </c>
      <c r="J178" s="3">
        <f>IFERROR(SUMIFS(Bank_Rates!$C$2:$C$100,Bank_Rates!$A$2:$A$100,H178,Bank_Rates!$B$2:$B$100,LOOKUP(2,1/((Bank_Rates!$A$2:$A$100=H178)*(Bank_Rates!$B$2:$B$100&lt;=C178)),Bank_Rates!$B$2:$B$100),Bank_Rates!$D$2:$D$100,_xlfn.AGGREGATE(14,6,Bank_Rates!$D$2:$D$100/((Bank_Rates!$A$2:$A$100=H178)*(Bank_Rates!$B$2:$B$100=LOOKUP(2,1/((Bank_Rates!$A$2:$A$100=H178)*(Bank_Rates!$B$2:$B$100&lt;=C178)),Bank_Rates!$B$2:$B$100))*(Bank_Rates!$D$2:$D$100&lt;=G178)),1)),"No Match")</f>
        <v>0</v>
      </c>
      <c r="K178" s="5" t="str">
        <f t="shared" si="11"/>
        <v/>
      </c>
      <c r="L178" s="2"/>
      <c r="M178" s="2"/>
      <c r="N178" s="2"/>
    </row>
    <row r="179" spans="1:14">
      <c r="A179" s="2" t="str">
        <f t="shared" si="8"/>
        <v/>
      </c>
      <c r="B179" s="2"/>
      <c r="C179" s="4"/>
      <c r="D179" s="7"/>
      <c r="E179" s="7"/>
      <c r="F179" s="4"/>
      <c r="G179" s="6" t="str">
        <f t="shared" si="9"/>
        <v/>
      </c>
      <c r="H179" s="2"/>
      <c r="I179" s="5" t="str">
        <f t="shared" si="10"/>
        <v/>
      </c>
      <c r="J179" s="3">
        <f>IFERROR(SUMIFS(Bank_Rates!$C$2:$C$100,Bank_Rates!$A$2:$A$100,H179,Bank_Rates!$B$2:$B$100,LOOKUP(2,1/((Bank_Rates!$A$2:$A$100=H179)*(Bank_Rates!$B$2:$B$100&lt;=C179)),Bank_Rates!$B$2:$B$100),Bank_Rates!$D$2:$D$100,_xlfn.AGGREGATE(14,6,Bank_Rates!$D$2:$D$100/((Bank_Rates!$A$2:$A$100=H179)*(Bank_Rates!$B$2:$B$100=LOOKUP(2,1/((Bank_Rates!$A$2:$A$100=H179)*(Bank_Rates!$B$2:$B$100&lt;=C179)),Bank_Rates!$B$2:$B$100))*(Bank_Rates!$D$2:$D$100&lt;=G179)),1)),"No Match")</f>
        <v>0</v>
      </c>
      <c r="K179" s="5" t="str">
        <f t="shared" si="11"/>
        <v/>
      </c>
      <c r="L179" s="2"/>
      <c r="M179" s="2"/>
      <c r="N179" s="2"/>
    </row>
    <row r="180" spans="1:14">
      <c r="A180" s="2" t="str">
        <f t="shared" si="8"/>
        <v/>
      </c>
      <c r="B180" s="2"/>
      <c r="C180" s="4"/>
      <c r="D180" s="7"/>
      <c r="E180" s="7"/>
      <c r="F180" s="4"/>
      <c r="G180" s="6" t="str">
        <f t="shared" si="9"/>
        <v/>
      </c>
      <c r="H180" s="2"/>
      <c r="I180" s="5" t="str">
        <f t="shared" si="10"/>
        <v/>
      </c>
      <c r="J180" s="3">
        <f>IFERROR(SUMIFS(Bank_Rates!$C$2:$C$100,Bank_Rates!$A$2:$A$100,H180,Bank_Rates!$B$2:$B$100,LOOKUP(2,1/((Bank_Rates!$A$2:$A$100=H180)*(Bank_Rates!$B$2:$B$100&lt;=C180)),Bank_Rates!$B$2:$B$100),Bank_Rates!$D$2:$D$100,_xlfn.AGGREGATE(14,6,Bank_Rates!$D$2:$D$100/((Bank_Rates!$A$2:$A$100=H180)*(Bank_Rates!$B$2:$B$100=LOOKUP(2,1/((Bank_Rates!$A$2:$A$100=H180)*(Bank_Rates!$B$2:$B$100&lt;=C180)),Bank_Rates!$B$2:$B$100))*(Bank_Rates!$D$2:$D$100&lt;=G180)),1)),"No Match")</f>
        <v>0</v>
      </c>
      <c r="K180" s="5" t="str">
        <f t="shared" si="11"/>
        <v/>
      </c>
      <c r="L180" s="2"/>
      <c r="M180" s="2"/>
      <c r="N180" s="2"/>
    </row>
    <row r="181" spans="1:14">
      <c r="A181" s="2" t="str">
        <f t="shared" si="8"/>
        <v/>
      </c>
      <c r="B181" s="2"/>
      <c r="C181" s="4"/>
      <c r="D181" s="7"/>
      <c r="E181" s="7"/>
      <c r="F181" s="4"/>
      <c r="G181" s="6" t="str">
        <f t="shared" si="9"/>
        <v/>
      </c>
      <c r="H181" s="2"/>
      <c r="I181" s="5" t="str">
        <f t="shared" si="10"/>
        <v/>
      </c>
      <c r="J181" s="3">
        <f>IFERROR(SUMIFS(Bank_Rates!$C$2:$C$100,Bank_Rates!$A$2:$A$100,H181,Bank_Rates!$B$2:$B$100,LOOKUP(2,1/((Bank_Rates!$A$2:$A$100=H181)*(Bank_Rates!$B$2:$B$100&lt;=C181)),Bank_Rates!$B$2:$B$100),Bank_Rates!$D$2:$D$100,_xlfn.AGGREGATE(14,6,Bank_Rates!$D$2:$D$100/((Bank_Rates!$A$2:$A$100=H181)*(Bank_Rates!$B$2:$B$100=LOOKUP(2,1/((Bank_Rates!$A$2:$A$100=H181)*(Bank_Rates!$B$2:$B$100&lt;=C181)),Bank_Rates!$B$2:$B$100))*(Bank_Rates!$D$2:$D$100&lt;=G181)),1)),"No Match")</f>
        <v>0</v>
      </c>
      <c r="K181" s="5" t="str">
        <f t="shared" si="11"/>
        <v/>
      </c>
      <c r="L181" s="2"/>
      <c r="M181" s="2"/>
      <c r="N181" s="2"/>
    </row>
    <row r="182" spans="1:14">
      <c r="A182" s="2" t="str">
        <f t="shared" si="8"/>
        <v/>
      </c>
      <c r="B182" s="2"/>
      <c r="C182" s="4"/>
      <c r="D182" s="7"/>
      <c r="E182" s="7"/>
      <c r="F182" s="4"/>
      <c r="G182" s="6" t="str">
        <f t="shared" si="9"/>
        <v/>
      </c>
      <c r="H182" s="2"/>
      <c r="I182" s="5" t="str">
        <f t="shared" si="10"/>
        <v/>
      </c>
      <c r="J182" s="3">
        <f>IFERROR(SUMIFS(Bank_Rates!$C$2:$C$100,Bank_Rates!$A$2:$A$100,H182,Bank_Rates!$B$2:$B$100,LOOKUP(2,1/((Bank_Rates!$A$2:$A$100=H182)*(Bank_Rates!$B$2:$B$100&lt;=C182)),Bank_Rates!$B$2:$B$100),Bank_Rates!$D$2:$D$100,_xlfn.AGGREGATE(14,6,Bank_Rates!$D$2:$D$100/((Bank_Rates!$A$2:$A$100=H182)*(Bank_Rates!$B$2:$B$100=LOOKUP(2,1/((Bank_Rates!$A$2:$A$100=H182)*(Bank_Rates!$B$2:$B$100&lt;=C182)),Bank_Rates!$B$2:$B$100))*(Bank_Rates!$D$2:$D$100&lt;=G182)),1)),"No Match")</f>
        <v>0</v>
      </c>
      <c r="K182" s="5" t="str">
        <f t="shared" si="11"/>
        <v/>
      </c>
      <c r="L182" s="2"/>
      <c r="M182" s="2"/>
      <c r="N182" s="2"/>
    </row>
    <row r="183" spans="1:14">
      <c r="A183" s="2" t="str">
        <f t="shared" si="8"/>
        <v/>
      </c>
      <c r="B183" s="2"/>
      <c r="C183" s="4"/>
      <c r="D183" s="7"/>
      <c r="E183" s="7"/>
      <c r="F183" s="4"/>
      <c r="G183" s="6" t="str">
        <f t="shared" si="9"/>
        <v/>
      </c>
      <c r="H183" s="2"/>
      <c r="I183" s="5" t="str">
        <f t="shared" si="10"/>
        <v/>
      </c>
      <c r="J183" s="3">
        <f>IFERROR(SUMIFS(Bank_Rates!$C$2:$C$100,Bank_Rates!$A$2:$A$100,H183,Bank_Rates!$B$2:$B$100,LOOKUP(2,1/((Bank_Rates!$A$2:$A$100=H183)*(Bank_Rates!$B$2:$B$100&lt;=C183)),Bank_Rates!$B$2:$B$100),Bank_Rates!$D$2:$D$100,_xlfn.AGGREGATE(14,6,Bank_Rates!$D$2:$D$100/((Bank_Rates!$A$2:$A$100=H183)*(Bank_Rates!$B$2:$B$100=LOOKUP(2,1/((Bank_Rates!$A$2:$A$100=H183)*(Bank_Rates!$B$2:$B$100&lt;=C183)),Bank_Rates!$B$2:$B$100))*(Bank_Rates!$D$2:$D$100&lt;=G183)),1)),"No Match")</f>
        <v>0</v>
      </c>
      <c r="K183" s="5" t="str">
        <f t="shared" si="11"/>
        <v/>
      </c>
      <c r="L183" s="2"/>
      <c r="M183" s="2"/>
      <c r="N183" s="2"/>
    </row>
    <row r="184" spans="1:14">
      <c r="A184" s="2" t="str">
        <f t="shared" si="8"/>
        <v/>
      </c>
      <c r="B184" s="2"/>
      <c r="C184" s="4"/>
      <c r="D184" s="7"/>
      <c r="E184" s="7"/>
      <c r="F184" s="4"/>
      <c r="G184" s="6" t="str">
        <f t="shared" si="9"/>
        <v/>
      </c>
      <c r="H184" s="2"/>
      <c r="I184" s="5" t="str">
        <f t="shared" si="10"/>
        <v/>
      </c>
      <c r="J184" s="3">
        <f>IFERROR(SUMIFS(Bank_Rates!$C$2:$C$100,Bank_Rates!$A$2:$A$100,H184,Bank_Rates!$B$2:$B$100,LOOKUP(2,1/((Bank_Rates!$A$2:$A$100=H184)*(Bank_Rates!$B$2:$B$100&lt;=C184)),Bank_Rates!$B$2:$B$100),Bank_Rates!$D$2:$D$100,_xlfn.AGGREGATE(14,6,Bank_Rates!$D$2:$D$100/((Bank_Rates!$A$2:$A$100=H184)*(Bank_Rates!$B$2:$B$100=LOOKUP(2,1/((Bank_Rates!$A$2:$A$100=H184)*(Bank_Rates!$B$2:$B$100&lt;=C184)),Bank_Rates!$B$2:$B$100))*(Bank_Rates!$D$2:$D$100&lt;=G184)),1)),"No Match")</f>
        <v>0</v>
      </c>
      <c r="K184" s="5" t="str">
        <f t="shared" si="11"/>
        <v/>
      </c>
      <c r="L184" s="2"/>
      <c r="M184" s="2"/>
      <c r="N184" s="2"/>
    </row>
    <row r="185" spans="1:14">
      <c r="A185" s="2" t="str">
        <f t="shared" si="8"/>
        <v/>
      </c>
      <c r="B185" s="2"/>
      <c r="C185" s="4"/>
      <c r="D185" s="7"/>
      <c r="E185" s="7"/>
      <c r="F185" s="4"/>
      <c r="G185" s="6" t="str">
        <f t="shared" si="9"/>
        <v/>
      </c>
      <c r="H185" s="2"/>
      <c r="I185" s="5" t="str">
        <f t="shared" si="10"/>
        <v/>
      </c>
      <c r="J185" s="3">
        <f>IFERROR(SUMIFS(Bank_Rates!$C$2:$C$100,Bank_Rates!$A$2:$A$100,H185,Bank_Rates!$B$2:$B$100,LOOKUP(2,1/((Bank_Rates!$A$2:$A$100=H185)*(Bank_Rates!$B$2:$B$100&lt;=C185)),Bank_Rates!$B$2:$B$100),Bank_Rates!$D$2:$D$100,_xlfn.AGGREGATE(14,6,Bank_Rates!$D$2:$D$100/((Bank_Rates!$A$2:$A$100=H185)*(Bank_Rates!$B$2:$B$100=LOOKUP(2,1/((Bank_Rates!$A$2:$A$100=H185)*(Bank_Rates!$B$2:$B$100&lt;=C185)),Bank_Rates!$B$2:$B$100))*(Bank_Rates!$D$2:$D$100&lt;=G185)),1)),"No Match")</f>
        <v>0</v>
      </c>
      <c r="K185" s="5" t="str">
        <f t="shared" si="11"/>
        <v/>
      </c>
      <c r="L185" s="2"/>
      <c r="M185" s="2"/>
      <c r="N185" s="2"/>
    </row>
    <row r="186" spans="1:14">
      <c r="A186" s="2" t="str">
        <f t="shared" si="8"/>
        <v/>
      </c>
      <c r="B186" s="2"/>
      <c r="C186" s="4"/>
      <c r="D186" s="7"/>
      <c r="E186" s="7"/>
      <c r="F186" s="4"/>
      <c r="G186" s="6" t="str">
        <f t="shared" si="9"/>
        <v/>
      </c>
      <c r="H186" s="2"/>
      <c r="I186" s="5" t="str">
        <f t="shared" si="10"/>
        <v/>
      </c>
      <c r="J186" s="3">
        <f>IFERROR(SUMIFS(Bank_Rates!$C$2:$C$100,Bank_Rates!$A$2:$A$100,H186,Bank_Rates!$B$2:$B$100,LOOKUP(2,1/((Bank_Rates!$A$2:$A$100=H186)*(Bank_Rates!$B$2:$B$100&lt;=C186)),Bank_Rates!$B$2:$B$100),Bank_Rates!$D$2:$D$100,_xlfn.AGGREGATE(14,6,Bank_Rates!$D$2:$D$100/((Bank_Rates!$A$2:$A$100=H186)*(Bank_Rates!$B$2:$B$100=LOOKUP(2,1/((Bank_Rates!$A$2:$A$100=H186)*(Bank_Rates!$B$2:$B$100&lt;=C186)),Bank_Rates!$B$2:$B$100))*(Bank_Rates!$D$2:$D$100&lt;=G186)),1)),"No Match")</f>
        <v>0</v>
      </c>
      <c r="K186" s="5" t="str">
        <f t="shared" si="11"/>
        <v/>
      </c>
      <c r="L186" s="2"/>
      <c r="M186" s="2"/>
      <c r="N186" s="2"/>
    </row>
    <row r="187" spans="1:14">
      <c r="A187" s="2" t="str">
        <f t="shared" si="8"/>
        <v/>
      </c>
      <c r="B187" s="2"/>
      <c r="C187" s="4"/>
      <c r="D187" s="7"/>
      <c r="E187" s="7"/>
      <c r="F187" s="4"/>
      <c r="G187" s="6" t="str">
        <f t="shared" si="9"/>
        <v/>
      </c>
      <c r="H187" s="2"/>
      <c r="I187" s="5" t="str">
        <f t="shared" si="10"/>
        <v/>
      </c>
      <c r="J187" s="3">
        <f>IFERROR(SUMIFS(Bank_Rates!$C$2:$C$100,Bank_Rates!$A$2:$A$100,H187,Bank_Rates!$B$2:$B$100,LOOKUP(2,1/((Bank_Rates!$A$2:$A$100=H187)*(Bank_Rates!$B$2:$B$100&lt;=C187)),Bank_Rates!$B$2:$B$100),Bank_Rates!$D$2:$D$100,_xlfn.AGGREGATE(14,6,Bank_Rates!$D$2:$D$100/((Bank_Rates!$A$2:$A$100=H187)*(Bank_Rates!$B$2:$B$100=LOOKUP(2,1/((Bank_Rates!$A$2:$A$100=H187)*(Bank_Rates!$B$2:$B$100&lt;=C187)),Bank_Rates!$B$2:$B$100))*(Bank_Rates!$D$2:$D$100&lt;=G187)),1)),"No Match")</f>
        <v>0</v>
      </c>
      <c r="K187" s="5" t="str">
        <f t="shared" si="11"/>
        <v/>
      </c>
      <c r="L187" s="2"/>
      <c r="M187" s="2"/>
      <c r="N187" s="2"/>
    </row>
    <row r="188" spans="1:14">
      <c r="A188" s="2" t="str">
        <f t="shared" si="8"/>
        <v/>
      </c>
      <c r="B188" s="2"/>
      <c r="C188" s="4"/>
      <c r="D188" s="7"/>
      <c r="E188" s="7"/>
      <c r="F188" s="4"/>
      <c r="G188" s="6" t="str">
        <f t="shared" si="9"/>
        <v/>
      </c>
      <c r="H188" s="2"/>
      <c r="I188" s="5" t="str">
        <f t="shared" si="10"/>
        <v/>
      </c>
      <c r="J188" s="3">
        <f>IFERROR(SUMIFS(Bank_Rates!$C$2:$C$100,Bank_Rates!$A$2:$A$100,H188,Bank_Rates!$B$2:$B$100,LOOKUP(2,1/((Bank_Rates!$A$2:$A$100=H188)*(Bank_Rates!$B$2:$B$100&lt;=C188)),Bank_Rates!$B$2:$B$100),Bank_Rates!$D$2:$D$100,_xlfn.AGGREGATE(14,6,Bank_Rates!$D$2:$D$100/((Bank_Rates!$A$2:$A$100=H188)*(Bank_Rates!$B$2:$B$100=LOOKUP(2,1/((Bank_Rates!$A$2:$A$100=H188)*(Bank_Rates!$B$2:$B$100&lt;=C188)),Bank_Rates!$B$2:$B$100))*(Bank_Rates!$D$2:$D$100&lt;=G188)),1)),"No Match")</f>
        <v>0</v>
      </c>
      <c r="K188" s="5" t="str">
        <f t="shared" si="11"/>
        <v/>
      </c>
      <c r="L188" s="2"/>
      <c r="M188" s="2"/>
      <c r="N188" s="2"/>
    </row>
    <row r="189" spans="1:14">
      <c r="A189" s="2" t="str">
        <f t="shared" si="8"/>
        <v/>
      </c>
      <c r="B189" s="2"/>
      <c r="C189" s="4"/>
      <c r="D189" s="7"/>
      <c r="E189" s="7"/>
      <c r="F189" s="4"/>
      <c r="G189" s="6" t="str">
        <f t="shared" si="9"/>
        <v/>
      </c>
      <c r="H189" s="2"/>
      <c r="I189" s="5" t="str">
        <f t="shared" si="10"/>
        <v/>
      </c>
      <c r="J189" s="3">
        <f>IFERROR(SUMIFS(Bank_Rates!$C$2:$C$100,Bank_Rates!$A$2:$A$100,H189,Bank_Rates!$B$2:$B$100,LOOKUP(2,1/((Bank_Rates!$A$2:$A$100=H189)*(Bank_Rates!$B$2:$B$100&lt;=C189)),Bank_Rates!$B$2:$B$100),Bank_Rates!$D$2:$D$100,_xlfn.AGGREGATE(14,6,Bank_Rates!$D$2:$D$100/((Bank_Rates!$A$2:$A$100=H189)*(Bank_Rates!$B$2:$B$100=LOOKUP(2,1/((Bank_Rates!$A$2:$A$100=H189)*(Bank_Rates!$B$2:$B$100&lt;=C189)),Bank_Rates!$B$2:$B$100))*(Bank_Rates!$D$2:$D$100&lt;=G189)),1)),"No Match")</f>
        <v>0</v>
      </c>
      <c r="K189" s="5" t="str">
        <f t="shared" si="11"/>
        <v/>
      </c>
      <c r="L189" s="2"/>
      <c r="M189" s="2"/>
      <c r="N189" s="2"/>
    </row>
    <row r="190" spans="1:14">
      <c r="A190" s="2" t="str">
        <f t="shared" si="8"/>
        <v/>
      </c>
      <c r="B190" s="2"/>
      <c r="C190" s="4"/>
      <c r="D190" s="7"/>
      <c r="E190" s="7"/>
      <c r="F190" s="4"/>
      <c r="G190" s="6" t="str">
        <f t="shared" si="9"/>
        <v/>
      </c>
      <c r="H190" s="2"/>
      <c r="I190" s="5" t="str">
        <f t="shared" si="10"/>
        <v/>
      </c>
      <c r="J190" s="3">
        <f>IFERROR(SUMIFS(Bank_Rates!$C$2:$C$100,Bank_Rates!$A$2:$A$100,H190,Bank_Rates!$B$2:$B$100,LOOKUP(2,1/((Bank_Rates!$A$2:$A$100=H190)*(Bank_Rates!$B$2:$B$100&lt;=C190)),Bank_Rates!$B$2:$B$100),Bank_Rates!$D$2:$D$100,_xlfn.AGGREGATE(14,6,Bank_Rates!$D$2:$D$100/((Bank_Rates!$A$2:$A$100=H190)*(Bank_Rates!$B$2:$B$100=LOOKUP(2,1/((Bank_Rates!$A$2:$A$100=H190)*(Bank_Rates!$B$2:$B$100&lt;=C190)),Bank_Rates!$B$2:$B$100))*(Bank_Rates!$D$2:$D$100&lt;=G190)),1)),"No Match")</f>
        <v>0</v>
      </c>
      <c r="K190" s="5" t="str">
        <f t="shared" si="11"/>
        <v/>
      </c>
      <c r="L190" s="2"/>
      <c r="M190" s="2"/>
      <c r="N190" s="2"/>
    </row>
    <row r="191" spans="1:14">
      <c r="A191" s="2" t="str">
        <f t="shared" si="8"/>
        <v/>
      </c>
      <c r="B191" s="2"/>
      <c r="C191" s="4"/>
      <c r="D191" s="7"/>
      <c r="E191" s="7"/>
      <c r="F191" s="4"/>
      <c r="G191" s="6" t="str">
        <f t="shared" si="9"/>
        <v/>
      </c>
      <c r="H191" s="2"/>
      <c r="I191" s="5" t="str">
        <f t="shared" si="10"/>
        <v/>
      </c>
      <c r="J191" s="3">
        <f>IFERROR(SUMIFS(Bank_Rates!$C$2:$C$100,Bank_Rates!$A$2:$A$100,H191,Bank_Rates!$B$2:$B$100,LOOKUP(2,1/((Bank_Rates!$A$2:$A$100=H191)*(Bank_Rates!$B$2:$B$100&lt;=C191)),Bank_Rates!$B$2:$B$100),Bank_Rates!$D$2:$D$100,_xlfn.AGGREGATE(14,6,Bank_Rates!$D$2:$D$100/((Bank_Rates!$A$2:$A$100=H191)*(Bank_Rates!$B$2:$B$100=LOOKUP(2,1/((Bank_Rates!$A$2:$A$100=H191)*(Bank_Rates!$B$2:$B$100&lt;=C191)),Bank_Rates!$B$2:$B$100))*(Bank_Rates!$D$2:$D$100&lt;=G191)),1)),"No Match")</f>
        <v>0</v>
      </c>
      <c r="K191" s="5" t="str">
        <f t="shared" si="11"/>
        <v/>
      </c>
      <c r="L191" s="2"/>
      <c r="M191" s="2"/>
      <c r="N191" s="2"/>
    </row>
    <row r="192" spans="1:14">
      <c r="A192" s="2" t="str">
        <f t="shared" si="8"/>
        <v/>
      </c>
      <c r="B192" s="2"/>
      <c r="C192" s="4"/>
      <c r="D192" s="7"/>
      <c r="E192" s="7"/>
      <c r="F192" s="4"/>
      <c r="G192" s="6" t="str">
        <f t="shared" si="9"/>
        <v/>
      </c>
      <c r="H192" s="2"/>
      <c r="I192" s="5" t="str">
        <f t="shared" si="10"/>
        <v/>
      </c>
      <c r="J192" s="3">
        <f>IFERROR(SUMIFS(Bank_Rates!$C$2:$C$100,Bank_Rates!$A$2:$A$100,H192,Bank_Rates!$B$2:$B$100,LOOKUP(2,1/((Bank_Rates!$A$2:$A$100=H192)*(Bank_Rates!$B$2:$B$100&lt;=C192)),Bank_Rates!$B$2:$B$100),Bank_Rates!$D$2:$D$100,_xlfn.AGGREGATE(14,6,Bank_Rates!$D$2:$D$100/((Bank_Rates!$A$2:$A$100=H192)*(Bank_Rates!$B$2:$B$100=LOOKUP(2,1/((Bank_Rates!$A$2:$A$100=H192)*(Bank_Rates!$B$2:$B$100&lt;=C192)),Bank_Rates!$B$2:$B$100))*(Bank_Rates!$D$2:$D$100&lt;=G192)),1)),"No Match")</f>
        <v>0</v>
      </c>
      <c r="K192" s="5" t="str">
        <f t="shared" si="11"/>
        <v/>
      </c>
      <c r="L192" s="2"/>
      <c r="M192" s="2"/>
      <c r="N192" s="2"/>
    </row>
    <row r="193" spans="1:14">
      <c r="A193" s="2" t="str">
        <f t="shared" si="8"/>
        <v/>
      </c>
      <c r="B193" s="2"/>
      <c r="C193" s="4"/>
      <c r="D193" s="7"/>
      <c r="E193" s="7"/>
      <c r="F193" s="4"/>
      <c r="G193" s="6" t="str">
        <f t="shared" si="9"/>
        <v/>
      </c>
      <c r="H193" s="2"/>
      <c r="I193" s="5" t="str">
        <f t="shared" si="10"/>
        <v/>
      </c>
      <c r="J193" s="3">
        <f>IFERROR(SUMIFS(Bank_Rates!$C$2:$C$100,Bank_Rates!$A$2:$A$100,H193,Bank_Rates!$B$2:$B$100,LOOKUP(2,1/((Bank_Rates!$A$2:$A$100=H193)*(Bank_Rates!$B$2:$B$100&lt;=C193)),Bank_Rates!$B$2:$B$100),Bank_Rates!$D$2:$D$100,_xlfn.AGGREGATE(14,6,Bank_Rates!$D$2:$D$100/((Bank_Rates!$A$2:$A$100=H193)*(Bank_Rates!$B$2:$B$100=LOOKUP(2,1/((Bank_Rates!$A$2:$A$100=H193)*(Bank_Rates!$B$2:$B$100&lt;=C193)),Bank_Rates!$B$2:$B$100))*(Bank_Rates!$D$2:$D$100&lt;=G193)),1)),"No Match")</f>
        <v>0</v>
      </c>
      <c r="K193" s="5" t="str">
        <f t="shared" si="11"/>
        <v/>
      </c>
      <c r="L193" s="2"/>
      <c r="M193" s="2"/>
      <c r="N193" s="2"/>
    </row>
    <row r="194" spans="1:14">
      <c r="A194" s="2" t="str">
        <f t="shared" ref="A194:A250" si="12">IF(B194&lt;&gt;"","L-"&amp;TEXT(ROW()-1,"0000"),"")</f>
        <v/>
      </c>
      <c r="B194" s="2"/>
      <c r="C194" s="4"/>
      <c r="D194" s="7"/>
      <c r="E194" s="7"/>
      <c r="F194" s="4"/>
      <c r="G194" s="6" t="str">
        <f t="shared" ref="G194:G250" si="13">IF(OR(C194="",F194=""),"",F194-C194)</f>
        <v/>
      </c>
      <c r="H194" s="2"/>
      <c r="I194" s="5" t="str">
        <f t="shared" ref="I194:I250" si="14">IF(OR(D194="",E194="",G194="",G194=0),"",(E194/D194)^(365/G194)-1)</f>
        <v/>
      </c>
      <c r="J194" s="3">
        <f>IFERROR(SUMIFS(Bank_Rates!$C$2:$C$100,Bank_Rates!$A$2:$A$100,H194,Bank_Rates!$B$2:$B$100,LOOKUP(2,1/((Bank_Rates!$A$2:$A$100=H194)*(Bank_Rates!$B$2:$B$100&lt;=C194)),Bank_Rates!$B$2:$B$100),Bank_Rates!$D$2:$D$100,_xlfn.AGGREGATE(14,6,Bank_Rates!$D$2:$D$100/((Bank_Rates!$A$2:$A$100=H194)*(Bank_Rates!$B$2:$B$100=LOOKUP(2,1/((Bank_Rates!$A$2:$A$100=H194)*(Bank_Rates!$B$2:$B$100&lt;=C194)),Bank_Rates!$B$2:$B$100))*(Bank_Rates!$D$2:$D$100&lt;=G194)),1)),"No Match")</f>
        <v>0</v>
      </c>
      <c r="K194" s="5" t="str">
        <f t="shared" ref="K194:K250" si="15">IF(OR(I194="",J194="",J194="No Match"),"",I194-J194)</f>
        <v/>
      </c>
      <c r="L194" s="2"/>
      <c r="M194" s="2"/>
      <c r="N194" s="2"/>
    </row>
    <row r="195" spans="1:14">
      <c r="A195" s="2" t="str">
        <f t="shared" si="12"/>
        <v/>
      </c>
      <c r="B195" s="2"/>
      <c r="C195" s="4"/>
      <c r="D195" s="7"/>
      <c r="E195" s="7"/>
      <c r="F195" s="4"/>
      <c r="G195" s="6" t="str">
        <f t="shared" si="13"/>
        <v/>
      </c>
      <c r="H195" s="2"/>
      <c r="I195" s="5" t="str">
        <f t="shared" si="14"/>
        <v/>
      </c>
      <c r="J195" s="3">
        <f>IFERROR(SUMIFS(Bank_Rates!$C$2:$C$100,Bank_Rates!$A$2:$A$100,H195,Bank_Rates!$B$2:$B$100,LOOKUP(2,1/((Bank_Rates!$A$2:$A$100=H195)*(Bank_Rates!$B$2:$B$100&lt;=C195)),Bank_Rates!$B$2:$B$100),Bank_Rates!$D$2:$D$100,_xlfn.AGGREGATE(14,6,Bank_Rates!$D$2:$D$100/((Bank_Rates!$A$2:$A$100=H195)*(Bank_Rates!$B$2:$B$100=LOOKUP(2,1/((Bank_Rates!$A$2:$A$100=H195)*(Bank_Rates!$B$2:$B$100&lt;=C195)),Bank_Rates!$B$2:$B$100))*(Bank_Rates!$D$2:$D$100&lt;=G195)),1)),"No Match")</f>
        <v>0</v>
      </c>
      <c r="K195" s="5" t="str">
        <f t="shared" si="15"/>
        <v/>
      </c>
      <c r="L195" s="2"/>
      <c r="M195" s="2"/>
      <c r="N195" s="2"/>
    </row>
    <row r="196" spans="1:14">
      <c r="A196" s="2" t="str">
        <f t="shared" si="12"/>
        <v/>
      </c>
      <c r="B196" s="2"/>
      <c r="C196" s="4"/>
      <c r="D196" s="7"/>
      <c r="E196" s="7"/>
      <c r="F196" s="4"/>
      <c r="G196" s="6" t="str">
        <f t="shared" si="13"/>
        <v/>
      </c>
      <c r="H196" s="2"/>
      <c r="I196" s="5" t="str">
        <f t="shared" si="14"/>
        <v/>
      </c>
      <c r="J196" s="3">
        <f>IFERROR(SUMIFS(Bank_Rates!$C$2:$C$100,Bank_Rates!$A$2:$A$100,H196,Bank_Rates!$B$2:$B$100,LOOKUP(2,1/((Bank_Rates!$A$2:$A$100=H196)*(Bank_Rates!$B$2:$B$100&lt;=C196)),Bank_Rates!$B$2:$B$100),Bank_Rates!$D$2:$D$100,_xlfn.AGGREGATE(14,6,Bank_Rates!$D$2:$D$100/((Bank_Rates!$A$2:$A$100=H196)*(Bank_Rates!$B$2:$B$100=LOOKUP(2,1/((Bank_Rates!$A$2:$A$100=H196)*(Bank_Rates!$B$2:$B$100&lt;=C196)),Bank_Rates!$B$2:$B$100))*(Bank_Rates!$D$2:$D$100&lt;=G196)),1)),"No Match")</f>
        <v>0</v>
      </c>
      <c r="K196" s="5" t="str">
        <f t="shared" si="15"/>
        <v/>
      </c>
      <c r="L196" s="2"/>
      <c r="M196" s="2"/>
      <c r="N196" s="2"/>
    </row>
    <row r="197" spans="1:14">
      <c r="A197" s="2" t="str">
        <f t="shared" si="12"/>
        <v/>
      </c>
      <c r="B197" s="2"/>
      <c r="C197" s="4"/>
      <c r="D197" s="7"/>
      <c r="E197" s="7"/>
      <c r="F197" s="4"/>
      <c r="G197" s="6" t="str">
        <f t="shared" si="13"/>
        <v/>
      </c>
      <c r="H197" s="2"/>
      <c r="I197" s="5" t="str">
        <f t="shared" si="14"/>
        <v/>
      </c>
      <c r="J197" s="3">
        <f>IFERROR(SUMIFS(Bank_Rates!$C$2:$C$100,Bank_Rates!$A$2:$A$100,H197,Bank_Rates!$B$2:$B$100,LOOKUP(2,1/((Bank_Rates!$A$2:$A$100=H197)*(Bank_Rates!$B$2:$B$100&lt;=C197)),Bank_Rates!$B$2:$B$100),Bank_Rates!$D$2:$D$100,_xlfn.AGGREGATE(14,6,Bank_Rates!$D$2:$D$100/((Bank_Rates!$A$2:$A$100=H197)*(Bank_Rates!$B$2:$B$100=LOOKUP(2,1/((Bank_Rates!$A$2:$A$100=H197)*(Bank_Rates!$B$2:$B$100&lt;=C197)),Bank_Rates!$B$2:$B$100))*(Bank_Rates!$D$2:$D$100&lt;=G197)),1)),"No Match")</f>
        <v>0</v>
      </c>
      <c r="K197" s="5" t="str">
        <f t="shared" si="15"/>
        <v/>
      </c>
      <c r="L197" s="2"/>
      <c r="M197" s="2"/>
      <c r="N197" s="2"/>
    </row>
    <row r="198" spans="1:14">
      <c r="A198" s="2" t="str">
        <f t="shared" si="12"/>
        <v/>
      </c>
      <c r="B198" s="2"/>
      <c r="C198" s="4"/>
      <c r="D198" s="7"/>
      <c r="E198" s="7"/>
      <c r="F198" s="4"/>
      <c r="G198" s="6" t="str">
        <f t="shared" si="13"/>
        <v/>
      </c>
      <c r="H198" s="2"/>
      <c r="I198" s="5" t="str">
        <f t="shared" si="14"/>
        <v/>
      </c>
      <c r="J198" s="3">
        <f>IFERROR(SUMIFS(Bank_Rates!$C$2:$C$100,Bank_Rates!$A$2:$A$100,H198,Bank_Rates!$B$2:$B$100,LOOKUP(2,1/((Bank_Rates!$A$2:$A$100=H198)*(Bank_Rates!$B$2:$B$100&lt;=C198)),Bank_Rates!$B$2:$B$100),Bank_Rates!$D$2:$D$100,_xlfn.AGGREGATE(14,6,Bank_Rates!$D$2:$D$100/((Bank_Rates!$A$2:$A$100=H198)*(Bank_Rates!$B$2:$B$100=LOOKUP(2,1/((Bank_Rates!$A$2:$A$100=H198)*(Bank_Rates!$B$2:$B$100&lt;=C198)),Bank_Rates!$B$2:$B$100))*(Bank_Rates!$D$2:$D$100&lt;=G198)),1)),"No Match")</f>
        <v>0</v>
      </c>
      <c r="K198" s="5" t="str">
        <f t="shared" si="15"/>
        <v/>
      </c>
      <c r="L198" s="2"/>
      <c r="M198" s="2"/>
      <c r="N198" s="2"/>
    </row>
    <row r="199" spans="1:14">
      <c r="A199" s="2" t="str">
        <f t="shared" si="12"/>
        <v/>
      </c>
      <c r="B199" s="2"/>
      <c r="C199" s="4"/>
      <c r="D199" s="7"/>
      <c r="E199" s="7"/>
      <c r="F199" s="4"/>
      <c r="G199" s="6" t="str">
        <f t="shared" si="13"/>
        <v/>
      </c>
      <c r="H199" s="2"/>
      <c r="I199" s="5" t="str">
        <f t="shared" si="14"/>
        <v/>
      </c>
      <c r="J199" s="3">
        <f>IFERROR(SUMIFS(Bank_Rates!$C$2:$C$100,Bank_Rates!$A$2:$A$100,H199,Bank_Rates!$B$2:$B$100,LOOKUP(2,1/((Bank_Rates!$A$2:$A$100=H199)*(Bank_Rates!$B$2:$B$100&lt;=C199)),Bank_Rates!$B$2:$B$100),Bank_Rates!$D$2:$D$100,_xlfn.AGGREGATE(14,6,Bank_Rates!$D$2:$D$100/((Bank_Rates!$A$2:$A$100=H199)*(Bank_Rates!$B$2:$B$100=LOOKUP(2,1/((Bank_Rates!$A$2:$A$100=H199)*(Bank_Rates!$B$2:$B$100&lt;=C199)),Bank_Rates!$B$2:$B$100))*(Bank_Rates!$D$2:$D$100&lt;=G199)),1)),"No Match")</f>
        <v>0</v>
      </c>
      <c r="K199" s="5" t="str">
        <f t="shared" si="15"/>
        <v/>
      </c>
      <c r="L199" s="2"/>
      <c r="M199" s="2"/>
      <c r="N199" s="2"/>
    </row>
    <row r="200" spans="1:14">
      <c r="A200" s="2" t="str">
        <f t="shared" si="12"/>
        <v/>
      </c>
      <c r="B200" s="2"/>
      <c r="C200" s="4"/>
      <c r="D200" s="7"/>
      <c r="E200" s="7"/>
      <c r="F200" s="4"/>
      <c r="G200" s="6" t="str">
        <f t="shared" si="13"/>
        <v/>
      </c>
      <c r="H200" s="2"/>
      <c r="I200" s="5" t="str">
        <f t="shared" si="14"/>
        <v/>
      </c>
      <c r="J200" s="3">
        <f>IFERROR(SUMIFS(Bank_Rates!$C$2:$C$100,Bank_Rates!$A$2:$A$100,H200,Bank_Rates!$B$2:$B$100,LOOKUP(2,1/((Bank_Rates!$A$2:$A$100=H200)*(Bank_Rates!$B$2:$B$100&lt;=C200)),Bank_Rates!$B$2:$B$100),Bank_Rates!$D$2:$D$100,_xlfn.AGGREGATE(14,6,Bank_Rates!$D$2:$D$100/((Bank_Rates!$A$2:$A$100=H200)*(Bank_Rates!$B$2:$B$100=LOOKUP(2,1/((Bank_Rates!$A$2:$A$100=H200)*(Bank_Rates!$B$2:$B$100&lt;=C200)),Bank_Rates!$B$2:$B$100))*(Bank_Rates!$D$2:$D$100&lt;=G200)),1)),"No Match")</f>
        <v>0</v>
      </c>
      <c r="K200" s="5" t="str">
        <f t="shared" si="15"/>
        <v/>
      </c>
      <c r="L200" s="2"/>
      <c r="M200" s="2"/>
      <c r="N200" s="2"/>
    </row>
    <row r="201" spans="1:14">
      <c r="A201" s="2" t="str">
        <f t="shared" si="12"/>
        <v/>
      </c>
      <c r="B201" s="2"/>
      <c r="C201" s="4"/>
      <c r="D201" s="7"/>
      <c r="E201" s="7"/>
      <c r="F201" s="4"/>
      <c r="G201" s="6" t="str">
        <f t="shared" si="13"/>
        <v/>
      </c>
      <c r="H201" s="2"/>
      <c r="I201" s="5" t="str">
        <f t="shared" si="14"/>
        <v/>
      </c>
      <c r="J201" s="3">
        <f>IFERROR(SUMIFS(Bank_Rates!$C$2:$C$100,Bank_Rates!$A$2:$A$100,H201,Bank_Rates!$B$2:$B$100,LOOKUP(2,1/((Bank_Rates!$A$2:$A$100=H201)*(Bank_Rates!$B$2:$B$100&lt;=C201)),Bank_Rates!$B$2:$B$100),Bank_Rates!$D$2:$D$100,_xlfn.AGGREGATE(14,6,Bank_Rates!$D$2:$D$100/((Bank_Rates!$A$2:$A$100=H201)*(Bank_Rates!$B$2:$B$100=LOOKUP(2,1/((Bank_Rates!$A$2:$A$100=H201)*(Bank_Rates!$B$2:$B$100&lt;=C201)),Bank_Rates!$B$2:$B$100))*(Bank_Rates!$D$2:$D$100&lt;=G201)),1)),"No Match")</f>
        <v>0</v>
      </c>
      <c r="K201" s="5" t="str">
        <f t="shared" si="15"/>
        <v/>
      </c>
      <c r="L201" s="2"/>
      <c r="M201" s="2"/>
      <c r="N201" s="2"/>
    </row>
    <row r="202" spans="1:14">
      <c r="A202" s="2" t="str">
        <f t="shared" si="12"/>
        <v/>
      </c>
      <c r="B202" s="2"/>
      <c r="C202" s="4"/>
      <c r="D202" s="7"/>
      <c r="E202" s="7"/>
      <c r="F202" s="4"/>
      <c r="G202" s="6" t="str">
        <f t="shared" si="13"/>
        <v/>
      </c>
      <c r="H202" s="2"/>
      <c r="I202" s="5" t="str">
        <f t="shared" si="14"/>
        <v/>
      </c>
      <c r="J202" s="3">
        <f>IFERROR(SUMIFS(Bank_Rates!$C$2:$C$100,Bank_Rates!$A$2:$A$100,H202,Bank_Rates!$B$2:$B$100,LOOKUP(2,1/((Bank_Rates!$A$2:$A$100=H202)*(Bank_Rates!$B$2:$B$100&lt;=C202)),Bank_Rates!$B$2:$B$100),Bank_Rates!$D$2:$D$100,_xlfn.AGGREGATE(14,6,Bank_Rates!$D$2:$D$100/((Bank_Rates!$A$2:$A$100=H202)*(Bank_Rates!$B$2:$B$100=LOOKUP(2,1/((Bank_Rates!$A$2:$A$100=H202)*(Bank_Rates!$B$2:$B$100&lt;=C202)),Bank_Rates!$B$2:$B$100))*(Bank_Rates!$D$2:$D$100&lt;=G202)),1)),"No Match")</f>
        <v>0</v>
      </c>
      <c r="K202" s="5" t="str">
        <f t="shared" si="15"/>
        <v/>
      </c>
      <c r="L202" s="2"/>
      <c r="M202" s="2"/>
      <c r="N202" s="2"/>
    </row>
    <row r="203" spans="1:14">
      <c r="A203" s="2" t="str">
        <f t="shared" si="12"/>
        <v/>
      </c>
      <c r="B203" s="2"/>
      <c r="C203" s="4"/>
      <c r="D203" s="7"/>
      <c r="E203" s="7"/>
      <c r="F203" s="4"/>
      <c r="G203" s="6" t="str">
        <f t="shared" si="13"/>
        <v/>
      </c>
      <c r="H203" s="2"/>
      <c r="I203" s="5" t="str">
        <f t="shared" si="14"/>
        <v/>
      </c>
      <c r="J203" s="3">
        <f>IFERROR(SUMIFS(Bank_Rates!$C$2:$C$100,Bank_Rates!$A$2:$A$100,H203,Bank_Rates!$B$2:$B$100,LOOKUP(2,1/((Bank_Rates!$A$2:$A$100=H203)*(Bank_Rates!$B$2:$B$100&lt;=C203)),Bank_Rates!$B$2:$B$100),Bank_Rates!$D$2:$D$100,_xlfn.AGGREGATE(14,6,Bank_Rates!$D$2:$D$100/((Bank_Rates!$A$2:$A$100=H203)*(Bank_Rates!$B$2:$B$100=LOOKUP(2,1/((Bank_Rates!$A$2:$A$100=H203)*(Bank_Rates!$B$2:$B$100&lt;=C203)),Bank_Rates!$B$2:$B$100))*(Bank_Rates!$D$2:$D$100&lt;=G203)),1)),"No Match")</f>
        <v>0</v>
      </c>
      <c r="K203" s="5" t="str">
        <f t="shared" si="15"/>
        <v/>
      </c>
      <c r="L203" s="2"/>
      <c r="M203" s="2"/>
      <c r="N203" s="2"/>
    </row>
    <row r="204" spans="1:14">
      <c r="A204" s="2" t="str">
        <f t="shared" si="12"/>
        <v/>
      </c>
      <c r="B204" s="2"/>
      <c r="C204" s="4"/>
      <c r="D204" s="7"/>
      <c r="E204" s="7"/>
      <c r="F204" s="4"/>
      <c r="G204" s="6" t="str">
        <f t="shared" si="13"/>
        <v/>
      </c>
      <c r="H204" s="2"/>
      <c r="I204" s="5" t="str">
        <f t="shared" si="14"/>
        <v/>
      </c>
      <c r="J204" s="3">
        <f>IFERROR(SUMIFS(Bank_Rates!$C$2:$C$100,Bank_Rates!$A$2:$A$100,H204,Bank_Rates!$B$2:$B$100,LOOKUP(2,1/((Bank_Rates!$A$2:$A$100=H204)*(Bank_Rates!$B$2:$B$100&lt;=C204)),Bank_Rates!$B$2:$B$100),Bank_Rates!$D$2:$D$100,_xlfn.AGGREGATE(14,6,Bank_Rates!$D$2:$D$100/((Bank_Rates!$A$2:$A$100=H204)*(Bank_Rates!$B$2:$B$100=LOOKUP(2,1/((Bank_Rates!$A$2:$A$100=H204)*(Bank_Rates!$B$2:$B$100&lt;=C204)),Bank_Rates!$B$2:$B$100))*(Bank_Rates!$D$2:$D$100&lt;=G204)),1)),"No Match")</f>
        <v>0</v>
      </c>
      <c r="K204" s="5" t="str">
        <f t="shared" si="15"/>
        <v/>
      </c>
      <c r="L204" s="2"/>
      <c r="M204" s="2"/>
      <c r="N204" s="2"/>
    </row>
    <row r="205" spans="1:14">
      <c r="A205" s="2" t="str">
        <f t="shared" si="12"/>
        <v/>
      </c>
      <c r="B205" s="2"/>
      <c r="C205" s="4"/>
      <c r="D205" s="7"/>
      <c r="E205" s="7"/>
      <c r="F205" s="4"/>
      <c r="G205" s="6" t="str">
        <f t="shared" si="13"/>
        <v/>
      </c>
      <c r="H205" s="2"/>
      <c r="I205" s="5" t="str">
        <f t="shared" si="14"/>
        <v/>
      </c>
      <c r="J205" s="3">
        <f>IFERROR(SUMIFS(Bank_Rates!$C$2:$C$100,Bank_Rates!$A$2:$A$100,H205,Bank_Rates!$B$2:$B$100,LOOKUP(2,1/((Bank_Rates!$A$2:$A$100=H205)*(Bank_Rates!$B$2:$B$100&lt;=C205)),Bank_Rates!$B$2:$B$100),Bank_Rates!$D$2:$D$100,_xlfn.AGGREGATE(14,6,Bank_Rates!$D$2:$D$100/((Bank_Rates!$A$2:$A$100=H205)*(Bank_Rates!$B$2:$B$100=LOOKUP(2,1/((Bank_Rates!$A$2:$A$100=H205)*(Bank_Rates!$B$2:$B$100&lt;=C205)),Bank_Rates!$B$2:$B$100))*(Bank_Rates!$D$2:$D$100&lt;=G205)),1)),"No Match")</f>
        <v>0</v>
      </c>
      <c r="K205" s="5" t="str">
        <f t="shared" si="15"/>
        <v/>
      </c>
      <c r="L205" s="2"/>
      <c r="M205" s="2"/>
      <c r="N205" s="2"/>
    </row>
    <row r="206" spans="1:14">
      <c r="A206" s="2" t="str">
        <f t="shared" si="12"/>
        <v/>
      </c>
      <c r="B206" s="2"/>
      <c r="C206" s="4"/>
      <c r="D206" s="7"/>
      <c r="E206" s="7"/>
      <c r="F206" s="4"/>
      <c r="G206" s="6" t="str">
        <f t="shared" si="13"/>
        <v/>
      </c>
      <c r="H206" s="2"/>
      <c r="I206" s="5" t="str">
        <f t="shared" si="14"/>
        <v/>
      </c>
      <c r="J206" s="3">
        <f>IFERROR(SUMIFS(Bank_Rates!$C$2:$C$100,Bank_Rates!$A$2:$A$100,H206,Bank_Rates!$B$2:$B$100,LOOKUP(2,1/((Bank_Rates!$A$2:$A$100=H206)*(Bank_Rates!$B$2:$B$100&lt;=C206)),Bank_Rates!$B$2:$B$100),Bank_Rates!$D$2:$D$100,_xlfn.AGGREGATE(14,6,Bank_Rates!$D$2:$D$100/((Bank_Rates!$A$2:$A$100=H206)*(Bank_Rates!$B$2:$B$100=LOOKUP(2,1/((Bank_Rates!$A$2:$A$100=H206)*(Bank_Rates!$B$2:$B$100&lt;=C206)),Bank_Rates!$B$2:$B$100))*(Bank_Rates!$D$2:$D$100&lt;=G206)),1)),"No Match")</f>
        <v>0</v>
      </c>
      <c r="K206" s="5" t="str">
        <f t="shared" si="15"/>
        <v/>
      </c>
      <c r="L206" s="2"/>
      <c r="M206" s="2"/>
      <c r="N206" s="2"/>
    </row>
    <row r="207" spans="1:14">
      <c r="A207" s="2" t="str">
        <f t="shared" si="12"/>
        <v/>
      </c>
      <c r="B207" s="2"/>
      <c r="C207" s="4"/>
      <c r="D207" s="7"/>
      <c r="E207" s="7"/>
      <c r="F207" s="4"/>
      <c r="G207" s="6" t="str">
        <f t="shared" si="13"/>
        <v/>
      </c>
      <c r="H207" s="2"/>
      <c r="I207" s="5" t="str">
        <f t="shared" si="14"/>
        <v/>
      </c>
      <c r="J207" s="3">
        <f>IFERROR(SUMIFS(Bank_Rates!$C$2:$C$100,Bank_Rates!$A$2:$A$100,H207,Bank_Rates!$B$2:$B$100,LOOKUP(2,1/((Bank_Rates!$A$2:$A$100=H207)*(Bank_Rates!$B$2:$B$100&lt;=C207)),Bank_Rates!$B$2:$B$100),Bank_Rates!$D$2:$D$100,_xlfn.AGGREGATE(14,6,Bank_Rates!$D$2:$D$100/((Bank_Rates!$A$2:$A$100=H207)*(Bank_Rates!$B$2:$B$100=LOOKUP(2,1/((Bank_Rates!$A$2:$A$100=H207)*(Bank_Rates!$B$2:$B$100&lt;=C207)),Bank_Rates!$B$2:$B$100))*(Bank_Rates!$D$2:$D$100&lt;=G207)),1)),"No Match")</f>
        <v>0</v>
      </c>
      <c r="K207" s="5" t="str">
        <f t="shared" si="15"/>
        <v/>
      </c>
      <c r="L207" s="2"/>
      <c r="M207" s="2"/>
      <c r="N207" s="2"/>
    </row>
    <row r="208" spans="1:14">
      <c r="A208" s="2" t="str">
        <f t="shared" si="12"/>
        <v/>
      </c>
      <c r="B208" s="2"/>
      <c r="C208" s="4"/>
      <c r="D208" s="7"/>
      <c r="E208" s="7"/>
      <c r="F208" s="4"/>
      <c r="G208" s="6" t="str">
        <f t="shared" si="13"/>
        <v/>
      </c>
      <c r="H208" s="2"/>
      <c r="I208" s="5" t="str">
        <f t="shared" si="14"/>
        <v/>
      </c>
      <c r="J208" s="3">
        <f>IFERROR(SUMIFS(Bank_Rates!$C$2:$C$100,Bank_Rates!$A$2:$A$100,H208,Bank_Rates!$B$2:$B$100,LOOKUP(2,1/((Bank_Rates!$A$2:$A$100=H208)*(Bank_Rates!$B$2:$B$100&lt;=C208)),Bank_Rates!$B$2:$B$100),Bank_Rates!$D$2:$D$100,_xlfn.AGGREGATE(14,6,Bank_Rates!$D$2:$D$100/((Bank_Rates!$A$2:$A$100=H208)*(Bank_Rates!$B$2:$B$100=LOOKUP(2,1/((Bank_Rates!$A$2:$A$100=H208)*(Bank_Rates!$B$2:$B$100&lt;=C208)),Bank_Rates!$B$2:$B$100))*(Bank_Rates!$D$2:$D$100&lt;=G208)),1)),"No Match")</f>
        <v>0</v>
      </c>
      <c r="K208" s="5" t="str">
        <f t="shared" si="15"/>
        <v/>
      </c>
      <c r="L208" s="2"/>
      <c r="M208" s="2"/>
      <c r="N208" s="2"/>
    </row>
    <row r="209" spans="1:14">
      <c r="A209" s="2" t="str">
        <f t="shared" si="12"/>
        <v/>
      </c>
      <c r="B209" s="2"/>
      <c r="C209" s="4"/>
      <c r="D209" s="7"/>
      <c r="E209" s="7"/>
      <c r="F209" s="4"/>
      <c r="G209" s="6" t="str">
        <f t="shared" si="13"/>
        <v/>
      </c>
      <c r="H209" s="2"/>
      <c r="I209" s="5" t="str">
        <f t="shared" si="14"/>
        <v/>
      </c>
      <c r="J209" s="3">
        <f>IFERROR(SUMIFS(Bank_Rates!$C$2:$C$100,Bank_Rates!$A$2:$A$100,H209,Bank_Rates!$B$2:$B$100,LOOKUP(2,1/((Bank_Rates!$A$2:$A$100=H209)*(Bank_Rates!$B$2:$B$100&lt;=C209)),Bank_Rates!$B$2:$B$100),Bank_Rates!$D$2:$D$100,_xlfn.AGGREGATE(14,6,Bank_Rates!$D$2:$D$100/((Bank_Rates!$A$2:$A$100=H209)*(Bank_Rates!$B$2:$B$100=LOOKUP(2,1/((Bank_Rates!$A$2:$A$100=H209)*(Bank_Rates!$B$2:$B$100&lt;=C209)),Bank_Rates!$B$2:$B$100))*(Bank_Rates!$D$2:$D$100&lt;=G209)),1)),"No Match")</f>
        <v>0</v>
      </c>
      <c r="K209" s="5" t="str">
        <f t="shared" si="15"/>
        <v/>
      </c>
      <c r="L209" s="2"/>
      <c r="M209" s="2"/>
      <c r="N209" s="2"/>
    </row>
    <row r="210" spans="1:14">
      <c r="A210" s="2" t="str">
        <f t="shared" si="12"/>
        <v/>
      </c>
      <c r="B210" s="2"/>
      <c r="C210" s="4"/>
      <c r="D210" s="7"/>
      <c r="E210" s="7"/>
      <c r="F210" s="4"/>
      <c r="G210" s="6" t="str">
        <f t="shared" si="13"/>
        <v/>
      </c>
      <c r="H210" s="2"/>
      <c r="I210" s="5" t="str">
        <f t="shared" si="14"/>
        <v/>
      </c>
      <c r="J210" s="3">
        <f>IFERROR(SUMIFS(Bank_Rates!$C$2:$C$100,Bank_Rates!$A$2:$A$100,H210,Bank_Rates!$B$2:$B$100,LOOKUP(2,1/((Bank_Rates!$A$2:$A$100=H210)*(Bank_Rates!$B$2:$B$100&lt;=C210)),Bank_Rates!$B$2:$B$100),Bank_Rates!$D$2:$D$100,_xlfn.AGGREGATE(14,6,Bank_Rates!$D$2:$D$100/((Bank_Rates!$A$2:$A$100=H210)*(Bank_Rates!$B$2:$B$100=LOOKUP(2,1/((Bank_Rates!$A$2:$A$100=H210)*(Bank_Rates!$B$2:$B$100&lt;=C210)),Bank_Rates!$B$2:$B$100))*(Bank_Rates!$D$2:$D$100&lt;=G210)),1)),"No Match")</f>
        <v>0</v>
      </c>
      <c r="K210" s="5" t="str">
        <f t="shared" si="15"/>
        <v/>
      </c>
      <c r="L210" s="2"/>
      <c r="M210" s="2"/>
      <c r="N210" s="2"/>
    </row>
    <row r="211" spans="1:14">
      <c r="A211" s="2" t="str">
        <f t="shared" si="12"/>
        <v/>
      </c>
      <c r="B211" s="2"/>
      <c r="C211" s="4"/>
      <c r="D211" s="7"/>
      <c r="E211" s="7"/>
      <c r="F211" s="4"/>
      <c r="G211" s="6" t="str">
        <f t="shared" si="13"/>
        <v/>
      </c>
      <c r="H211" s="2"/>
      <c r="I211" s="5" t="str">
        <f t="shared" si="14"/>
        <v/>
      </c>
      <c r="J211" s="3">
        <f>IFERROR(SUMIFS(Bank_Rates!$C$2:$C$100,Bank_Rates!$A$2:$A$100,H211,Bank_Rates!$B$2:$B$100,LOOKUP(2,1/((Bank_Rates!$A$2:$A$100=H211)*(Bank_Rates!$B$2:$B$100&lt;=C211)),Bank_Rates!$B$2:$B$100),Bank_Rates!$D$2:$D$100,_xlfn.AGGREGATE(14,6,Bank_Rates!$D$2:$D$100/((Bank_Rates!$A$2:$A$100=H211)*(Bank_Rates!$B$2:$B$100=LOOKUP(2,1/((Bank_Rates!$A$2:$A$100=H211)*(Bank_Rates!$B$2:$B$100&lt;=C211)),Bank_Rates!$B$2:$B$100))*(Bank_Rates!$D$2:$D$100&lt;=G211)),1)),"No Match")</f>
        <v>0</v>
      </c>
      <c r="K211" s="5" t="str">
        <f t="shared" si="15"/>
        <v/>
      </c>
      <c r="L211" s="2"/>
      <c r="M211" s="2"/>
      <c r="N211" s="2"/>
    </row>
    <row r="212" spans="1:14">
      <c r="A212" s="2" t="str">
        <f t="shared" si="12"/>
        <v/>
      </c>
      <c r="B212" s="2"/>
      <c r="C212" s="4"/>
      <c r="D212" s="7"/>
      <c r="E212" s="7"/>
      <c r="F212" s="4"/>
      <c r="G212" s="6" t="str">
        <f t="shared" si="13"/>
        <v/>
      </c>
      <c r="H212" s="2"/>
      <c r="I212" s="5" t="str">
        <f t="shared" si="14"/>
        <v/>
      </c>
      <c r="J212" s="3">
        <f>IFERROR(SUMIFS(Bank_Rates!$C$2:$C$100,Bank_Rates!$A$2:$A$100,H212,Bank_Rates!$B$2:$B$100,LOOKUP(2,1/((Bank_Rates!$A$2:$A$100=H212)*(Bank_Rates!$B$2:$B$100&lt;=C212)),Bank_Rates!$B$2:$B$100),Bank_Rates!$D$2:$D$100,_xlfn.AGGREGATE(14,6,Bank_Rates!$D$2:$D$100/((Bank_Rates!$A$2:$A$100=H212)*(Bank_Rates!$B$2:$B$100=LOOKUP(2,1/((Bank_Rates!$A$2:$A$100=H212)*(Bank_Rates!$B$2:$B$100&lt;=C212)),Bank_Rates!$B$2:$B$100))*(Bank_Rates!$D$2:$D$100&lt;=G212)),1)),"No Match")</f>
        <v>0</v>
      </c>
      <c r="K212" s="5" t="str">
        <f t="shared" si="15"/>
        <v/>
      </c>
      <c r="L212" s="2"/>
      <c r="M212" s="2"/>
      <c r="N212" s="2"/>
    </row>
    <row r="213" spans="1:14">
      <c r="A213" s="2" t="str">
        <f t="shared" si="12"/>
        <v/>
      </c>
      <c r="B213" s="2"/>
      <c r="C213" s="4"/>
      <c r="D213" s="7"/>
      <c r="E213" s="7"/>
      <c r="F213" s="4"/>
      <c r="G213" s="6" t="str">
        <f t="shared" si="13"/>
        <v/>
      </c>
      <c r="H213" s="2"/>
      <c r="I213" s="5" t="str">
        <f t="shared" si="14"/>
        <v/>
      </c>
      <c r="J213" s="3">
        <f>IFERROR(SUMIFS(Bank_Rates!$C$2:$C$100,Bank_Rates!$A$2:$A$100,H213,Bank_Rates!$B$2:$B$100,LOOKUP(2,1/((Bank_Rates!$A$2:$A$100=H213)*(Bank_Rates!$B$2:$B$100&lt;=C213)),Bank_Rates!$B$2:$B$100),Bank_Rates!$D$2:$D$100,_xlfn.AGGREGATE(14,6,Bank_Rates!$D$2:$D$100/((Bank_Rates!$A$2:$A$100=H213)*(Bank_Rates!$B$2:$B$100=LOOKUP(2,1/((Bank_Rates!$A$2:$A$100=H213)*(Bank_Rates!$B$2:$B$100&lt;=C213)),Bank_Rates!$B$2:$B$100))*(Bank_Rates!$D$2:$D$100&lt;=G213)),1)),"No Match")</f>
        <v>0</v>
      </c>
      <c r="K213" s="5" t="str">
        <f t="shared" si="15"/>
        <v/>
      </c>
      <c r="L213" s="2"/>
      <c r="M213" s="2"/>
      <c r="N213" s="2"/>
    </row>
    <row r="214" spans="1:14">
      <c r="A214" s="2" t="str">
        <f t="shared" si="12"/>
        <v/>
      </c>
      <c r="B214" s="2"/>
      <c r="C214" s="4"/>
      <c r="D214" s="7"/>
      <c r="E214" s="7"/>
      <c r="F214" s="4"/>
      <c r="G214" s="6" t="str">
        <f t="shared" si="13"/>
        <v/>
      </c>
      <c r="H214" s="2"/>
      <c r="I214" s="5" t="str">
        <f t="shared" si="14"/>
        <v/>
      </c>
      <c r="J214" s="3">
        <f>IFERROR(SUMIFS(Bank_Rates!$C$2:$C$100,Bank_Rates!$A$2:$A$100,H214,Bank_Rates!$B$2:$B$100,LOOKUP(2,1/((Bank_Rates!$A$2:$A$100=H214)*(Bank_Rates!$B$2:$B$100&lt;=C214)),Bank_Rates!$B$2:$B$100),Bank_Rates!$D$2:$D$100,_xlfn.AGGREGATE(14,6,Bank_Rates!$D$2:$D$100/((Bank_Rates!$A$2:$A$100=H214)*(Bank_Rates!$B$2:$B$100=LOOKUP(2,1/((Bank_Rates!$A$2:$A$100=H214)*(Bank_Rates!$B$2:$B$100&lt;=C214)),Bank_Rates!$B$2:$B$100))*(Bank_Rates!$D$2:$D$100&lt;=G214)),1)),"No Match")</f>
        <v>0</v>
      </c>
      <c r="K214" s="5" t="str">
        <f t="shared" si="15"/>
        <v/>
      </c>
      <c r="L214" s="2"/>
      <c r="M214" s="2"/>
      <c r="N214" s="2"/>
    </row>
    <row r="215" spans="1:14">
      <c r="A215" s="2" t="str">
        <f t="shared" si="12"/>
        <v/>
      </c>
      <c r="B215" s="2"/>
      <c r="C215" s="4"/>
      <c r="D215" s="7"/>
      <c r="E215" s="7"/>
      <c r="F215" s="4"/>
      <c r="G215" s="6" t="str">
        <f t="shared" si="13"/>
        <v/>
      </c>
      <c r="H215" s="2"/>
      <c r="I215" s="5" t="str">
        <f t="shared" si="14"/>
        <v/>
      </c>
      <c r="J215" s="3">
        <f>IFERROR(SUMIFS(Bank_Rates!$C$2:$C$100,Bank_Rates!$A$2:$A$100,H215,Bank_Rates!$B$2:$B$100,LOOKUP(2,1/((Bank_Rates!$A$2:$A$100=H215)*(Bank_Rates!$B$2:$B$100&lt;=C215)),Bank_Rates!$B$2:$B$100),Bank_Rates!$D$2:$D$100,_xlfn.AGGREGATE(14,6,Bank_Rates!$D$2:$D$100/((Bank_Rates!$A$2:$A$100=H215)*(Bank_Rates!$B$2:$B$100=LOOKUP(2,1/((Bank_Rates!$A$2:$A$100=H215)*(Bank_Rates!$B$2:$B$100&lt;=C215)),Bank_Rates!$B$2:$B$100))*(Bank_Rates!$D$2:$D$100&lt;=G215)),1)),"No Match")</f>
        <v>0</v>
      </c>
      <c r="K215" s="5" t="str">
        <f t="shared" si="15"/>
        <v/>
      </c>
      <c r="L215" s="2"/>
      <c r="M215" s="2"/>
      <c r="N215" s="2"/>
    </row>
    <row r="216" spans="1:14">
      <c r="A216" s="2" t="str">
        <f t="shared" si="12"/>
        <v/>
      </c>
      <c r="B216" s="2"/>
      <c r="C216" s="4"/>
      <c r="D216" s="7"/>
      <c r="E216" s="7"/>
      <c r="F216" s="4"/>
      <c r="G216" s="6" t="str">
        <f t="shared" si="13"/>
        <v/>
      </c>
      <c r="H216" s="2"/>
      <c r="I216" s="5" t="str">
        <f t="shared" si="14"/>
        <v/>
      </c>
      <c r="J216" s="3">
        <f>IFERROR(SUMIFS(Bank_Rates!$C$2:$C$100,Bank_Rates!$A$2:$A$100,H216,Bank_Rates!$B$2:$B$100,LOOKUP(2,1/((Bank_Rates!$A$2:$A$100=H216)*(Bank_Rates!$B$2:$B$100&lt;=C216)),Bank_Rates!$B$2:$B$100),Bank_Rates!$D$2:$D$100,_xlfn.AGGREGATE(14,6,Bank_Rates!$D$2:$D$100/((Bank_Rates!$A$2:$A$100=H216)*(Bank_Rates!$B$2:$B$100=LOOKUP(2,1/((Bank_Rates!$A$2:$A$100=H216)*(Bank_Rates!$B$2:$B$100&lt;=C216)),Bank_Rates!$B$2:$B$100))*(Bank_Rates!$D$2:$D$100&lt;=G216)),1)),"No Match")</f>
        <v>0</v>
      </c>
      <c r="K216" s="5" t="str">
        <f t="shared" si="15"/>
        <v/>
      </c>
      <c r="L216" s="2"/>
      <c r="M216" s="2"/>
      <c r="N216" s="2"/>
    </row>
    <row r="217" spans="1:14">
      <c r="A217" s="2" t="str">
        <f t="shared" si="12"/>
        <v/>
      </c>
      <c r="B217" s="2"/>
      <c r="C217" s="4"/>
      <c r="D217" s="7"/>
      <c r="E217" s="7"/>
      <c r="F217" s="4"/>
      <c r="G217" s="6" t="str">
        <f t="shared" si="13"/>
        <v/>
      </c>
      <c r="H217" s="2"/>
      <c r="I217" s="5" t="str">
        <f t="shared" si="14"/>
        <v/>
      </c>
      <c r="J217" s="3">
        <f>IFERROR(SUMIFS(Bank_Rates!$C$2:$C$100,Bank_Rates!$A$2:$A$100,H217,Bank_Rates!$B$2:$B$100,LOOKUP(2,1/((Bank_Rates!$A$2:$A$100=H217)*(Bank_Rates!$B$2:$B$100&lt;=C217)),Bank_Rates!$B$2:$B$100),Bank_Rates!$D$2:$D$100,_xlfn.AGGREGATE(14,6,Bank_Rates!$D$2:$D$100/((Bank_Rates!$A$2:$A$100=H217)*(Bank_Rates!$B$2:$B$100=LOOKUP(2,1/((Bank_Rates!$A$2:$A$100=H217)*(Bank_Rates!$B$2:$B$100&lt;=C217)),Bank_Rates!$B$2:$B$100))*(Bank_Rates!$D$2:$D$100&lt;=G217)),1)),"No Match")</f>
        <v>0</v>
      </c>
      <c r="K217" s="5" t="str">
        <f t="shared" si="15"/>
        <v/>
      </c>
      <c r="L217" s="2"/>
      <c r="M217" s="2"/>
      <c r="N217" s="2"/>
    </row>
    <row r="218" spans="1:14">
      <c r="A218" s="2" t="str">
        <f t="shared" si="12"/>
        <v/>
      </c>
      <c r="B218" s="2"/>
      <c r="C218" s="4"/>
      <c r="D218" s="7"/>
      <c r="E218" s="7"/>
      <c r="F218" s="4"/>
      <c r="G218" s="6" t="str">
        <f t="shared" si="13"/>
        <v/>
      </c>
      <c r="H218" s="2"/>
      <c r="I218" s="5" t="str">
        <f t="shared" si="14"/>
        <v/>
      </c>
      <c r="J218" s="3">
        <f>IFERROR(SUMIFS(Bank_Rates!$C$2:$C$100,Bank_Rates!$A$2:$A$100,H218,Bank_Rates!$B$2:$B$100,LOOKUP(2,1/((Bank_Rates!$A$2:$A$100=H218)*(Bank_Rates!$B$2:$B$100&lt;=C218)),Bank_Rates!$B$2:$B$100),Bank_Rates!$D$2:$D$100,_xlfn.AGGREGATE(14,6,Bank_Rates!$D$2:$D$100/((Bank_Rates!$A$2:$A$100=H218)*(Bank_Rates!$B$2:$B$100=LOOKUP(2,1/((Bank_Rates!$A$2:$A$100=H218)*(Bank_Rates!$B$2:$B$100&lt;=C218)),Bank_Rates!$B$2:$B$100))*(Bank_Rates!$D$2:$D$100&lt;=G218)),1)),"No Match")</f>
        <v>0</v>
      </c>
      <c r="K218" s="5" t="str">
        <f t="shared" si="15"/>
        <v/>
      </c>
      <c r="L218" s="2"/>
      <c r="M218" s="2"/>
      <c r="N218" s="2"/>
    </row>
    <row r="219" spans="1:14">
      <c r="A219" s="2" t="str">
        <f t="shared" si="12"/>
        <v/>
      </c>
      <c r="B219" s="2"/>
      <c r="C219" s="4"/>
      <c r="D219" s="7"/>
      <c r="E219" s="7"/>
      <c r="F219" s="4"/>
      <c r="G219" s="6" t="str">
        <f t="shared" si="13"/>
        <v/>
      </c>
      <c r="H219" s="2"/>
      <c r="I219" s="5" t="str">
        <f t="shared" si="14"/>
        <v/>
      </c>
      <c r="J219" s="3">
        <f>IFERROR(SUMIFS(Bank_Rates!$C$2:$C$100,Bank_Rates!$A$2:$A$100,H219,Bank_Rates!$B$2:$B$100,LOOKUP(2,1/((Bank_Rates!$A$2:$A$100=H219)*(Bank_Rates!$B$2:$B$100&lt;=C219)),Bank_Rates!$B$2:$B$100),Bank_Rates!$D$2:$D$100,_xlfn.AGGREGATE(14,6,Bank_Rates!$D$2:$D$100/((Bank_Rates!$A$2:$A$100=H219)*(Bank_Rates!$B$2:$B$100=LOOKUP(2,1/((Bank_Rates!$A$2:$A$100=H219)*(Bank_Rates!$B$2:$B$100&lt;=C219)),Bank_Rates!$B$2:$B$100))*(Bank_Rates!$D$2:$D$100&lt;=G219)),1)),"No Match")</f>
        <v>0</v>
      </c>
      <c r="K219" s="5" t="str">
        <f t="shared" si="15"/>
        <v/>
      </c>
      <c r="L219" s="2"/>
      <c r="M219" s="2"/>
      <c r="N219" s="2"/>
    </row>
    <row r="220" spans="1:14">
      <c r="A220" s="2" t="str">
        <f t="shared" si="12"/>
        <v/>
      </c>
      <c r="B220" s="2"/>
      <c r="C220" s="4"/>
      <c r="D220" s="7"/>
      <c r="E220" s="7"/>
      <c r="F220" s="4"/>
      <c r="G220" s="6" t="str">
        <f t="shared" si="13"/>
        <v/>
      </c>
      <c r="H220" s="2"/>
      <c r="I220" s="5" t="str">
        <f t="shared" si="14"/>
        <v/>
      </c>
      <c r="J220" s="3">
        <f>IFERROR(SUMIFS(Bank_Rates!$C$2:$C$100,Bank_Rates!$A$2:$A$100,H220,Bank_Rates!$B$2:$B$100,LOOKUP(2,1/((Bank_Rates!$A$2:$A$100=H220)*(Bank_Rates!$B$2:$B$100&lt;=C220)),Bank_Rates!$B$2:$B$100),Bank_Rates!$D$2:$D$100,_xlfn.AGGREGATE(14,6,Bank_Rates!$D$2:$D$100/((Bank_Rates!$A$2:$A$100=H220)*(Bank_Rates!$B$2:$B$100=LOOKUP(2,1/((Bank_Rates!$A$2:$A$100=H220)*(Bank_Rates!$B$2:$B$100&lt;=C220)),Bank_Rates!$B$2:$B$100))*(Bank_Rates!$D$2:$D$100&lt;=G220)),1)),"No Match")</f>
        <v>0</v>
      </c>
      <c r="K220" s="5" t="str">
        <f t="shared" si="15"/>
        <v/>
      </c>
      <c r="L220" s="2"/>
      <c r="M220" s="2"/>
      <c r="N220" s="2"/>
    </row>
    <row r="221" spans="1:14">
      <c r="A221" s="2" t="str">
        <f t="shared" si="12"/>
        <v/>
      </c>
      <c r="B221" s="2"/>
      <c r="C221" s="4"/>
      <c r="D221" s="7"/>
      <c r="E221" s="7"/>
      <c r="F221" s="4"/>
      <c r="G221" s="6" t="str">
        <f t="shared" si="13"/>
        <v/>
      </c>
      <c r="H221" s="2"/>
      <c r="I221" s="5" t="str">
        <f t="shared" si="14"/>
        <v/>
      </c>
      <c r="J221" s="3">
        <f>IFERROR(SUMIFS(Bank_Rates!$C$2:$C$100,Bank_Rates!$A$2:$A$100,H221,Bank_Rates!$B$2:$B$100,LOOKUP(2,1/((Bank_Rates!$A$2:$A$100=H221)*(Bank_Rates!$B$2:$B$100&lt;=C221)),Bank_Rates!$B$2:$B$100),Bank_Rates!$D$2:$D$100,_xlfn.AGGREGATE(14,6,Bank_Rates!$D$2:$D$100/((Bank_Rates!$A$2:$A$100=H221)*(Bank_Rates!$B$2:$B$100=LOOKUP(2,1/((Bank_Rates!$A$2:$A$100=H221)*(Bank_Rates!$B$2:$B$100&lt;=C221)),Bank_Rates!$B$2:$B$100))*(Bank_Rates!$D$2:$D$100&lt;=G221)),1)),"No Match")</f>
        <v>0</v>
      </c>
      <c r="K221" s="5" t="str">
        <f t="shared" si="15"/>
        <v/>
      </c>
      <c r="L221" s="2"/>
      <c r="M221" s="2"/>
      <c r="N221" s="2"/>
    </row>
    <row r="222" spans="1:14">
      <c r="A222" s="2" t="str">
        <f t="shared" si="12"/>
        <v/>
      </c>
      <c r="B222" s="2"/>
      <c r="C222" s="4"/>
      <c r="D222" s="7"/>
      <c r="E222" s="7"/>
      <c r="F222" s="4"/>
      <c r="G222" s="6" t="str">
        <f t="shared" si="13"/>
        <v/>
      </c>
      <c r="H222" s="2"/>
      <c r="I222" s="5" t="str">
        <f t="shared" si="14"/>
        <v/>
      </c>
      <c r="J222" s="3">
        <f>IFERROR(SUMIFS(Bank_Rates!$C$2:$C$100,Bank_Rates!$A$2:$A$100,H222,Bank_Rates!$B$2:$B$100,LOOKUP(2,1/((Bank_Rates!$A$2:$A$100=H222)*(Bank_Rates!$B$2:$B$100&lt;=C222)),Bank_Rates!$B$2:$B$100),Bank_Rates!$D$2:$D$100,_xlfn.AGGREGATE(14,6,Bank_Rates!$D$2:$D$100/((Bank_Rates!$A$2:$A$100=H222)*(Bank_Rates!$B$2:$B$100=LOOKUP(2,1/((Bank_Rates!$A$2:$A$100=H222)*(Bank_Rates!$B$2:$B$100&lt;=C222)),Bank_Rates!$B$2:$B$100))*(Bank_Rates!$D$2:$D$100&lt;=G222)),1)),"No Match")</f>
        <v>0</v>
      </c>
      <c r="K222" s="5" t="str">
        <f t="shared" si="15"/>
        <v/>
      </c>
      <c r="L222" s="2"/>
      <c r="M222" s="2"/>
      <c r="N222" s="2"/>
    </row>
    <row r="223" spans="1:14">
      <c r="A223" s="2" t="str">
        <f t="shared" si="12"/>
        <v/>
      </c>
      <c r="B223" s="2"/>
      <c r="C223" s="4"/>
      <c r="D223" s="7"/>
      <c r="E223" s="7"/>
      <c r="F223" s="4"/>
      <c r="G223" s="6" t="str">
        <f t="shared" si="13"/>
        <v/>
      </c>
      <c r="H223" s="2"/>
      <c r="I223" s="5" t="str">
        <f t="shared" si="14"/>
        <v/>
      </c>
      <c r="J223" s="3">
        <f>IFERROR(SUMIFS(Bank_Rates!$C$2:$C$100,Bank_Rates!$A$2:$A$100,H223,Bank_Rates!$B$2:$B$100,LOOKUP(2,1/((Bank_Rates!$A$2:$A$100=H223)*(Bank_Rates!$B$2:$B$100&lt;=C223)),Bank_Rates!$B$2:$B$100),Bank_Rates!$D$2:$D$100,_xlfn.AGGREGATE(14,6,Bank_Rates!$D$2:$D$100/((Bank_Rates!$A$2:$A$100=H223)*(Bank_Rates!$B$2:$B$100=LOOKUP(2,1/((Bank_Rates!$A$2:$A$100=H223)*(Bank_Rates!$B$2:$B$100&lt;=C223)),Bank_Rates!$B$2:$B$100))*(Bank_Rates!$D$2:$D$100&lt;=G223)),1)),"No Match")</f>
        <v>0</v>
      </c>
      <c r="K223" s="5" t="str">
        <f t="shared" si="15"/>
        <v/>
      </c>
      <c r="L223" s="2"/>
      <c r="M223" s="2"/>
      <c r="N223" s="2"/>
    </row>
    <row r="224" spans="1:14">
      <c r="A224" s="2" t="str">
        <f t="shared" si="12"/>
        <v/>
      </c>
      <c r="B224" s="2"/>
      <c r="C224" s="4"/>
      <c r="D224" s="7"/>
      <c r="E224" s="7"/>
      <c r="F224" s="4"/>
      <c r="G224" s="6" t="str">
        <f t="shared" si="13"/>
        <v/>
      </c>
      <c r="H224" s="2"/>
      <c r="I224" s="5" t="str">
        <f t="shared" si="14"/>
        <v/>
      </c>
      <c r="J224" s="3">
        <f>IFERROR(SUMIFS(Bank_Rates!$C$2:$C$100,Bank_Rates!$A$2:$A$100,H224,Bank_Rates!$B$2:$B$100,LOOKUP(2,1/((Bank_Rates!$A$2:$A$100=H224)*(Bank_Rates!$B$2:$B$100&lt;=C224)),Bank_Rates!$B$2:$B$100),Bank_Rates!$D$2:$D$100,_xlfn.AGGREGATE(14,6,Bank_Rates!$D$2:$D$100/((Bank_Rates!$A$2:$A$100=H224)*(Bank_Rates!$B$2:$B$100=LOOKUP(2,1/((Bank_Rates!$A$2:$A$100=H224)*(Bank_Rates!$B$2:$B$100&lt;=C224)),Bank_Rates!$B$2:$B$100))*(Bank_Rates!$D$2:$D$100&lt;=G224)),1)),"No Match")</f>
        <v>0</v>
      </c>
      <c r="K224" s="5" t="str">
        <f t="shared" si="15"/>
        <v/>
      </c>
      <c r="L224" s="2"/>
      <c r="M224" s="2"/>
      <c r="N224" s="2"/>
    </row>
    <row r="225" spans="1:14">
      <c r="A225" s="2" t="str">
        <f t="shared" si="12"/>
        <v/>
      </c>
      <c r="B225" s="2"/>
      <c r="C225" s="4"/>
      <c r="D225" s="7"/>
      <c r="E225" s="7"/>
      <c r="F225" s="4"/>
      <c r="G225" s="6" t="str">
        <f t="shared" si="13"/>
        <v/>
      </c>
      <c r="H225" s="2"/>
      <c r="I225" s="5" t="str">
        <f t="shared" si="14"/>
        <v/>
      </c>
      <c r="J225" s="3">
        <f>IFERROR(SUMIFS(Bank_Rates!$C$2:$C$100,Bank_Rates!$A$2:$A$100,H225,Bank_Rates!$B$2:$B$100,LOOKUP(2,1/((Bank_Rates!$A$2:$A$100=H225)*(Bank_Rates!$B$2:$B$100&lt;=C225)),Bank_Rates!$B$2:$B$100),Bank_Rates!$D$2:$D$100,_xlfn.AGGREGATE(14,6,Bank_Rates!$D$2:$D$100/((Bank_Rates!$A$2:$A$100=H225)*(Bank_Rates!$B$2:$B$100=LOOKUP(2,1/((Bank_Rates!$A$2:$A$100=H225)*(Bank_Rates!$B$2:$B$100&lt;=C225)),Bank_Rates!$B$2:$B$100))*(Bank_Rates!$D$2:$D$100&lt;=G225)),1)),"No Match")</f>
        <v>0</v>
      </c>
      <c r="K225" s="5" t="str">
        <f t="shared" si="15"/>
        <v/>
      </c>
      <c r="L225" s="2"/>
      <c r="M225" s="2"/>
      <c r="N225" s="2"/>
    </row>
    <row r="226" spans="1:14">
      <c r="A226" s="2" t="str">
        <f t="shared" si="12"/>
        <v/>
      </c>
      <c r="B226" s="2"/>
      <c r="C226" s="4"/>
      <c r="D226" s="7"/>
      <c r="E226" s="7"/>
      <c r="F226" s="4"/>
      <c r="G226" s="6" t="str">
        <f t="shared" si="13"/>
        <v/>
      </c>
      <c r="H226" s="2"/>
      <c r="I226" s="5" t="str">
        <f t="shared" si="14"/>
        <v/>
      </c>
      <c r="J226" s="3">
        <f>IFERROR(SUMIFS(Bank_Rates!$C$2:$C$100,Bank_Rates!$A$2:$A$100,H226,Bank_Rates!$B$2:$B$100,LOOKUP(2,1/((Bank_Rates!$A$2:$A$100=H226)*(Bank_Rates!$B$2:$B$100&lt;=C226)),Bank_Rates!$B$2:$B$100),Bank_Rates!$D$2:$D$100,_xlfn.AGGREGATE(14,6,Bank_Rates!$D$2:$D$100/((Bank_Rates!$A$2:$A$100=H226)*(Bank_Rates!$B$2:$B$100=LOOKUP(2,1/((Bank_Rates!$A$2:$A$100=H226)*(Bank_Rates!$B$2:$B$100&lt;=C226)),Bank_Rates!$B$2:$B$100))*(Bank_Rates!$D$2:$D$100&lt;=G226)),1)),"No Match")</f>
        <v>0</v>
      </c>
      <c r="K226" s="5" t="str">
        <f t="shared" si="15"/>
        <v/>
      </c>
      <c r="L226" s="2"/>
      <c r="M226" s="2"/>
      <c r="N226" s="2"/>
    </row>
    <row r="227" spans="1:14">
      <c r="A227" s="2" t="str">
        <f t="shared" si="12"/>
        <v/>
      </c>
      <c r="B227" s="2"/>
      <c r="C227" s="4"/>
      <c r="D227" s="7"/>
      <c r="E227" s="7"/>
      <c r="F227" s="4"/>
      <c r="G227" s="6" t="str">
        <f t="shared" si="13"/>
        <v/>
      </c>
      <c r="H227" s="2"/>
      <c r="I227" s="5" t="str">
        <f t="shared" si="14"/>
        <v/>
      </c>
      <c r="J227" s="3">
        <f>IFERROR(SUMIFS(Bank_Rates!$C$2:$C$100,Bank_Rates!$A$2:$A$100,H227,Bank_Rates!$B$2:$B$100,LOOKUP(2,1/((Bank_Rates!$A$2:$A$100=H227)*(Bank_Rates!$B$2:$B$100&lt;=C227)),Bank_Rates!$B$2:$B$100),Bank_Rates!$D$2:$D$100,_xlfn.AGGREGATE(14,6,Bank_Rates!$D$2:$D$100/((Bank_Rates!$A$2:$A$100=H227)*(Bank_Rates!$B$2:$B$100=LOOKUP(2,1/((Bank_Rates!$A$2:$A$100=H227)*(Bank_Rates!$B$2:$B$100&lt;=C227)),Bank_Rates!$B$2:$B$100))*(Bank_Rates!$D$2:$D$100&lt;=G227)),1)),"No Match")</f>
        <v>0</v>
      </c>
      <c r="K227" s="5" t="str">
        <f t="shared" si="15"/>
        <v/>
      </c>
      <c r="L227" s="2"/>
      <c r="M227" s="2"/>
      <c r="N227" s="2"/>
    </row>
    <row r="228" spans="1:14">
      <c r="A228" s="2" t="str">
        <f t="shared" si="12"/>
        <v/>
      </c>
      <c r="B228" s="2"/>
      <c r="C228" s="4"/>
      <c r="D228" s="7"/>
      <c r="E228" s="7"/>
      <c r="F228" s="4"/>
      <c r="G228" s="6" t="str">
        <f t="shared" si="13"/>
        <v/>
      </c>
      <c r="H228" s="2"/>
      <c r="I228" s="5" t="str">
        <f t="shared" si="14"/>
        <v/>
      </c>
      <c r="J228" s="3">
        <f>IFERROR(SUMIFS(Bank_Rates!$C$2:$C$100,Bank_Rates!$A$2:$A$100,H228,Bank_Rates!$B$2:$B$100,LOOKUP(2,1/((Bank_Rates!$A$2:$A$100=H228)*(Bank_Rates!$B$2:$B$100&lt;=C228)),Bank_Rates!$B$2:$B$100),Bank_Rates!$D$2:$D$100,_xlfn.AGGREGATE(14,6,Bank_Rates!$D$2:$D$100/((Bank_Rates!$A$2:$A$100=H228)*(Bank_Rates!$B$2:$B$100=LOOKUP(2,1/((Bank_Rates!$A$2:$A$100=H228)*(Bank_Rates!$B$2:$B$100&lt;=C228)),Bank_Rates!$B$2:$B$100))*(Bank_Rates!$D$2:$D$100&lt;=G228)),1)),"No Match")</f>
        <v>0</v>
      </c>
      <c r="K228" s="5" t="str">
        <f t="shared" si="15"/>
        <v/>
      </c>
      <c r="L228" s="2"/>
      <c r="M228" s="2"/>
      <c r="N228" s="2"/>
    </row>
    <row r="229" spans="1:14">
      <c r="A229" s="2" t="str">
        <f t="shared" si="12"/>
        <v/>
      </c>
      <c r="B229" s="2"/>
      <c r="C229" s="4"/>
      <c r="D229" s="7"/>
      <c r="E229" s="7"/>
      <c r="F229" s="4"/>
      <c r="G229" s="6" t="str">
        <f t="shared" si="13"/>
        <v/>
      </c>
      <c r="H229" s="2"/>
      <c r="I229" s="5" t="str">
        <f t="shared" si="14"/>
        <v/>
      </c>
      <c r="J229" s="3">
        <f>IFERROR(SUMIFS(Bank_Rates!$C$2:$C$100,Bank_Rates!$A$2:$A$100,H229,Bank_Rates!$B$2:$B$100,LOOKUP(2,1/((Bank_Rates!$A$2:$A$100=H229)*(Bank_Rates!$B$2:$B$100&lt;=C229)),Bank_Rates!$B$2:$B$100),Bank_Rates!$D$2:$D$100,_xlfn.AGGREGATE(14,6,Bank_Rates!$D$2:$D$100/((Bank_Rates!$A$2:$A$100=H229)*(Bank_Rates!$B$2:$B$100=LOOKUP(2,1/((Bank_Rates!$A$2:$A$100=H229)*(Bank_Rates!$B$2:$B$100&lt;=C229)),Bank_Rates!$B$2:$B$100))*(Bank_Rates!$D$2:$D$100&lt;=G229)),1)),"No Match")</f>
        <v>0</v>
      </c>
      <c r="K229" s="5" t="str">
        <f t="shared" si="15"/>
        <v/>
      </c>
      <c r="L229" s="2"/>
      <c r="M229" s="2"/>
      <c r="N229" s="2"/>
    </row>
    <row r="230" spans="1:14">
      <c r="A230" s="2" t="str">
        <f t="shared" si="12"/>
        <v/>
      </c>
      <c r="B230" s="2"/>
      <c r="C230" s="4"/>
      <c r="D230" s="7"/>
      <c r="E230" s="7"/>
      <c r="F230" s="4"/>
      <c r="G230" s="6" t="str">
        <f t="shared" si="13"/>
        <v/>
      </c>
      <c r="H230" s="2"/>
      <c r="I230" s="5" t="str">
        <f t="shared" si="14"/>
        <v/>
      </c>
      <c r="J230" s="3">
        <f>IFERROR(SUMIFS(Bank_Rates!$C$2:$C$100,Bank_Rates!$A$2:$A$100,H230,Bank_Rates!$B$2:$B$100,LOOKUP(2,1/((Bank_Rates!$A$2:$A$100=H230)*(Bank_Rates!$B$2:$B$100&lt;=C230)),Bank_Rates!$B$2:$B$100),Bank_Rates!$D$2:$D$100,_xlfn.AGGREGATE(14,6,Bank_Rates!$D$2:$D$100/((Bank_Rates!$A$2:$A$100=H230)*(Bank_Rates!$B$2:$B$100=LOOKUP(2,1/((Bank_Rates!$A$2:$A$100=H230)*(Bank_Rates!$B$2:$B$100&lt;=C230)),Bank_Rates!$B$2:$B$100))*(Bank_Rates!$D$2:$D$100&lt;=G230)),1)),"No Match")</f>
        <v>0</v>
      </c>
      <c r="K230" s="5" t="str">
        <f t="shared" si="15"/>
        <v/>
      </c>
      <c r="L230" s="2"/>
      <c r="M230" s="2"/>
      <c r="N230" s="2"/>
    </row>
    <row r="231" spans="1:14">
      <c r="A231" s="2" t="str">
        <f t="shared" si="12"/>
        <v/>
      </c>
      <c r="B231" s="2"/>
      <c r="C231" s="4"/>
      <c r="D231" s="7"/>
      <c r="E231" s="7"/>
      <c r="F231" s="4"/>
      <c r="G231" s="6" t="str">
        <f t="shared" si="13"/>
        <v/>
      </c>
      <c r="H231" s="2"/>
      <c r="I231" s="5" t="str">
        <f t="shared" si="14"/>
        <v/>
      </c>
      <c r="J231" s="3">
        <f>IFERROR(SUMIFS(Bank_Rates!$C$2:$C$100,Bank_Rates!$A$2:$A$100,H231,Bank_Rates!$B$2:$B$100,LOOKUP(2,1/((Bank_Rates!$A$2:$A$100=H231)*(Bank_Rates!$B$2:$B$100&lt;=C231)),Bank_Rates!$B$2:$B$100),Bank_Rates!$D$2:$D$100,_xlfn.AGGREGATE(14,6,Bank_Rates!$D$2:$D$100/((Bank_Rates!$A$2:$A$100=H231)*(Bank_Rates!$B$2:$B$100=LOOKUP(2,1/((Bank_Rates!$A$2:$A$100=H231)*(Bank_Rates!$B$2:$B$100&lt;=C231)),Bank_Rates!$B$2:$B$100))*(Bank_Rates!$D$2:$D$100&lt;=G231)),1)),"No Match")</f>
        <v>0</v>
      </c>
      <c r="K231" s="5" t="str">
        <f t="shared" si="15"/>
        <v/>
      </c>
      <c r="L231" s="2"/>
      <c r="M231" s="2"/>
      <c r="N231" s="2"/>
    </row>
    <row r="232" spans="1:14">
      <c r="A232" s="2" t="str">
        <f t="shared" si="12"/>
        <v/>
      </c>
      <c r="B232" s="2"/>
      <c r="C232" s="4"/>
      <c r="D232" s="7"/>
      <c r="E232" s="7"/>
      <c r="F232" s="4"/>
      <c r="G232" s="6" t="str">
        <f t="shared" si="13"/>
        <v/>
      </c>
      <c r="H232" s="2"/>
      <c r="I232" s="5" t="str">
        <f t="shared" si="14"/>
        <v/>
      </c>
      <c r="J232" s="3">
        <f>IFERROR(SUMIFS(Bank_Rates!$C$2:$C$100,Bank_Rates!$A$2:$A$100,H232,Bank_Rates!$B$2:$B$100,LOOKUP(2,1/((Bank_Rates!$A$2:$A$100=H232)*(Bank_Rates!$B$2:$B$100&lt;=C232)),Bank_Rates!$B$2:$B$100),Bank_Rates!$D$2:$D$100,_xlfn.AGGREGATE(14,6,Bank_Rates!$D$2:$D$100/((Bank_Rates!$A$2:$A$100=H232)*(Bank_Rates!$B$2:$B$100=LOOKUP(2,1/((Bank_Rates!$A$2:$A$100=H232)*(Bank_Rates!$B$2:$B$100&lt;=C232)),Bank_Rates!$B$2:$B$100))*(Bank_Rates!$D$2:$D$100&lt;=G232)),1)),"No Match")</f>
        <v>0</v>
      </c>
      <c r="K232" s="5" t="str">
        <f t="shared" si="15"/>
        <v/>
      </c>
      <c r="L232" s="2"/>
      <c r="M232" s="2"/>
      <c r="N232" s="2"/>
    </row>
    <row r="233" spans="1:14">
      <c r="A233" s="2" t="str">
        <f t="shared" si="12"/>
        <v/>
      </c>
      <c r="B233" s="2"/>
      <c r="C233" s="4"/>
      <c r="D233" s="7"/>
      <c r="E233" s="7"/>
      <c r="F233" s="4"/>
      <c r="G233" s="6" t="str">
        <f t="shared" si="13"/>
        <v/>
      </c>
      <c r="H233" s="2"/>
      <c r="I233" s="5" t="str">
        <f t="shared" si="14"/>
        <v/>
      </c>
      <c r="J233" s="3">
        <f>IFERROR(SUMIFS(Bank_Rates!$C$2:$C$100,Bank_Rates!$A$2:$A$100,H233,Bank_Rates!$B$2:$B$100,LOOKUP(2,1/((Bank_Rates!$A$2:$A$100=H233)*(Bank_Rates!$B$2:$B$100&lt;=C233)),Bank_Rates!$B$2:$B$100),Bank_Rates!$D$2:$D$100,_xlfn.AGGREGATE(14,6,Bank_Rates!$D$2:$D$100/((Bank_Rates!$A$2:$A$100=H233)*(Bank_Rates!$B$2:$B$100=LOOKUP(2,1/((Bank_Rates!$A$2:$A$100=H233)*(Bank_Rates!$B$2:$B$100&lt;=C233)),Bank_Rates!$B$2:$B$100))*(Bank_Rates!$D$2:$D$100&lt;=G233)),1)),"No Match")</f>
        <v>0</v>
      </c>
      <c r="K233" s="5" t="str">
        <f t="shared" si="15"/>
        <v/>
      </c>
      <c r="L233" s="2"/>
      <c r="M233" s="2"/>
      <c r="N233" s="2"/>
    </row>
    <row r="234" spans="1:14">
      <c r="A234" s="2" t="str">
        <f t="shared" si="12"/>
        <v/>
      </c>
      <c r="B234" s="2"/>
      <c r="C234" s="4"/>
      <c r="D234" s="7"/>
      <c r="E234" s="7"/>
      <c r="F234" s="4"/>
      <c r="G234" s="6" t="str">
        <f t="shared" si="13"/>
        <v/>
      </c>
      <c r="H234" s="2"/>
      <c r="I234" s="5" t="str">
        <f t="shared" si="14"/>
        <v/>
      </c>
      <c r="J234" s="3">
        <f>IFERROR(SUMIFS(Bank_Rates!$C$2:$C$100,Bank_Rates!$A$2:$A$100,H234,Bank_Rates!$B$2:$B$100,LOOKUP(2,1/((Bank_Rates!$A$2:$A$100=H234)*(Bank_Rates!$B$2:$B$100&lt;=C234)),Bank_Rates!$B$2:$B$100),Bank_Rates!$D$2:$D$100,_xlfn.AGGREGATE(14,6,Bank_Rates!$D$2:$D$100/((Bank_Rates!$A$2:$A$100=H234)*(Bank_Rates!$B$2:$B$100=LOOKUP(2,1/((Bank_Rates!$A$2:$A$100=H234)*(Bank_Rates!$B$2:$B$100&lt;=C234)),Bank_Rates!$B$2:$B$100))*(Bank_Rates!$D$2:$D$100&lt;=G234)),1)),"No Match")</f>
        <v>0</v>
      </c>
      <c r="K234" s="5" t="str">
        <f t="shared" si="15"/>
        <v/>
      </c>
      <c r="L234" s="2"/>
      <c r="M234" s="2"/>
      <c r="N234" s="2"/>
    </row>
    <row r="235" spans="1:14">
      <c r="A235" s="2" t="str">
        <f t="shared" si="12"/>
        <v/>
      </c>
      <c r="B235" s="2"/>
      <c r="C235" s="4"/>
      <c r="D235" s="7"/>
      <c r="E235" s="7"/>
      <c r="F235" s="4"/>
      <c r="G235" s="6" t="str">
        <f t="shared" si="13"/>
        <v/>
      </c>
      <c r="H235" s="2"/>
      <c r="I235" s="5" t="str">
        <f t="shared" si="14"/>
        <v/>
      </c>
      <c r="J235" s="3">
        <f>IFERROR(SUMIFS(Bank_Rates!$C$2:$C$100,Bank_Rates!$A$2:$A$100,H235,Bank_Rates!$B$2:$B$100,LOOKUP(2,1/((Bank_Rates!$A$2:$A$100=H235)*(Bank_Rates!$B$2:$B$100&lt;=C235)),Bank_Rates!$B$2:$B$100),Bank_Rates!$D$2:$D$100,_xlfn.AGGREGATE(14,6,Bank_Rates!$D$2:$D$100/((Bank_Rates!$A$2:$A$100=H235)*(Bank_Rates!$B$2:$B$100=LOOKUP(2,1/((Bank_Rates!$A$2:$A$100=H235)*(Bank_Rates!$B$2:$B$100&lt;=C235)),Bank_Rates!$B$2:$B$100))*(Bank_Rates!$D$2:$D$100&lt;=G235)),1)),"No Match")</f>
        <v>0</v>
      </c>
      <c r="K235" s="5" t="str">
        <f t="shared" si="15"/>
        <v/>
      </c>
      <c r="L235" s="2"/>
      <c r="M235" s="2"/>
      <c r="N235" s="2"/>
    </row>
    <row r="236" spans="1:14">
      <c r="A236" s="2" t="str">
        <f t="shared" si="12"/>
        <v/>
      </c>
      <c r="B236" s="2"/>
      <c r="C236" s="4"/>
      <c r="D236" s="7"/>
      <c r="E236" s="7"/>
      <c r="F236" s="4"/>
      <c r="G236" s="6" t="str">
        <f t="shared" si="13"/>
        <v/>
      </c>
      <c r="H236" s="2"/>
      <c r="I236" s="5" t="str">
        <f t="shared" si="14"/>
        <v/>
      </c>
      <c r="J236" s="3">
        <f>IFERROR(SUMIFS(Bank_Rates!$C$2:$C$100,Bank_Rates!$A$2:$A$100,H236,Bank_Rates!$B$2:$B$100,LOOKUP(2,1/((Bank_Rates!$A$2:$A$100=H236)*(Bank_Rates!$B$2:$B$100&lt;=C236)),Bank_Rates!$B$2:$B$100),Bank_Rates!$D$2:$D$100,_xlfn.AGGREGATE(14,6,Bank_Rates!$D$2:$D$100/((Bank_Rates!$A$2:$A$100=H236)*(Bank_Rates!$B$2:$B$100=LOOKUP(2,1/((Bank_Rates!$A$2:$A$100=H236)*(Bank_Rates!$B$2:$B$100&lt;=C236)),Bank_Rates!$B$2:$B$100))*(Bank_Rates!$D$2:$D$100&lt;=G236)),1)),"No Match")</f>
        <v>0</v>
      </c>
      <c r="K236" s="5" t="str">
        <f t="shared" si="15"/>
        <v/>
      </c>
      <c r="L236" s="2"/>
      <c r="M236" s="2"/>
      <c r="N236" s="2"/>
    </row>
    <row r="237" spans="1:14">
      <c r="A237" s="2" t="str">
        <f t="shared" si="12"/>
        <v/>
      </c>
      <c r="B237" s="2"/>
      <c r="C237" s="4"/>
      <c r="D237" s="7"/>
      <c r="E237" s="7"/>
      <c r="F237" s="4"/>
      <c r="G237" s="6" t="str">
        <f t="shared" si="13"/>
        <v/>
      </c>
      <c r="H237" s="2"/>
      <c r="I237" s="5" t="str">
        <f t="shared" si="14"/>
        <v/>
      </c>
      <c r="J237" s="3">
        <f>IFERROR(SUMIFS(Bank_Rates!$C$2:$C$100,Bank_Rates!$A$2:$A$100,H237,Bank_Rates!$B$2:$B$100,LOOKUP(2,1/((Bank_Rates!$A$2:$A$100=H237)*(Bank_Rates!$B$2:$B$100&lt;=C237)),Bank_Rates!$B$2:$B$100),Bank_Rates!$D$2:$D$100,_xlfn.AGGREGATE(14,6,Bank_Rates!$D$2:$D$100/((Bank_Rates!$A$2:$A$100=H237)*(Bank_Rates!$B$2:$B$100=LOOKUP(2,1/((Bank_Rates!$A$2:$A$100=H237)*(Bank_Rates!$B$2:$B$100&lt;=C237)),Bank_Rates!$B$2:$B$100))*(Bank_Rates!$D$2:$D$100&lt;=G237)),1)),"No Match")</f>
        <v>0</v>
      </c>
      <c r="K237" s="5" t="str">
        <f t="shared" si="15"/>
        <v/>
      </c>
      <c r="L237" s="2"/>
      <c r="M237" s="2"/>
      <c r="N237" s="2"/>
    </row>
    <row r="238" spans="1:14">
      <c r="A238" s="2" t="str">
        <f t="shared" si="12"/>
        <v/>
      </c>
      <c r="B238" s="2"/>
      <c r="C238" s="4"/>
      <c r="D238" s="7"/>
      <c r="E238" s="7"/>
      <c r="F238" s="4"/>
      <c r="G238" s="6" t="str">
        <f t="shared" si="13"/>
        <v/>
      </c>
      <c r="H238" s="2"/>
      <c r="I238" s="5" t="str">
        <f t="shared" si="14"/>
        <v/>
      </c>
      <c r="J238" s="3">
        <f>IFERROR(SUMIFS(Bank_Rates!$C$2:$C$100,Bank_Rates!$A$2:$A$100,H238,Bank_Rates!$B$2:$B$100,LOOKUP(2,1/((Bank_Rates!$A$2:$A$100=H238)*(Bank_Rates!$B$2:$B$100&lt;=C238)),Bank_Rates!$B$2:$B$100),Bank_Rates!$D$2:$D$100,_xlfn.AGGREGATE(14,6,Bank_Rates!$D$2:$D$100/((Bank_Rates!$A$2:$A$100=H238)*(Bank_Rates!$B$2:$B$100=LOOKUP(2,1/((Bank_Rates!$A$2:$A$100=H238)*(Bank_Rates!$B$2:$B$100&lt;=C238)),Bank_Rates!$B$2:$B$100))*(Bank_Rates!$D$2:$D$100&lt;=G238)),1)),"No Match")</f>
        <v>0</v>
      </c>
      <c r="K238" s="5" t="str">
        <f t="shared" si="15"/>
        <v/>
      </c>
      <c r="L238" s="2"/>
      <c r="M238" s="2"/>
      <c r="N238" s="2"/>
    </row>
    <row r="239" spans="1:14">
      <c r="A239" s="2" t="str">
        <f t="shared" si="12"/>
        <v/>
      </c>
      <c r="B239" s="2"/>
      <c r="C239" s="4"/>
      <c r="D239" s="7"/>
      <c r="E239" s="7"/>
      <c r="F239" s="4"/>
      <c r="G239" s="6" t="str">
        <f t="shared" si="13"/>
        <v/>
      </c>
      <c r="H239" s="2"/>
      <c r="I239" s="5" t="str">
        <f t="shared" si="14"/>
        <v/>
      </c>
      <c r="J239" s="3">
        <f>IFERROR(SUMIFS(Bank_Rates!$C$2:$C$100,Bank_Rates!$A$2:$A$100,H239,Bank_Rates!$B$2:$B$100,LOOKUP(2,1/((Bank_Rates!$A$2:$A$100=H239)*(Bank_Rates!$B$2:$B$100&lt;=C239)),Bank_Rates!$B$2:$B$100),Bank_Rates!$D$2:$D$100,_xlfn.AGGREGATE(14,6,Bank_Rates!$D$2:$D$100/((Bank_Rates!$A$2:$A$100=H239)*(Bank_Rates!$B$2:$B$100=LOOKUP(2,1/((Bank_Rates!$A$2:$A$100=H239)*(Bank_Rates!$B$2:$B$100&lt;=C239)),Bank_Rates!$B$2:$B$100))*(Bank_Rates!$D$2:$D$100&lt;=G239)),1)),"No Match")</f>
        <v>0</v>
      </c>
      <c r="K239" s="5" t="str">
        <f t="shared" si="15"/>
        <v/>
      </c>
      <c r="L239" s="2"/>
      <c r="M239" s="2"/>
      <c r="N239" s="2"/>
    </row>
    <row r="240" spans="1:14">
      <c r="A240" s="2" t="str">
        <f t="shared" si="12"/>
        <v/>
      </c>
      <c r="B240" s="2"/>
      <c r="C240" s="4"/>
      <c r="D240" s="7"/>
      <c r="E240" s="7"/>
      <c r="F240" s="4"/>
      <c r="G240" s="6" t="str">
        <f t="shared" si="13"/>
        <v/>
      </c>
      <c r="H240" s="2"/>
      <c r="I240" s="5" t="str">
        <f t="shared" si="14"/>
        <v/>
      </c>
      <c r="J240" s="3">
        <f>IFERROR(SUMIFS(Bank_Rates!$C$2:$C$100,Bank_Rates!$A$2:$A$100,H240,Bank_Rates!$B$2:$B$100,LOOKUP(2,1/((Bank_Rates!$A$2:$A$100=H240)*(Bank_Rates!$B$2:$B$100&lt;=C240)),Bank_Rates!$B$2:$B$100),Bank_Rates!$D$2:$D$100,_xlfn.AGGREGATE(14,6,Bank_Rates!$D$2:$D$100/((Bank_Rates!$A$2:$A$100=H240)*(Bank_Rates!$B$2:$B$100=LOOKUP(2,1/((Bank_Rates!$A$2:$A$100=H240)*(Bank_Rates!$B$2:$B$100&lt;=C240)),Bank_Rates!$B$2:$B$100))*(Bank_Rates!$D$2:$D$100&lt;=G240)),1)),"No Match")</f>
        <v>0</v>
      </c>
      <c r="K240" s="5" t="str">
        <f t="shared" si="15"/>
        <v/>
      </c>
      <c r="L240" s="2"/>
      <c r="M240" s="2"/>
      <c r="N240" s="2"/>
    </row>
    <row r="241" spans="1:14">
      <c r="A241" s="2" t="str">
        <f t="shared" si="12"/>
        <v/>
      </c>
      <c r="B241" s="2"/>
      <c r="C241" s="4"/>
      <c r="D241" s="7"/>
      <c r="E241" s="7"/>
      <c r="F241" s="4"/>
      <c r="G241" s="6" t="str">
        <f t="shared" si="13"/>
        <v/>
      </c>
      <c r="H241" s="2"/>
      <c r="I241" s="5" t="str">
        <f t="shared" si="14"/>
        <v/>
      </c>
      <c r="J241" s="3">
        <f>IFERROR(SUMIFS(Bank_Rates!$C$2:$C$100,Bank_Rates!$A$2:$A$100,H241,Bank_Rates!$B$2:$B$100,LOOKUP(2,1/((Bank_Rates!$A$2:$A$100=H241)*(Bank_Rates!$B$2:$B$100&lt;=C241)),Bank_Rates!$B$2:$B$100),Bank_Rates!$D$2:$D$100,_xlfn.AGGREGATE(14,6,Bank_Rates!$D$2:$D$100/((Bank_Rates!$A$2:$A$100=H241)*(Bank_Rates!$B$2:$B$100=LOOKUP(2,1/((Bank_Rates!$A$2:$A$100=H241)*(Bank_Rates!$B$2:$B$100&lt;=C241)),Bank_Rates!$B$2:$B$100))*(Bank_Rates!$D$2:$D$100&lt;=G241)),1)),"No Match")</f>
        <v>0</v>
      </c>
      <c r="K241" s="5" t="str">
        <f t="shared" si="15"/>
        <v/>
      </c>
      <c r="L241" s="2"/>
      <c r="M241" s="2"/>
      <c r="N241" s="2"/>
    </row>
    <row r="242" spans="1:14">
      <c r="A242" s="2" t="str">
        <f t="shared" si="12"/>
        <v/>
      </c>
      <c r="B242" s="2"/>
      <c r="C242" s="4"/>
      <c r="D242" s="7"/>
      <c r="E242" s="7"/>
      <c r="F242" s="4"/>
      <c r="G242" s="6" t="str">
        <f t="shared" si="13"/>
        <v/>
      </c>
      <c r="H242" s="2"/>
      <c r="I242" s="5" t="str">
        <f t="shared" si="14"/>
        <v/>
      </c>
      <c r="J242" s="3">
        <f>IFERROR(SUMIFS(Bank_Rates!$C$2:$C$100,Bank_Rates!$A$2:$A$100,H242,Bank_Rates!$B$2:$B$100,LOOKUP(2,1/((Bank_Rates!$A$2:$A$100=H242)*(Bank_Rates!$B$2:$B$100&lt;=C242)),Bank_Rates!$B$2:$B$100),Bank_Rates!$D$2:$D$100,_xlfn.AGGREGATE(14,6,Bank_Rates!$D$2:$D$100/((Bank_Rates!$A$2:$A$100=H242)*(Bank_Rates!$B$2:$B$100=LOOKUP(2,1/((Bank_Rates!$A$2:$A$100=H242)*(Bank_Rates!$B$2:$B$100&lt;=C242)),Bank_Rates!$B$2:$B$100))*(Bank_Rates!$D$2:$D$100&lt;=G242)),1)),"No Match")</f>
        <v>0</v>
      </c>
      <c r="K242" s="5" t="str">
        <f t="shared" si="15"/>
        <v/>
      </c>
      <c r="L242" s="2"/>
      <c r="M242" s="2"/>
      <c r="N242" s="2"/>
    </row>
    <row r="243" spans="1:14">
      <c r="A243" s="2" t="str">
        <f t="shared" si="12"/>
        <v/>
      </c>
      <c r="B243" s="2"/>
      <c r="C243" s="4"/>
      <c r="D243" s="7"/>
      <c r="E243" s="7"/>
      <c r="F243" s="4"/>
      <c r="G243" s="6" t="str">
        <f t="shared" si="13"/>
        <v/>
      </c>
      <c r="H243" s="2"/>
      <c r="I243" s="5" t="str">
        <f t="shared" si="14"/>
        <v/>
      </c>
      <c r="J243" s="3">
        <f>IFERROR(SUMIFS(Bank_Rates!$C$2:$C$100,Bank_Rates!$A$2:$A$100,H243,Bank_Rates!$B$2:$B$100,LOOKUP(2,1/((Bank_Rates!$A$2:$A$100=H243)*(Bank_Rates!$B$2:$B$100&lt;=C243)),Bank_Rates!$B$2:$B$100),Bank_Rates!$D$2:$D$100,_xlfn.AGGREGATE(14,6,Bank_Rates!$D$2:$D$100/((Bank_Rates!$A$2:$A$100=H243)*(Bank_Rates!$B$2:$B$100=LOOKUP(2,1/((Bank_Rates!$A$2:$A$100=H243)*(Bank_Rates!$B$2:$B$100&lt;=C243)),Bank_Rates!$B$2:$B$100))*(Bank_Rates!$D$2:$D$100&lt;=G243)),1)),"No Match")</f>
        <v>0</v>
      </c>
      <c r="K243" s="5" t="str">
        <f t="shared" si="15"/>
        <v/>
      </c>
      <c r="L243" s="2"/>
      <c r="M243" s="2"/>
      <c r="N243" s="2"/>
    </row>
    <row r="244" spans="1:14">
      <c r="A244" s="2" t="str">
        <f t="shared" si="12"/>
        <v/>
      </c>
      <c r="B244" s="2"/>
      <c r="C244" s="4"/>
      <c r="D244" s="7"/>
      <c r="E244" s="7"/>
      <c r="F244" s="4"/>
      <c r="G244" s="6" t="str">
        <f t="shared" si="13"/>
        <v/>
      </c>
      <c r="H244" s="2"/>
      <c r="I244" s="5" t="str">
        <f t="shared" si="14"/>
        <v/>
      </c>
      <c r="J244" s="3">
        <f>IFERROR(SUMIFS(Bank_Rates!$C$2:$C$100,Bank_Rates!$A$2:$A$100,H244,Bank_Rates!$B$2:$B$100,LOOKUP(2,1/((Bank_Rates!$A$2:$A$100=H244)*(Bank_Rates!$B$2:$B$100&lt;=C244)),Bank_Rates!$B$2:$B$100),Bank_Rates!$D$2:$D$100,_xlfn.AGGREGATE(14,6,Bank_Rates!$D$2:$D$100/((Bank_Rates!$A$2:$A$100=H244)*(Bank_Rates!$B$2:$B$100=LOOKUP(2,1/((Bank_Rates!$A$2:$A$100=H244)*(Bank_Rates!$B$2:$B$100&lt;=C244)),Bank_Rates!$B$2:$B$100))*(Bank_Rates!$D$2:$D$100&lt;=G244)),1)),"No Match")</f>
        <v>0</v>
      </c>
      <c r="K244" s="5" t="str">
        <f t="shared" si="15"/>
        <v/>
      </c>
      <c r="L244" s="2"/>
      <c r="M244" s="2"/>
      <c r="N244" s="2"/>
    </row>
    <row r="245" spans="1:14">
      <c r="A245" s="2" t="str">
        <f t="shared" si="12"/>
        <v/>
      </c>
      <c r="B245" s="2"/>
      <c r="C245" s="4"/>
      <c r="D245" s="7"/>
      <c r="E245" s="7"/>
      <c r="F245" s="4"/>
      <c r="G245" s="6" t="str">
        <f t="shared" si="13"/>
        <v/>
      </c>
      <c r="H245" s="2"/>
      <c r="I245" s="5" t="str">
        <f t="shared" si="14"/>
        <v/>
      </c>
      <c r="J245" s="3">
        <f>IFERROR(SUMIFS(Bank_Rates!$C$2:$C$100,Bank_Rates!$A$2:$A$100,H245,Bank_Rates!$B$2:$B$100,LOOKUP(2,1/((Bank_Rates!$A$2:$A$100=H245)*(Bank_Rates!$B$2:$B$100&lt;=C245)),Bank_Rates!$B$2:$B$100),Bank_Rates!$D$2:$D$100,_xlfn.AGGREGATE(14,6,Bank_Rates!$D$2:$D$100/((Bank_Rates!$A$2:$A$100=H245)*(Bank_Rates!$B$2:$B$100=LOOKUP(2,1/((Bank_Rates!$A$2:$A$100=H245)*(Bank_Rates!$B$2:$B$100&lt;=C245)),Bank_Rates!$B$2:$B$100))*(Bank_Rates!$D$2:$D$100&lt;=G245)),1)),"No Match")</f>
        <v>0</v>
      </c>
      <c r="K245" s="5" t="str">
        <f t="shared" si="15"/>
        <v/>
      </c>
      <c r="L245" s="2"/>
      <c r="M245" s="2"/>
      <c r="N245" s="2"/>
    </row>
    <row r="246" spans="1:14">
      <c r="A246" s="2" t="str">
        <f t="shared" si="12"/>
        <v/>
      </c>
      <c r="B246" s="2"/>
      <c r="C246" s="4"/>
      <c r="D246" s="7"/>
      <c r="E246" s="7"/>
      <c r="F246" s="4"/>
      <c r="G246" s="6" t="str">
        <f t="shared" si="13"/>
        <v/>
      </c>
      <c r="H246" s="2"/>
      <c r="I246" s="5" t="str">
        <f t="shared" si="14"/>
        <v/>
      </c>
      <c r="J246" s="3">
        <f>IFERROR(SUMIFS(Bank_Rates!$C$2:$C$100,Bank_Rates!$A$2:$A$100,H246,Bank_Rates!$B$2:$B$100,LOOKUP(2,1/((Bank_Rates!$A$2:$A$100=H246)*(Bank_Rates!$B$2:$B$100&lt;=C246)),Bank_Rates!$B$2:$B$100),Bank_Rates!$D$2:$D$100,_xlfn.AGGREGATE(14,6,Bank_Rates!$D$2:$D$100/((Bank_Rates!$A$2:$A$100=H246)*(Bank_Rates!$B$2:$B$100=LOOKUP(2,1/((Bank_Rates!$A$2:$A$100=H246)*(Bank_Rates!$B$2:$B$100&lt;=C246)),Bank_Rates!$B$2:$B$100))*(Bank_Rates!$D$2:$D$100&lt;=G246)),1)),"No Match")</f>
        <v>0</v>
      </c>
      <c r="K246" s="5" t="str">
        <f t="shared" si="15"/>
        <v/>
      </c>
      <c r="L246" s="2"/>
      <c r="M246" s="2"/>
      <c r="N246" s="2"/>
    </row>
    <row r="247" spans="1:14">
      <c r="A247" s="2" t="str">
        <f t="shared" si="12"/>
        <v/>
      </c>
      <c r="B247" s="2"/>
      <c r="C247" s="4"/>
      <c r="D247" s="7"/>
      <c r="E247" s="7"/>
      <c r="F247" s="4"/>
      <c r="G247" s="6" t="str">
        <f t="shared" si="13"/>
        <v/>
      </c>
      <c r="H247" s="2"/>
      <c r="I247" s="5" t="str">
        <f t="shared" si="14"/>
        <v/>
      </c>
      <c r="J247" s="3">
        <f>IFERROR(SUMIFS(Bank_Rates!$C$2:$C$100,Bank_Rates!$A$2:$A$100,H247,Bank_Rates!$B$2:$B$100,LOOKUP(2,1/((Bank_Rates!$A$2:$A$100=H247)*(Bank_Rates!$B$2:$B$100&lt;=C247)),Bank_Rates!$B$2:$B$100),Bank_Rates!$D$2:$D$100,_xlfn.AGGREGATE(14,6,Bank_Rates!$D$2:$D$100/((Bank_Rates!$A$2:$A$100=H247)*(Bank_Rates!$B$2:$B$100=LOOKUP(2,1/((Bank_Rates!$A$2:$A$100=H247)*(Bank_Rates!$B$2:$B$100&lt;=C247)),Bank_Rates!$B$2:$B$100))*(Bank_Rates!$D$2:$D$100&lt;=G247)),1)),"No Match")</f>
        <v>0</v>
      </c>
      <c r="K247" s="5" t="str">
        <f t="shared" si="15"/>
        <v/>
      </c>
      <c r="L247" s="2"/>
      <c r="M247" s="2"/>
      <c r="N247" s="2"/>
    </row>
    <row r="248" spans="1:14">
      <c r="A248" s="2" t="str">
        <f t="shared" si="12"/>
        <v/>
      </c>
      <c r="B248" s="2"/>
      <c r="C248" s="4"/>
      <c r="D248" s="7"/>
      <c r="E248" s="7"/>
      <c r="F248" s="4"/>
      <c r="G248" s="6" t="str">
        <f t="shared" si="13"/>
        <v/>
      </c>
      <c r="H248" s="2"/>
      <c r="I248" s="5" t="str">
        <f t="shared" si="14"/>
        <v/>
      </c>
      <c r="J248" s="3">
        <f>IFERROR(SUMIFS(Bank_Rates!$C$2:$C$100,Bank_Rates!$A$2:$A$100,H248,Bank_Rates!$B$2:$B$100,LOOKUP(2,1/((Bank_Rates!$A$2:$A$100=H248)*(Bank_Rates!$B$2:$B$100&lt;=C248)),Bank_Rates!$B$2:$B$100),Bank_Rates!$D$2:$D$100,_xlfn.AGGREGATE(14,6,Bank_Rates!$D$2:$D$100/((Bank_Rates!$A$2:$A$100=H248)*(Bank_Rates!$B$2:$B$100=LOOKUP(2,1/((Bank_Rates!$A$2:$A$100=H248)*(Bank_Rates!$B$2:$B$100&lt;=C248)),Bank_Rates!$B$2:$B$100))*(Bank_Rates!$D$2:$D$100&lt;=G248)),1)),"No Match")</f>
        <v>0</v>
      </c>
      <c r="K248" s="5" t="str">
        <f t="shared" si="15"/>
        <v/>
      </c>
      <c r="L248" s="2"/>
      <c r="M248" s="2"/>
      <c r="N248" s="2"/>
    </row>
    <row r="249" spans="1:14">
      <c r="A249" s="2" t="str">
        <f t="shared" si="12"/>
        <v/>
      </c>
      <c r="B249" s="2"/>
      <c r="C249" s="4"/>
      <c r="D249" s="7"/>
      <c r="E249" s="7"/>
      <c r="F249" s="4"/>
      <c r="G249" s="6" t="str">
        <f t="shared" si="13"/>
        <v/>
      </c>
      <c r="H249" s="2"/>
      <c r="I249" s="5" t="str">
        <f t="shared" si="14"/>
        <v/>
      </c>
      <c r="J249" s="3">
        <f>IFERROR(SUMIFS(Bank_Rates!$C$2:$C$100,Bank_Rates!$A$2:$A$100,H249,Bank_Rates!$B$2:$B$100,LOOKUP(2,1/((Bank_Rates!$A$2:$A$100=H249)*(Bank_Rates!$B$2:$B$100&lt;=C249)),Bank_Rates!$B$2:$B$100),Bank_Rates!$D$2:$D$100,_xlfn.AGGREGATE(14,6,Bank_Rates!$D$2:$D$100/((Bank_Rates!$A$2:$A$100=H249)*(Bank_Rates!$B$2:$B$100=LOOKUP(2,1/((Bank_Rates!$A$2:$A$100=H249)*(Bank_Rates!$B$2:$B$100&lt;=C249)),Bank_Rates!$B$2:$B$100))*(Bank_Rates!$D$2:$D$100&lt;=G249)),1)),"No Match")</f>
        <v>0</v>
      </c>
      <c r="K249" s="5" t="str">
        <f t="shared" si="15"/>
        <v/>
      </c>
      <c r="L249" s="2"/>
      <c r="M249" s="2"/>
      <c r="N249" s="2"/>
    </row>
    <row r="250" spans="1:14">
      <c r="A250" s="2" t="str">
        <f t="shared" si="12"/>
        <v/>
      </c>
      <c r="B250" s="2"/>
      <c r="C250" s="4"/>
      <c r="D250" s="7"/>
      <c r="E250" s="7"/>
      <c r="F250" s="4"/>
      <c r="G250" s="6" t="str">
        <f t="shared" si="13"/>
        <v/>
      </c>
      <c r="H250" s="2"/>
      <c r="I250" s="5" t="str">
        <f t="shared" si="14"/>
        <v/>
      </c>
      <c r="J250" s="3">
        <f>IFERROR(SUMIFS(Bank_Rates!$C$2:$C$100,Bank_Rates!$A$2:$A$100,H250,Bank_Rates!$B$2:$B$100,LOOKUP(2,1/((Bank_Rates!$A$2:$A$100=H250)*(Bank_Rates!$B$2:$B$100&lt;=C250)),Bank_Rates!$B$2:$B$100),Bank_Rates!$D$2:$D$100,_xlfn.AGGREGATE(14,6,Bank_Rates!$D$2:$D$100/((Bank_Rates!$A$2:$A$100=H250)*(Bank_Rates!$B$2:$B$100=LOOKUP(2,1/((Bank_Rates!$A$2:$A$100=H250)*(Bank_Rates!$B$2:$B$100&lt;=C250)),Bank_Rates!$B$2:$B$100))*(Bank_Rates!$D$2:$D$100&lt;=G250)),1)),"No Match")</f>
        <v>0</v>
      </c>
      <c r="K250" s="5" t="str">
        <f t="shared" si="15"/>
        <v/>
      </c>
      <c r="L250" s="2"/>
      <c r="M250" s="2"/>
      <c r="N250" s="2"/>
    </row>
    <row r="251" spans="1:14">
      <c r="A251" s="2"/>
      <c r="B251" s="2"/>
      <c r="C251" s="4"/>
      <c r="D251" s="7"/>
      <c r="E251" s="7"/>
      <c r="F251" s="4"/>
      <c r="G251" s="6"/>
      <c r="H251" s="2"/>
      <c r="I251" s="5"/>
      <c r="J251" s="2"/>
      <c r="K251" s="5"/>
      <c r="L251" s="2"/>
      <c r="M251" s="2"/>
      <c r="N251" s="2"/>
    </row>
    <row r="252" spans="1:14">
      <c r="A252" s="2"/>
      <c r="B252" s="2"/>
      <c r="C252" s="4"/>
      <c r="D252" s="7"/>
      <c r="E252" s="7"/>
      <c r="F252" s="4"/>
      <c r="G252" s="6"/>
      <c r="H252" s="2"/>
      <c r="I252" s="5"/>
      <c r="J252" s="2"/>
      <c r="K252" s="5"/>
      <c r="L252" s="2"/>
      <c r="M252" s="2"/>
      <c r="N252" s="2"/>
    </row>
    <row r="253" spans="1:14">
      <c r="A253" s="2"/>
      <c r="B253" s="2"/>
      <c r="C253" s="4"/>
      <c r="D253" s="7"/>
      <c r="E253" s="7"/>
      <c r="F253" s="4"/>
      <c r="G253" s="6"/>
      <c r="H253" s="2"/>
      <c r="I253" s="5"/>
      <c r="J253" s="2"/>
      <c r="K253" s="5"/>
      <c r="L253" s="2"/>
      <c r="M253" s="2"/>
      <c r="N253" s="2"/>
    </row>
    <row r="254" spans="1:14">
      <c r="A254" s="2"/>
      <c r="B254" s="2"/>
      <c r="C254" s="4"/>
      <c r="D254" s="7"/>
      <c r="E254" s="7"/>
      <c r="F254" s="4"/>
      <c r="G254" s="6"/>
      <c r="H254" s="2"/>
      <c r="I254" s="5"/>
      <c r="J254" s="2"/>
      <c r="K254" s="5"/>
      <c r="L254" s="2"/>
      <c r="M254" s="2"/>
      <c r="N254" s="2"/>
    </row>
    <row r="255" spans="1:14">
      <c r="A255" s="2"/>
      <c r="B255" s="2"/>
      <c r="C255" s="4"/>
      <c r="D255" s="7"/>
      <c r="E255" s="7"/>
      <c r="F255" s="4"/>
      <c r="G255" s="6"/>
      <c r="H255" s="2"/>
      <c r="I255" s="5"/>
      <c r="J255" s="2"/>
      <c r="K255" s="5"/>
      <c r="L255" s="2"/>
      <c r="M255" s="2"/>
      <c r="N255" s="2"/>
    </row>
    <row r="256" spans="1:14">
      <c r="A256" s="2"/>
      <c r="B256" s="2"/>
      <c r="C256" s="4"/>
      <c r="D256" s="7"/>
      <c r="E256" s="7"/>
      <c r="F256" s="4"/>
      <c r="G256" s="6"/>
      <c r="H256" s="2"/>
      <c r="I256" s="5"/>
      <c r="J256" s="2"/>
      <c r="K256" s="5"/>
      <c r="L256" s="2"/>
      <c r="M256" s="2"/>
      <c r="N256" s="2"/>
    </row>
    <row r="257" spans="1:14">
      <c r="A257" s="2"/>
      <c r="B257" s="2"/>
      <c r="C257" s="4"/>
      <c r="D257" s="7"/>
      <c r="E257" s="7"/>
      <c r="F257" s="4"/>
      <c r="G257" s="6"/>
      <c r="H257" s="2"/>
      <c r="I257" s="5"/>
      <c r="J257" s="2"/>
      <c r="K257" s="5"/>
      <c r="L257" s="2"/>
      <c r="M257" s="2"/>
      <c r="N257" s="2"/>
    </row>
    <row r="258" spans="1:14">
      <c r="A258" s="2"/>
      <c r="B258" s="2"/>
      <c r="C258" s="4"/>
      <c r="D258" s="7"/>
      <c r="E258" s="7"/>
      <c r="F258" s="4"/>
      <c r="G258" s="6"/>
      <c r="H258" s="2"/>
      <c r="I258" s="5"/>
      <c r="J258" s="2"/>
      <c r="K258" s="5"/>
      <c r="L258" s="2"/>
      <c r="M258" s="2"/>
      <c r="N258" s="2"/>
    </row>
    <row r="259" spans="1:14">
      <c r="A259" s="2"/>
      <c r="B259" s="2"/>
      <c r="C259" s="4"/>
      <c r="D259" s="7"/>
      <c r="E259" s="7"/>
      <c r="F259" s="4"/>
      <c r="G259" s="6"/>
      <c r="H259" s="2"/>
      <c r="I259" s="5"/>
      <c r="J259" s="2"/>
      <c r="K259" s="5"/>
      <c r="L259" s="2"/>
      <c r="M259" s="2"/>
      <c r="N259" s="2"/>
    </row>
    <row r="260" spans="1:14">
      <c r="A260" s="2"/>
      <c r="B260" s="2"/>
      <c r="C260" s="4"/>
      <c r="D260" s="7"/>
      <c r="E260" s="7"/>
      <c r="F260" s="4"/>
      <c r="G260" s="6"/>
      <c r="H260" s="2"/>
      <c r="I260" s="5"/>
      <c r="J260" s="2"/>
      <c r="K260" s="5"/>
      <c r="L260" s="2"/>
      <c r="M260" s="2"/>
      <c r="N260" s="2"/>
    </row>
    <row r="261" spans="1:14">
      <c r="A261" s="2"/>
      <c r="B261" s="2"/>
      <c r="C261" s="4"/>
      <c r="D261" s="7"/>
      <c r="E261" s="7"/>
      <c r="F261" s="4"/>
      <c r="G261" s="6"/>
      <c r="H261" s="2"/>
      <c r="I261" s="5"/>
      <c r="J261" s="2"/>
      <c r="K261" s="5"/>
      <c r="L261" s="2"/>
      <c r="M261" s="2"/>
      <c r="N261" s="2"/>
    </row>
    <row r="262" spans="1:14">
      <c r="A262" s="2"/>
      <c r="B262" s="2"/>
      <c r="C262" s="4"/>
      <c r="D262" s="7"/>
      <c r="E262" s="7"/>
      <c r="F262" s="4"/>
      <c r="G262" s="6"/>
      <c r="H262" s="2"/>
      <c r="I262" s="5"/>
      <c r="J262" s="2"/>
      <c r="K262" s="5"/>
      <c r="L262" s="2"/>
      <c r="M262" s="2"/>
      <c r="N262" s="2"/>
    </row>
    <row r="263" spans="1:14">
      <c r="A263" s="2"/>
      <c r="B263" s="2"/>
      <c r="C263" s="4"/>
      <c r="D263" s="7"/>
      <c r="E263" s="7"/>
      <c r="F263" s="4"/>
      <c r="G263" s="6"/>
      <c r="H263" s="2"/>
      <c r="I263" s="5"/>
      <c r="J263" s="2"/>
      <c r="K263" s="5"/>
      <c r="L263" s="2"/>
      <c r="M263" s="2"/>
      <c r="N263" s="2"/>
    </row>
    <row r="264" spans="1:14">
      <c r="A264" s="2"/>
      <c r="B264" s="2"/>
      <c r="C264" s="4"/>
      <c r="D264" s="7"/>
      <c r="E264" s="7"/>
      <c r="F264" s="4"/>
      <c r="G264" s="6"/>
      <c r="H264" s="2"/>
      <c r="I264" s="5"/>
      <c r="J264" s="2"/>
      <c r="K264" s="5"/>
      <c r="L264" s="2"/>
      <c r="M264" s="2"/>
      <c r="N264" s="2"/>
    </row>
    <row r="265" spans="1:14">
      <c r="A265" s="2"/>
      <c r="B265" s="2"/>
      <c r="C265" s="4"/>
      <c r="D265" s="7"/>
      <c r="E265" s="7"/>
      <c r="F265" s="4"/>
      <c r="G265" s="6"/>
      <c r="H265" s="2"/>
      <c r="I265" s="5"/>
      <c r="J265" s="2"/>
      <c r="K265" s="5"/>
      <c r="L265" s="2"/>
      <c r="M265" s="2"/>
      <c r="N265" s="2"/>
    </row>
    <row r="266" spans="1:14">
      <c r="A266" s="2"/>
      <c r="B266" s="2"/>
      <c r="C266" s="4"/>
      <c r="D266" s="7"/>
      <c r="E266" s="7"/>
      <c r="F266" s="4"/>
      <c r="G266" s="6"/>
      <c r="H266" s="2"/>
      <c r="I266" s="5"/>
      <c r="J266" s="2"/>
      <c r="K266" s="5"/>
      <c r="L266" s="2"/>
      <c r="M266" s="2"/>
      <c r="N266" s="2"/>
    </row>
    <row r="267" spans="1:14">
      <c r="A267" s="2"/>
      <c r="B267" s="2"/>
      <c r="C267" s="4"/>
      <c r="D267" s="7"/>
      <c r="E267" s="7"/>
      <c r="F267" s="4"/>
      <c r="G267" s="6"/>
      <c r="H267" s="2"/>
      <c r="I267" s="5"/>
      <c r="J267" s="2"/>
      <c r="K267" s="5"/>
      <c r="L267" s="2"/>
      <c r="M267" s="2"/>
      <c r="N267" s="2"/>
    </row>
    <row r="268" spans="1:14">
      <c r="A268" s="2"/>
      <c r="B268" s="2"/>
      <c r="C268" s="4"/>
      <c r="D268" s="7"/>
      <c r="E268" s="7"/>
      <c r="F268" s="4"/>
      <c r="G268" s="6"/>
      <c r="H268" s="2"/>
      <c r="I268" s="5"/>
      <c r="J268" s="2"/>
      <c r="K268" s="5"/>
      <c r="L268" s="2"/>
      <c r="M268" s="2"/>
      <c r="N268" s="2"/>
    </row>
    <row r="269" spans="1:14">
      <c r="A269" s="2"/>
      <c r="B269" s="2"/>
      <c r="C269" s="4"/>
      <c r="D269" s="7"/>
      <c r="E269" s="7"/>
      <c r="F269" s="4"/>
      <c r="G269" s="6"/>
      <c r="H269" s="2"/>
      <c r="I269" s="5"/>
      <c r="J269" s="2"/>
      <c r="K269" s="5"/>
      <c r="L269" s="2"/>
      <c r="M269" s="2"/>
      <c r="N269" s="2"/>
    </row>
    <row r="270" spans="1:14">
      <c r="A270" s="2"/>
      <c r="B270" s="2"/>
      <c r="C270" s="4"/>
      <c r="D270" s="7"/>
      <c r="E270" s="7"/>
      <c r="F270" s="4"/>
      <c r="G270" s="6"/>
      <c r="H270" s="2"/>
      <c r="I270" s="5"/>
      <c r="J270" s="2"/>
      <c r="K270" s="5"/>
      <c r="L270" s="2"/>
      <c r="M270" s="2"/>
      <c r="N270" s="2"/>
    </row>
    <row r="271" spans="1:14">
      <c r="A271" s="2"/>
      <c r="B271" s="2"/>
      <c r="C271" s="4"/>
      <c r="D271" s="7"/>
      <c r="E271" s="7"/>
      <c r="F271" s="4"/>
      <c r="G271" s="6"/>
      <c r="H271" s="2"/>
      <c r="I271" s="5"/>
      <c r="J271" s="2"/>
      <c r="K271" s="5"/>
      <c r="L271" s="2"/>
      <c r="M271" s="2"/>
      <c r="N271" s="2"/>
    </row>
    <row r="272" spans="1:14">
      <c r="A272" s="2"/>
      <c r="B272" s="2"/>
      <c r="C272" s="4"/>
      <c r="D272" s="7"/>
      <c r="E272" s="7"/>
      <c r="F272" s="4"/>
      <c r="G272" s="6"/>
      <c r="H272" s="2"/>
      <c r="I272" s="5"/>
      <c r="J272" s="2"/>
      <c r="K272" s="5"/>
      <c r="L272" s="2"/>
      <c r="M272" s="2"/>
      <c r="N272" s="2"/>
    </row>
    <row r="273" spans="1:14">
      <c r="A273" s="2"/>
      <c r="B273" s="2"/>
      <c r="C273" s="4"/>
      <c r="D273" s="7"/>
      <c r="E273" s="7"/>
      <c r="F273" s="4"/>
      <c r="G273" s="6"/>
      <c r="H273" s="2"/>
      <c r="I273" s="5"/>
      <c r="J273" s="2"/>
      <c r="K273" s="5"/>
      <c r="L273" s="2"/>
      <c r="M273" s="2"/>
      <c r="N273" s="2"/>
    </row>
    <row r="274" spans="1:14">
      <c r="A274" s="2"/>
      <c r="B274" s="2"/>
      <c r="C274" s="4"/>
      <c r="D274" s="7"/>
      <c r="E274" s="7"/>
      <c r="F274" s="4"/>
      <c r="G274" s="6"/>
      <c r="H274" s="2"/>
      <c r="I274" s="5"/>
      <c r="J274" s="2"/>
      <c r="K274" s="5"/>
      <c r="L274" s="2"/>
      <c r="M274" s="2"/>
      <c r="N274" s="2"/>
    </row>
    <row r="275" spans="1:14">
      <c r="A275" s="2"/>
      <c r="B275" s="2"/>
      <c r="C275" s="4"/>
      <c r="D275" s="7"/>
      <c r="E275" s="7"/>
      <c r="F275" s="4"/>
      <c r="G275" s="6"/>
      <c r="H275" s="2"/>
      <c r="I275" s="5"/>
      <c r="J275" s="2"/>
      <c r="K275" s="5"/>
      <c r="L275" s="2"/>
      <c r="M275" s="2"/>
      <c r="N275" s="2"/>
    </row>
    <row r="276" spans="1:14">
      <c r="A276" s="2"/>
      <c r="B276" s="2"/>
      <c r="C276" s="4"/>
      <c r="D276" s="7"/>
      <c r="E276" s="7"/>
      <c r="F276" s="4"/>
      <c r="G276" s="6"/>
      <c r="H276" s="2"/>
      <c r="I276" s="5"/>
      <c r="J276" s="2"/>
      <c r="K276" s="5"/>
      <c r="L276" s="2"/>
      <c r="M276" s="2"/>
      <c r="N276" s="2"/>
    </row>
    <row r="277" spans="1:14">
      <c r="A277" s="2"/>
      <c r="B277" s="2"/>
      <c r="C277" s="4"/>
      <c r="D277" s="7"/>
      <c r="E277" s="7"/>
      <c r="F277" s="4"/>
      <c r="G277" s="6"/>
      <c r="H277" s="2"/>
      <c r="I277" s="5"/>
      <c r="J277" s="2"/>
      <c r="K277" s="5"/>
      <c r="L277" s="2"/>
      <c r="M277" s="2"/>
      <c r="N277" s="2"/>
    </row>
    <row r="278" spans="1:14">
      <c r="A278" s="2"/>
      <c r="B278" s="2"/>
      <c r="C278" s="4"/>
      <c r="D278" s="7"/>
      <c r="E278" s="7"/>
      <c r="F278" s="4"/>
      <c r="G278" s="6"/>
      <c r="H278" s="2"/>
      <c r="I278" s="5"/>
      <c r="J278" s="2"/>
      <c r="K278" s="5"/>
      <c r="L278" s="2"/>
      <c r="M278" s="2"/>
      <c r="N278" s="2"/>
    </row>
    <row r="279" spans="1:14">
      <c r="A279" s="2"/>
      <c r="B279" s="2"/>
      <c r="C279" s="4"/>
      <c r="D279" s="7"/>
      <c r="E279" s="7"/>
      <c r="F279" s="4"/>
      <c r="G279" s="6"/>
      <c r="H279" s="2"/>
      <c r="I279" s="5"/>
      <c r="J279" s="2"/>
      <c r="K279" s="5"/>
      <c r="L279" s="2"/>
      <c r="M279" s="2"/>
      <c r="N279" s="2"/>
    </row>
    <row r="280" spans="1:14">
      <c r="A280" s="2"/>
      <c r="B280" s="2"/>
      <c r="C280" s="4"/>
      <c r="D280" s="7"/>
      <c r="E280" s="7"/>
      <c r="F280" s="4"/>
      <c r="G280" s="6"/>
      <c r="H280" s="2"/>
      <c r="I280" s="5"/>
      <c r="J280" s="2"/>
      <c r="K280" s="5"/>
      <c r="L280" s="2"/>
      <c r="M280" s="2"/>
      <c r="N280" s="2"/>
    </row>
    <row r="281" spans="1:14">
      <c r="A281" s="2"/>
      <c r="B281" s="2"/>
      <c r="C281" s="4"/>
      <c r="D281" s="7"/>
      <c r="E281" s="7"/>
      <c r="F281" s="4"/>
      <c r="G281" s="6"/>
      <c r="H281" s="2"/>
      <c r="I281" s="5"/>
      <c r="J281" s="2"/>
      <c r="K281" s="5"/>
      <c r="L281" s="2"/>
      <c r="M281" s="2"/>
      <c r="N281" s="2"/>
    </row>
    <row r="282" spans="1:14">
      <c r="A282" s="2"/>
      <c r="B282" s="2"/>
      <c r="C282" s="4"/>
      <c r="D282" s="7"/>
      <c r="E282" s="7"/>
      <c r="F282" s="4"/>
      <c r="G282" s="6"/>
      <c r="H282" s="2"/>
      <c r="I282" s="5"/>
      <c r="J282" s="2"/>
      <c r="K282" s="5"/>
      <c r="L282" s="2"/>
      <c r="M282" s="2"/>
      <c r="N282" s="2"/>
    </row>
    <row r="283" spans="1:14">
      <c r="A283" s="2"/>
      <c r="B283" s="2"/>
      <c r="C283" s="4"/>
      <c r="D283" s="7"/>
      <c r="E283" s="7"/>
      <c r="F283" s="4"/>
      <c r="G283" s="6"/>
      <c r="H283" s="2"/>
      <c r="I283" s="5"/>
      <c r="J283" s="2"/>
      <c r="K283" s="5"/>
      <c r="L283" s="2"/>
      <c r="M283" s="2"/>
      <c r="N283" s="2"/>
    </row>
    <row r="284" spans="1:14">
      <c r="A284" s="2"/>
      <c r="B284" s="2"/>
      <c r="C284" s="4"/>
      <c r="D284" s="7"/>
      <c r="E284" s="7"/>
      <c r="F284" s="4"/>
      <c r="G284" s="6"/>
      <c r="H284" s="2"/>
      <c r="I284" s="5"/>
      <c r="J284" s="2"/>
      <c r="K284" s="5"/>
      <c r="L284" s="2"/>
      <c r="M284" s="2"/>
      <c r="N284" s="2"/>
    </row>
    <row r="285" spans="1:14">
      <c r="A285" s="2"/>
      <c r="B285" s="2"/>
      <c r="C285" s="4"/>
      <c r="D285" s="7"/>
      <c r="E285" s="7"/>
      <c r="F285" s="4"/>
      <c r="G285" s="6"/>
      <c r="H285" s="2"/>
      <c r="I285" s="5"/>
      <c r="J285" s="2"/>
      <c r="K285" s="5"/>
      <c r="L285" s="2"/>
      <c r="M285" s="2"/>
      <c r="N285" s="2"/>
    </row>
    <row r="286" spans="1:14">
      <c r="A286" s="2"/>
      <c r="B286" s="2"/>
      <c r="C286" s="4"/>
      <c r="D286" s="7"/>
      <c r="E286" s="7"/>
      <c r="F286" s="4"/>
      <c r="G286" s="6"/>
      <c r="H286" s="2"/>
      <c r="I286" s="5"/>
      <c r="J286" s="2"/>
      <c r="K286" s="5"/>
      <c r="L286" s="2"/>
      <c r="M286" s="2"/>
      <c r="N286" s="2"/>
    </row>
    <row r="287" spans="1:14">
      <c r="A287" s="2"/>
      <c r="B287" s="2"/>
      <c r="C287" s="4"/>
      <c r="D287" s="7"/>
      <c r="E287" s="7"/>
      <c r="F287" s="4"/>
      <c r="G287" s="6"/>
      <c r="H287" s="2"/>
      <c r="I287" s="5"/>
      <c r="J287" s="2"/>
      <c r="K287" s="5"/>
      <c r="L287" s="2"/>
      <c r="M287" s="2"/>
      <c r="N287" s="2"/>
    </row>
    <row r="288" spans="1:14">
      <c r="A288" s="2"/>
      <c r="B288" s="2"/>
      <c r="C288" s="4"/>
      <c r="D288" s="7"/>
      <c r="E288" s="7"/>
      <c r="F288" s="4"/>
      <c r="G288" s="6"/>
      <c r="H288" s="2"/>
      <c r="I288" s="5"/>
      <c r="J288" s="2"/>
      <c r="K288" s="5"/>
      <c r="L288" s="2"/>
      <c r="M288" s="2"/>
      <c r="N288" s="2"/>
    </row>
    <row r="289" spans="1:14">
      <c r="A289" s="2"/>
      <c r="B289" s="2"/>
      <c r="C289" s="4"/>
      <c r="D289" s="7"/>
      <c r="E289" s="7"/>
      <c r="F289" s="4"/>
      <c r="G289" s="6"/>
      <c r="H289" s="2"/>
      <c r="I289" s="5"/>
      <c r="J289" s="2"/>
      <c r="K289" s="5"/>
      <c r="L289" s="2"/>
      <c r="M289" s="2"/>
      <c r="N289" s="2"/>
    </row>
    <row r="290" spans="1:14">
      <c r="A290" s="2"/>
      <c r="B290" s="2"/>
      <c r="C290" s="4"/>
      <c r="D290" s="7"/>
      <c r="E290" s="7"/>
      <c r="F290" s="4"/>
      <c r="G290" s="6"/>
      <c r="H290" s="2"/>
      <c r="I290" s="5"/>
      <c r="J290" s="2"/>
      <c r="K290" s="5"/>
      <c r="L290" s="2"/>
      <c r="M290" s="2"/>
      <c r="N290" s="2"/>
    </row>
    <row r="291" spans="1:14">
      <c r="A291" s="2"/>
      <c r="B291" s="2"/>
      <c r="C291" s="4"/>
      <c r="D291" s="7"/>
      <c r="E291" s="7"/>
      <c r="F291" s="4"/>
      <c r="G291" s="6"/>
      <c r="H291" s="2"/>
      <c r="I291" s="5"/>
      <c r="J291" s="2"/>
      <c r="K291" s="5"/>
      <c r="L291" s="2"/>
      <c r="M291" s="2"/>
      <c r="N291" s="2"/>
    </row>
    <row r="292" spans="1:14">
      <c r="A292" s="2"/>
      <c r="B292" s="2"/>
      <c r="C292" s="4"/>
      <c r="D292" s="7"/>
      <c r="E292" s="7"/>
      <c r="F292" s="4"/>
      <c r="G292" s="6"/>
      <c r="H292" s="2"/>
      <c r="I292" s="5"/>
      <c r="J292" s="2"/>
      <c r="K292" s="5"/>
      <c r="L292" s="2"/>
      <c r="M292" s="2"/>
      <c r="N292" s="2"/>
    </row>
    <row r="293" spans="1:14">
      <c r="A293" s="2"/>
      <c r="B293" s="2"/>
      <c r="C293" s="4"/>
      <c r="D293" s="7"/>
      <c r="E293" s="7"/>
      <c r="F293" s="4"/>
      <c r="G293" s="6"/>
      <c r="H293" s="2"/>
      <c r="I293" s="5"/>
      <c r="J293" s="2"/>
      <c r="K293" s="5"/>
      <c r="L293" s="2"/>
      <c r="M293" s="2"/>
      <c r="N293" s="2"/>
    </row>
    <row r="294" spans="1:14">
      <c r="A294" s="2"/>
      <c r="B294" s="2"/>
      <c r="C294" s="4"/>
      <c r="D294" s="7"/>
      <c r="E294" s="7"/>
      <c r="F294" s="4"/>
      <c r="G294" s="6"/>
      <c r="H294" s="2"/>
      <c r="I294" s="5"/>
      <c r="J294" s="2"/>
      <c r="K294" s="5"/>
      <c r="L294" s="2"/>
      <c r="M294" s="2"/>
      <c r="N294" s="2"/>
    </row>
    <row r="295" spans="1:14">
      <c r="A295" s="2"/>
      <c r="B295" s="2"/>
      <c r="C295" s="4"/>
      <c r="D295" s="7"/>
      <c r="E295" s="7"/>
      <c r="F295" s="4"/>
      <c r="G295" s="6"/>
      <c r="H295" s="2"/>
      <c r="I295" s="5"/>
      <c r="J295" s="2"/>
      <c r="K295" s="5"/>
      <c r="L295" s="2"/>
      <c r="M295" s="2"/>
      <c r="N295" s="2"/>
    </row>
    <row r="296" spans="1:14">
      <c r="A296" s="2"/>
      <c r="B296" s="2"/>
      <c r="C296" s="4"/>
      <c r="D296" s="7"/>
      <c r="E296" s="7"/>
      <c r="F296" s="4"/>
      <c r="G296" s="6"/>
      <c r="H296" s="2"/>
      <c r="I296" s="5"/>
      <c r="J296" s="2"/>
      <c r="K296" s="5"/>
      <c r="L296" s="2"/>
      <c r="M296" s="2"/>
      <c r="N296" s="2"/>
    </row>
    <row r="297" spans="1:14">
      <c r="A297" s="2"/>
      <c r="B297" s="2"/>
      <c r="C297" s="4"/>
      <c r="D297" s="7"/>
      <c r="E297" s="7"/>
      <c r="F297" s="4"/>
      <c r="G297" s="6"/>
      <c r="H297" s="2"/>
      <c r="I297" s="5"/>
      <c r="J297" s="2"/>
      <c r="K297" s="5"/>
      <c r="L297" s="2"/>
      <c r="M297" s="2"/>
      <c r="N297" s="2"/>
    </row>
    <row r="298" spans="1:14">
      <c r="A298" s="2"/>
      <c r="B298" s="2"/>
      <c r="C298" s="4"/>
      <c r="D298" s="7"/>
      <c r="E298" s="7"/>
      <c r="F298" s="4"/>
      <c r="G298" s="6"/>
      <c r="H298" s="2"/>
      <c r="I298" s="5"/>
      <c r="J298" s="2"/>
      <c r="K298" s="5"/>
      <c r="L298" s="2"/>
      <c r="M298" s="2"/>
      <c r="N298" s="2"/>
    </row>
    <row r="299" spans="1:14">
      <c r="A299" s="2"/>
      <c r="B299" s="2"/>
      <c r="C299" s="4"/>
      <c r="D299" s="7"/>
      <c r="E299" s="7"/>
      <c r="F299" s="4"/>
      <c r="G299" s="6"/>
      <c r="H299" s="2"/>
      <c r="I299" s="5"/>
      <c r="J299" s="2"/>
      <c r="K299" s="5"/>
      <c r="L299" s="2"/>
      <c r="M299" s="2"/>
      <c r="N299" s="2"/>
    </row>
    <row r="300" spans="1:14">
      <c r="A300" s="2"/>
      <c r="B300" s="2"/>
      <c r="C300" s="4"/>
      <c r="D300" s="7"/>
      <c r="E300" s="7"/>
      <c r="F300" s="4"/>
      <c r="G300" s="6"/>
      <c r="H300" s="2"/>
      <c r="I300" s="5"/>
      <c r="J300" s="2"/>
      <c r="K300" s="5"/>
      <c r="L300" s="2"/>
      <c r="M300" s="2"/>
      <c r="N300" s="2"/>
    </row>
    <row r="301" spans="1:14">
      <c r="A301" s="2"/>
      <c r="B301" s="2"/>
      <c r="C301" s="4"/>
      <c r="D301" s="7"/>
      <c r="E301" s="7"/>
      <c r="F301" s="4"/>
      <c r="G301" s="6"/>
      <c r="H301" s="2"/>
      <c r="I301" s="5"/>
      <c r="J301" s="2"/>
      <c r="K301" s="5"/>
      <c r="L301" s="2"/>
      <c r="M301" s="2"/>
      <c r="N301" s="2"/>
    </row>
    <row r="302" spans="1:14">
      <c r="A302" s="2"/>
      <c r="B302" s="2"/>
      <c r="C302" s="4"/>
      <c r="D302" s="7"/>
      <c r="E302" s="7"/>
      <c r="F302" s="4"/>
      <c r="G302" s="6"/>
      <c r="H302" s="2"/>
      <c r="I302" s="5"/>
      <c r="J302" s="2"/>
      <c r="K302" s="5"/>
      <c r="L302" s="2"/>
      <c r="M302" s="2"/>
      <c r="N302" s="2"/>
    </row>
    <row r="303" spans="1:14">
      <c r="A303" s="2"/>
      <c r="B303" s="2"/>
      <c r="C303" s="4"/>
      <c r="D303" s="7"/>
      <c r="E303" s="7"/>
      <c r="F303" s="4"/>
      <c r="G303" s="6"/>
      <c r="H303" s="2"/>
      <c r="I303" s="5"/>
      <c r="J303" s="2"/>
      <c r="K303" s="5"/>
      <c r="L303" s="2"/>
      <c r="M303" s="2"/>
      <c r="N303" s="2"/>
    </row>
    <row r="304" spans="1:14">
      <c r="A304" s="2"/>
      <c r="B304" s="2"/>
      <c r="C304" s="4"/>
      <c r="D304" s="7"/>
      <c r="E304" s="7"/>
      <c r="F304" s="4"/>
      <c r="G304" s="6"/>
      <c r="H304" s="2"/>
      <c r="I304" s="5"/>
      <c r="J304" s="2"/>
      <c r="K304" s="5"/>
      <c r="L304" s="2"/>
      <c r="M304" s="2"/>
      <c r="N304" s="2"/>
    </row>
    <row r="305" spans="1:14">
      <c r="A305" s="2"/>
      <c r="B305" s="2"/>
      <c r="C305" s="4"/>
      <c r="D305" s="7"/>
      <c r="E305" s="7"/>
      <c r="F305" s="4"/>
      <c r="G305" s="6"/>
      <c r="H305" s="2"/>
      <c r="I305" s="5"/>
      <c r="J305" s="2"/>
      <c r="K305" s="5"/>
      <c r="L305" s="2"/>
      <c r="M305" s="2"/>
      <c r="N305" s="2"/>
    </row>
    <row r="306" spans="1:14">
      <c r="A306" s="2"/>
      <c r="B306" s="2"/>
      <c r="C306" s="4"/>
      <c r="D306" s="7"/>
      <c r="E306" s="7"/>
      <c r="F306" s="4"/>
      <c r="G306" s="6"/>
      <c r="H306" s="2"/>
      <c r="I306" s="5"/>
      <c r="J306" s="2"/>
      <c r="K306" s="5"/>
      <c r="L306" s="2"/>
      <c r="M306" s="2"/>
      <c r="N306" s="2"/>
    </row>
    <row r="307" spans="1:14">
      <c r="A307" s="2"/>
      <c r="B307" s="2"/>
      <c r="C307" s="4"/>
      <c r="D307" s="7"/>
      <c r="E307" s="7"/>
      <c r="F307" s="4"/>
      <c r="G307" s="6"/>
      <c r="H307" s="2"/>
      <c r="I307" s="5"/>
      <c r="J307" s="2"/>
      <c r="K307" s="5"/>
      <c r="L307" s="2"/>
      <c r="M307" s="2"/>
      <c r="N307" s="2"/>
    </row>
    <row r="308" spans="1:14">
      <c r="A308" s="2"/>
      <c r="B308" s="2"/>
      <c r="C308" s="4"/>
      <c r="D308" s="7"/>
      <c r="E308" s="7"/>
      <c r="F308" s="4"/>
      <c r="G308" s="6"/>
      <c r="H308" s="2"/>
      <c r="I308" s="5"/>
      <c r="J308" s="2"/>
      <c r="K308" s="5"/>
      <c r="L308" s="2"/>
      <c r="M308" s="2"/>
      <c r="N308" s="2"/>
    </row>
    <row r="309" spans="1:14">
      <c r="A309" s="2"/>
      <c r="B309" s="2"/>
      <c r="C309" s="4"/>
      <c r="D309" s="7"/>
      <c r="E309" s="7"/>
      <c r="F309" s="4"/>
      <c r="G309" s="6"/>
      <c r="H309" s="2"/>
      <c r="I309" s="5"/>
      <c r="J309" s="2"/>
      <c r="K309" s="5"/>
      <c r="L309" s="2"/>
      <c r="M309" s="2"/>
      <c r="N309" s="2"/>
    </row>
    <row r="310" spans="1:14">
      <c r="A310" s="2"/>
      <c r="B310" s="2"/>
      <c r="C310" s="4"/>
      <c r="D310" s="7"/>
      <c r="E310" s="7"/>
      <c r="F310" s="4"/>
      <c r="G310" s="6"/>
      <c r="H310" s="2"/>
      <c r="I310" s="5"/>
      <c r="J310" s="2"/>
      <c r="K310" s="5"/>
      <c r="L310" s="2"/>
      <c r="M310" s="2"/>
      <c r="N310" s="2"/>
    </row>
    <row r="311" spans="1:14">
      <c r="A311" s="2"/>
      <c r="B311" s="2"/>
      <c r="C311" s="4"/>
      <c r="D311" s="7"/>
      <c r="E311" s="7"/>
      <c r="F311" s="4"/>
      <c r="G311" s="6"/>
      <c r="H311" s="2"/>
      <c r="I311" s="5"/>
      <c r="J311" s="2"/>
      <c r="K311" s="5"/>
      <c r="L311" s="2"/>
      <c r="M311" s="2"/>
      <c r="N311" s="2"/>
    </row>
    <row r="312" spans="1:14">
      <c r="A312" s="2"/>
      <c r="B312" s="2"/>
      <c r="C312" s="4"/>
      <c r="D312" s="7"/>
      <c r="E312" s="7"/>
      <c r="F312" s="4"/>
      <c r="G312" s="6"/>
      <c r="H312" s="2"/>
      <c r="I312" s="5"/>
      <c r="J312" s="2"/>
      <c r="K312" s="5"/>
      <c r="L312" s="2"/>
      <c r="M312" s="2"/>
      <c r="N312" s="2"/>
    </row>
    <row r="313" spans="1:14">
      <c r="A313" s="2"/>
      <c r="B313" s="2"/>
      <c r="C313" s="4"/>
      <c r="D313" s="7"/>
      <c r="E313" s="7"/>
      <c r="F313" s="4"/>
      <c r="G313" s="6"/>
      <c r="H313" s="2"/>
      <c r="I313" s="5"/>
      <c r="J313" s="2"/>
      <c r="K313" s="5"/>
      <c r="L313" s="2"/>
      <c r="M313" s="2"/>
      <c r="N313" s="2"/>
    </row>
    <row r="314" spans="1:14">
      <c r="A314" s="2"/>
      <c r="B314" s="2"/>
      <c r="C314" s="4"/>
      <c r="D314" s="7"/>
      <c r="E314" s="7"/>
      <c r="F314" s="4"/>
      <c r="G314" s="6"/>
      <c r="H314" s="2"/>
      <c r="I314" s="5"/>
      <c r="J314" s="2"/>
      <c r="K314" s="5"/>
      <c r="L314" s="2"/>
      <c r="M314" s="2"/>
      <c r="N314" s="2"/>
    </row>
    <row r="315" spans="1:14">
      <c r="A315" s="2"/>
      <c r="B315" s="2"/>
      <c r="C315" s="4"/>
      <c r="D315" s="7"/>
      <c r="E315" s="7"/>
      <c r="F315" s="4"/>
      <c r="G315" s="6"/>
      <c r="H315" s="2"/>
      <c r="I315" s="5"/>
      <c r="J315" s="2"/>
      <c r="K315" s="5"/>
      <c r="L315" s="2"/>
      <c r="M315" s="2"/>
      <c r="N315" s="2"/>
    </row>
    <row r="316" spans="1:14">
      <c r="A316" s="2"/>
      <c r="B316" s="2"/>
      <c r="C316" s="4"/>
      <c r="D316" s="7"/>
      <c r="E316" s="7"/>
      <c r="F316" s="4"/>
      <c r="G316" s="6"/>
      <c r="H316" s="2"/>
      <c r="I316" s="5"/>
      <c r="J316" s="2"/>
      <c r="K316" s="5"/>
      <c r="L316" s="2"/>
      <c r="M316" s="2"/>
      <c r="N316" s="2"/>
    </row>
    <row r="317" spans="1:14">
      <c r="A317" s="2"/>
      <c r="B317" s="2"/>
      <c r="C317" s="4"/>
      <c r="D317" s="7"/>
      <c r="E317" s="7"/>
      <c r="F317" s="4"/>
      <c r="G317" s="6"/>
      <c r="H317" s="2"/>
      <c r="I317" s="5"/>
      <c r="J317" s="2"/>
      <c r="K317" s="5"/>
      <c r="L317" s="2"/>
      <c r="M317" s="2"/>
      <c r="N317" s="2"/>
    </row>
    <row r="318" spans="1:14">
      <c r="A318" s="2"/>
      <c r="B318" s="2"/>
      <c r="C318" s="4"/>
      <c r="D318" s="7"/>
      <c r="E318" s="7"/>
      <c r="F318" s="4"/>
      <c r="G318" s="6"/>
      <c r="H318" s="2"/>
      <c r="I318" s="5"/>
      <c r="J318" s="2"/>
      <c r="K318" s="5"/>
      <c r="L318" s="2"/>
      <c r="M318" s="2"/>
      <c r="N318" s="2"/>
    </row>
    <row r="319" spans="1:14">
      <c r="A319" s="2"/>
      <c r="B319" s="2"/>
      <c r="C319" s="4"/>
      <c r="D319" s="7"/>
      <c r="E319" s="7"/>
      <c r="F319" s="4"/>
      <c r="G319" s="6"/>
      <c r="H319" s="2"/>
      <c r="I319" s="5"/>
      <c r="J319" s="2"/>
      <c r="K319" s="5"/>
      <c r="L319" s="2"/>
      <c r="M319" s="2"/>
      <c r="N319" s="2"/>
    </row>
    <row r="320" spans="1:14">
      <c r="A320" s="2"/>
      <c r="B320" s="2"/>
      <c r="C320" s="4"/>
      <c r="D320" s="7"/>
      <c r="E320" s="7"/>
      <c r="F320" s="4"/>
      <c r="G320" s="6"/>
      <c r="H320" s="2"/>
      <c r="I320" s="5"/>
      <c r="J320" s="2"/>
      <c r="K320" s="5"/>
      <c r="L320" s="2"/>
      <c r="M320" s="2"/>
      <c r="N320" s="2"/>
    </row>
    <row r="321" spans="1:14">
      <c r="A321" s="2"/>
      <c r="B321" s="2"/>
      <c r="C321" s="4"/>
      <c r="D321" s="7"/>
      <c r="E321" s="7"/>
      <c r="F321" s="4"/>
      <c r="G321" s="6"/>
      <c r="H321" s="2"/>
      <c r="I321" s="5"/>
      <c r="J321" s="2"/>
      <c r="K321" s="5"/>
      <c r="L321" s="2"/>
      <c r="M321" s="2"/>
      <c r="N321" s="2"/>
    </row>
    <row r="322" spans="1:14">
      <c r="A322" s="2"/>
      <c r="B322" s="2"/>
      <c r="C322" s="4"/>
      <c r="D322" s="7"/>
      <c r="E322" s="7"/>
      <c r="F322" s="4"/>
      <c r="G322" s="6"/>
      <c r="H322" s="2"/>
      <c r="I322" s="5"/>
      <c r="J322" s="2"/>
      <c r="K322" s="5"/>
      <c r="L322" s="2"/>
      <c r="M322" s="2"/>
      <c r="N322" s="2"/>
    </row>
    <row r="323" spans="1:14">
      <c r="A323" s="2"/>
      <c r="B323" s="2"/>
      <c r="C323" s="4"/>
      <c r="D323" s="7"/>
      <c r="E323" s="7"/>
      <c r="F323" s="4"/>
      <c r="G323" s="6"/>
      <c r="H323" s="2"/>
      <c r="I323" s="5"/>
      <c r="J323" s="2"/>
      <c r="K323" s="5"/>
      <c r="L323" s="2"/>
      <c r="M323" s="2"/>
      <c r="N323" s="2"/>
    </row>
    <row r="324" spans="1:14">
      <c r="A324" s="2"/>
      <c r="B324" s="2"/>
      <c r="C324" s="4"/>
      <c r="D324" s="7"/>
      <c r="E324" s="7"/>
      <c r="F324" s="4"/>
      <c r="G324" s="6"/>
      <c r="H324" s="2"/>
      <c r="I324" s="5"/>
      <c r="J324" s="2"/>
      <c r="K324" s="5"/>
      <c r="L324" s="2"/>
      <c r="M324" s="2"/>
      <c r="N324" s="2"/>
    </row>
    <row r="325" spans="1:14">
      <c r="A325" s="2"/>
      <c r="B325" s="2"/>
      <c r="C325" s="4"/>
      <c r="D325" s="7"/>
      <c r="E325" s="7"/>
      <c r="F325" s="4"/>
      <c r="G325" s="6"/>
      <c r="H325" s="2"/>
      <c r="I325" s="5"/>
      <c r="J325" s="2"/>
      <c r="K325" s="5"/>
      <c r="L325" s="2"/>
      <c r="M325" s="2"/>
      <c r="N325" s="2"/>
    </row>
    <row r="326" spans="1:14">
      <c r="A326" s="2"/>
      <c r="B326" s="2"/>
      <c r="C326" s="4"/>
      <c r="D326" s="7"/>
      <c r="E326" s="7"/>
      <c r="F326" s="4"/>
      <c r="G326" s="6"/>
      <c r="H326" s="2"/>
      <c r="I326" s="5"/>
      <c r="J326" s="2"/>
      <c r="K326" s="5"/>
      <c r="L326" s="2"/>
      <c r="M326" s="2"/>
      <c r="N326" s="2"/>
    </row>
    <row r="327" spans="1:14">
      <c r="A327" s="2"/>
      <c r="B327" s="2"/>
      <c r="C327" s="4"/>
      <c r="D327" s="7"/>
      <c r="E327" s="7"/>
      <c r="F327" s="4"/>
      <c r="G327" s="6"/>
      <c r="H327" s="2"/>
      <c r="I327" s="5"/>
      <c r="J327" s="2"/>
      <c r="K327" s="5"/>
      <c r="L327" s="2"/>
      <c r="M327" s="2"/>
      <c r="N327" s="2"/>
    </row>
    <row r="328" spans="1:14">
      <c r="A328" s="2"/>
      <c r="B328" s="2"/>
      <c r="C328" s="4"/>
      <c r="D328" s="7"/>
      <c r="E328" s="7"/>
      <c r="F328" s="4"/>
      <c r="G328" s="6"/>
      <c r="H328" s="2"/>
      <c r="I328" s="5"/>
      <c r="J328" s="2"/>
      <c r="K328" s="5"/>
      <c r="L328" s="2"/>
      <c r="M328" s="2"/>
      <c r="N328" s="2"/>
    </row>
    <row r="329" spans="1:14">
      <c r="A329" s="2"/>
      <c r="B329" s="2"/>
      <c r="C329" s="4"/>
      <c r="D329" s="7"/>
      <c r="E329" s="7"/>
      <c r="F329" s="4"/>
      <c r="G329" s="6"/>
      <c r="H329" s="2"/>
      <c r="I329" s="5"/>
      <c r="J329" s="2"/>
      <c r="K329" s="5"/>
      <c r="L329" s="2"/>
      <c r="M329" s="2"/>
      <c r="N329" s="2"/>
    </row>
    <row r="330" spans="1:14">
      <c r="A330" s="2"/>
      <c r="B330" s="2"/>
      <c r="C330" s="4"/>
      <c r="D330" s="7"/>
      <c r="E330" s="7"/>
      <c r="F330" s="4"/>
      <c r="G330" s="6"/>
      <c r="H330" s="2"/>
      <c r="I330" s="5"/>
      <c r="J330" s="2"/>
      <c r="K330" s="5"/>
      <c r="L330" s="2"/>
      <c r="M330" s="2"/>
      <c r="N330" s="2"/>
    </row>
    <row r="331" spans="1:14">
      <c r="A331" s="2"/>
      <c r="B331" s="2"/>
      <c r="C331" s="4"/>
      <c r="D331" s="7"/>
      <c r="E331" s="7"/>
      <c r="F331" s="4"/>
      <c r="G331" s="6"/>
      <c r="H331" s="2"/>
      <c r="I331" s="5"/>
      <c r="J331" s="2"/>
      <c r="K331" s="5"/>
      <c r="L331" s="2"/>
      <c r="M331" s="2"/>
      <c r="N331" s="2"/>
    </row>
    <row r="332" spans="1:14">
      <c r="A332" s="2"/>
      <c r="B332" s="2"/>
      <c r="C332" s="4"/>
      <c r="D332" s="7"/>
      <c r="E332" s="7"/>
      <c r="F332" s="4"/>
      <c r="G332" s="6"/>
      <c r="H332" s="2"/>
      <c r="I332" s="5"/>
      <c r="J332" s="2"/>
      <c r="K332" s="5"/>
      <c r="L332" s="2"/>
      <c r="M332" s="2"/>
      <c r="N332" s="2"/>
    </row>
    <row r="333" spans="1:14">
      <c r="A333" s="2"/>
      <c r="B333" s="2"/>
      <c r="C333" s="4"/>
      <c r="D333" s="7"/>
      <c r="E333" s="7"/>
      <c r="F333" s="4"/>
      <c r="G333" s="6"/>
      <c r="H333" s="2"/>
      <c r="I333" s="5"/>
      <c r="J333" s="2"/>
      <c r="K333" s="5"/>
      <c r="L333" s="2"/>
      <c r="M333" s="2"/>
      <c r="N333" s="2"/>
    </row>
    <row r="334" spans="1:14">
      <c r="A334" s="2"/>
      <c r="B334" s="2"/>
      <c r="C334" s="4"/>
      <c r="D334" s="7"/>
      <c r="E334" s="7"/>
      <c r="F334" s="4"/>
      <c r="G334" s="6"/>
      <c r="H334" s="2"/>
      <c r="I334" s="5"/>
      <c r="J334" s="2"/>
      <c r="K334" s="5"/>
      <c r="L334" s="2"/>
      <c r="M334" s="2"/>
      <c r="N334" s="2"/>
    </row>
    <row r="335" spans="1:14">
      <c r="A335" s="2"/>
      <c r="B335" s="2"/>
      <c r="C335" s="4"/>
      <c r="D335" s="7"/>
      <c r="E335" s="7"/>
      <c r="F335" s="4"/>
      <c r="G335" s="6"/>
      <c r="H335" s="2"/>
      <c r="I335" s="5"/>
      <c r="J335" s="2"/>
      <c r="K335" s="5"/>
      <c r="L335" s="2"/>
      <c r="M335" s="2"/>
      <c r="N335" s="2"/>
    </row>
    <row r="336" spans="1:14">
      <c r="A336" s="2"/>
      <c r="B336" s="2"/>
      <c r="C336" s="4"/>
      <c r="D336" s="7"/>
      <c r="E336" s="7"/>
      <c r="F336" s="4"/>
      <c r="G336" s="6"/>
      <c r="H336" s="2"/>
      <c r="I336" s="5"/>
      <c r="J336" s="2"/>
      <c r="K336" s="5"/>
      <c r="L336" s="2"/>
      <c r="M336" s="2"/>
      <c r="N336" s="2"/>
    </row>
    <row r="337" spans="1:14">
      <c r="A337" s="2"/>
      <c r="B337" s="2"/>
      <c r="C337" s="4"/>
      <c r="D337" s="7"/>
      <c r="E337" s="7"/>
      <c r="F337" s="4"/>
      <c r="G337" s="6"/>
      <c r="H337" s="2"/>
      <c r="I337" s="5"/>
      <c r="J337" s="2"/>
      <c r="K337" s="5"/>
      <c r="L337" s="2"/>
      <c r="M337" s="2"/>
      <c r="N337" s="2"/>
    </row>
    <row r="338" spans="1:14">
      <c r="A338" s="2"/>
      <c r="B338" s="2"/>
      <c r="C338" s="4"/>
      <c r="D338" s="7"/>
      <c r="E338" s="7"/>
      <c r="F338" s="4"/>
      <c r="G338" s="6"/>
      <c r="H338" s="2"/>
      <c r="I338" s="5"/>
      <c r="J338" s="2"/>
      <c r="K338" s="5"/>
      <c r="L338" s="2"/>
      <c r="M338" s="2"/>
      <c r="N338" s="2"/>
    </row>
    <row r="339" spans="1:14">
      <c r="A339" s="2"/>
      <c r="B339" s="2"/>
      <c r="C339" s="4"/>
      <c r="D339" s="7"/>
      <c r="E339" s="7"/>
      <c r="F339" s="4"/>
      <c r="G339" s="6"/>
      <c r="H339" s="2"/>
      <c r="I339" s="5"/>
      <c r="J339" s="2"/>
      <c r="K339" s="5"/>
      <c r="L339" s="2"/>
      <c r="M339" s="2"/>
      <c r="N339" s="2"/>
    </row>
    <row r="340" spans="1:14">
      <c r="A340" s="2"/>
      <c r="B340" s="2"/>
      <c r="C340" s="4"/>
      <c r="D340" s="7"/>
      <c r="E340" s="7"/>
      <c r="F340" s="4"/>
      <c r="G340" s="6"/>
      <c r="H340" s="2"/>
      <c r="I340" s="5"/>
      <c r="J340" s="2"/>
      <c r="K340" s="5"/>
      <c r="L340" s="2"/>
      <c r="M340" s="2"/>
      <c r="N340" s="2"/>
    </row>
    <row r="341" spans="1:14">
      <c r="A341" s="2"/>
      <c r="B341" s="2"/>
      <c r="C341" s="4"/>
      <c r="D341" s="7"/>
      <c r="E341" s="7"/>
      <c r="F341" s="4"/>
      <c r="G341" s="6"/>
      <c r="H341" s="2"/>
      <c r="I341" s="5"/>
      <c r="J341" s="2"/>
      <c r="K341" s="5"/>
      <c r="L341" s="2"/>
      <c r="M341" s="2"/>
      <c r="N341" s="2"/>
    </row>
    <row r="342" spans="1:14">
      <c r="A342" s="2"/>
      <c r="B342" s="2"/>
      <c r="C342" s="4"/>
      <c r="D342" s="7"/>
      <c r="E342" s="7"/>
      <c r="F342" s="4"/>
      <c r="G342" s="6"/>
      <c r="H342" s="2"/>
      <c r="I342" s="5"/>
      <c r="J342" s="2"/>
      <c r="K342" s="5"/>
      <c r="L342" s="2"/>
      <c r="M342" s="2"/>
      <c r="N342" s="2"/>
    </row>
    <row r="343" spans="1:14">
      <c r="A343" s="2"/>
      <c r="B343" s="2"/>
      <c r="C343" s="4"/>
      <c r="D343" s="7"/>
      <c r="E343" s="7"/>
      <c r="F343" s="4"/>
      <c r="G343" s="6"/>
      <c r="H343" s="2"/>
      <c r="I343" s="5"/>
      <c r="J343" s="2"/>
      <c r="K343" s="5"/>
      <c r="L343" s="2"/>
      <c r="M343" s="2"/>
      <c r="N343" s="2"/>
    </row>
    <row r="344" spans="1:14">
      <c r="A344" s="2"/>
      <c r="B344" s="2"/>
      <c r="C344" s="4"/>
      <c r="D344" s="7"/>
      <c r="E344" s="7"/>
      <c r="F344" s="4"/>
      <c r="G344" s="6"/>
      <c r="H344" s="2"/>
      <c r="I344" s="5"/>
      <c r="J344" s="2"/>
      <c r="K344" s="5"/>
      <c r="L344" s="2"/>
      <c r="M344" s="2"/>
      <c r="N344" s="2"/>
    </row>
    <row r="345" spans="1:14">
      <c r="A345" s="2"/>
      <c r="B345" s="2"/>
      <c r="C345" s="4"/>
      <c r="D345" s="7"/>
      <c r="E345" s="7"/>
      <c r="F345" s="4"/>
      <c r="G345" s="6"/>
      <c r="H345" s="2"/>
      <c r="I345" s="5"/>
      <c r="J345" s="2"/>
      <c r="K345" s="5"/>
      <c r="L345" s="2"/>
      <c r="M345" s="2"/>
      <c r="N345" s="2"/>
    </row>
    <row r="346" spans="1:14">
      <c r="A346" s="2"/>
      <c r="B346" s="2"/>
      <c r="C346" s="4"/>
      <c r="D346" s="7"/>
      <c r="E346" s="7"/>
      <c r="F346" s="4"/>
      <c r="G346" s="6"/>
      <c r="H346" s="2"/>
      <c r="I346" s="5"/>
      <c r="J346" s="2"/>
      <c r="K346" s="5"/>
      <c r="L346" s="2"/>
      <c r="M346" s="2"/>
      <c r="N346" s="2"/>
    </row>
    <row r="347" spans="1:14">
      <c r="A347" s="2"/>
      <c r="B347" s="2"/>
      <c r="C347" s="4"/>
      <c r="D347" s="7"/>
      <c r="E347" s="7"/>
      <c r="F347" s="4"/>
      <c r="G347" s="6"/>
      <c r="H347" s="2"/>
      <c r="I347" s="5"/>
      <c r="J347" s="2"/>
      <c r="K347" s="5"/>
      <c r="L347" s="2"/>
      <c r="M347" s="2"/>
      <c r="N347" s="2"/>
    </row>
    <row r="348" spans="1:14">
      <c r="A348" s="2"/>
      <c r="B348" s="2"/>
      <c r="C348" s="4"/>
      <c r="D348" s="7"/>
      <c r="E348" s="7"/>
      <c r="F348" s="4"/>
      <c r="G348" s="6"/>
      <c r="H348" s="2"/>
      <c r="I348" s="5"/>
      <c r="J348" s="2"/>
      <c r="K348" s="5"/>
      <c r="L348" s="2"/>
      <c r="M348" s="2"/>
      <c r="N348" s="2"/>
    </row>
    <row r="349" spans="1:14">
      <c r="A349" s="2"/>
      <c r="B349" s="2"/>
      <c r="C349" s="4"/>
      <c r="D349" s="7"/>
      <c r="E349" s="7"/>
      <c r="F349" s="4"/>
      <c r="G349" s="6"/>
      <c r="H349" s="2"/>
      <c r="I349" s="5"/>
      <c r="J349" s="2"/>
      <c r="K349" s="5"/>
      <c r="L349" s="2"/>
      <c r="M349" s="2"/>
      <c r="N349" s="2"/>
    </row>
    <row r="350" spans="1:14">
      <c r="A350" s="2"/>
      <c r="B350" s="2"/>
      <c r="C350" s="4"/>
      <c r="D350" s="7"/>
      <c r="E350" s="7"/>
      <c r="F350" s="4"/>
      <c r="G350" s="6"/>
      <c r="H350" s="2"/>
      <c r="I350" s="5"/>
      <c r="J350" s="2"/>
      <c r="K350" s="5"/>
      <c r="L350" s="2"/>
      <c r="M350" s="2"/>
      <c r="N350" s="2"/>
    </row>
    <row r="351" spans="1:14">
      <c r="A351" s="2"/>
      <c r="B351" s="2"/>
      <c r="C351" s="4"/>
      <c r="D351" s="7"/>
      <c r="E351" s="7"/>
      <c r="F351" s="4"/>
      <c r="G351" s="6"/>
      <c r="H351" s="2"/>
      <c r="I351" s="5"/>
      <c r="J351" s="2"/>
      <c r="K351" s="5"/>
      <c r="L351" s="2"/>
      <c r="M351" s="2"/>
      <c r="N351" s="2"/>
    </row>
    <row r="352" spans="1:14">
      <c r="A352" s="2"/>
      <c r="B352" s="2"/>
      <c r="C352" s="4"/>
      <c r="D352" s="7"/>
      <c r="E352" s="7"/>
      <c r="F352" s="4"/>
      <c r="G352" s="6"/>
      <c r="H352" s="2"/>
      <c r="I352" s="5"/>
      <c r="J352" s="2"/>
      <c r="K352" s="5"/>
      <c r="L352" s="2"/>
      <c r="M352" s="2"/>
      <c r="N352" s="2"/>
    </row>
    <row r="353" spans="1:14">
      <c r="A353" s="2"/>
      <c r="B353" s="2"/>
      <c r="C353" s="4"/>
      <c r="D353" s="7"/>
      <c r="E353" s="7"/>
      <c r="F353" s="4"/>
      <c r="G353" s="6"/>
      <c r="H353" s="2"/>
      <c r="I353" s="5"/>
      <c r="J353" s="2"/>
      <c r="K353" s="5"/>
      <c r="L353" s="2"/>
      <c r="M353" s="2"/>
      <c r="N353" s="2"/>
    </row>
    <row r="354" spans="1:14">
      <c r="A354" s="2"/>
      <c r="B354" s="2"/>
      <c r="C354" s="4"/>
      <c r="D354" s="7"/>
      <c r="E354" s="7"/>
      <c r="F354" s="4"/>
      <c r="G354" s="6"/>
      <c r="H354" s="2"/>
      <c r="I354" s="5"/>
      <c r="J354" s="2"/>
      <c r="K354" s="5"/>
      <c r="L354" s="2"/>
      <c r="M354" s="2"/>
      <c r="N354" s="2"/>
    </row>
    <row r="355" spans="1:14">
      <c r="A355" s="2"/>
      <c r="B355" s="2"/>
      <c r="C355" s="4"/>
      <c r="D355" s="7"/>
      <c r="E355" s="7"/>
      <c r="F355" s="4"/>
      <c r="G355" s="6"/>
      <c r="H355" s="2"/>
      <c r="I355" s="5"/>
      <c r="J355" s="2"/>
      <c r="K355" s="5"/>
      <c r="L355" s="2"/>
      <c r="M355" s="2"/>
      <c r="N355" s="2"/>
    </row>
    <row r="356" spans="1:14">
      <c r="A356" s="2"/>
      <c r="B356" s="2"/>
      <c r="C356" s="4"/>
      <c r="D356" s="7"/>
      <c r="E356" s="7"/>
      <c r="F356" s="4"/>
      <c r="G356" s="6"/>
      <c r="H356" s="2"/>
      <c r="I356" s="5"/>
      <c r="J356" s="2"/>
      <c r="K356" s="5"/>
      <c r="L356" s="2"/>
      <c r="M356" s="2"/>
      <c r="N356" s="2"/>
    </row>
    <row r="357" spans="1:14">
      <c r="A357" s="2"/>
      <c r="B357" s="2"/>
      <c r="C357" s="4"/>
      <c r="D357" s="7"/>
      <c r="E357" s="7"/>
      <c r="F357" s="4"/>
      <c r="G357" s="6"/>
      <c r="H357" s="2"/>
      <c r="I357" s="5"/>
      <c r="J357" s="2"/>
      <c r="K357" s="5"/>
      <c r="L357" s="2"/>
      <c r="M357" s="2"/>
      <c r="N357" s="2"/>
    </row>
    <row r="358" spans="1:14">
      <c r="A358" s="2"/>
      <c r="B358" s="2"/>
      <c r="C358" s="4"/>
      <c r="D358" s="7"/>
      <c r="E358" s="7"/>
      <c r="F358" s="4"/>
      <c r="G358" s="6"/>
      <c r="H358" s="2"/>
      <c r="I358" s="5"/>
      <c r="J358" s="2"/>
      <c r="K358" s="5"/>
      <c r="L358" s="2"/>
      <c r="M358" s="2"/>
      <c r="N358" s="2"/>
    </row>
    <row r="359" spans="1:14">
      <c r="A359" s="2"/>
      <c r="B359" s="2"/>
      <c r="C359" s="4"/>
      <c r="D359" s="7"/>
      <c r="E359" s="7"/>
      <c r="F359" s="4"/>
      <c r="G359" s="6"/>
      <c r="H359" s="2"/>
      <c r="I359" s="5"/>
      <c r="J359" s="2"/>
      <c r="K359" s="5"/>
      <c r="L359" s="2"/>
      <c r="M359" s="2"/>
      <c r="N359" s="2"/>
    </row>
    <row r="360" spans="1:14">
      <c r="A360" s="2"/>
      <c r="B360" s="2"/>
      <c r="C360" s="4"/>
      <c r="D360" s="7"/>
      <c r="E360" s="7"/>
      <c r="F360" s="4"/>
      <c r="G360" s="6"/>
      <c r="H360" s="2"/>
      <c r="I360" s="5"/>
      <c r="J360" s="2"/>
      <c r="K360" s="5"/>
      <c r="L360" s="2"/>
      <c r="M360" s="2"/>
      <c r="N360" s="2"/>
    </row>
    <row r="361" spans="1:14">
      <c r="A361" s="2"/>
      <c r="B361" s="2"/>
      <c r="C361" s="4"/>
      <c r="D361" s="7"/>
      <c r="E361" s="7"/>
      <c r="F361" s="4"/>
      <c r="G361" s="6"/>
      <c r="H361" s="2"/>
      <c r="I361" s="5"/>
      <c r="J361" s="2"/>
      <c r="K361" s="5"/>
      <c r="L361" s="2"/>
      <c r="M361" s="2"/>
      <c r="N361" s="2"/>
    </row>
    <row r="362" spans="1:14">
      <c r="A362" s="2"/>
      <c r="B362" s="2"/>
      <c r="C362" s="4"/>
      <c r="D362" s="7"/>
      <c r="E362" s="7"/>
      <c r="F362" s="4"/>
      <c r="G362" s="6"/>
      <c r="H362" s="2"/>
      <c r="I362" s="5"/>
      <c r="J362" s="2"/>
      <c r="K362" s="5"/>
      <c r="L362" s="2"/>
      <c r="M362" s="2"/>
      <c r="N362" s="2"/>
    </row>
    <row r="363" spans="1:14">
      <c r="A363" s="2"/>
      <c r="B363" s="2"/>
      <c r="C363" s="4"/>
      <c r="D363" s="7"/>
      <c r="E363" s="7"/>
      <c r="F363" s="4"/>
      <c r="G363" s="6"/>
      <c r="H363" s="2"/>
      <c r="I363" s="5"/>
      <c r="J363" s="2"/>
      <c r="K363" s="5"/>
      <c r="L363" s="2"/>
      <c r="M363" s="2"/>
      <c r="N363" s="2"/>
    </row>
    <row r="364" spans="1:14">
      <c r="A364" s="2"/>
      <c r="B364" s="2"/>
      <c r="C364" s="4"/>
      <c r="D364" s="7"/>
      <c r="E364" s="7"/>
      <c r="F364" s="4"/>
      <c r="G364" s="6"/>
      <c r="H364" s="2"/>
      <c r="I364" s="5"/>
      <c r="J364" s="2"/>
      <c r="K364" s="5"/>
      <c r="L364" s="2"/>
      <c r="M364" s="2"/>
      <c r="N364" s="2"/>
    </row>
    <row r="365" spans="1:14">
      <c r="A365" s="2"/>
      <c r="B365" s="2"/>
      <c r="C365" s="4"/>
      <c r="D365" s="7"/>
      <c r="E365" s="7"/>
      <c r="F365" s="4"/>
      <c r="G365" s="6"/>
      <c r="H365" s="2"/>
      <c r="I365" s="5"/>
      <c r="J365" s="2"/>
      <c r="K365" s="5"/>
      <c r="L365" s="2"/>
      <c r="M365" s="2"/>
      <c r="N365" s="2"/>
    </row>
    <row r="366" spans="1:14">
      <c r="A366" s="2"/>
      <c r="B366" s="2"/>
      <c r="C366" s="4"/>
      <c r="D366" s="7"/>
      <c r="E366" s="7"/>
      <c r="F366" s="4"/>
      <c r="G366" s="6"/>
      <c r="H366" s="2"/>
      <c r="I366" s="5"/>
      <c r="J366" s="2"/>
      <c r="K366" s="5"/>
      <c r="L366" s="2"/>
      <c r="M366" s="2"/>
      <c r="N366" s="2"/>
    </row>
    <row r="367" spans="1:14">
      <c r="A367" s="2"/>
      <c r="B367" s="2"/>
      <c r="C367" s="4"/>
      <c r="D367" s="7"/>
      <c r="E367" s="7"/>
      <c r="F367" s="4"/>
      <c r="G367" s="6"/>
      <c r="H367" s="2"/>
      <c r="I367" s="5"/>
      <c r="J367" s="2"/>
      <c r="K367" s="5"/>
      <c r="L367" s="2"/>
      <c r="M367" s="2"/>
      <c r="N367" s="2"/>
    </row>
    <row r="368" spans="1:14">
      <c r="A368" s="2"/>
      <c r="B368" s="2"/>
      <c r="C368" s="4"/>
      <c r="D368" s="7"/>
      <c r="E368" s="7"/>
      <c r="F368" s="4"/>
      <c r="G368" s="6"/>
      <c r="H368" s="2"/>
      <c r="I368" s="5"/>
      <c r="J368" s="2"/>
      <c r="K368" s="5"/>
      <c r="L368" s="2"/>
      <c r="M368" s="2"/>
      <c r="N368" s="2"/>
    </row>
    <row r="369" spans="1:14">
      <c r="A369" s="2"/>
      <c r="B369" s="2"/>
      <c r="C369" s="4"/>
      <c r="D369" s="7"/>
      <c r="E369" s="7"/>
      <c r="F369" s="4"/>
      <c r="G369" s="6"/>
      <c r="H369" s="2"/>
      <c r="I369" s="5"/>
      <c r="J369" s="2"/>
      <c r="K369" s="5"/>
      <c r="L369" s="2"/>
      <c r="M369" s="2"/>
      <c r="N369" s="2"/>
    </row>
    <row r="370" spans="1:14">
      <c r="A370" s="2"/>
      <c r="B370" s="2"/>
      <c r="C370" s="4"/>
      <c r="D370" s="7"/>
      <c r="E370" s="7"/>
      <c r="F370" s="4"/>
      <c r="G370" s="6"/>
      <c r="H370" s="2"/>
      <c r="I370" s="5"/>
      <c r="J370" s="2"/>
      <c r="K370" s="5"/>
      <c r="L370" s="2"/>
      <c r="M370" s="2"/>
      <c r="N370" s="2"/>
    </row>
    <row r="371" spans="1:14">
      <c r="A371" s="2"/>
      <c r="B371" s="2"/>
      <c r="C371" s="4"/>
      <c r="D371" s="7"/>
      <c r="E371" s="7"/>
      <c r="F371" s="4"/>
      <c r="G371" s="6"/>
      <c r="H371" s="2"/>
      <c r="I371" s="5"/>
      <c r="J371" s="2"/>
      <c r="K371" s="5"/>
      <c r="L371" s="2"/>
      <c r="M371" s="2"/>
      <c r="N371" s="2"/>
    </row>
    <row r="372" spans="1:14">
      <c r="A372" s="2"/>
      <c r="B372" s="2"/>
      <c r="C372" s="4"/>
      <c r="D372" s="7"/>
      <c r="E372" s="7"/>
      <c r="F372" s="4"/>
      <c r="G372" s="6"/>
      <c r="H372" s="2"/>
      <c r="I372" s="5"/>
      <c r="J372" s="2"/>
      <c r="K372" s="5"/>
      <c r="L372" s="2"/>
      <c r="M372" s="2"/>
      <c r="N372" s="2"/>
    </row>
    <row r="373" spans="1:14">
      <c r="A373" s="2"/>
      <c r="B373" s="2"/>
      <c r="C373" s="4"/>
      <c r="D373" s="7"/>
      <c r="E373" s="7"/>
      <c r="F373" s="4"/>
      <c r="G373" s="6"/>
      <c r="H373" s="2"/>
      <c r="I373" s="5"/>
      <c r="J373" s="2"/>
      <c r="K373" s="5"/>
      <c r="L373" s="2"/>
      <c r="M373" s="2"/>
      <c r="N373" s="2"/>
    </row>
    <row r="374" spans="1:14">
      <c r="A374" s="2"/>
      <c r="B374" s="2"/>
      <c r="C374" s="4"/>
      <c r="D374" s="7"/>
      <c r="E374" s="7"/>
      <c r="F374" s="4"/>
      <c r="G374" s="6"/>
      <c r="H374" s="2"/>
      <c r="I374" s="5"/>
      <c r="J374" s="2"/>
      <c r="K374" s="5"/>
      <c r="L374" s="2"/>
      <c r="M374" s="2"/>
      <c r="N374" s="2"/>
    </row>
    <row r="375" spans="1:14">
      <c r="A375" s="2"/>
      <c r="B375" s="2"/>
      <c r="C375" s="4"/>
      <c r="D375" s="7"/>
      <c r="E375" s="7"/>
      <c r="F375" s="4"/>
      <c r="G375" s="6"/>
      <c r="H375" s="2"/>
      <c r="I375" s="5"/>
      <c r="J375" s="2"/>
      <c r="K375" s="5"/>
      <c r="L375" s="2"/>
      <c r="M375" s="2"/>
      <c r="N375" s="2"/>
    </row>
    <row r="376" spans="1:14">
      <c r="A376" s="2"/>
      <c r="B376" s="2"/>
      <c r="C376" s="4"/>
      <c r="D376" s="7"/>
      <c r="E376" s="7"/>
      <c r="F376" s="4"/>
      <c r="G376" s="6"/>
      <c r="H376" s="2"/>
      <c r="I376" s="5"/>
      <c r="J376" s="2"/>
      <c r="K376" s="5"/>
      <c r="L376" s="2"/>
      <c r="M376" s="2"/>
      <c r="N376" s="2"/>
    </row>
    <row r="377" spans="1:14">
      <c r="A377" s="2"/>
      <c r="B377" s="2"/>
      <c r="C377" s="4"/>
      <c r="D377" s="7"/>
      <c r="E377" s="7"/>
      <c r="F377" s="4"/>
      <c r="G377" s="6"/>
      <c r="H377" s="2"/>
      <c r="I377" s="5"/>
      <c r="J377" s="2"/>
      <c r="K377" s="5"/>
      <c r="L377" s="2"/>
      <c r="M377" s="2"/>
      <c r="N377" s="2"/>
    </row>
    <row r="378" spans="1:14">
      <c r="A378" s="2"/>
      <c r="B378" s="2"/>
      <c r="C378" s="4"/>
      <c r="D378" s="7"/>
      <c r="E378" s="7"/>
      <c r="F378" s="4"/>
      <c r="G378" s="6"/>
      <c r="H378" s="2"/>
      <c r="I378" s="5"/>
      <c r="J378" s="2"/>
      <c r="K378" s="5"/>
      <c r="L378" s="2"/>
      <c r="M378" s="2"/>
      <c r="N378" s="2"/>
    </row>
    <row r="379" spans="1:14">
      <c r="A379" s="2"/>
      <c r="B379" s="2"/>
      <c r="C379" s="4"/>
      <c r="D379" s="7"/>
      <c r="E379" s="7"/>
      <c r="F379" s="4"/>
      <c r="G379" s="6"/>
      <c r="H379" s="2"/>
      <c r="I379" s="5"/>
      <c r="J379" s="2"/>
      <c r="K379" s="5"/>
      <c r="L379" s="2"/>
      <c r="M379" s="2"/>
      <c r="N379" s="2"/>
    </row>
    <row r="380" spans="1:14">
      <c r="A380" s="2"/>
      <c r="B380" s="2"/>
      <c r="C380" s="4"/>
      <c r="D380" s="7"/>
      <c r="E380" s="7"/>
      <c r="F380" s="4"/>
      <c r="G380" s="6"/>
      <c r="H380" s="2"/>
      <c r="I380" s="5"/>
      <c r="J380" s="2"/>
      <c r="K380" s="5"/>
      <c r="L380" s="2"/>
      <c r="M380" s="2"/>
      <c r="N380" s="2"/>
    </row>
    <row r="381" spans="1:14">
      <c r="A381" s="2"/>
      <c r="B381" s="2"/>
      <c r="C381" s="4"/>
      <c r="D381" s="7"/>
      <c r="E381" s="7"/>
      <c r="F381" s="4"/>
      <c r="G381" s="6"/>
      <c r="H381" s="2"/>
      <c r="I381" s="5"/>
      <c r="J381" s="2"/>
      <c r="K381" s="5"/>
      <c r="L381" s="2"/>
      <c r="M381" s="2"/>
      <c r="N381" s="2"/>
    </row>
    <row r="382" spans="1:14">
      <c r="A382" s="2"/>
      <c r="B382" s="2"/>
      <c r="C382" s="4"/>
      <c r="D382" s="7"/>
      <c r="E382" s="7"/>
      <c r="F382" s="4"/>
      <c r="G382" s="6"/>
      <c r="H382" s="2"/>
      <c r="I382" s="5"/>
      <c r="J382" s="2"/>
      <c r="K382" s="5"/>
      <c r="L382" s="2"/>
      <c r="M382" s="2"/>
      <c r="N382" s="2"/>
    </row>
    <row r="383" spans="1:14">
      <c r="A383" s="2"/>
      <c r="B383" s="2"/>
      <c r="C383" s="4"/>
      <c r="D383" s="7"/>
      <c r="E383" s="7"/>
      <c r="F383" s="4"/>
      <c r="G383" s="6"/>
      <c r="H383" s="2"/>
      <c r="I383" s="5"/>
      <c r="J383" s="2"/>
      <c r="K383" s="5"/>
      <c r="L383" s="2"/>
      <c r="M383" s="2"/>
      <c r="N383" s="2"/>
    </row>
    <row r="384" spans="1:14">
      <c r="A384" s="2"/>
      <c r="B384" s="2"/>
      <c r="C384" s="4"/>
      <c r="D384" s="7"/>
      <c r="E384" s="7"/>
      <c r="F384" s="4"/>
      <c r="G384" s="6"/>
      <c r="H384" s="2"/>
      <c r="I384" s="5"/>
      <c r="J384" s="2"/>
      <c r="K384" s="5"/>
      <c r="L384" s="2"/>
      <c r="M384" s="2"/>
      <c r="N384" s="2"/>
    </row>
    <row r="385" spans="1:14">
      <c r="A385" s="2"/>
      <c r="B385" s="2"/>
      <c r="C385" s="4"/>
      <c r="D385" s="7"/>
      <c r="E385" s="7"/>
      <c r="F385" s="4"/>
      <c r="G385" s="6"/>
      <c r="H385" s="2"/>
      <c r="I385" s="5"/>
      <c r="J385" s="2"/>
      <c r="K385" s="5"/>
      <c r="L385" s="2"/>
      <c r="M385" s="2"/>
      <c r="N385" s="2"/>
    </row>
    <row r="386" spans="1:14">
      <c r="A386" s="2"/>
      <c r="B386" s="2"/>
      <c r="C386" s="4"/>
      <c r="D386" s="7"/>
      <c r="E386" s="7"/>
      <c r="F386" s="4"/>
      <c r="G386" s="6"/>
      <c r="H386" s="2"/>
      <c r="I386" s="5"/>
      <c r="J386" s="2"/>
      <c r="K386" s="5"/>
      <c r="L386" s="2"/>
      <c r="M386" s="2"/>
      <c r="N386" s="2"/>
    </row>
    <row r="387" spans="1:14">
      <c r="A387" s="2"/>
      <c r="B387" s="2"/>
      <c r="C387" s="4"/>
      <c r="D387" s="7"/>
      <c r="E387" s="7"/>
      <c r="F387" s="4"/>
      <c r="G387" s="6"/>
      <c r="H387" s="2"/>
      <c r="I387" s="5"/>
      <c r="J387" s="2"/>
      <c r="K387" s="5"/>
      <c r="L387" s="2"/>
      <c r="M387" s="2"/>
      <c r="N387" s="2"/>
    </row>
    <row r="388" spans="1:14">
      <c r="A388" s="2"/>
      <c r="B388" s="2"/>
      <c r="C388" s="4"/>
      <c r="D388" s="7"/>
      <c r="E388" s="7"/>
      <c r="F388" s="4"/>
      <c r="G388" s="6"/>
      <c r="H388" s="2"/>
      <c r="I388" s="5"/>
      <c r="J388" s="2"/>
      <c r="K388" s="5"/>
      <c r="L388" s="2"/>
      <c r="M388" s="2"/>
      <c r="N388" s="2"/>
    </row>
    <row r="389" spans="1:14">
      <c r="A389" s="2"/>
      <c r="B389" s="2"/>
      <c r="C389" s="4"/>
      <c r="D389" s="7"/>
      <c r="E389" s="7"/>
      <c r="F389" s="4"/>
      <c r="G389" s="6"/>
      <c r="H389" s="2"/>
      <c r="I389" s="5"/>
      <c r="J389" s="2"/>
      <c r="K389" s="5"/>
      <c r="L389" s="2"/>
      <c r="M389" s="2"/>
      <c r="N389" s="2"/>
    </row>
    <row r="390" spans="1:14">
      <c r="A390" s="2"/>
      <c r="B390" s="2"/>
      <c r="C390" s="4"/>
      <c r="D390" s="7"/>
      <c r="E390" s="7"/>
      <c r="F390" s="4"/>
      <c r="G390" s="6"/>
      <c r="H390" s="2"/>
      <c r="I390" s="5"/>
      <c r="J390" s="2"/>
      <c r="K390" s="5"/>
      <c r="L390" s="2"/>
      <c r="M390" s="2"/>
      <c r="N390" s="2"/>
    </row>
    <row r="391" spans="1:14">
      <c r="A391" s="2"/>
      <c r="B391" s="2"/>
      <c r="C391" s="4"/>
      <c r="D391" s="7"/>
      <c r="E391" s="7"/>
      <c r="F391" s="4"/>
      <c r="G391" s="6"/>
      <c r="H391" s="2"/>
      <c r="I391" s="5"/>
      <c r="J391" s="2"/>
      <c r="K391" s="5"/>
      <c r="L391" s="2"/>
      <c r="M391" s="2"/>
      <c r="N391" s="2"/>
    </row>
    <row r="392" spans="1:14">
      <c r="A392" s="2"/>
      <c r="B392" s="2"/>
      <c r="C392" s="4"/>
      <c r="D392" s="7"/>
      <c r="E392" s="7"/>
      <c r="F392" s="4"/>
      <c r="G392" s="6"/>
      <c r="H392" s="2"/>
      <c r="I392" s="5"/>
      <c r="J392" s="2"/>
      <c r="K392" s="5"/>
      <c r="L392" s="2"/>
      <c r="M392" s="2"/>
      <c r="N392" s="2"/>
    </row>
    <row r="393" spans="1:14">
      <c r="A393" s="2"/>
      <c r="B393" s="2"/>
      <c r="C393" s="4"/>
      <c r="D393" s="7"/>
      <c r="E393" s="7"/>
      <c r="F393" s="4"/>
      <c r="G393" s="6"/>
      <c r="H393" s="2"/>
      <c r="I393" s="5"/>
      <c r="J393" s="2"/>
      <c r="K393" s="5"/>
      <c r="L393" s="2"/>
      <c r="M393" s="2"/>
      <c r="N393" s="2"/>
    </row>
    <row r="394" spans="1:14">
      <c r="A394" s="2"/>
      <c r="B394" s="2"/>
      <c r="C394" s="4"/>
      <c r="D394" s="7"/>
      <c r="E394" s="7"/>
      <c r="F394" s="4"/>
      <c r="G394" s="6"/>
      <c r="H394" s="2"/>
      <c r="I394" s="5"/>
      <c r="J394" s="2"/>
      <c r="K394" s="5"/>
      <c r="L394" s="2"/>
      <c r="M394" s="2"/>
      <c r="N394" s="2"/>
    </row>
    <row r="395" spans="1:14">
      <c r="A395" s="2"/>
      <c r="B395" s="2"/>
      <c r="C395" s="4"/>
      <c r="D395" s="7"/>
      <c r="E395" s="7"/>
      <c r="F395" s="4"/>
      <c r="G395" s="6"/>
      <c r="H395" s="2"/>
      <c r="I395" s="5"/>
      <c r="J395" s="2"/>
      <c r="K395" s="5"/>
      <c r="L395" s="2"/>
      <c r="M395" s="2"/>
      <c r="N395" s="2"/>
    </row>
    <row r="396" spans="1:14">
      <c r="A396" s="2"/>
      <c r="B396" s="2"/>
      <c r="C396" s="4"/>
      <c r="D396" s="7"/>
      <c r="E396" s="7"/>
      <c r="F396" s="4"/>
      <c r="G396" s="6"/>
      <c r="H396" s="2"/>
      <c r="I396" s="5"/>
      <c r="J396" s="2"/>
      <c r="K396" s="5"/>
      <c r="L396" s="2"/>
      <c r="M396" s="2"/>
      <c r="N396" s="2"/>
    </row>
    <row r="397" spans="1:14">
      <c r="A397" s="2"/>
      <c r="B397" s="2"/>
      <c r="C397" s="4"/>
      <c r="D397" s="7"/>
      <c r="E397" s="7"/>
      <c r="F397" s="4"/>
      <c r="G397" s="6"/>
      <c r="H397" s="2"/>
      <c r="I397" s="5"/>
      <c r="J397" s="2"/>
      <c r="K397" s="5"/>
      <c r="L397" s="2"/>
      <c r="M397" s="2"/>
      <c r="N397" s="2"/>
    </row>
    <row r="398" spans="1:14">
      <c r="A398" s="2"/>
      <c r="B398" s="2"/>
      <c r="C398" s="4"/>
      <c r="D398" s="7"/>
      <c r="E398" s="7"/>
      <c r="F398" s="4"/>
      <c r="G398" s="6"/>
      <c r="H398" s="2"/>
      <c r="I398" s="5"/>
      <c r="J398" s="2"/>
      <c r="K398" s="5"/>
      <c r="L398" s="2"/>
      <c r="M398" s="2"/>
      <c r="N398" s="2"/>
    </row>
    <row r="399" spans="1:14">
      <c r="A399" s="2"/>
      <c r="B399" s="2"/>
      <c r="C399" s="4"/>
      <c r="D399" s="7"/>
      <c r="E399" s="7"/>
      <c r="F399" s="4"/>
      <c r="G399" s="6"/>
      <c r="H399" s="2"/>
      <c r="I399" s="5"/>
      <c r="J399" s="2"/>
      <c r="K399" s="5"/>
      <c r="L399" s="2"/>
      <c r="M399" s="2"/>
      <c r="N399" s="2"/>
    </row>
    <row r="400" spans="1:14">
      <c r="A400" s="2"/>
      <c r="B400" s="2"/>
      <c r="C400" s="4"/>
      <c r="D400" s="7"/>
      <c r="E400" s="7"/>
      <c r="F400" s="4"/>
      <c r="G400" s="6"/>
      <c r="H400" s="2"/>
      <c r="I400" s="5"/>
      <c r="J400" s="2"/>
      <c r="K400" s="5"/>
      <c r="L400" s="2"/>
      <c r="M400" s="2"/>
      <c r="N400" s="2"/>
    </row>
    <row r="401" spans="1:14">
      <c r="A401" s="2"/>
      <c r="B401" s="2"/>
      <c r="C401" s="4"/>
      <c r="D401" s="7"/>
      <c r="E401" s="7"/>
      <c r="F401" s="4"/>
      <c r="G401" s="6"/>
      <c r="H401" s="2"/>
      <c r="I401" s="5"/>
      <c r="J401" s="2"/>
      <c r="K401" s="5"/>
      <c r="L401" s="2"/>
      <c r="M401" s="2"/>
      <c r="N401" s="2"/>
    </row>
    <row r="402" spans="1:14">
      <c r="A402" s="2"/>
      <c r="B402" s="2"/>
      <c r="C402" s="4"/>
      <c r="D402" s="7"/>
      <c r="E402" s="7"/>
      <c r="F402" s="4"/>
      <c r="G402" s="6"/>
      <c r="H402" s="2"/>
      <c r="I402" s="5"/>
      <c r="J402" s="2"/>
      <c r="K402" s="5"/>
      <c r="L402" s="2"/>
      <c r="M402" s="2"/>
      <c r="N402" s="2"/>
    </row>
    <row r="403" spans="1:14">
      <c r="A403" s="2"/>
      <c r="B403" s="2"/>
      <c r="C403" s="4"/>
      <c r="D403" s="7"/>
      <c r="E403" s="7"/>
      <c r="F403" s="4"/>
      <c r="G403" s="6"/>
      <c r="H403" s="2"/>
      <c r="I403" s="5"/>
      <c r="J403" s="2"/>
      <c r="K403" s="5"/>
      <c r="L403" s="2"/>
      <c r="M403" s="2"/>
      <c r="N403" s="2"/>
    </row>
    <row r="404" spans="1:14">
      <c r="A404" s="2"/>
      <c r="B404" s="2"/>
      <c r="C404" s="4"/>
      <c r="D404" s="7"/>
      <c r="E404" s="7"/>
      <c r="F404" s="4"/>
      <c r="G404" s="6"/>
      <c r="H404" s="2"/>
      <c r="I404" s="5"/>
      <c r="J404" s="2"/>
      <c r="K404" s="5"/>
      <c r="L404" s="2"/>
      <c r="M404" s="2"/>
      <c r="N404" s="2"/>
    </row>
    <row r="405" spans="1:14">
      <c r="A405" s="2"/>
      <c r="B405" s="2"/>
      <c r="C405" s="4"/>
      <c r="D405" s="7"/>
      <c r="E405" s="7"/>
      <c r="F405" s="4"/>
      <c r="G405" s="6"/>
      <c r="H405" s="2"/>
      <c r="I405" s="5"/>
      <c r="J405" s="2"/>
      <c r="K405" s="5"/>
      <c r="L405" s="2"/>
      <c r="M405" s="2"/>
      <c r="N405" s="2"/>
    </row>
    <row r="406" spans="1:14">
      <c r="A406" s="2"/>
      <c r="B406" s="2"/>
      <c r="C406" s="4"/>
      <c r="D406" s="7"/>
      <c r="E406" s="7"/>
      <c r="F406" s="4"/>
      <c r="G406" s="6"/>
      <c r="H406" s="2"/>
      <c r="I406" s="5"/>
      <c r="J406" s="2"/>
      <c r="K406" s="5"/>
      <c r="L406" s="2"/>
      <c r="M406" s="2"/>
      <c r="N406" s="2"/>
    </row>
    <row r="407" spans="1:14">
      <c r="A407" s="2"/>
      <c r="B407" s="2"/>
      <c r="C407" s="4"/>
      <c r="D407" s="7"/>
      <c r="E407" s="7"/>
      <c r="F407" s="4"/>
      <c r="G407" s="6"/>
      <c r="H407" s="2"/>
      <c r="I407" s="5"/>
      <c r="J407" s="2"/>
      <c r="K407" s="5"/>
      <c r="L407" s="2"/>
      <c r="M407" s="2"/>
      <c r="N407" s="2"/>
    </row>
    <row r="408" spans="1:14">
      <c r="A408" s="2"/>
      <c r="B408" s="2"/>
      <c r="C408" s="4"/>
      <c r="D408" s="7"/>
      <c r="E408" s="7"/>
      <c r="F408" s="4"/>
      <c r="G408" s="6"/>
      <c r="H408" s="2"/>
      <c r="I408" s="5"/>
      <c r="J408" s="2"/>
      <c r="K408" s="5"/>
      <c r="L408" s="2"/>
      <c r="M408" s="2"/>
      <c r="N408" s="2"/>
    </row>
    <row r="409" spans="1:14">
      <c r="A409" s="2"/>
      <c r="B409" s="2"/>
      <c r="C409" s="4"/>
      <c r="D409" s="7"/>
      <c r="E409" s="7"/>
      <c r="F409" s="4"/>
      <c r="G409" s="6"/>
      <c r="H409" s="2"/>
      <c r="I409" s="5"/>
      <c r="J409" s="2"/>
      <c r="K409" s="5"/>
      <c r="L409" s="2"/>
      <c r="M409" s="2"/>
      <c r="N409" s="2"/>
    </row>
    <row r="410" spans="1:14">
      <c r="A410" s="2"/>
      <c r="B410" s="2"/>
      <c r="C410" s="4"/>
      <c r="D410" s="7"/>
      <c r="E410" s="7"/>
      <c r="F410" s="4"/>
      <c r="G410" s="6"/>
      <c r="H410" s="2"/>
      <c r="I410" s="5"/>
      <c r="J410" s="2"/>
      <c r="K410" s="5"/>
      <c r="L410" s="2"/>
      <c r="M410" s="2"/>
      <c r="N410" s="2"/>
    </row>
    <row r="411" spans="1:14">
      <c r="A411" s="2"/>
      <c r="B411" s="2"/>
      <c r="C411" s="4"/>
      <c r="D411" s="7"/>
      <c r="E411" s="7"/>
      <c r="F411" s="4"/>
      <c r="G411" s="6"/>
      <c r="H411" s="2"/>
      <c r="I411" s="5"/>
      <c r="J411" s="2"/>
      <c r="K411" s="5"/>
      <c r="L411" s="2"/>
      <c r="M411" s="2"/>
      <c r="N411" s="2"/>
    </row>
    <row r="412" spans="1:14">
      <c r="A412" s="2"/>
      <c r="B412" s="2"/>
      <c r="C412" s="4"/>
      <c r="D412" s="7"/>
      <c r="E412" s="7"/>
      <c r="F412" s="4"/>
      <c r="G412" s="6"/>
      <c r="H412" s="2"/>
      <c r="I412" s="5"/>
      <c r="J412" s="2"/>
      <c r="K412" s="5"/>
      <c r="L412" s="2"/>
      <c r="M412" s="2"/>
      <c r="N412" s="2"/>
    </row>
    <row r="413" spans="1:14">
      <c r="A413" s="2"/>
      <c r="B413" s="2"/>
      <c r="C413" s="4"/>
      <c r="D413" s="7"/>
      <c r="E413" s="7"/>
      <c r="F413" s="4"/>
      <c r="G413" s="6"/>
      <c r="H413" s="2"/>
      <c r="I413" s="5"/>
      <c r="J413" s="2"/>
      <c r="K413" s="5"/>
      <c r="L413" s="2"/>
      <c r="M413" s="2"/>
      <c r="N413" s="2"/>
    </row>
    <row r="414" spans="1:14">
      <c r="A414" s="2"/>
      <c r="B414" s="2"/>
      <c r="C414" s="4"/>
      <c r="D414" s="7"/>
      <c r="E414" s="7"/>
      <c r="F414" s="4"/>
      <c r="G414" s="6"/>
      <c r="H414" s="2"/>
      <c r="I414" s="5"/>
      <c r="J414" s="2"/>
      <c r="K414" s="5"/>
      <c r="L414" s="2"/>
      <c r="M414" s="2"/>
      <c r="N414" s="2"/>
    </row>
    <row r="415" spans="1:14">
      <c r="A415" s="2"/>
      <c r="B415" s="2"/>
      <c r="C415" s="4"/>
      <c r="D415" s="7"/>
      <c r="E415" s="7"/>
      <c r="F415" s="4"/>
      <c r="G415" s="6"/>
      <c r="H415" s="2"/>
      <c r="I415" s="5"/>
      <c r="J415" s="2"/>
      <c r="K415" s="5"/>
      <c r="L415" s="2"/>
      <c r="M415" s="2"/>
      <c r="N415" s="2"/>
    </row>
    <row r="416" spans="1:14">
      <c r="A416" s="2"/>
      <c r="B416" s="2"/>
      <c r="C416" s="4"/>
      <c r="D416" s="7"/>
      <c r="E416" s="7"/>
      <c r="F416" s="4"/>
      <c r="G416" s="6"/>
      <c r="H416" s="2"/>
      <c r="I416" s="5"/>
      <c r="J416" s="2"/>
      <c r="K416" s="5"/>
      <c r="L416" s="2"/>
      <c r="M416" s="2"/>
      <c r="N416" s="2"/>
    </row>
    <row r="417" spans="1:14">
      <c r="A417" s="2"/>
      <c r="B417" s="2"/>
      <c r="C417" s="4"/>
      <c r="D417" s="7"/>
      <c r="E417" s="7"/>
      <c r="F417" s="4"/>
      <c r="G417" s="6"/>
      <c r="H417" s="2"/>
      <c r="I417" s="5"/>
      <c r="J417" s="2"/>
      <c r="K417" s="5"/>
      <c r="L417" s="2"/>
      <c r="M417" s="2"/>
      <c r="N417" s="2"/>
    </row>
    <row r="418" spans="1:14">
      <c r="A418" s="2"/>
      <c r="B418" s="2"/>
      <c r="C418" s="4"/>
      <c r="D418" s="7"/>
      <c r="E418" s="7"/>
      <c r="F418" s="4"/>
      <c r="G418" s="6"/>
      <c r="H418" s="2"/>
      <c r="I418" s="5"/>
      <c r="J418" s="2"/>
      <c r="K418" s="5"/>
      <c r="L418" s="2"/>
      <c r="M418" s="2"/>
      <c r="N418" s="2"/>
    </row>
    <row r="419" spans="1:14">
      <c r="A419" s="2"/>
      <c r="B419" s="2"/>
      <c r="C419" s="4"/>
      <c r="D419" s="7"/>
      <c r="E419" s="7"/>
      <c r="F419" s="4"/>
      <c r="G419" s="6"/>
      <c r="H419" s="2"/>
      <c r="I419" s="5"/>
      <c r="J419" s="2"/>
      <c r="K419" s="5"/>
      <c r="L419" s="2"/>
      <c r="M419" s="2"/>
      <c r="N419" s="2"/>
    </row>
    <row r="420" spans="1:14">
      <c r="A420" s="2"/>
      <c r="B420" s="2"/>
      <c r="C420" s="4"/>
      <c r="D420" s="7"/>
      <c r="E420" s="7"/>
      <c r="F420" s="4"/>
      <c r="G420" s="6"/>
      <c r="H420" s="2"/>
      <c r="I420" s="5"/>
      <c r="J420" s="2"/>
      <c r="K420" s="5"/>
      <c r="L420" s="2"/>
      <c r="M420" s="2"/>
      <c r="N420" s="2"/>
    </row>
    <row r="421" spans="1:14">
      <c r="A421" s="2"/>
      <c r="B421" s="2"/>
      <c r="C421" s="4"/>
      <c r="D421" s="7"/>
      <c r="E421" s="7"/>
      <c r="F421" s="4"/>
      <c r="G421" s="6"/>
      <c r="H421" s="2"/>
      <c r="I421" s="5"/>
      <c r="J421" s="2"/>
      <c r="K421" s="5"/>
      <c r="L421" s="2"/>
      <c r="M421" s="2"/>
      <c r="N421" s="2"/>
    </row>
    <row r="422" spans="1:14">
      <c r="A422" s="2"/>
      <c r="B422" s="2"/>
      <c r="C422" s="4"/>
      <c r="D422" s="7"/>
      <c r="E422" s="7"/>
      <c r="F422" s="4"/>
      <c r="G422" s="6"/>
      <c r="H422" s="2"/>
      <c r="I422" s="5"/>
      <c r="J422" s="2"/>
      <c r="K422" s="5"/>
      <c r="L422" s="2"/>
      <c r="M422" s="2"/>
      <c r="N422" s="2"/>
    </row>
    <row r="423" spans="1:14">
      <c r="A423" s="2"/>
      <c r="B423" s="2"/>
      <c r="C423" s="4"/>
      <c r="D423" s="7"/>
      <c r="E423" s="7"/>
      <c r="F423" s="4"/>
      <c r="G423" s="6"/>
      <c r="H423" s="2"/>
      <c r="I423" s="5"/>
      <c r="J423" s="2"/>
      <c r="K423" s="5"/>
      <c r="L423" s="2"/>
      <c r="M423" s="2"/>
      <c r="N423" s="2"/>
    </row>
    <row r="424" spans="1:14">
      <c r="A424" s="2"/>
      <c r="B424" s="2"/>
      <c r="C424" s="4"/>
      <c r="D424" s="7"/>
      <c r="E424" s="7"/>
      <c r="F424" s="4"/>
      <c r="G424" s="6"/>
      <c r="H424" s="2"/>
      <c r="I424" s="5"/>
      <c r="J424" s="2"/>
      <c r="K424" s="5"/>
      <c r="L424" s="2"/>
      <c r="M424" s="2"/>
      <c r="N424" s="2"/>
    </row>
    <row r="425" spans="1:14">
      <c r="A425" s="2"/>
      <c r="B425" s="2"/>
      <c r="C425" s="4"/>
      <c r="D425" s="7"/>
      <c r="E425" s="7"/>
      <c r="F425" s="4"/>
      <c r="G425" s="6"/>
      <c r="H425" s="2"/>
      <c r="I425" s="5"/>
      <c r="J425" s="2"/>
      <c r="K425" s="5"/>
      <c r="L425" s="2"/>
      <c r="M425" s="2"/>
      <c r="N425" s="2"/>
    </row>
    <row r="426" spans="1:14">
      <c r="A426" s="2"/>
      <c r="B426" s="2"/>
      <c r="C426" s="4"/>
      <c r="D426" s="7"/>
      <c r="E426" s="7"/>
      <c r="F426" s="4"/>
      <c r="G426" s="6"/>
      <c r="H426" s="2"/>
      <c r="I426" s="5"/>
      <c r="J426" s="2"/>
      <c r="K426" s="5"/>
      <c r="L426" s="2"/>
      <c r="M426" s="2"/>
      <c r="N426" s="2"/>
    </row>
    <row r="427" spans="1:14">
      <c r="A427" s="2"/>
      <c r="B427" s="2"/>
      <c r="C427" s="4"/>
      <c r="D427" s="7"/>
      <c r="E427" s="7"/>
      <c r="F427" s="4"/>
      <c r="G427" s="6"/>
      <c r="H427" s="2"/>
      <c r="I427" s="5"/>
      <c r="J427" s="2"/>
      <c r="K427" s="5"/>
      <c r="L427" s="2"/>
      <c r="M427" s="2"/>
      <c r="N427" s="2"/>
    </row>
    <row r="428" spans="1:14">
      <c r="A428" s="2"/>
      <c r="B428" s="2"/>
      <c r="C428" s="4"/>
      <c r="D428" s="7"/>
      <c r="E428" s="7"/>
      <c r="F428" s="4"/>
      <c r="G428" s="6"/>
      <c r="H428" s="2"/>
      <c r="I428" s="5"/>
      <c r="J428" s="2"/>
      <c r="K428" s="5"/>
      <c r="L428" s="2"/>
      <c r="M428" s="2"/>
      <c r="N428" s="2"/>
    </row>
    <row r="429" spans="1:14">
      <c r="A429" s="2"/>
      <c r="B429" s="2"/>
      <c r="C429" s="4"/>
      <c r="D429" s="7"/>
      <c r="E429" s="7"/>
      <c r="F429" s="4"/>
      <c r="G429" s="6"/>
      <c r="H429" s="2"/>
      <c r="I429" s="5"/>
      <c r="J429" s="2"/>
      <c r="K429" s="5"/>
      <c r="L429" s="2"/>
      <c r="M429" s="2"/>
      <c r="N429" s="2"/>
    </row>
    <row r="430" spans="1:14">
      <c r="A430" s="2"/>
      <c r="B430" s="2"/>
      <c r="C430" s="4"/>
      <c r="D430" s="7"/>
      <c r="E430" s="7"/>
      <c r="F430" s="4"/>
      <c r="G430" s="6"/>
      <c r="H430" s="2"/>
      <c r="I430" s="5"/>
      <c r="J430" s="2"/>
      <c r="K430" s="5"/>
      <c r="L430" s="2"/>
      <c r="M430" s="2"/>
      <c r="N430" s="2"/>
    </row>
    <row r="431" spans="1:14">
      <c r="A431" s="2"/>
      <c r="B431" s="2"/>
      <c r="C431" s="4"/>
      <c r="D431" s="7"/>
      <c r="E431" s="7"/>
      <c r="F431" s="4"/>
      <c r="G431" s="6"/>
      <c r="H431" s="2"/>
      <c r="I431" s="5"/>
      <c r="J431" s="2"/>
      <c r="K431" s="5"/>
      <c r="L431" s="2"/>
      <c r="M431" s="2"/>
      <c r="N431" s="2"/>
    </row>
    <row r="432" spans="1:14">
      <c r="A432" s="2"/>
      <c r="B432" s="2"/>
      <c r="C432" s="4"/>
      <c r="D432" s="7"/>
      <c r="E432" s="7"/>
      <c r="F432" s="4"/>
      <c r="G432" s="6"/>
      <c r="H432" s="2"/>
      <c r="I432" s="5"/>
      <c r="J432" s="2"/>
      <c r="K432" s="5"/>
      <c r="L432" s="2"/>
      <c r="M432" s="2"/>
      <c r="N432" s="2"/>
    </row>
    <row r="433" spans="1:14">
      <c r="A433" s="2"/>
      <c r="B433" s="2"/>
      <c r="C433" s="4"/>
      <c r="D433" s="7"/>
      <c r="E433" s="7"/>
      <c r="F433" s="4"/>
      <c r="G433" s="6"/>
      <c r="H433" s="2"/>
      <c r="I433" s="5"/>
      <c r="J433" s="2"/>
      <c r="K433" s="5"/>
      <c r="L433" s="2"/>
      <c r="M433" s="2"/>
      <c r="N433" s="2"/>
    </row>
    <row r="434" spans="1:14">
      <c r="A434" s="2"/>
      <c r="B434" s="2"/>
      <c r="C434" s="4"/>
      <c r="D434" s="7"/>
      <c r="E434" s="7"/>
      <c r="F434" s="4"/>
      <c r="G434" s="6"/>
      <c r="H434" s="2"/>
      <c r="I434" s="5"/>
      <c r="J434" s="2"/>
      <c r="K434" s="5"/>
      <c r="L434" s="2"/>
      <c r="M434" s="2"/>
      <c r="N434" s="2"/>
    </row>
    <row r="435" spans="1:14">
      <c r="A435" s="2"/>
      <c r="B435" s="2"/>
      <c r="C435" s="4"/>
      <c r="D435" s="7"/>
      <c r="E435" s="7"/>
      <c r="F435" s="4"/>
      <c r="G435" s="6"/>
      <c r="H435" s="2"/>
      <c r="I435" s="5"/>
      <c r="J435" s="2"/>
      <c r="K435" s="5"/>
      <c r="L435" s="2"/>
      <c r="M435" s="2"/>
      <c r="N435" s="2"/>
    </row>
    <row r="436" spans="1:14">
      <c r="A436" s="2"/>
      <c r="B436" s="2"/>
      <c r="C436" s="4"/>
      <c r="D436" s="7"/>
      <c r="E436" s="7"/>
      <c r="F436" s="4"/>
      <c r="G436" s="6"/>
      <c r="H436" s="2"/>
      <c r="I436" s="5"/>
      <c r="J436" s="2"/>
      <c r="K436" s="5"/>
      <c r="L436" s="2"/>
      <c r="M436" s="2"/>
      <c r="N436" s="2"/>
    </row>
    <row r="437" spans="1:14">
      <c r="A437" s="2"/>
      <c r="B437" s="2"/>
      <c r="C437" s="4"/>
      <c r="D437" s="7"/>
      <c r="E437" s="7"/>
      <c r="F437" s="4"/>
      <c r="G437" s="6"/>
      <c r="H437" s="2"/>
      <c r="I437" s="5"/>
      <c r="J437" s="2"/>
      <c r="K437" s="5"/>
      <c r="L437" s="2"/>
      <c r="M437" s="2"/>
      <c r="N437" s="2"/>
    </row>
    <row r="438" spans="1:14">
      <c r="A438" s="2"/>
      <c r="B438" s="2"/>
      <c r="C438" s="4"/>
      <c r="D438" s="7"/>
      <c r="E438" s="7"/>
      <c r="F438" s="4"/>
      <c r="G438" s="6"/>
      <c r="H438" s="2"/>
      <c r="I438" s="5"/>
      <c r="J438" s="2"/>
      <c r="K438" s="5"/>
      <c r="L438" s="2"/>
      <c r="M438" s="2"/>
      <c r="N438" s="2"/>
    </row>
    <row r="439" spans="1:14">
      <c r="A439" s="2"/>
      <c r="B439" s="2"/>
      <c r="C439" s="4"/>
      <c r="D439" s="7"/>
      <c r="E439" s="7"/>
      <c r="F439" s="4"/>
      <c r="G439" s="6"/>
      <c r="H439" s="2"/>
      <c r="I439" s="5"/>
      <c r="J439" s="2"/>
      <c r="K439" s="5"/>
      <c r="L439" s="2"/>
      <c r="M439" s="2"/>
      <c r="N439" s="2"/>
    </row>
    <row r="440" spans="1:14">
      <c r="A440" s="2"/>
      <c r="B440" s="2"/>
      <c r="C440" s="4"/>
      <c r="D440" s="7"/>
      <c r="E440" s="7"/>
      <c r="F440" s="4"/>
      <c r="G440" s="6"/>
      <c r="H440" s="2"/>
      <c r="I440" s="5"/>
      <c r="J440" s="2"/>
      <c r="K440" s="5"/>
      <c r="L440" s="2"/>
      <c r="M440" s="2"/>
      <c r="N440" s="2"/>
    </row>
    <row r="441" spans="1:14">
      <c r="A441" s="2"/>
      <c r="B441" s="2"/>
      <c r="C441" s="4"/>
      <c r="D441" s="7"/>
      <c r="E441" s="7"/>
      <c r="F441" s="4"/>
      <c r="G441" s="6"/>
      <c r="H441" s="2"/>
      <c r="I441" s="5"/>
      <c r="J441" s="2"/>
      <c r="K441" s="5"/>
      <c r="L441" s="2"/>
      <c r="M441" s="2"/>
      <c r="N441" s="2"/>
    </row>
    <row r="442" spans="1:14">
      <c r="A442" s="2"/>
      <c r="B442" s="2"/>
      <c r="C442" s="4"/>
      <c r="D442" s="7"/>
      <c r="E442" s="7"/>
      <c r="F442" s="4"/>
      <c r="G442" s="6"/>
      <c r="H442" s="2"/>
      <c r="I442" s="5"/>
      <c r="J442" s="2"/>
      <c r="K442" s="5"/>
      <c r="L442" s="2"/>
      <c r="M442" s="2"/>
      <c r="N442" s="2"/>
    </row>
    <row r="443" spans="1:14">
      <c r="A443" s="2"/>
      <c r="B443" s="2"/>
      <c r="C443" s="4"/>
      <c r="D443" s="7"/>
      <c r="E443" s="7"/>
      <c r="F443" s="4"/>
      <c r="G443" s="6"/>
      <c r="H443" s="2"/>
      <c r="I443" s="5"/>
      <c r="J443" s="2"/>
      <c r="K443" s="5"/>
      <c r="L443" s="2"/>
      <c r="M443" s="2"/>
      <c r="N443" s="2"/>
    </row>
    <row r="444" spans="1:14">
      <c r="A444" s="2"/>
      <c r="B444" s="2"/>
      <c r="C444" s="4"/>
      <c r="D444" s="7"/>
      <c r="E444" s="7"/>
      <c r="F444" s="4"/>
      <c r="G444" s="6"/>
      <c r="H444" s="2"/>
      <c r="I444" s="5"/>
      <c r="J444" s="2"/>
      <c r="K444" s="5"/>
      <c r="L444" s="2"/>
      <c r="M444" s="2"/>
      <c r="N444" s="2"/>
    </row>
    <row r="445" spans="1:14">
      <c r="A445" s="2"/>
      <c r="B445" s="2"/>
      <c r="C445" s="4"/>
      <c r="D445" s="7"/>
      <c r="E445" s="7"/>
      <c r="F445" s="4"/>
      <c r="G445" s="6"/>
      <c r="H445" s="2"/>
      <c r="I445" s="5"/>
      <c r="J445" s="2"/>
      <c r="K445" s="5"/>
      <c r="L445" s="2"/>
      <c r="M445" s="2"/>
      <c r="N445" s="2"/>
    </row>
    <row r="446" spans="1:14">
      <c r="A446" s="2"/>
      <c r="B446" s="2"/>
      <c r="C446" s="4"/>
      <c r="D446" s="7"/>
      <c r="E446" s="7"/>
      <c r="F446" s="4"/>
      <c r="G446" s="6"/>
      <c r="H446" s="2"/>
      <c r="I446" s="5"/>
      <c r="J446" s="2"/>
      <c r="K446" s="5"/>
      <c r="L446" s="2"/>
      <c r="M446" s="2"/>
      <c r="N446" s="2"/>
    </row>
    <row r="447" spans="1:14">
      <c r="A447" s="2"/>
      <c r="B447" s="2"/>
      <c r="C447" s="4"/>
      <c r="D447" s="7"/>
      <c r="E447" s="7"/>
      <c r="F447" s="4"/>
      <c r="G447" s="6"/>
      <c r="H447" s="2"/>
      <c r="I447" s="5"/>
      <c r="J447" s="2"/>
      <c r="K447" s="5"/>
      <c r="L447" s="2"/>
      <c r="M447" s="2"/>
      <c r="N447" s="2"/>
    </row>
    <row r="448" spans="1:14">
      <c r="A448" s="2"/>
      <c r="B448" s="2"/>
      <c r="C448" s="4"/>
      <c r="D448" s="7"/>
      <c r="E448" s="7"/>
      <c r="F448" s="4"/>
      <c r="G448" s="6"/>
      <c r="H448" s="2"/>
      <c r="I448" s="5"/>
      <c r="J448" s="2"/>
      <c r="K448" s="5"/>
      <c r="L448" s="2"/>
      <c r="M448" s="2"/>
      <c r="N448" s="2"/>
    </row>
    <row r="449" spans="1:14">
      <c r="A449" s="2"/>
      <c r="B449" s="2"/>
      <c r="C449" s="4"/>
      <c r="D449" s="7"/>
      <c r="E449" s="7"/>
      <c r="F449" s="4"/>
      <c r="G449" s="6"/>
      <c r="H449" s="2"/>
      <c r="I449" s="5"/>
      <c r="J449" s="2"/>
      <c r="K449" s="5"/>
      <c r="L449" s="2"/>
      <c r="M449" s="2"/>
      <c r="N449" s="2"/>
    </row>
    <row r="450" spans="1:14">
      <c r="A450" s="2"/>
      <c r="B450" s="2"/>
      <c r="C450" s="4"/>
      <c r="D450" s="7"/>
      <c r="E450" s="7"/>
      <c r="F450" s="4"/>
      <c r="G450" s="6"/>
      <c r="H450" s="2"/>
      <c r="I450" s="5"/>
      <c r="J450" s="2"/>
      <c r="K450" s="5"/>
      <c r="L450" s="2"/>
      <c r="M450" s="2"/>
      <c r="N450" s="2"/>
    </row>
    <row r="451" spans="1:14">
      <c r="A451" s="2"/>
      <c r="B451" s="2"/>
      <c r="C451" s="4"/>
      <c r="D451" s="7"/>
      <c r="E451" s="7"/>
      <c r="F451" s="4"/>
      <c r="G451" s="6"/>
      <c r="H451" s="2"/>
      <c r="I451" s="5"/>
      <c r="J451" s="2"/>
      <c r="K451" s="5"/>
      <c r="L451" s="2"/>
      <c r="M451" s="2"/>
      <c r="N451" s="2"/>
    </row>
    <row r="452" spans="1:14">
      <c r="A452" s="2"/>
      <c r="B452" s="2"/>
      <c r="C452" s="4"/>
      <c r="D452" s="7"/>
      <c r="E452" s="7"/>
      <c r="F452" s="4"/>
      <c r="G452" s="6"/>
      <c r="H452" s="2"/>
      <c r="I452" s="5"/>
      <c r="J452" s="2"/>
      <c r="K452" s="5"/>
      <c r="L452" s="2"/>
      <c r="M452" s="2"/>
      <c r="N452" s="2"/>
    </row>
    <row r="453" spans="1:14">
      <c r="A453" s="2"/>
      <c r="B453" s="2"/>
      <c r="C453" s="4"/>
      <c r="D453" s="7"/>
      <c r="E453" s="7"/>
      <c r="F453" s="4"/>
      <c r="G453" s="6"/>
      <c r="H453" s="2"/>
      <c r="I453" s="5"/>
      <c r="J453" s="2"/>
      <c r="K453" s="5"/>
      <c r="L453" s="2"/>
      <c r="M453" s="2"/>
      <c r="N453" s="2"/>
    </row>
    <row r="454" spans="1:14">
      <c r="A454" s="2"/>
      <c r="B454" s="2"/>
      <c r="C454" s="4"/>
      <c r="D454" s="7"/>
      <c r="E454" s="7"/>
      <c r="F454" s="4"/>
      <c r="G454" s="6"/>
      <c r="H454" s="2"/>
      <c r="I454" s="5"/>
      <c r="J454" s="2"/>
      <c r="K454" s="5"/>
      <c r="L454" s="2"/>
      <c r="M454" s="2"/>
      <c r="N454" s="2"/>
    </row>
    <row r="455" spans="1:14">
      <c r="A455" s="2"/>
      <c r="B455" s="2"/>
      <c r="C455" s="4"/>
      <c r="D455" s="7"/>
      <c r="E455" s="7"/>
      <c r="F455" s="4"/>
      <c r="G455" s="6"/>
      <c r="H455" s="2"/>
      <c r="I455" s="5"/>
      <c r="J455" s="2"/>
      <c r="K455" s="5"/>
      <c r="L455" s="2"/>
      <c r="M455" s="2"/>
      <c r="N455" s="2"/>
    </row>
    <row r="456" spans="1:14">
      <c r="A456" s="2"/>
      <c r="B456" s="2"/>
      <c r="C456" s="4"/>
      <c r="D456" s="7"/>
      <c r="E456" s="7"/>
      <c r="F456" s="4"/>
      <c r="G456" s="6"/>
      <c r="H456" s="2"/>
      <c r="I456" s="5"/>
      <c r="J456" s="2"/>
      <c r="K456" s="5"/>
      <c r="L456" s="2"/>
      <c r="M456" s="2"/>
      <c r="N456" s="2"/>
    </row>
    <row r="457" spans="1:14">
      <c r="A457" s="2"/>
      <c r="B457" s="2"/>
      <c r="C457" s="4"/>
      <c r="D457" s="7"/>
      <c r="E457" s="7"/>
      <c r="F457" s="4"/>
      <c r="G457" s="6"/>
      <c r="H457" s="2"/>
      <c r="I457" s="5"/>
      <c r="J457" s="2"/>
      <c r="K457" s="5"/>
      <c r="L457" s="2"/>
      <c r="M457" s="2"/>
      <c r="N457" s="2"/>
    </row>
    <row r="458" spans="1:14">
      <c r="A458" s="2"/>
      <c r="B458" s="2"/>
      <c r="C458" s="4"/>
      <c r="D458" s="7"/>
      <c r="E458" s="7"/>
      <c r="F458" s="4"/>
      <c r="G458" s="6"/>
      <c r="H458" s="2"/>
      <c r="I458" s="5"/>
      <c r="J458" s="2"/>
      <c r="K458" s="5"/>
      <c r="L458" s="2"/>
      <c r="M458" s="2"/>
      <c r="N458" s="2"/>
    </row>
    <row r="459" spans="1:14">
      <c r="A459" s="2"/>
      <c r="B459" s="2"/>
      <c r="C459" s="4"/>
      <c r="D459" s="7"/>
      <c r="E459" s="7"/>
      <c r="F459" s="4"/>
      <c r="G459" s="6"/>
      <c r="H459" s="2"/>
      <c r="I459" s="5"/>
      <c r="J459" s="2"/>
      <c r="K459" s="5"/>
      <c r="L459" s="2"/>
      <c r="M459" s="2"/>
      <c r="N459" s="2"/>
    </row>
    <row r="460" spans="1:14">
      <c r="A460" s="2"/>
      <c r="B460" s="2"/>
      <c r="C460" s="4"/>
      <c r="D460" s="7"/>
      <c r="E460" s="7"/>
      <c r="F460" s="4"/>
      <c r="G460" s="6"/>
      <c r="H460" s="2"/>
      <c r="I460" s="5"/>
      <c r="J460" s="2"/>
      <c r="K460" s="5"/>
      <c r="L460" s="2"/>
      <c r="M460" s="2"/>
      <c r="N460" s="2"/>
    </row>
    <row r="461" spans="1:14">
      <c r="A461" s="2"/>
      <c r="B461" s="2"/>
      <c r="C461" s="4"/>
      <c r="D461" s="7"/>
      <c r="E461" s="7"/>
      <c r="F461" s="4"/>
      <c r="G461" s="6"/>
      <c r="H461" s="2"/>
      <c r="I461" s="5"/>
      <c r="J461" s="2"/>
      <c r="K461" s="5"/>
      <c r="L461" s="2"/>
      <c r="M461" s="2"/>
      <c r="N461" s="2"/>
    </row>
    <row r="462" spans="1:14">
      <c r="A462" s="2"/>
      <c r="B462" s="2"/>
      <c r="C462" s="4"/>
      <c r="D462" s="7"/>
      <c r="E462" s="7"/>
      <c r="F462" s="4"/>
      <c r="G462" s="6"/>
      <c r="H462" s="2"/>
      <c r="I462" s="5"/>
      <c r="J462" s="2"/>
      <c r="K462" s="5"/>
      <c r="L462" s="2"/>
      <c r="M462" s="2"/>
      <c r="N462" s="2"/>
    </row>
    <row r="463" spans="1:14">
      <c r="A463" s="2"/>
      <c r="B463" s="2"/>
      <c r="C463" s="4"/>
      <c r="D463" s="7"/>
      <c r="E463" s="7"/>
      <c r="F463" s="4"/>
      <c r="G463" s="6"/>
      <c r="H463" s="2"/>
      <c r="I463" s="5"/>
      <c r="J463" s="2"/>
      <c r="K463" s="5"/>
      <c r="L463" s="2"/>
      <c r="M463" s="2"/>
      <c r="N463" s="2"/>
    </row>
    <row r="464" spans="1:14">
      <c r="A464" s="2"/>
      <c r="B464" s="2"/>
      <c r="C464" s="4"/>
      <c r="D464" s="7"/>
      <c r="E464" s="7"/>
      <c r="F464" s="4"/>
      <c r="G464" s="6"/>
      <c r="H464" s="2"/>
      <c r="I464" s="5"/>
      <c r="J464" s="2"/>
      <c r="K464" s="5"/>
      <c r="L464" s="2"/>
      <c r="M464" s="2"/>
      <c r="N464" s="2"/>
    </row>
    <row r="465" spans="1:14">
      <c r="A465" s="2"/>
      <c r="B465" s="2"/>
      <c r="C465" s="4"/>
      <c r="D465" s="7"/>
      <c r="E465" s="7"/>
      <c r="F465" s="4"/>
      <c r="G465" s="6"/>
      <c r="H465" s="2"/>
      <c r="I465" s="5"/>
      <c r="J465" s="2"/>
      <c r="K465" s="5"/>
      <c r="L465" s="2"/>
      <c r="M465" s="2"/>
      <c r="N465" s="2"/>
    </row>
    <row r="466" spans="1:14">
      <c r="A466" s="2"/>
      <c r="B466" s="2"/>
      <c r="C466" s="4"/>
      <c r="D466" s="7"/>
      <c r="E466" s="7"/>
      <c r="F466" s="4"/>
      <c r="G466" s="6"/>
      <c r="H466" s="2"/>
      <c r="I466" s="5"/>
      <c r="J466" s="2"/>
      <c r="K466" s="5"/>
      <c r="L466" s="2"/>
      <c r="M466" s="2"/>
      <c r="N466" s="2"/>
    </row>
    <row r="467" spans="1:14">
      <c r="A467" s="2"/>
      <c r="B467" s="2"/>
      <c r="C467" s="4"/>
      <c r="D467" s="7"/>
      <c r="E467" s="7"/>
      <c r="F467" s="4"/>
      <c r="G467" s="6"/>
      <c r="H467" s="2"/>
      <c r="I467" s="5"/>
      <c r="J467" s="2"/>
      <c r="K467" s="5"/>
      <c r="L467" s="2"/>
      <c r="M467" s="2"/>
      <c r="N467" s="2"/>
    </row>
    <row r="468" spans="1:14">
      <c r="A468" s="2"/>
      <c r="B468" s="2"/>
      <c r="C468" s="4"/>
      <c r="D468" s="7"/>
      <c r="E468" s="7"/>
      <c r="F468" s="4"/>
      <c r="G468" s="6"/>
      <c r="H468" s="2"/>
      <c r="I468" s="5"/>
      <c r="J468" s="2"/>
      <c r="K468" s="5"/>
      <c r="L468" s="2"/>
      <c r="M468" s="2"/>
      <c r="N468" s="2"/>
    </row>
    <row r="469" spans="1:14">
      <c r="A469" s="2"/>
      <c r="B469" s="2"/>
      <c r="C469" s="4"/>
      <c r="D469" s="7"/>
      <c r="E469" s="7"/>
      <c r="F469" s="4"/>
      <c r="G469" s="6"/>
      <c r="H469" s="2"/>
      <c r="I469" s="5"/>
      <c r="J469" s="2"/>
      <c r="K469" s="5"/>
      <c r="L469" s="2"/>
      <c r="M469" s="2"/>
      <c r="N469" s="2"/>
    </row>
    <row r="470" spans="1:14">
      <c r="A470" s="2"/>
      <c r="B470" s="2"/>
      <c r="C470" s="4"/>
      <c r="D470" s="7"/>
      <c r="E470" s="7"/>
      <c r="F470" s="4"/>
      <c r="G470" s="6"/>
      <c r="H470" s="2"/>
      <c r="I470" s="5"/>
      <c r="J470" s="2"/>
      <c r="K470" s="5"/>
      <c r="L470" s="2"/>
      <c r="M470" s="2"/>
      <c r="N470" s="2"/>
    </row>
    <row r="471" spans="1:14">
      <c r="A471" s="2"/>
      <c r="B471" s="2"/>
      <c r="C471" s="4"/>
      <c r="D471" s="7"/>
      <c r="E471" s="7"/>
      <c r="F471" s="4"/>
      <c r="G471" s="6"/>
      <c r="H471" s="2"/>
      <c r="I471" s="5"/>
      <c r="J471" s="2"/>
      <c r="K471" s="5"/>
      <c r="L471" s="2"/>
      <c r="M471" s="2"/>
      <c r="N471" s="2"/>
    </row>
    <row r="472" spans="1:14">
      <c r="A472" s="2"/>
      <c r="B472" s="2"/>
      <c r="C472" s="4"/>
      <c r="D472" s="7"/>
      <c r="E472" s="7"/>
      <c r="F472" s="4"/>
      <c r="G472" s="6"/>
      <c r="H472" s="2"/>
      <c r="I472" s="5"/>
      <c r="J472" s="2"/>
      <c r="K472" s="5"/>
      <c r="L472" s="2"/>
      <c r="M472" s="2"/>
      <c r="N472" s="2"/>
    </row>
    <row r="473" spans="1:14">
      <c r="A473" s="2"/>
      <c r="B473" s="2"/>
      <c r="C473" s="4"/>
      <c r="D473" s="7"/>
      <c r="E473" s="7"/>
      <c r="F473" s="4"/>
      <c r="G473" s="6"/>
      <c r="H473" s="2"/>
      <c r="I473" s="5"/>
      <c r="J473" s="2"/>
      <c r="K473" s="5"/>
      <c r="L473" s="2"/>
      <c r="M473" s="2"/>
      <c r="N473" s="2"/>
    </row>
    <row r="474" spans="1:14">
      <c r="A474" s="2"/>
      <c r="B474" s="2"/>
      <c r="C474" s="4"/>
      <c r="D474" s="7"/>
      <c r="E474" s="7"/>
      <c r="F474" s="4"/>
      <c r="G474" s="6"/>
      <c r="H474" s="2"/>
      <c r="I474" s="5"/>
      <c r="J474" s="2"/>
      <c r="K474" s="5"/>
      <c r="L474" s="2"/>
      <c r="M474" s="2"/>
      <c r="N474" s="2"/>
    </row>
    <row r="475" spans="1:14">
      <c r="A475" s="2"/>
      <c r="B475" s="2"/>
      <c r="C475" s="4"/>
      <c r="D475" s="7"/>
      <c r="E475" s="7"/>
      <c r="F475" s="4"/>
      <c r="G475" s="6"/>
      <c r="H475" s="2"/>
      <c r="I475" s="5"/>
      <c r="J475" s="2"/>
      <c r="K475" s="5"/>
      <c r="L475" s="2"/>
      <c r="M475" s="2"/>
      <c r="N475" s="2"/>
    </row>
    <row r="476" spans="1:14">
      <c r="A476" s="2"/>
      <c r="B476" s="2"/>
      <c r="C476" s="4"/>
      <c r="D476" s="7"/>
      <c r="E476" s="7"/>
      <c r="F476" s="4"/>
      <c r="G476" s="6"/>
      <c r="H476" s="2"/>
      <c r="I476" s="5"/>
      <c r="J476" s="2"/>
      <c r="K476" s="5"/>
      <c r="L476" s="2"/>
      <c r="M476" s="2"/>
      <c r="N476" s="2"/>
    </row>
    <row r="477" spans="1:14">
      <c r="A477" s="2"/>
      <c r="B477" s="2"/>
      <c r="C477" s="4"/>
      <c r="D477" s="7"/>
      <c r="E477" s="7"/>
      <c r="F477" s="4"/>
      <c r="G477" s="6"/>
      <c r="H477" s="2"/>
      <c r="I477" s="5"/>
      <c r="J477" s="2"/>
      <c r="K477" s="5"/>
      <c r="L477" s="2"/>
      <c r="M477" s="2"/>
      <c r="N477" s="2"/>
    </row>
    <row r="478" spans="1:14">
      <c r="A478" s="2"/>
      <c r="B478" s="2"/>
      <c r="C478" s="4"/>
      <c r="D478" s="7"/>
      <c r="E478" s="7"/>
      <c r="F478" s="4"/>
      <c r="G478" s="6"/>
      <c r="H478" s="2"/>
      <c r="I478" s="5"/>
      <c r="J478" s="2"/>
      <c r="K478" s="5"/>
      <c r="L478" s="2"/>
      <c r="M478" s="2"/>
      <c r="N478" s="2"/>
    </row>
    <row r="479" spans="1:14">
      <c r="A479" s="2"/>
      <c r="B479" s="2"/>
      <c r="C479" s="4"/>
      <c r="D479" s="7"/>
      <c r="E479" s="7"/>
      <c r="F479" s="4"/>
      <c r="G479" s="6"/>
      <c r="H479" s="2"/>
      <c r="I479" s="5"/>
      <c r="J479" s="2"/>
      <c r="K479" s="5"/>
      <c r="L479" s="2"/>
      <c r="M479" s="2"/>
      <c r="N479" s="2"/>
    </row>
    <row r="480" spans="1:14">
      <c r="A480" s="2"/>
      <c r="B480" s="2"/>
      <c r="C480" s="4"/>
      <c r="D480" s="7"/>
      <c r="E480" s="7"/>
      <c r="F480" s="4"/>
      <c r="G480" s="6"/>
      <c r="H480" s="2"/>
      <c r="I480" s="5"/>
      <c r="J480" s="2"/>
      <c r="K480" s="5"/>
      <c r="L480" s="2"/>
      <c r="M480" s="2"/>
      <c r="N480" s="2"/>
    </row>
    <row r="481" spans="1:14">
      <c r="A481" s="2"/>
      <c r="B481" s="2"/>
      <c r="C481" s="4"/>
      <c r="D481" s="7"/>
      <c r="E481" s="7"/>
      <c r="F481" s="4"/>
      <c r="G481" s="6"/>
      <c r="H481" s="2"/>
      <c r="I481" s="5"/>
      <c r="J481" s="2"/>
      <c r="K481" s="5"/>
      <c r="L481" s="2"/>
      <c r="M481" s="2"/>
      <c r="N481" s="2"/>
    </row>
    <row r="482" spans="1:14">
      <c r="A482" s="2"/>
      <c r="B482" s="2"/>
      <c r="C482" s="4"/>
      <c r="D482" s="7"/>
      <c r="E482" s="7"/>
      <c r="F482" s="4"/>
      <c r="G482" s="6"/>
      <c r="H482" s="2"/>
      <c r="I482" s="5"/>
      <c r="J482" s="2"/>
      <c r="K482" s="5"/>
      <c r="L482" s="2"/>
      <c r="M482" s="2"/>
      <c r="N482" s="2"/>
    </row>
    <row r="483" spans="1:14">
      <c r="A483" s="2"/>
      <c r="B483" s="2"/>
      <c r="C483" s="4"/>
      <c r="D483" s="7"/>
      <c r="E483" s="7"/>
      <c r="F483" s="4"/>
      <c r="G483" s="6"/>
      <c r="H483" s="2"/>
      <c r="I483" s="5"/>
      <c r="J483" s="2"/>
      <c r="K483" s="5"/>
      <c r="L483" s="2"/>
      <c r="M483" s="2"/>
      <c r="N483" s="2"/>
    </row>
    <row r="484" spans="1:14">
      <c r="A484" s="2"/>
      <c r="B484" s="2"/>
      <c r="C484" s="4"/>
      <c r="D484" s="7"/>
      <c r="E484" s="7"/>
      <c r="F484" s="4"/>
      <c r="G484" s="6"/>
      <c r="H484" s="2"/>
      <c r="I484" s="5"/>
      <c r="J484" s="2"/>
      <c r="K484" s="5"/>
      <c r="L484" s="2"/>
      <c r="M484" s="2"/>
      <c r="N484" s="2"/>
    </row>
    <row r="485" spans="1:14">
      <c r="A485" s="2"/>
      <c r="B485" s="2"/>
      <c r="C485" s="4"/>
      <c r="D485" s="7"/>
      <c r="E485" s="7"/>
      <c r="F485" s="4"/>
      <c r="G485" s="6"/>
      <c r="H485" s="2"/>
      <c r="I485" s="5"/>
      <c r="J485" s="2"/>
      <c r="K485" s="5"/>
      <c r="L485" s="2"/>
      <c r="M485" s="2"/>
      <c r="N485" s="2"/>
    </row>
    <row r="486" spans="1:14">
      <c r="A486" s="2"/>
      <c r="B486" s="2"/>
      <c r="C486" s="4"/>
      <c r="D486" s="7"/>
      <c r="E486" s="7"/>
      <c r="F486" s="4"/>
      <c r="G486" s="6"/>
      <c r="H486" s="2"/>
      <c r="I486" s="5"/>
      <c r="J486" s="2"/>
      <c r="K486" s="5"/>
      <c r="L486" s="2"/>
      <c r="M486" s="2"/>
      <c r="N486" s="2"/>
    </row>
    <row r="487" spans="1:14">
      <c r="A487" s="2"/>
      <c r="B487" s="2"/>
      <c r="C487" s="4"/>
      <c r="D487" s="7"/>
      <c r="E487" s="7"/>
      <c r="F487" s="4"/>
      <c r="G487" s="6"/>
      <c r="H487" s="2"/>
      <c r="I487" s="5"/>
      <c r="J487" s="2"/>
      <c r="K487" s="5"/>
      <c r="L487" s="2"/>
      <c r="M487" s="2"/>
      <c r="N487" s="2"/>
    </row>
    <row r="488" spans="1:14">
      <c r="A488" s="2"/>
      <c r="B488" s="2"/>
      <c r="C488" s="4"/>
      <c r="D488" s="7"/>
      <c r="E488" s="7"/>
      <c r="F488" s="4"/>
      <c r="G488" s="6"/>
      <c r="H488" s="2"/>
      <c r="I488" s="5"/>
      <c r="J488" s="2"/>
      <c r="K488" s="5"/>
      <c r="L488" s="2"/>
      <c r="M488" s="2"/>
      <c r="N488" s="2"/>
    </row>
    <row r="489" spans="1:14">
      <c r="A489" s="2"/>
      <c r="B489" s="2"/>
      <c r="C489" s="4"/>
      <c r="D489" s="7"/>
      <c r="E489" s="7"/>
      <c r="F489" s="4"/>
      <c r="G489" s="6"/>
      <c r="H489" s="2"/>
      <c r="I489" s="5"/>
      <c r="J489" s="2"/>
      <c r="K489" s="5"/>
      <c r="L489" s="2"/>
      <c r="M489" s="2"/>
      <c r="N489" s="2"/>
    </row>
    <row r="490" spans="1:14">
      <c r="A490" s="2"/>
      <c r="B490" s="2"/>
      <c r="C490" s="4"/>
      <c r="D490" s="7"/>
      <c r="E490" s="7"/>
      <c r="F490" s="4"/>
      <c r="G490" s="6"/>
      <c r="H490" s="2"/>
      <c r="I490" s="5"/>
      <c r="J490" s="2"/>
      <c r="K490" s="5"/>
      <c r="L490" s="2"/>
      <c r="M490" s="2"/>
      <c r="N490" s="2"/>
    </row>
    <row r="491" spans="1:14">
      <c r="A491" s="2"/>
      <c r="B491" s="2"/>
      <c r="C491" s="4"/>
      <c r="D491" s="7"/>
      <c r="E491" s="7"/>
      <c r="F491" s="4"/>
      <c r="G491" s="6"/>
      <c r="H491" s="2"/>
      <c r="I491" s="5"/>
      <c r="J491" s="2"/>
      <c r="K491" s="5"/>
      <c r="L491" s="2"/>
      <c r="M491" s="2"/>
      <c r="N491" s="2"/>
    </row>
    <row r="492" spans="1:14">
      <c r="A492" s="2"/>
      <c r="B492" s="2"/>
      <c r="C492" s="4"/>
      <c r="D492" s="7"/>
      <c r="E492" s="7"/>
      <c r="F492" s="4"/>
      <c r="G492" s="6"/>
      <c r="H492" s="2"/>
      <c r="I492" s="5"/>
      <c r="J492" s="2"/>
      <c r="K492" s="5"/>
      <c r="L492" s="2"/>
      <c r="M492" s="2"/>
      <c r="N492" s="2"/>
    </row>
    <row r="493" spans="1:14">
      <c r="A493" s="2"/>
      <c r="B493" s="2"/>
      <c r="C493" s="4"/>
      <c r="D493" s="7"/>
      <c r="E493" s="7"/>
      <c r="F493" s="4"/>
      <c r="G493" s="6"/>
      <c r="H493" s="2"/>
      <c r="I493" s="5"/>
      <c r="J493" s="2"/>
      <c r="K493" s="5"/>
      <c r="L493" s="2"/>
      <c r="M493" s="2"/>
      <c r="N493" s="2"/>
    </row>
    <row r="494" spans="1:14">
      <c r="A494" s="2"/>
      <c r="B494" s="2"/>
      <c r="C494" s="4"/>
      <c r="D494" s="7"/>
      <c r="E494" s="7"/>
      <c r="F494" s="4"/>
      <c r="G494" s="6"/>
      <c r="H494" s="2"/>
      <c r="I494" s="5"/>
      <c r="J494" s="2"/>
      <c r="K494" s="5"/>
      <c r="L494" s="2"/>
      <c r="M494" s="2"/>
      <c r="N494" s="2"/>
    </row>
    <row r="495" spans="1:14">
      <c r="A495" s="2"/>
      <c r="B495" s="2"/>
      <c r="C495" s="4"/>
      <c r="D495" s="7"/>
      <c r="E495" s="7"/>
      <c r="F495" s="4"/>
      <c r="G495" s="6"/>
      <c r="H495" s="2"/>
      <c r="I495" s="5"/>
      <c r="J495" s="2"/>
      <c r="K495" s="5"/>
      <c r="L495" s="2"/>
      <c r="M495" s="2"/>
      <c r="N495" s="2"/>
    </row>
    <row r="496" spans="1:14">
      <c r="A496" s="2"/>
      <c r="B496" s="2"/>
      <c r="C496" s="4"/>
      <c r="D496" s="7"/>
      <c r="E496" s="7"/>
      <c r="F496" s="4"/>
      <c r="G496" s="6"/>
      <c r="H496" s="2"/>
      <c r="I496" s="5"/>
      <c r="J496" s="2"/>
      <c r="K496" s="5"/>
      <c r="L496" s="2"/>
      <c r="M496" s="2"/>
      <c r="N496" s="2"/>
    </row>
    <row r="497" spans="1:14">
      <c r="A497" s="2"/>
      <c r="B497" s="2"/>
      <c r="C497" s="4"/>
      <c r="D497" s="7"/>
      <c r="E497" s="7"/>
      <c r="F497" s="4"/>
      <c r="G497" s="6"/>
      <c r="H497" s="2"/>
      <c r="I497" s="5"/>
      <c r="J497" s="2"/>
      <c r="K497" s="5"/>
      <c r="L497" s="2"/>
      <c r="M497" s="2"/>
      <c r="N497" s="2"/>
    </row>
    <row r="498" spans="1:14">
      <c r="A498" s="2"/>
      <c r="B498" s="2"/>
      <c r="C498" s="4"/>
      <c r="D498" s="7"/>
      <c r="E498" s="7"/>
      <c r="F498" s="4"/>
      <c r="G498" s="6"/>
      <c r="H498" s="2"/>
      <c r="I498" s="5"/>
      <c r="J498" s="2"/>
      <c r="K498" s="5"/>
      <c r="L498" s="2"/>
      <c r="M498" s="2"/>
      <c r="N498" s="2"/>
    </row>
    <row r="499" spans="1:14">
      <c r="A499" s="2"/>
      <c r="B499" s="2"/>
      <c r="C499" s="4"/>
      <c r="D499" s="7"/>
      <c r="E499" s="7"/>
      <c r="F499" s="4"/>
      <c r="G499" s="6"/>
      <c r="H499" s="2"/>
      <c r="I499" s="5"/>
      <c r="J499" s="2"/>
      <c r="K499" s="5"/>
      <c r="L499" s="2"/>
      <c r="M499" s="2"/>
      <c r="N499" s="2"/>
    </row>
    <row r="500" spans="1:14">
      <c r="A500" s="2"/>
      <c r="B500" s="2"/>
      <c r="C500" s="4"/>
      <c r="D500" s="7"/>
      <c r="E500" s="7"/>
      <c r="F500" s="4"/>
      <c r="G500" s="6"/>
      <c r="H500" s="2"/>
      <c r="I500" s="5"/>
      <c r="J500" s="2"/>
      <c r="K500" s="5"/>
      <c r="L500" s="2"/>
      <c r="M500" s="2"/>
      <c r="N500" s="2"/>
    </row>
    <row r="501" spans="1:14">
      <c r="A501" s="2"/>
      <c r="B501" s="2"/>
      <c r="C501" s="4"/>
      <c r="D501" s="7"/>
      <c r="E501" s="7"/>
      <c r="F501" s="4"/>
      <c r="G501" s="6"/>
      <c r="H501" s="2"/>
      <c r="I501" s="5"/>
      <c r="J501" s="2"/>
      <c r="K501" s="5"/>
      <c r="L501" s="2"/>
      <c r="M501" s="2"/>
      <c r="N501" s="2"/>
    </row>
    <row r="502" spans="1:14">
      <c r="A502" s="2"/>
      <c r="B502" s="2"/>
      <c r="C502" s="4"/>
      <c r="D502" s="7"/>
      <c r="E502" s="7"/>
      <c r="F502" s="4"/>
      <c r="G502" s="6"/>
      <c r="H502" s="2"/>
      <c r="I502" s="5"/>
      <c r="J502" s="2"/>
      <c r="K502" s="5"/>
      <c r="L502" s="2"/>
      <c r="M502" s="2"/>
      <c r="N502" s="2"/>
    </row>
    <row r="503" spans="1:14">
      <c r="A503" s="2"/>
      <c r="B503" s="2"/>
      <c r="C503" s="4"/>
      <c r="D503" s="7"/>
      <c r="E503" s="7"/>
      <c r="F503" s="4"/>
      <c r="G503" s="6"/>
      <c r="H503" s="2"/>
      <c r="I503" s="5"/>
      <c r="J503" s="2"/>
      <c r="K503" s="5"/>
      <c r="L503" s="2"/>
      <c r="M503" s="2"/>
      <c r="N503" s="2"/>
    </row>
    <row r="504" spans="1:14">
      <c r="A504" s="2"/>
      <c r="B504" s="2"/>
      <c r="C504" s="4"/>
      <c r="D504" s="7"/>
      <c r="E504" s="7"/>
      <c r="F504" s="4"/>
      <c r="G504" s="6"/>
      <c r="H504" s="2"/>
      <c r="I504" s="5"/>
      <c r="J504" s="2"/>
      <c r="K504" s="5"/>
      <c r="L504" s="2"/>
      <c r="M504" s="2"/>
      <c r="N504" s="2"/>
    </row>
    <row r="505" spans="1:14">
      <c r="A505" s="2"/>
      <c r="B505" s="2"/>
      <c r="C505" s="4"/>
      <c r="D505" s="7"/>
      <c r="E505" s="7"/>
      <c r="F505" s="4"/>
      <c r="G505" s="6"/>
      <c r="H505" s="2"/>
      <c r="I505" s="5"/>
      <c r="J505" s="2"/>
      <c r="K505" s="5"/>
      <c r="L505" s="2"/>
      <c r="M505" s="2"/>
      <c r="N505" s="2"/>
    </row>
    <row r="506" spans="1:14">
      <c r="A506" s="2"/>
      <c r="B506" s="2"/>
      <c r="C506" s="4"/>
      <c r="D506" s="7"/>
      <c r="E506" s="7"/>
      <c r="F506" s="4"/>
      <c r="G506" s="6"/>
      <c r="H506" s="2"/>
      <c r="I506" s="5"/>
      <c r="J506" s="2"/>
      <c r="K506" s="5"/>
      <c r="L506" s="2"/>
      <c r="M506" s="2"/>
      <c r="N506" s="2"/>
    </row>
    <row r="507" spans="1:14">
      <c r="A507" s="2"/>
      <c r="B507" s="2"/>
      <c r="C507" s="4"/>
      <c r="D507" s="7"/>
      <c r="E507" s="7"/>
      <c r="F507" s="4"/>
      <c r="G507" s="6"/>
      <c r="H507" s="2"/>
      <c r="I507" s="5"/>
      <c r="J507" s="2"/>
      <c r="K507" s="5"/>
      <c r="L507" s="2"/>
      <c r="M507" s="2"/>
      <c r="N507" s="2"/>
    </row>
    <row r="508" spans="1:14">
      <c r="A508" s="2"/>
      <c r="B508" s="2"/>
      <c r="C508" s="4"/>
      <c r="D508" s="7"/>
      <c r="E508" s="7"/>
      <c r="F508" s="4"/>
      <c r="G508" s="6"/>
      <c r="H508" s="2"/>
      <c r="I508" s="5"/>
      <c r="J508" s="2"/>
      <c r="K508" s="5"/>
      <c r="L508" s="2"/>
      <c r="M508" s="2"/>
      <c r="N508" s="2"/>
    </row>
    <row r="509" spans="1:14">
      <c r="A509" s="2"/>
      <c r="B509" s="2"/>
      <c r="C509" s="4"/>
      <c r="D509" s="7"/>
      <c r="E509" s="7"/>
      <c r="F509" s="4"/>
      <c r="G509" s="6"/>
      <c r="H509" s="2"/>
      <c r="I509" s="5"/>
      <c r="J509" s="2"/>
      <c r="K509" s="5"/>
      <c r="L509" s="2"/>
      <c r="M509" s="2"/>
      <c r="N509" s="2"/>
    </row>
    <row r="510" spans="1:14">
      <c r="A510" s="2"/>
      <c r="B510" s="2"/>
      <c r="C510" s="4"/>
      <c r="D510" s="7"/>
      <c r="E510" s="7"/>
      <c r="F510" s="4"/>
      <c r="G510" s="6"/>
      <c r="H510" s="2"/>
      <c r="I510" s="5"/>
      <c r="J510" s="2"/>
      <c r="K510" s="5"/>
      <c r="L510" s="2"/>
      <c r="M510" s="2"/>
      <c r="N510" s="2"/>
    </row>
    <row r="511" spans="1:14">
      <c r="A511" s="2"/>
      <c r="B511" s="2"/>
      <c r="C511" s="4"/>
      <c r="D511" s="7"/>
      <c r="E511" s="7"/>
      <c r="F511" s="4"/>
      <c r="G511" s="6"/>
      <c r="H511" s="2"/>
      <c r="I511" s="5"/>
      <c r="J511" s="2"/>
      <c r="K511" s="5"/>
      <c r="L511" s="2"/>
      <c r="M511" s="2"/>
      <c r="N511" s="2"/>
    </row>
    <row r="512" spans="1:14">
      <c r="A512" s="2"/>
      <c r="B512" s="2"/>
      <c r="C512" s="4"/>
      <c r="D512" s="7"/>
      <c r="E512" s="7"/>
      <c r="F512" s="4"/>
      <c r="G512" s="6"/>
      <c r="H512" s="2"/>
      <c r="I512" s="5"/>
      <c r="J512" s="2"/>
      <c r="K512" s="5"/>
      <c r="L512" s="2"/>
      <c r="M512" s="2"/>
      <c r="N512" s="2"/>
    </row>
    <row r="513" spans="1:14">
      <c r="A513" s="2"/>
      <c r="B513" s="2"/>
      <c r="C513" s="4"/>
      <c r="D513" s="7"/>
      <c r="E513" s="7"/>
      <c r="F513" s="4"/>
      <c r="G513" s="6"/>
      <c r="H513" s="2"/>
      <c r="I513" s="5"/>
      <c r="J513" s="2"/>
      <c r="K513" s="5"/>
      <c r="L513" s="2"/>
      <c r="M513" s="2"/>
      <c r="N513" s="2"/>
    </row>
    <row r="514" spans="1:14">
      <c r="A514" s="2"/>
      <c r="B514" s="2"/>
      <c r="C514" s="4"/>
      <c r="D514" s="7"/>
      <c r="E514" s="7"/>
      <c r="F514" s="4"/>
      <c r="G514" s="6"/>
      <c r="H514" s="2"/>
      <c r="I514" s="5"/>
      <c r="J514" s="2"/>
      <c r="K514" s="5"/>
      <c r="L514" s="2"/>
      <c r="M514" s="2"/>
      <c r="N514" s="2"/>
    </row>
    <row r="515" spans="1:14">
      <c r="A515" s="2"/>
      <c r="B515" s="2"/>
      <c r="C515" s="4"/>
      <c r="D515" s="7"/>
      <c r="E515" s="7"/>
      <c r="F515" s="4"/>
      <c r="G515" s="6"/>
      <c r="H515" s="2"/>
      <c r="I515" s="5"/>
      <c r="J515" s="2"/>
      <c r="K515" s="5"/>
      <c r="L515" s="2"/>
      <c r="M515" s="2"/>
      <c r="N515" s="2"/>
    </row>
    <row r="516" spans="1:14">
      <c r="A516" s="2"/>
      <c r="B516" s="2"/>
      <c r="C516" s="4"/>
      <c r="D516" s="7"/>
      <c r="E516" s="7"/>
      <c r="F516" s="4"/>
      <c r="G516" s="6"/>
      <c r="H516" s="2"/>
      <c r="I516" s="5"/>
      <c r="J516" s="2"/>
      <c r="K516" s="5"/>
      <c r="L516" s="2"/>
      <c r="M516" s="2"/>
      <c r="N516" s="2"/>
    </row>
    <row r="517" spans="1:14">
      <c r="A517" s="2"/>
      <c r="B517" s="2"/>
      <c r="C517" s="4"/>
      <c r="D517" s="7"/>
      <c r="E517" s="7"/>
      <c r="F517" s="4"/>
      <c r="G517" s="6"/>
      <c r="H517" s="2"/>
      <c r="I517" s="5"/>
      <c r="J517" s="2"/>
      <c r="K517" s="5"/>
      <c r="L517" s="2"/>
      <c r="M517" s="2"/>
      <c r="N517" s="2"/>
    </row>
    <row r="518" spans="1:14">
      <c r="A518" s="2"/>
      <c r="B518" s="2"/>
      <c r="C518" s="4"/>
      <c r="D518" s="7"/>
      <c r="E518" s="7"/>
      <c r="F518" s="4"/>
      <c r="G518" s="6"/>
      <c r="H518" s="2"/>
      <c r="I518" s="5"/>
      <c r="J518" s="2"/>
      <c r="K518" s="5"/>
      <c r="L518" s="2"/>
      <c r="M518" s="2"/>
      <c r="N518" s="2"/>
    </row>
    <row r="519" spans="1:14">
      <c r="A519" s="2"/>
      <c r="B519" s="2"/>
      <c r="C519" s="4"/>
      <c r="D519" s="7"/>
      <c r="E519" s="7"/>
      <c r="F519" s="4"/>
      <c r="G519" s="6"/>
      <c r="H519" s="2"/>
      <c r="I519" s="5"/>
      <c r="J519" s="2"/>
      <c r="K519" s="5"/>
      <c r="L519" s="2"/>
      <c r="M519" s="2"/>
      <c r="N519" s="2"/>
    </row>
    <row r="520" spans="1:14">
      <c r="A520" s="2"/>
      <c r="B520" s="2"/>
      <c r="C520" s="4"/>
      <c r="D520" s="7"/>
      <c r="E520" s="7"/>
      <c r="F520" s="4"/>
      <c r="G520" s="6"/>
      <c r="H520" s="2"/>
      <c r="I520" s="5"/>
      <c r="J520" s="2"/>
      <c r="K520" s="5"/>
      <c r="L520" s="2"/>
      <c r="M520" s="2"/>
      <c r="N520" s="2"/>
    </row>
    <row r="521" spans="1:14">
      <c r="A521" s="2"/>
      <c r="B521" s="2"/>
      <c r="C521" s="4"/>
      <c r="D521" s="7"/>
      <c r="E521" s="7"/>
      <c r="F521" s="4"/>
      <c r="G521" s="6"/>
      <c r="H521" s="2"/>
      <c r="I521" s="5"/>
      <c r="J521" s="2"/>
      <c r="K521" s="5"/>
      <c r="L521" s="2"/>
      <c r="M521" s="2"/>
      <c r="N521" s="2"/>
    </row>
    <row r="522" spans="1:14">
      <c r="A522" s="2"/>
      <c r="B522" s="2"/>
      <c r="C522" s="4"/>
      <c r="D522" s="7"/>
      <c r="E522" s="7"/>
      <c r="F522" s="4"/>
      <c r="G522" s="6"/>
      <c r="H522" s="2"/>
      <c r="I522" s="5"/>
      <c r="J522" s="2"/>
      <c r="K522" s="5"/>
      <c r="L522" s="2"/>
      <c r="M522" s="2"/>
      <c r="N522" s="2"/>
    </row>
    <row r="523" spans="1:14">
      <c r="A523" s="2"/>
      <c r="B523" s="2"/>
      <c r="C523" s="4"/>
      <c r="D523" s="7"/>
      <c r="E523" s="7"/>
      <c r="F523" s="4"/>
      <c r="G523" s="6"/>
      <c r="H523" s="2"/>
      <c r="I523" s="5"/>
      <c r="J523" s="2"/>
      <c r="K523" s="5"/>
      <c r="L523" s="2"/>
      <c r="M523" s="2"/>
      <c r="N523" s="2"/>
    </row>
    <row r="524" spans="1:14">
      <c r="A524" s="2"/>
      <c r="B524" s="2"/>
      <c r="C524" s="4"/>
      <c r="D524" s="7"/>
      <c r="E524" s="7"/>
      <c r="F524" s="4"/>
      <c r="G524" s="6"/>
      <c r="H524" s="2"/>
      <c r="I524" s="5"/>
      <c r="J524" s="2"/>
      <c r="K524" s="5"/>
      <c r="L524" s="2"/>
      <c r="M524" s="2"/>
      <c r="N524" s="2"/>
    </row>
    <row r="525" spans="1:14">
      <c r="A525" s="2"/>
      <c r="B525" s="2"/>
      <c r="C525" s="4"/>
      <c r="D525" s="7"/>
      <c r="E525" s="7"/>
      <c r="F525" s="4"/>
      <c r="G525" s="6"/>
      <c r="H525" s="2"/>
      <c r="I525" s="5"/>
      <c r="J525" s="2"/>
      <c r="K525" s="5"/>
      <c r="L525" s="2"/>
      <c r="M525" s="2"/>
      <c r="N525" s="2"/>
    </row>
    <row r="526" spans="1:14">
      <c r="A526" s="2"/>
      <c r="B526" s="2"/>
      <c r="C526" s="4"/>
      <c r="D526" s="7"/>
      <c r="E526" s="7"/>
      <c r="F526" s="4"/>
      <c r="G526" s="6"/>
      <c r="H526" s="2"/>
      <c r="I526" s="5"/>
      <c r="J526" s="2"/>
      <c r="K526" s="5"/>
      <c r="L526" s="2"/>
      <c r="M526" s="2"/>
      <c r="N526" s="2"/>
    </row>
    <row r="527" spans="1:14">
      <c r="A527" s="2"/>
      <c r="B527" s="2"/>
      <c r="C527" s="4"/>
      <c r="D527" s="7"/>
      <c r="E527" s="7"/>
      <c r="F527" s="4"/>
      <c r="G527" s="6"/>
      <c r="H527" s="2"/>
      <c r="I527" s="5"/>
      <c r="J527" s="2"/>
      <c r="K527" s="5"/>
      <c r="L527" s="2"/>
      <c r="M527" s="2"/>
      <c r="N527" s="2"/>
    </row>
    <row r="528" spans="1:14">
      <c r="A528" s="2"/>
      <c r="B528" s="2"/>
      <c r="C528" s="4"/>
      <c r="D528" s="7"/>
      <c r="E528" s="7"/>
      <c r="F528" s="4"/>
      <c r="G528" s="6"/>
      <c r="H528" s="2"/>
      <c r="I528" s="5"/>
      <c r="J528" s="2"/>
      <c r="K528" s="5"/>
      <c r="L528" s="2"/>
      <c r="M528" s="2"/>
      <c r="N528" s="2"/>
    </row>
    <row r="529" spans="1:14">
      <c r="A529" s="2"/>
      <c r="B529" s="2"/>
      <c r="C529" s="4"/>
      <c r="D529" s="7"/>
      <c r="E529" s="7"/>
      <c r="F529" s="4"/>
      <c r="G529" s="6"/>
      <c r="H529" s="2"/>
      <c r="I529" s="5"/>
      <c r="J529" s="2"/>
      <c r="K529" s="5"/>
      <c r="L529" s="2"/>
      <c r="M529" s="2"/>
      <c r="N529" s="2"/>
    </row>
    <row r="530" spans="1:14">
      <c r="A530" s="2"/>
      <c r="B530" s="2"/>
      <c r="C530" s="4"/>
      <c r="D530" s="7"/>
      <c r="E530" s="7"/>
      <c r="F530" s="4"/>
      <c r="G530" s="6"/>
      <c r="H530" s="2"/>
      <c r="I530" s="5"/>
      <c r="J530" s="2"/>
      <c r="K530" s="5"/>
      <c r="L530" s="2"/>
      <c r="M530" s="2"/>
      <c r="N530" s="2"/>
    </row>
    <row r="531" spans="1:14">
      <c r="A531" s="2"/>
      <c r="B531" s="2"/>
      <c r="C531" s="4"/>
      <c r="D531" s="7"/>
      <c r="E531" s="7"/>
      <c r="F531" s="4"/>
      <c r="G531" s="6"/>
      <c r="H531" s="2"/>
      <c r="I531" s="5"/>
      <c r="J531" s="2"/>
      <c r="K531" s="5"/>
      <c r="L531" s="2"/>
      <c r="M531" s="2"/>
      <c r="N531" s="2"/>
    </row>
    <row r="532" spans="1:14">
      <c r="A532" s="2"/>
      <c r="B532" s="2"/>
      <c r="C532" s="4"/>
      <c r="D532" s="7"/>
      <c r="E532" s="7"/>
      <c r="F532" s="4"/>
      <c r="G532" s="6"/>
      <c r="H532" s="2"/>
      <c r="I532" s="5"/>
      <c r="J532" s="2"/>
      <c r="K532" s="5"/>
      <c r="L532" s="2"/>
      <c r="M532" s="2"/>
      <c r="N532" s="2"/>
    </row>
    <row r="533" spans="1:14">
      <c r="A533" s="2"/>
      <c r="B533" s="2"/>
      <c r="C533" s="4"/>
      <c r="D533" s="7"/>
      <c r="E533" s="7"/>
      <c r="F533" s="4"/>
      <c r="G533" s="6"/>
      <c r="H533" s="2"/>
      <c r="I533" s="5"/>
      <c r="J533" s="2"/>
      <c r="K533" s="5"/>
      <c r="L533" s="2"/>
      <c r="M533" s="2"/>
      <c r="N533" s="2"/>
    </row>
    <row r="534" spans="1:14">
      <c r="A534" s="2"/>
      <c r="B534" s="2"/>
      <c r="C534" s="4"/>
      <c r="D534" s="7"/>
      <c r="E534" s="7"/>
      <c r="F534" s="4"/>
      <c r="G534" s="6"/>
      <c r="H534" s="2"/>
      <c r="I534" s="5"/>
      <c r="J534" s="2"/>
      <c r="K534" s="5"/>
      <c r="L534" s="2"/>
      <c r="M534" s="2"/>
      <c r="N534" s="2"/>
    </row>
    <row r="535" spans="1:14">
      <c r="A535" s="2"/>
      <c r="B535" s="2"/>
      <c r="C535" s="4"/>
      <c r="D535" s="7"/>
      <c r="E535" s="7"/>
      <c r="F535" s="4"/>
      <c r="G535" s="6"/>
      <c r="H535" s="2"/>
      <c r="I535" s="5"/>
      <c r="J535" s="2"/>
      <c r="K535" s="5"/>
      <c r="L535" s="2"/>
      <c r="M535" s="2"/>
      <c r="N535" s="2"/>
    </row>
    <row r="536" spans="1:14">
      <c r="A536" s="2"/>
      <c r="B536" s="2"/>
      <c r="C536" s="4"/>
      <c r="D536" s="7"/>
      <c r="E536" s="7"/>
      <c r="F536" s="4"/>
      <c r="G536" s="6"/>
      <c r="H536" s="2"/>
      <c r="I536" s="5"/>
      <c r="J536" s="2"/>
      <c r="K536" s="5"/>
      <c r="L536" s="2"/>
      <c r="M536" s="2"/>
      <c r="N536" s="2"/>
    </row>
    <row r="537" spans="1:14">
      <c r="A537" s="2"/>
      <c r="B537" s="2"/>
      <c r="C537" s="4"/>
      <c r="D537" s="7"/>
      <c r="E537" s="7"/>
      <c r="F537" s="4"/>
      <c r="G537" s="6"/>
      <c r="H537" s="2"/>
      <c r="I537" s="5"/>
      <c r="J537" s="2"/>
      <c r="K537" s="5"/>
      <c r="L537" s="2"/>
      <c r="M537" s="2"/>
      <c r="N537" s="2"/>
    </row>
    <row r="538" spans="1:14">
      <c r="A538" s="2"/>
      <c r="B538" s="2"/>
      <c r="C538" s="4"/>
      <c r="D538" s="7"/>
      <c r="E538" s="7"/>
      <c r="F538" s="4"/>
      <c r="G538" s="6"/>
      <c r="H538" s="2"/>
      <c r="I538" s="5"/>
      <c r="J538" s="2"/>
      <c r="K538" s="5"/>
      <c r="L538" s="2"/>
      <c r="M538" s="2"/>
      <c r="N538" s="2"/>
    </row>
    <row r="539" spans="1:14">
      <c r="A539" s="2"/>
      <c r="B539" s="2"/>
      <c r="C539" s="4"/>
      <c r="D539" s="7"/>
      <c r="E539" s="7"/>
      <c r="F539" s="4"/>
      <c r="G539" s="6"/>
      <c r="H539" s="2"/>
      <c r="I539" s="5"/>
      <c r="J539" s="2"/>
      <c r="K539" s="5"/>
      <c r="L539" s="2"/>
      <c r="M539" s="2"/>
      <c r="N539" s="2"/>
    </row>
    <row r="540" spans="1:14">
      <c r="A540" s="2"/>
      <c r="B540" s="2"/>
      <c r="C540" s="4"/>
      <c r="D540" s="7"/>
      <c r="E540" s="7"/>
      <c r="F540" s="4"/>
      <c r="G540" s="6"/>
      <c r="H540" s="2"/>
      <c r="I540" s="5"/>
      <c r="J540" s="2"/>
      <c r="K540" s="5"/>
      <c r="L540" s="2"/>
      <c r="M540" s="2"/>
      <c r="N540" s="2"/>
    </row>
    <row r="541" spans="1:14">
      <c r="A541" s="2"/>
      <c r="B541" s="2"/>
      <c r="C541" s="4"/>
      <c r="D541" s="7"/>
      <c r="E541" s="7"/>
      <c r="F541" s="4"/>
      <c r="G541" s="6"/>
      <c r="H541" s="2"/>
      <c r="I541" s="5"/>
      <c r="J541" s="2"/>
      <c r="K541" s="5"/>
      <c r="L541" s="2"/>
      <c r="M541" s="2"/>
      <c r="N541" s="2"/>
    </row>
    <row r="542" spans="1:14">
      <c r="A542" s="2"/>
      <c r="B542" s="2"/>
      <c r="C542" s="4"/>
      <c r="D542" s="7"/>
      <c r="E542" s="7"/>
      <c r="F542" s="4"/>
      <c r="G542" s="6"/>
      <c r="H542" s="2"/>
      <c r="I542" s="5"/>
      <c r="J542" s="2"/>
      <c r="K542" s="5"/>
      <c r="L542" s="2"/>
      <c r="M542" s="2"/>
      <c r="N542" s="2"/>
    </row>
    <row r="543" spans="1:14">
      <c r="A543" s="2"/>
      <c r="B543" s="2"/>
      <c r="C543" s="4"/>
      <c r="D543" s="7"/>
      <c r="E543" s="7"/>
      <c r="F543" s="4"/>
      <c r="G543" s="6"/>
      <c r="H543" s="2"/>
      <c r="I543" s="5"/>
      <c r="J543" s="2"/>
      <c r="K543" s="5"/>
      <c r="L543" s="2"/>
      <c r="M543" s="2"/>
      <c r="N543" s="2"/>
    </row>
    <row r="544" spans="1:14">
      <c r="A544" s="2"/>
      <c r="B544" s="2"/>
      <c r="C544" s="4"/>
      <c r="D544" s="7"/>
      <c r="E544" s="7"/>
      <c r="F544" s="4"/>
      <c r="G544" s="6"/>
      <c r="H544" s="2"/>
      <c r="I544" s="5"/>
      <c r="J544" s="2"/>
      <c r="K544" s="5"/>
      <c r="L544" s="2"/>
      <c r="M544" s="2"/>
      <c r="N544" s="2"/>
    </row>
    <row r="545" spans="1:14">
      <c r="A545" s="2"/>
      <c r="B545" s="2"/>
      <c r="C545" s="4"/>
      <c r="D545" s="7"/>
      <c r="E545" s="7"/>
      <c r="F545" s="4"/>
      <c r="G545" s="6"/>
      <c r="H545" s="2"/>
      <c r="I545" s="5"/>
      <c r="J545" s="2"/>
      <c r="K545" s="5"/>
      <c r="L545" s="2"/>
      <c r="M545" s="2"/>
      <c r="N545" s="2"/>
    </row>
    <row r="546" spans="1:14">
      <c r="A546" s="2"/>
      <c r="B546" s="2"/>
      <c r="C546" s="4"/>
      <c r="D546" s="7"/>
      <c r="E546" s="7"/>
      <c r="F546" s="4"/>
      <c r="G546" s="6"/>
      <c r="H546" s="2"/>
      <c r="I546" s="5"/>
      <c r="J546" s="2"/>
      <c r="K546" s="5"/>
      <c r="L546" s="2"/>
      <c r="M546" s="2"/>
      <c r="N546" s="2"/>
    </row>
    <row r="547" spans="1:14">
      <c r="A547" s="2"/>
      <c r="B547" s="2"/>
      <c r="C547" s="4"/>
      <c r="D547" s="7"/>
      <c r="E547" s="7"/>
      <c r="F547" s="4"/>
      <c r="G547" s="6"/>
      <c r="H547" s="2"/>
      <c r="I547" s="5"/>
      <c r="J547" s="2"/>
      <c r="K547" s="5"/>
      <c r="L547" s="2"/>
      <c r="M547" s="2"/>
      <c r="N547" s="2"/>
    </row>
    <row r="548" spans="1:14">
      <c r="A548" s="2"/>
      <c r="B548" s="2"/>
      <c r="C548" s="4"/>
      <c r="D548" s="7"/>
      <c r="E548" s="7"/>
      <c r="F548" s="4"/>
      <c r="G548" s="6"/>
      <c r="H548" s="2"/>
      <c r="I548" s="5"/>
      <c r="J548" s="2"/>
      <c r="K548" s="5"/>
      <c r="L548" s="2"/>
      <c r="M548" s="2"/>
      <c r="N548" s="2"/>
    </row>
    <row r="549" spans="1:14">
      <c r="A549" s="2"/>
      <c r="B549" s="2"/>
      <c r="C549" s="4"/>
      <c r="D549" s="7"/>
      <c r="E549" s="7"/>
      <c r="F549" s="4"/>
      <c r="G549" s="6"/>
      <c r="H549" s="2"/>
      <c r="I549" s="5"/>
      <c r="J549" s="2"/>
      <c r="K549" s="5"/>
      <c r="L549" s="2"/>
      <c r="M549" s="2"/>
      <c r="N549" s="2"/>
    </row>
    <row r="550" spans="1:14">
      <c r="A550" s="2"/>
      <c r="B550" s="2"/>
      <c r="C550" s="4"/>
      <c r="D550" s="7"/>
      <c r="E550" s="7"/>
      <c r="F550" s="4"/>
      <c r="G550" s="6"/>
      <c r="H550" s="2"/>
      <c r="I550" s="5"/>
      <c r="J550" s="2"/>
      <c r="K550" s="5"/>
      <c r="L550" s="2"/>
      <c r="M550" s="2"/>
      <c r="N550" s="2"/>
    </row>
    <row r="551" spans="1:14">
      <c r="A551" s="2"/>
      <c r="B551" s="2"/>
      <c r="C551" s="4"/>
      <c r="D551" s="7"/>
      <c r="E551" s="7"/>
      <c r="F551" s="4"/>
      <c r="G551" s="6"/>
      <c r="H551" s="2"/>
      <c r="I551" s="5"/>
      <c r="J551" s="2"/>
      <c r="K551" s="5"/>
      <c r="L551" s="2"/>
      <c r="M551" s="2"/>
      <c r="N551" s="2"/>
    </row>
    <row r="552" spans="1:14">
      <c r="A552" s="2"/>
      <c r="B552" s="2"/>
      <c r="C552" s="4"/>
      <c r="D552" s="7"/>
      <c r="E552" s="7"/>
      <c r="F552" s="4"/>
      <c r="G552" s="6"/>
      <c r="H552" s="2"/>
      <c r="I552" s="5"/>
      <c r="J552" s="2"/>
      <c r="K552" s="5"/>
      <c r="L552" s="2"/>
      <c r="M552" s="2"/>
      <c r="N552" s="2"/>
    </row>
    <row r="553" spans="1:14">
      <c r="A553" s="2"/>
      <c r="B553" s="2"/>
      <c r="C553" s="4"/>
      <c r="D553" s="7"/>
      <c r="E553" s="7"/>
      <c r="F553" s="4"/>
      <c r="G553" s="6"/>
      <c r="H553" s="2"/>
      <c r="I553" s="5"/>
      <c r="J553" s="2"/>
      <c r="K553" s="5"/>
      <c r="L553" s="2"/>
      <c r="M553" s="2"/>
      <c r="N553" s="2"/>
    </row>
    <row r="554" spans="1:14">
      <c r="A554" s="2"/>
      <c r="B554" s="2"/>
      <c r="C554" s="4"/>
      <c r="D554" s="7"/>
      <c r="E554" s="7"/>
      <c r="F554" s="4"/>
      <c r="G554" s="6"/>
      <c r="H554" s="2"/>
      <c r="I554" s="5"/>
      <c r="J554" s="2"/>
      <c r="K554" s="5"/>
      <c r="L554" s="2"/>
      <c r="M554" s="2"/>
      <c r="N554" s="2"/>
    </row>
    <row r="555" spans="1:14">
      <c r="A555" s="2"/>
      <c r="B555" s="2"/>
      <c r="C555" s="4"/>
      <c r="D555" s="7"/>
      <c r="E555" s="7"/>
      <c r="F555" s="4"/>
      <c r="G555" s="6"/>
      <c r="H555" s="2"/>
      <c r="I555" s="5"/>
      <c r="J555" s="2"/>
      <c r="K555" s="5"/>
      <c r="L555" s="2"/>
      <c r="M555" s="2"/>
      <c r="N555" s="2"/>
    </row>
    <row r="556" spans="1:14">
      <c r="A556" s="2"/>
      <c r="B556" s="2"/>
      <c r="C556" s="4"/>
      <c r="D556" s="7"/>
      <c r="E556" s="7"/>
      <c r="F556" s="4"/>
      <c r="G556" s="6"/>
      <c r="H556" s="2"/>
      <c r="I556" s="5"/>
      <c r="J556" s="2"/>
      <c r="K556" s="5"/>
      <c r="L556" s="2"/>
      <c r="M556" s="2"/>
      <c r="N556" s="2"/>
    </row>
    <row r="557" spans="1:14">
      <c r="A557" s="2"/>
      <c r="B557" s="2"/>
      <c r="C557" s="4"/>
      <c r="D557" s="7"/>
      <c r="E557" s="7"/>
      <c r="F557" s="4"/>
      <c r="G557" s="6"/>
      <c r="H557" s="2"/>
      <c r="I557" s="5"/>
      <c r="J557" s="2"/>
      <c r="K557" s="5"/>
      <c r="L557" s="2"/>
      <c r="M557" s="2"/>
      <c r="N557" s="2"/>
    </row>
    <row r="558" spans="1:14">
      <c r="A558" s="2"/>
      <c r="B558" s="2"/>
      <c r="C558" s="4"/>
      <c r="D558" s="7"/>
      <c r="E558" s="7"/>
      <c r="F558" s="4"/>
      <c r="G558" s="6"/>
      <c r="H558" s="2"/>
      <c r="I558" s="5"/>
      <c r="J558" s="2"/>
      <c r="K558" s="5"/>
      <c r="L558" s="2"/>
      <c r="M558" s="2"/>
      <c r="N558" s="2"/>
    </row>
    <row r="559" spans="1:14">
      <c r="A559" s="2"/>
      <c r="B559" s="2"/>
      <c r="C559" s="4"/>
      <c r="D559" s="7"/>
      <c r="E559" s="7"/>
      <c r="F559" s="4"/>
      <c r="G559" s="6"/>
      <c r="H559" s="2"/>
      <c r="I559" s="5"/>
      <c r="J559" s="2"/>
      <c r="K559" s="5"/>
      <c r="L559" s="2"/>
      <c r="M559" s="2"/>
      <c r="N559" s="2"/>
    </row>
    <row r="560" spans="1:14">
      <c r="A560" s="2"/>
      <c r="B560" s="2"/>
      <c r="C560" s="4"/>
      <c r="D560" s="7"/>
      <c r="E560" s="7"/>
      <c r="F560" s="4"/>
      <c r="G560" s="6"/>
      <c r="H560" s="2"/>
      <c r="I560" s="5"/>
      <c r="J560" s="2"/>
      <c r="K560" s="5"/>
      <c r="L560" s="2"/>
      <c r="M560" s="2"/>
      <c r="N560" s="2"/>
    </row>
    <row r="561" spans="1:14">
      <c r="A561" s="2"/>
      <c r="B561" s="2"/>
      <c r="C561" s="4"/>
      <c r="D561" s="7"/>
      <c r="E561" s="7"/>
      <c r="F561" s="4"/>
      <c r="G561" s="6"/>
      <c r="H561" s="2"/>
      <c r="I561" s="5"/>
      <c r="J561" s="2"/>
      <c r="K561" s="5"/>
      <c r="L561" s="2"/>
      <c r="M561" s="2"/>
      <c r="N561" s="2"/>
    </row>
    <row r="562" spans="1:14">
      <c r="A562" s="2"/>
      <c r="B562" s="2"/>
      <c r="C562" s="4"/>
      <c r="D562" s="7"/>
      <c r="E562" s="7"/>
      <c r="F562" s="4"/>
      <c r="G562" s="6"/>
      <c r="H562" s="2"/>
      <c r="I562" s="5"/>
      <c r="J562" s="2"/>
      <c r="K562" s="5"/>
      <c r="L562" s="2"/>
      <c r="M562" s="2"/>
      <c r="N562" s="2"/>
    </row>
    <row r="563" spans="1:14">
      <c r="A563" s="2"/>
      <c r="B563" s="2"/>
      <c r="C563" s="4"/>
      <c r="D563" s="7"/>
      <c r="E563" s="7"/>
      <c r="F563" s="4"/>
      <c r="G563" s="6"/>
      <c r="H563" s="2"/>
      <c r="I563" s="5"/>
      <c r="J563" s="2"/>
      <c r="K563" s="5"/>
      <c r="L563" s="2"/>
      <c r="M563" s="2"/>
      <c r="N563" s="2"/>
    </row>
    <row r="564" spans="1:14">
      <c r="A564" s="2"/>
      <c r="B564" s="2"/>
      <c r="C564" s="4"/>
      <c r="D564" s="7"/>
      <c r="E564" s="7"/>
      <c r="F564" s="4"/>
      <c r="G564" s="6"/>
      <c r="H564" s="2"/>
      <c r="I564" s="5"/>
      <c r="J564" s="2"/>
      <c r="K564" s="5"/>
      <c r="L564" s="2"/>
      <c r="M564" s="2"/>
      <c r="N564" s="2"/>
    </row>
    <row r="565" spans="1:14">
      <c r="A565" s="2"/>
      <c r="B565" s="2"/>
      <c r="C565" s="4"/>
      <c r="D565" s="7"/>
      <c r="E565" s="7"/>
      <c r="F565" s="4"/>
      <c r="G565" s="6"/>
      <c r="H565" s="2"/>
      <c r="I565" s="5"/>
      <c r="J565" s="2"/>
      <c r="K565" s="5"/>
      <c r="L565" s="2"/>
      <c r="M565" s="2"/>
      <c r="N565" s="2"/>
    </row>
    <row r="566" spans="1:14">
      <c r="A566" s="2"/>
      <c r="B566" s="2"/>
      <c r="C566" s="4"/>
      <c r="D566" s="7"/>
      <c r="E566" s="7"/>
      <c r="F566" s="4"/>
      <c r="G566" s="6"/>
      <c r="H566" s="2"/>
      <c r="I566" s="5"/>
      <c r="J566" s="2"/>
      <c r="K566" s="5"/>
      <c r="L566" s="2"/>
      <c r="M566" s="2"/>
      <c r="N566" s="2"/>
    </row>
    <row r="567" spans="1:14">
      <c r="A567" s="2"/>
      <c r="B567" s="2"/>
      <c r="C567" s="4"/>
      <c r="D567" s="7"/>
      <c r="E567" s="7"/>
      <c r="F567" s="4"/>
      <c r="G567" s="6"/>
      <c r="H567" s="2"/>
      <c r="I567" s="5"/>
      <c r="J567" s="2"/>
      <c r="K567" s="5"/>
      <c r="L567" s="2"/>
      <c r="M567" s="2"/>
      <c r="N567" s="2"/>
    </row>
    <row r="568" spans="1:14">
      <c r="A568" s="2"/>
      <c r="B568" s="2"/>
      <c r="C568" s="4"/>
      <c r="D568" s="7"/>
      <c r="E568" s="7"/>
      <c r="F568" s="4"/>
      <c r="G568" s="6"/>
      <c r="H568" s="2"/>
      <c r="I568" s="5"/>
      <c r="J568" s="2"/>
      <c r="K568" s="5"/>
      <c r="L568" s="2"/>
      <c r="M568" s="2"/>
      <c r="N568" s="2"/>
    </row>
    <row r="569" spans="1:14">
      <c r="A569" s="2"/>
      <c r="B569" s="2"/>
      <c r="C569" s="4"/>
      <c r="D569" s="7"/>
      <c r="E569" s="7"/>
      <c r="F569" s="4"/>
      <c r="G569" s="6"/>
      <c r="H569" s="2"/>
      <c r="I569" s="5"/>
      <c r="J569" s="2"/>
      <c r="K569" s="5"/>
      <c r="L569" s="2"/>
      <c r="M569" s="2"/>
      <c r="N569" s="2"/>
    </row>
    <row r="570" spans="1:14">
      <c r="A570" s="2"/>
      <c r="B570" s="2"/>
      <c r="C570" s="4"/>
      <c r="D570" s="7"/>
      <c r="E570" s="7"/>
      <c r="F570" s="4"/>
      <c r="G570" s="6"/>
      <c r="H570" s="2"/>
      <c r="I570" s="5"/>
      <c r="J570" s="2"/>
      <c r="K570" s="5"/>
      <c r="L570" s="2"/>
      <c r="M570" s="2"/>
      <c r="N570" s="2"/>
    </row>
    <row r="571" spans="1:14">
      <c r="A571" s="2"/>
      <c r="B571" s="2"/>
      <c r="C571" s="4"/>
      <c r="D571" s="7"/>
      <c r="E571" s="7"/>
      <c r="F571" s="4"/>
      <c r="G571" s="6"/>
      <c r="H571" s="2"/>
      <c r="I571" s="5"/>
      <c r="J571" s="2"/>
      <c r="K571" s="5"/>
      <c r="L571" s="2"/>
      <c r="M571" s="2"/>
      <c r="N571" s="2"/>
    </row>
    <row r="572" spans="1:14">
      <c r="A572" s="2"/>
      <c r="B572" s="2"/>
      <c r="C572" s="4"/>
      <c r="D572" s="7"/>
      <c r="E572" s="7"/>
      <c r="F572" s="4"/>
      <c r="G572" s="6"/>
      <c r="H572" s="2"/>
      <c r="I572" s="5"/>
      <c r="J572" s="2"/>
      <c r="K572" s="5"/>
      <c r="L572" s="2"/>
      <c r="M572" s="2"/>
      <c r="N572" s="2"/>
    </row>
    <row r="573" spans="1:14">
      <c r="A573" s="2"/>
      <c r="B573" s="2"/>
      <c r="C573" s="4"/>
      <c r="D573" s="7"/>
      <c r="E573" s="7"/>
      <c r="F573" s="4"/>
      <c r="G573" s="6"/>
      <c r="H573" s="2"/>
      <c r="I573" s="5"/>
      <c r="J573" s="2"/>
      <c r="K573" s="5"/>
      <c r="L573" s="2"/>
      <c r="M573" s="2"/>
      <c r="N573" s="2"/>
    </row>
    <row r="574" spans="1:14">
      <c r="A574" s="2"/>
      <c r="B574" s="2"/>
      <c r="C574" s="4"/>
      <c r="D574" s="7"/>
      <c r="E574" s="7"/>
      <c r="F574" s="4"/>
      <c r="G574" s="6"/>
      <c r="H574" s="2"/>
      <c r="I574" s="5"/>
      <c r="J574" s="2"/>
      <c r="K574" s="5"/>
      <c r="L574" s="2"/>
      <c r="M574" s="2"/>
      <c r="N574" s="2"/>
    </row>
    <row r="575" spans="1:14">
      <c r="A575" s="2"/>
      <c r="B575" s="2"/>
      <c r="C575" s="4"/>
      <c r="D575" s="7"/>
      <c r="E575" s="7"/>
      <c r="F575" s="4"/>
      <c r="G575" s="6"/>
      <c r="H575" s="2"/>
      <c r="I575" s="5"/>
      <c r="J575" s="2"/>
      <c r="K575" s="5"/>
      <c r="L575" s="2"/>
      <c r="M575" s="2"/>
      <c r="N575" s="2"/>
    </row>
    <row r="576" spans="1:14">
      <c r="A576" s="2"/>
      <c r="B576" s="2"/>
      <c r="C576" s="4"/>
      <c r="D576" s="7"/>
      <c r="E576" s="7"/>
      <c r="F576" s="4"/>
      <c r="G576" s="6"/>
      <c r="H576" s="2"/>
      <c r="I576" s="5"/>
      <c r="J576" s="2"/>
      <c r="K576" s="5"/>
      <c r="L576" s="2"/>
      <c r="M576" s="2"/>
      <c r="N576" s="2"/>
    </row>
    <row r="577" spans="1:14">
      <c r="A577" s="2"/>
      <c r="B577" s="2"/>
      <c r="C577" s="4"/>
      <c r="D577" s="7"/>
      <c r="E577" s="7"/>
      <c r="F577" s="4"/>
      <c r="G577" s="6"/>
      <c r="H577" s="2"/>
      <c r="I577" s="5"/>
      <c r="J577" s="2"/>
      <c r="K577" s="5"/>
      <c r="L577" s="2"/>
      <c r="M577" s="2"/>
      <c r="N577" s="2"/>
    </row>
    <row r="578" spans="1:14">
      <c r="A578" s="2"/>
      <c r="B578" s="2"/>
      <c r="C578" s="4"/>
      <c r="D578" s="7"/>
      <c r="E578" s="7"/>
      <c r="F578" s="4"/>
      <c r="G578" s="6"/>
      <c r="H578" s="2"/>
      <c r="I578" s="5"/>
      <c r="J578" s="2"/>
      <c r="K578" s="5"/>
      <c r="L578" s="2"/>
      <c r="M578" s="2"/>
      <c r="N578" s="2"/>
    </row>
    <row r="579" spans="1:14">
      <c r="A579" s="2"/>
      <c r="B579" s="2"/>
      <c r="C579" s="4"/>
      <c r="D579" s="7"/>
      <c r="E579" s="7"/>
      <c r="F579" s="4"/>
      <c r="G579" s="6"/>
      <c r="H579" s="2"/>
      <c r="I579" s="5"/>
      <c r="J579" s="2"/>
      <c r="K579" s="5"/>
      <c r="L579" s="2"/>
      <c r="M579" s="2"/>
      <c r="N579" s="2"/>
    </row>
    <row r="580" spans="1:14">
      <c r="A580" s="2"/>
      <c r="B580" s="2"/>
      <c r="C580" s="4"/>
      <c r="D580" s="7"/>
      <c r="E580" s="7"/>
      <c r="F580" s="4"/>
      <c r="G580" s="6"/>
      <c r="H580" s="2"/>
      <c r="I580" s="5"/>
      <c r="J580" s="2"/>
      <c r="K580" s="5"/>
      <c r="L580" s="2"/>
      <c r="M580" s="2"/>
      <c r="N580" s="2"/>
    </row>
    <row r="581" spans="1:14">
      <c r="A581" s="2"/>
      <c r="B581" s="2"/>
      <c r="C581" s="4"/>
      <c r="D581" s="7"/>
      <c r="E581" s="7"/>
      <c r="F581" s="4"/>
      <c r="G581" s="6"/>
      <c r="H581" s="2"/>
      <c r="I581" s="5"/>
      <c r="J581" s="2"/>
      <c r="K581" s="5"/>
      <c r="L581" s="2"/>
      <c r="M581" s="2"/>
      <c r="N581" s="2"/>
    </row>
    <row r="582" spans="1:14">
      <c r="A582" s="2"/>
      <c r="B582" s="2"/>
      <c r="C582" s="4"/>
      <c r="D582" s="7"/>
      <c r="E582" s="7"/>
      <c r="F582" s="4"/>
      <c r="G582" s="6"/>
      <c r="H582" s="2"/>
      <c r="I582" s="5"/>
      <c r="J582" s="2"/>
      <c r="K582" s="5"/>
      <c r="L582" s="2"/>
      <c r="M582" s="2"/>
      <c r="N582" s="2"/>
    </row>
    <row r="583" spans="1:14">
      <c r="A583" s="2"/>
      <c r="B583" s="2"/>
      <c r="C583" s="4"/>
      <c r="D583" s="7"/>
      <c r="E583" s="7"/>
      <c r="F583" s="4"/>
      <c r="G583" s="6"/>
      <c r="H583" s="2"/>
      <c r="I583" s="5"/>
      <c r="J583" s="2"/>
      <c r="K583" s="5"/>
      <c r="L583" s="2"/>
      <c r="M583" s="2"/>
      <c r="N583" s="2"/>
    </row>
    <row r="584" spans="1:14">
      <c r="A584" s="2"/>
      <c r="B584" s="2"/>
      <c r="C584" s="4"/>
      <c r="D584" s="7"/>
      <c r="E584" s="7"/>
      <c r="F584" s="4"/>
      <c r="G584" s="6"/>
      <c r="H584" s="2"/>
      <c r="I584" s="5"/>
      <c r="J584" s="2"/>
      <c r="K584" s="5"/>
      <c r="L584" s="2"/>
      <c r="M584" s="2"/>
      <c r="N584" s="2"/>
    </row>
    <row r="585" spans="1:14">
      <c r="A585" s="2"/>
      <c r="B585" s="2"/>
      <c r="C585" s="4"/>
      <c r="D585" s="7"/>
      <c r="E585" s="7"/>
      <c r="F585" s="4"/>
      <c r="G585" s="6"/>
      <c r="H585" s="2"/>
      <c r="I585" s="5"/>
      <c r="J585" s="2"/>
      <c r="K585" s="5"/>
      <c r="L585" s="2"/>
      <c r="M585" s="2"/>
      <c r="N585" s="2"/>
    </row>
    <row r="586" spans="1:14">
      <c r="A586" s="2"/>
      <c r="B586" s="2"/>
      <c r="C586" s="4"/>
      <c r="D586" s="7"/>
      <c r="E586" s="7"/>
      <c r="F586" s="4"/>
      <c r="G586" s="6"/>
      <c r="H586" s="2"/>
      <c r="I586" s="5"/>
      <c r="J586" s="2"/>
      <c r="K586" s="5"/>
      <c r="L586" s="2"/>
      <c r="M586" s="2"/>
      <c r="N586" s="2"/>
    </row>
    <row r="587" spans="1:14">
      <c r="A587" s="2"/>
      <c r="B587" s="2"/>
      <c r="C587" s="4"/>
      <c r="D587" s="7"/>
      <c r="E587" s="7"/>
      <c r="F587" s="4"/>
      <c r="G587" s="6"/>
      <c r="H587" s="2"/>
      <c r="I587" s="5"/>
      <c r="J587" s="2"/>
      <c r="K587" s="5"/>
      <c r="L587" s="2"/>
      <c r="M587" s="2"/>
      <c r="N587" s="2"/>
    </row>
    <row r="588" spans="1:14">
      <c r="A588" s="2"/>
      <c r="B588" s="2"/>
      <c r="C588" s="4"/>
      <c r="D588" s="7"/>
      <c r="E588" s="7"/>
      <c r="F588" s="4"/>
      <c r="G588" s="6"/>
      <c r="H588" s="2"/>
      <c r="I588" s="5"/>
      <c r="J588" s="2"/>
      <c r="K588" s="5"/>
      <c r="L588" s="2"/>
      <c r="M588" s="2"/>
      <c r="N588" s="2"/>
    </row>
    <row r="589" spans="1:14">
      <c r="A589" s="2"/>
      <c r="B589" s="2"/>
      <c r="C589" s="4"/>
      <c r="D589" s="7"/>
      <c r="E589" s="7"/>
      <c r="F589" s="4"/>
      <c r="G589" s="6"/>
      <c r="H589" s="2"/>
      <c r="I589" s="5"/>
      <c r="J589" s="2"/>
      <c r="K589" s="5"/>
      <c r="L589" s="2"/>
      <c r="M589" s="2"/>
      <c r="N589" s="2"/>
    </row>
    <row r="590" spans="1:14">
      <c r="A590" s="2"/>
      <c r="B590" s="2"/>
      <c r="C590" s="4"/>
      <c r="D590" s="7"/>
      <c r="E590" s="7"/>
      <c r="F590" s="4"/>
      <c r="G590" s="6"/>
      <c r="H590" s="2"/>
      <c r="I590" s="5"/>
      <c r="J590" s="2"/>
      <c r="K590" s="5"/>
      <c r="L590" s="2"/>
      <c r="M590" s="2"/>
      <c r="N590" s="2"/>
    </row>
    <row r="591" spans="1:14">
      <c r="A591" s="2"/>
      <c r="B591" s="2"/>
      <c r="C591" s="4"/>
      <c r="D591" s="7"/>
      <c r="E591" s="7"/>
      <c r="F591" s="4"/>
      <c r="G591" s="6"/>
      <c r="H591" s="2"/>
      <c r="I591" s="5"/>
      <c r="J591" s="2"/>
      <c r="K591" s="5"/>
      <c r="L591" s="2"/>
      <c r="M591" s="2"/>
      <c r="N591" s="2"/>
    </row>
    <row r="592" spans="1:14">
      <c r="A592" s="2"/>
      <c r="B592" s="2"/>
      <c r="C592" s="4"/>
      <c r="D592" s="7"/>
      <c r="E592" s="7"/>
      <c r="F592" s="4"/>
      <c r="G592" s="6"/>
      <c r="H592" s="2"/>
      <c r="I592" s="5"/>
      <c r="J592" s="2"/>
      <c r="K592" s="5"/>
      <c r="L592" s="2"/>
      <c r="M592" s="2"/>
      <c r="N592" s="2"/>
    </row>
    <row r="593" spans="1:14">
      <c r="A593" s="2"/>
      <c r="B593" s="2"/>
      <c r="C593" s="4"/>
      <c r="D593" s="7"/>
      <c r="E593" s="7"/>
      <c r="F593" s="4"/>
      <c r="G593" s="6"/>
      <c r="H593" s="2"/>
      <c r="I593" s="5"/>
      <c r="J593" s="2"/>
      <c r="K593" s="5"/>
      <c r="L593" s="2"/>
      <c r="M593" s="2"/>
      <c r="N593" s="2"/>
    </row>
    <row r="594" spans="1:14">
      <c r="A594" s="2"/>
      <c r="B594" s="2"/>
      <c r="C594" s="4"/>
      <c r="D594" s="7"/>
      <c r="E594" s="7"/>
      <c r="F594" s="4"/>
      <c r="G594" s="6"/>
      <c r="H594" s="2"/>
      <c r="I594" s="5"/>
      <c r="J594" s="2"/>
      <c r="K594" s="5"/>
      <c r="L594" s="2"/>
      <c r="M594" s="2"/>
      <c r="N594" s="2"/>
    </row>
    <row r="595" spans="1:14">
      <c r="A595" s="2"/>
      <c r="B595" s="2"/>
      <c r="C595" s="4"/>
      <c r="D595" s="7"/>
      <c r="E595" s="7"/>
      <c r="F595" s="4"/>
      <c r="G595" s="6"/>
      <c r="H595" s="2"/>
      <c r="I595" s="5"/>
      <c r="J595" s="2"/>
      <c r="K595" s="5"/>
      <c r="L595" s="2"/>
      <c r="M595" s="2"/>
      <c r="N595" s="2"/>
    </row>
    <row r="596" spans="1:14">
      <c r="A596" s="2"/>
      <c r="B596" s="2"/>
      <c r="C596" s="4"/>
      <c r="D596" s="7"/>
      <c r="E596" s="7"/>
      <c r="F596" s="4"/>
      <c r="G596" s="6"/>
      <c r="H596" s="2"/>
      <c r="I596" s="5"/>
      <c r="J596" s="2"/>
      <c r="K596" s="5"/>
      <c r="L596" s="2"/>
      <c r="M596" s="2"/>
      <c r="N596" s="2"/>
    </row>
    <row r="597" spans="1:14">
      <c r="A597" s="2"/>
      <c r="B597" s="2"/>
      <c r="C597" s="4"/>
      <c r="D597" s="7"/>
      <c r="E597" s="7"/>
      <c r="F597" s="4"/>
      <c r="G597" s="6"/>
      <c r="H597" s="2"/>
      <c r="I597" s="5"/>
      <c r="J597" s="2"/>
      <c r="K597" s="5"/>
      <c r="L597" s="2"/>
      <c r="M597" s="2"/>
      <c r="N597" s="2"/>
    </row>
    <row r="598" spans="1:14">
      <c r="A598" s="2"/>
      <c r="B598" s="2"/>
      <c r="C598" s="4"/>
      <c r="D598" s="7"/>
      <c r="E598" s="7"/>
      <c r="F598" s="4"/>
      <c r="G598" s="6"/>
      <c r="H598" s="2"/>
      <c r="I598" s="5"/>
      <c r="J598" s="2"/>
      <c r="K598" s="5"/>
      <c r="L598" s="2"/>
      <c r="M598" s="2"/>
      <c r="N598" s="2"/>
    </row>
    <row r="599" spans="1:14">
      <c r="A599" s="2"/>
      <c r="B599" s="2"/>
      <c r="C599" s="4"/>
      <c r="D599" s="7"/>
      <c r="E599" s="7"/>
      <c r="F599" s="4"/>
      <c r="G599" s="6"/>
      <c r="H599" s="2"/>
      <c r="I599" s="5"/>
      <c r="J599" s="2"/>
      <c r="K599" s="5"/>
      <c r="L599" s="2"/>
      <c r="M599" s="2"/>
      <c r="N599" s="2"/>
    </row>
    <row r="600" spans="1:14">
      <c r="A600" s="2"/>
      <c r="B600" s="2"/>
      <c r="C600" s="4"/>
      <c r="D600" s="7"/>
      <c r="E600" s="7"/>
      <c r="F600" s="4"/>
      <c r="G600" s="6"/>
      <c r="H600" s="2"/>
      <c r="I600" s="5"/>
      <c r="J600" s="2"/>
      <c r="K600" s="5"/>
      <c r="L600" s="2"/>
      <c r="M600" s="2"/>
      <c r="N600" s="2"/>
    </row>
    <row r="601" spans="1:14">
      <c r="A601" s="2"/>
      <c r="B601" s="2"/>
      <c r="C601" s="4"/>
      <c r="D601" s="7"/>
      <c r="E601" s="7"/>
      <c r="F601" s="4"/>
      <c r="G601" s="6"/>
      <c r="H601" s="2"/>
      <c r="I601" s="5"/>
      <c r="J601" s="2"/>
      <c r="K601" s="5"/>
      <c r="L601" s="2"/>
      <c r="M601" s="2"/>
      <c r="N601" s="2"/>
    </row>
    <row r="602" spans="1:14">
      <c r="A602" s="2"/>
      <c r="B602" s="2"/>
      <c r="C602" s="4"/>
      <c r="D602" s="7"/>
      <c r="E602" s="7"/>
      <c r="F602" s="4"/>
      <c r="G602" s="6"/>
      <c r="H602" s="2"/>
      <c r="I602" s="5"/>
      <c r="J602" s="2"/>
      <c r="K602" s="5"/>
      <c r="L602" s="2"/>
      <c r="M602" s="2"/>
      <c r="N602" s="2"/>
    </row>
    <row r="603" spans="1:14">
      <c r="A603" s="2"/>
      <c r="B603" s="2"/>
      <c r="C603" s="4"/>
      <c r="D603" s="7"/>
      <c r="E603" s="7"/>
      <c r="F603" s="4"/>
      <c r="G603" s="6"/>
      <c r="H603" s="2"/>
      <c r="I603" s="5"/>
      <c r="J603" s="2"/>
      <c r="K603" s="5"/>
      <c r="L603" s="2"/>
      <c r="M603" s="2"/>
      <c r="N603" s="2"/>
    </row>
    <row r="604" spans="1:14">
      <c r="A604" s="2"/>
      <c r="B604" s="2"/>
      <c r="C604" s="4"/>
      <c r="D604" s="7"/>
      <c r="E604" s="7"/>
      <c r="F604" s="4"/>
      <c r="G604" s="6"/>
      <c r="H604" s="2"/>
      <c r="I604" s="5"/>
      <c r="J604" s="2"/>
      <c r="K604" s="5"/>
      <c r="L604" s="2"/>
      <c r="M604" s="2"/>
      <c r="N604" s="2"/>
    </row>
    <row r="605" spans="1:14">
      <c r="A605" s="2"/>
      <c r="B605" s="2"/>
      <c r="C605" s="4"/>
      <c r="D605" s="7"/>
      <c r="E605" s="7"/>
      <c r="F605" s="4"/>
      <c r="G605" s="6"/>
      <c r="H605" s="2"/>
      <c r="I605" s="5"/>
      <c r="J605" s="2"/>
      <c r="K605" s="5"/>
      <c r="L605" s="2"/>
      <c r="M605" s="2"/>
      <c r="N605" s="2"/>
    </row>
    <row r="606" spans="1:14">
      <c r="A606" s="2"/>
      <c r="B606" s="2"/>
      <c r="C606" s="4"/>
      <c r="D606" s="7"/>
      <c r="E606" s="7"/>
      <c r="F606" s="4"/>
      <c r="G606" s="6"/>
      <c r="H606" s="2"/>
      <c r="I606" s="5"/>
      <c r="J606" s="2"/>
      <c r="K606" s="5"/>
      <c r="L606" s="2"/>
      <c r="M606" s="2"/>
      <c r="N606" s="2"/>
    </row>
    <row r="607" spans="1:14">
      <c r="A607" s="2"/>
      <c r="B607" s="2"/>
      <c r="C607" s="4"/>
      <c r="D607" s="7"/>
      <c r="E607" s="7"/>
      <c r="F607" s="4"/>
      <c r="G607" s="6"/>
      <c r="H607" s="2"/>
      <c r="I607" s="5"/>
      <c r="J607" s="2"/>
      <c r="K607" s="5"/>
      <c r="L607" s="2"/>
      <c r="M607" s="2"/>
      <c r="N607" s="2"/>
    </row>
    <row r="608" spans="1:14">
      <c r="A608" s="2"/>
      <c r="B608" s="2"/>
      <c r="C608" s="4"/>
      <c r="D608" s="7"/>
      <c r="E608" s="7"/>
      <c r="F608" s="4"/>
      <c r="G608" s="6"/>
      <c r="H608" s="2"/>
      <c r="I608" s="5"/>
      <c r="J608" s="2"/>
      <c r="K608" s="5"/>
      <c r="L608" s="2"/>
      <c r="M608" s="2"/>
      <c r="N608" s="2"/>
    </row>
    <row r="609" spans="1:14">
      <c r="A609" s="2"/>
      <c r="B609" s="2"/>
      <c r="C609" s="4"/>
      <c r="D609" s="7"/>
      <c r="E609" s="7"/>
      <c r="F609" s="4"/>
      <c r="G609" s="6"/>
      <c r="H609" s="2"/>
      <c r="I609" s="5"/>
      <c r="J609" s="2"/>
      <c r="K609" s="5"/>
      <c r="L609" s="2"/>
      <c r="M609" s="2"/>
      <c r="N609" s="2"/>
    </row>
    <row r="610" spans="1:14">
      <c r="A610" s="2"/>
      <c r="B610" s="2"/>
      <c r="C610" s="4"/>
      <c r="D610" s="7"/>
      <c r="E610" s="7"/>
      <c r="F610" s="4"/>
      <c r="G610" s="6"/>
      <c r="H610" s="2"/>
      <c r="I610" s="5"/>
      <c r="J610" s="2"/>
      <c r="K610" s="5"/>
      <c r="L610" s="2"/>
      <c r="M610" s="2"/>
      <c r="N610" s="2"/>
    </row>
    <row r="611" spans="1:14">
      <c r="A611" s="2"/>
      <c r="B611" s="2"/>
      <c r="C611" s="4"/>
      <c r="D611" s="7"/>
      <c r="E611" s="7"/>
      <c r="F611" s="4"/>
      <c r="G611" s="6"/>
      <c r="H611" s="2"/>
      <c r="I611" s="5"/>
      <c r="J611" s="2"/>
      <c r="K611" s="5"/>
      <c r="L611" s="2"/>
      <c r="M611" s="2"/>
      <c r="N611" s="2"/>
    </row>
    <row r="612" spans="1:14">
      <c r="A612" s="2"/>
      <c r="B612" s="2"/>
      <c r="C612" s="4"/>
      <c r="D612" s="7"/>
      <c r="E612" s="7"/>
      <c r="F612" s="4"/>
      <c r="G612" s="6"/>
      <c r="H612" s="2"/>
      <c r="I612" s="5"/>
      <c r="J612" s="2"/>
      <c r="K612" s="5"/>
      <c r="L612" s="2"/>
      <c r="M612" s="2"/>
      <c r="N612" s="2"/>
    </row>
    <row r="613" spans="1:14">
      <c r="A613" s="2"/>
      <c r="B613" s="2"/>
      <c r="C613" s="4"/>
      <c r="D613" s="7"/>
      <c r="E613" s="7"/>
      <c r="F613" s="4"/>
      <c r="G613" s="6"/>
      <c r="H613" s="2"/>
      <c r="I613" s="5"/>
      <c r="J613" s="2"/>
      <c r="K613" s="5"/>
      <c r="L613" s="2"/>
      <c r="M613" s="2"/>
      <c r="N613" s="2"/>
    </row>
    <row r="614" spans="1:14">
      <c r="A614" s="2"/>
      <c r="B614" s="2"/>
      <c r="C614" s="4"/>
      <c r="D614" s="7"/>
      <c r="E614" s="7"/>
      <c r="F614" s="4"/>
      <c r="G614" s="6"/>
      <c r="H614" s="2"/>
      <c r="I614" s="5"/>
      <c r="J614" s="2"/>
      <c r="K614" s="5"/>
      <c r="L614" s="2"/>
      <c r="M614" s="2"/>
      <c r="N614" s="2"/>
    </row>
    <row r="615" spans="1:14">
      <c r="A615" s="2"/>
      <c r="B615" s="2"/>
      <c r="C615" s="4"/>
      <c r="D615" s="7"/>
      <c r="E615" s="7"/>
      <c r="F615" s="4"/>
      <c r="G615" s="6"/>
      <c r="H615" s="2"/>
      <c r="I615" s="5"/>
      <c r="J615" s="2"/>
      <c r="K615" s="5"/>
      <c r="L615" s="2"/>
      <c r="M615" s="2"/>
      <c r="N615" s="2"/>
    </row>
    <row r="616" spans="1:14">
      <c r="A616" s="2"/>
      <c r="B616" s="2"/>
      <c r="C616" s="4"/>
      <c r="D616" s="7"/>
      <c r="E616" s="7"/>
      <c r="F616" s="4"/>
      <c r="G616" s="6"/>
      <c r="H616" s="2"/>
      <c r="I616" s="5"/>
      <c r="J616" s="2"/>
      <c r="K616" s="5"/>
      <c r="L616" s="2"/>
      <c r="M616" s="2"/>
      <c r="N616" s="2"/>
    </row>
    <row r="617" spans="1:14">
      <c r="A617" s="2"/>
      <c r="B617" s="2"/>
      <c r="C617" s="4"/>
      <c r="D617" s="7"/>
      <c r="E617" s="7"/>
      <c r="F617" s="4"/>
      <c r="G617" s="6"/>
      <c r="H617" s="2"/>
      <c r="I617" s="5"/>
      <c r="J617" s="2"/>
      <c r="K617" s="5"/>
      <c r="L617" s="2"/>
      <c r="M617" s="2"/>
      <c r="N617" s="2"/>
    </row>
    <row r="618" spans="1:14">
      <c r="A618" s="2"/>
      <c r="B618" s="2"/>
      <c r="C618" s="4"/>
      <c r="D618" s="7"/>
      <c r="E618" s="7"/>
      <c r="F618" s="4"/>
      <c r="G618" s="6"/>
      <c r="H618" s="2"/>
      <c r="I618" s="5"/>
      <c r="J618" s="2"/>
      <c r="K618" s="5"/>
      <c r="L618" s="2"/>
      <c r="M618" s="2"/>
      <c r="N618" s="2"/>
    </row>
    <row r="619" spans="1:14">
      <c r="A619" s="2"/>
      <c r="B619" s="2"/>
      <c r="C619" s="4"/>
      <c r="D619" s="7"/>
      <c r="E619" s="7"/>
      <c r="F619" s="4"/>
      <c r="G619" s="6"/>
      <c r="H619" s="2"/>
      <c r="I619" s="5"/>
      <c r="J619" s="2"/>
      <c r="K619" s="5"/>
      <c r="L619" s="2"/>
      <c r="M619" s="2"/>
      <c r="N619" s="2"/>
    </row>
    <row r="620" spans="1:14">
      <c r="A620" s="2"/>
      <c r="B620" s="2"/>
      <c r="C620" s="4"/>
      <c r="D620" s="7"/>
      <c r="E620" s="7"/>
      <c r="F620" s="4"/>
      <c r="G620" s="6"/>
      <c r="H620" s="2"/>
      <c r="I620" s="5"/>
      <c r="J620" s="2"/>
      <c r="K620" s="5"/>
      <c r="L620" s="2"/>
      <c r="M620" s="2"/>
      <c r="N620" s="2"/>
    </row>
    <row r="621" spans="1:14">
      <c r="A621" s="2"/>
      <c r="B621" s="2"/>
      <c r="C621" s="4"/>
      <c r="D621" s="7"/>
      <c r="E621" s="7"/>
      <c r="F621" s="4"/>
      <c r="G621" s="6"/>
      <c r="H621" s="2"/>
      <c r="I621" s="5"/>
      <c r="J621" s="2"/>
      <c r="K621" s="5"/>
      <c r="L621" s="2"/>
      <c r="M621" s="2"/>
      <c r="N621" s="2"/>
    </row>
    <row r="622" spans="1:14">
      <c r="A622" s="2"/>
      <c r="B622" s="2"/>
      <c r="C622" s="4"/>
      <c r="D622" s="7"/>
      <c r="E622" s="7"/>
      <c r="F622" s="4"/>
      <c r="G622" s="6"/>
      <c r="H622" s="2"/>
      <c r="I622" s="5"/>
      <c r="J622" s="2"/>
      <c r="K622" s="5"/>
      <c r="L622" s="2"/>
      <c r="M622" s="2"/>
      <c r="N622" s="2"/>
    </row>
    <row r="623" spans="1:14">
      <c r="A623" s="2"/>
      <c r="B623" s="2"/>
      <c r="C623" s="4"/>
      <c r="D623" s="7"/>
      <c r="E623" s="7"/>
      <c r="F623" s="4"/>
      <c r="G623" s="6"/>
      <c r="H623" s="2"/>
      <c r="I623" s="5"/>
      <c r="J623" s="2"/>
      <c r="K623" s="5"/>
      <c r="L623" s="2"/>
      <c r="M623" s="2"/>
      <c r="N623" s="2"/>
    </row>
    <row r="624" spans="1:14">
      <c r="A624" s="2"/>
      <c r="B624" s="2"/>
      <c r="C624" s="4"/>
      <c r="D624" s="7"/>
      <c r="E624" s="7"/>
      <c r="F624" s="4"/>
      <c r="G624" s="6"/>
      <c r="H624" s="2"/>
      <c r="I624" s="5"/>
      <c r="J624" s="2"/>
      <c r="K624" s="5"/>
      <c r="L624" s="2"/>
      <c r="M624" s="2"/>
      <c r="N624" s="2"/>
    </row>
    <row r="625" spans="1:14">
      <c r="A625" s="2"/>
      <c r="B625" s="2"/>
      <c r="C625" s="4"/>
      <c r="D625" s="7"/>
      <c r="E625" s="7"/>
      <c r="F625" s="4"/>
      <c r="G625" s="6"/>
      <c r="H625" s="2"/>
      <c r="I625" s="5"/>
      <c r="J625" s="2"/>
      <c r="K625" s="5"/>
      <c r="L625" s="2"/>
      <c r="M625" s="2"/>
      <c r="N625" s="2"/>
    </row>
    <row r="626" spans="1:14">
      <c r="A626" s="2"/>
      <c r="B626" s="2"/>
      <c r="C626" s="4"/>
      <c r="D626" s="7"/>
      <c r="E626" s="7"/>
      <c r="F626" s="4"/>
      <c r="G626" s="6"/>
      <c r="H626" s="2"/>
      <c r="I626" s="5"/>
      <c r="J626" s="2"/>
      <c r="K626" s="5"/>
      <c r="L626" s="2"/>
      <c r="M626" s="2"/>
      <c r="N626" s="2"/>
    </row>
    <row r="627" spans="1:14">
      <c r="A627" s="2"/>
      <c r="B627" s="2"/>
      <c r="C627" s="4"/>
      <c r="D627" s="7"/>
      <c r="E627" s="7"/>
      <c r="F627" s="4"/>
      <c r="G627" s="6"/>
      <c r="H627" s="2"/>
      <c r="I627" s="5"/>
      <c r="J627" s="2"/>
      <c r="K627" s="5"/>
      <c r="L627" s="2"/>
      <c r="M627" s="2"/>
      <c r="N627" s="2"/>
    </row>
    <row r="628" spans="1:14">
      <c r="A628" s="2"/>
      <c r="B628" s="2"/>
      <c r="C628" s="4"/>
      <c r="D628" s="7"/>
      <c r="E628" s="7"/>
      <c r="F628" s="4"/>
      <c r="G628" s="6"/>
      <c r="H628" s="2"/>
      <c r="I628" s="5"/>
      <c r="J628" s="2"/>
      <c r="K628" s="5"/>
      <c r="L628" s="2"/>
      <c r="M628" s="2"/>
      <c r="N628" s="2"/>
    </row>
    <row r="629" spans="1:14">
      <c r="A629" s="2"/>
      <c r="B629" s="2"/>
      <c r="C629" s="4"/>
      <c r="D629" s="7"/>
      <c r="E629" s="7"/>
      <c r="F629" s="4"/>
      <c r="G629" s="6"/>
      <c r="H629" s="2"/>
      <c r="I629" s="5"/>
      <c r="J629" s="2"/>
      <c r="K629" s="5"/>
      <c r="L629" s="2"/>
      <c r="M629" s="2"/>
      <c r="N629" s="2"/>
    </row>
    <row r="630" spans="1:14">
      <c r="A630" s="2"/>
      <c r="B630" s="2"/>
      <c r="C630" s="4"/>
      <c r="D630" s="7"/>
      <c r="E630" s="7"/>
      <c r="F630" s="4"/>
      <c r="G630" s="6"/>
      <c r="H630" s="2"/>
      <c r="I630" s="5"/>
      <c r="J630" s="2"/>
      <c r="K630" s="5"/>
      <c r="L630" s="2"/>
      <c r="M630" s="2"/>
      <c r="N630" s="2"/>
    </row>
    <row r="631" spans="1:14">
      <c r="A631" s="2"/>
      <c r="B631" s="2"/>
      <c r="C631" s="4"/>
      <c r="D631" s="7"/>
      <c r="E631" s="7"/>
      <c r="F631" s="4"/>
      <c r="G631" s="6"/>
      <c r="H631" s="2"/>
      <c r="I631" s="5"/>
      <c r="J631" s="2"/>
      <c r="K631" s="5"/>
      <c r="L631" s="2"/>
      <c r="M631" s="2"/>
      <c r="N631" s="2"/>
    </row>
    <row r="632" spans="1:14">
      <c r="A632" s="2"/>
      <c r="B632" s="2"/>
      <c r="C632" s="4"/>
      <c r="D632" s="7"/>
      <c r="E632" s="7"/>
      <c r="F632" s="4"/>
      <c r="G632" s="6"/>
      <c r="H632" s="2"/>
      <c r="I632" s="5"/>
      <c r="J632" s="2"/>
      <c r="K632" s="5"/>
      <c r="L632" s="2"/>
      <c r="M632" s="2"/>
      <c r="N632" s="2"/>
    </row>
    <row r="633" spans="1:14">
      <c r="A633" s="2"/>
      <c r="B633" s="2"/>
      <c r="C633" s="4"/>
      <c r="D633" s="7"/>
      <c r="E633" s="7"/>
      <c r="F633" s="4"/>
      <c r="G633" s="6"/>
      <c r="H633" s="2"/>
      <c r="I633" s="5"/>
      <c r="J633" s="2"/>
      <c r="K633" s="5"/>
      <c r="L633" s="2"/>
      <c r="M633" s="2"/>
      <c r="N633" s="2"/>
    </row>
    <row r="634" spans="1:14">
      <c r="A634" s="2"/>
      <c r="B634" s="2"/>
      <c r="C634" s="4"/>
      <c r="D634" s="7"/>
      <c r="E634" s="7"/>
      <c r="F634" s="4"/>
      <c r="G634" s="6"/>
      <c r="H634" s="2"/>
      <c r="I634" s="5"/>
      <c r="J634" s="2"/>
      <c r="K634" s="5"/>
      <c r="L634" s="2"/>
      <c r="M634" s="2"/>
      <c r="N634" s="2"/>
    </row>
    <row r="635" spans="1:14">
      <c r="A635" s="2"/>
      <c r="B635" s="2"/>
      <c r="C635" s="4"/>
      <c r="D635" s="7"/>
      <c r="E635" s="7"/>
      <c r="F635" s="4"/>
      <c r="G635" s="6"/>
      <c r="H635" s="2"/>
      <c r="I635" s="5"/>
      <c r="J635" s="2"/>
      <c r="K635" s="5"/>
      <c r="L635" s="2"/>
      <c r="M635" s="2"/>
      <c r="N635" s="2"/>
    </row>
    <row r="636" spans="1:14">
      <c r="A636" s="2"/>
      <c r="B636" s="2"/>
      <c r="C636" s="4"/>
      <c r="D636" s="7"/>
      <c r="E636" s="7"/>
      <c r="F636" s="4"/>
      <c r="G636" s="6"/>
      <c r="H636" s="2"/>
      <c r="I636" s="5"/>
      <c r="J636" s="2"/>
      <c r="K636" s="5"/>
      <c r="L636" s="2"/>
      <c r="M636" s="2"/>
      <c r="N636" s="2"/>
    </row>
    <row r="637" spans="1:14">
      <c r="A637" s="2"/>
      <c r="B637" s="2"/>
      <c r="C637" s="4"/>
      <c r="D637" s="7"/>
      <c r="E637" s="7"/>
      <c r="F637" s="4"/>
      <c r="G637" s="6"/>
      <c r="H637" s="2"/>
      <c r="I637" s="5"/>
      <c r="J637" s="2"/>
      <c r="K637" s="5"/>
      <c r="L637" s="2"/>
      <c r="M637" s="2"/>
      <c r="N637" s="2"/>
    </row>
    <row r="638" spans="1:14">
      <c r="A638" s="2"/>
      <c r="B638" s="2"/>
      <c r="C638" s="4"/>
      <c r="D638" s="7"/>
      <c r="E638" s="7"/>
      <c r="F638" s="4"/>
      <c r="G638" s="6"/>
      <c r="H638" s="2"/>
      <c r="I638" s="5"/>
      <c r="J638" s="2"/>
      <c r="K638" s="5"/>
      <c r="L638" s="2"/>
      <c r="M638" s="2"/>
      <c r="N638" s="2"/>
    </row>
    <row r="639" spans="1:14">
      <c r="A639" s="2"/>
      <c r="B639" s="2"/>
      <c r="C639" s="4"/>
      <c r="D639" s="7"/>
      <c r="E639" s="7"/>
      <c r="F639" s="4"/>
      <c r="G639" s="6"/>
      <c r="H639" s="2"/>
      <c r="I639" s="5"/>
      <c r="J639" s="2"/>
      <c r="K639" s="5"/>
      <c r="L639" s="2"/>
      <c r="M639" s="2"/>
      <c r="N639" s="2"/>
    </row>
    <row r="640" spans="1:14">
      <c r="A640" s="2"/>
      <c r="B640" s="2"/>
      <c r="C640" s="4"/>
      <c r="D640" s="7"/>
      <c r="E640" s="7"/>
      <c r="F640" s="4"/>
      <c r="G640" s="6"/>
      <c r="H640" s="2"/>
      <c r="I640" s="5"/>
      <c r="J640" s="2"/>
      <c r="K640" s="5"/>
      <c r="L640" s="2"/>
      <c r="M640" s="2"/>
      <c r="N640" s="2"/>
    </row>
    <row r="641" spans="1:14">
      <c r="A641" s="2"/>
      <c r="B641" s="2"/>
      <c r="C641" s="4"/>
      <c r="D641" s="7"/>
      <c r="E641" s="7"/>
      <c r="F641" s="4"/>
      <c r="G641" s="6"/>
      <c r="H641" s="2"/>
      <c r="I641" s="5"/>
      <c r="J641" s="2"/>
      <c r="K641" s="5"/>
      <c r="L641" s="2"/>
      <c r="M641" s="2"/>
      <c r="N641" s="2"/>
    </row>
    <row r="642" spans="1:14">
      <c r="A642" s="2"/>
      <c r="B642" s="2"/>
      <c r="C642" s="4"/>
      <c r="D642" s="7"/>
      <c r="E642" s="7"/>
      <c r="F642" s="4"/>
      <c r="G642" s="6"/>
      <c r="H642" s="2"/>
      <c r="I642" s="5"/>
      <c r="J642" s="2"/>
      <c r="K642" s="5"/>
      <c r="L642" s="2"/>
      <c r="M642" s="2"/>
      <c r="N642" s="2"/>
    </row>
    <row r="643" spans="1:14">
      <c r="A643" s="2"/>
      <c r="B643" s="2"/>
      <c r="C643" s="4"/>
      <c r="D643" s="7"/>
      <c r="E643" s="7"/>
      <c r="F643" s="4"/>
      <c r="G643" s="6"/>
      <c r="H643" s="2"/>
      <c r="I643" s="5"/>
      <c r="J643" s="2"/>
      <c r="K643" s="5"/>
      <c r="L643" s="2"/>
      <c r="M643" s="2"/>
      <c r="N643" s="2"/>
    </row>
    <row r="644" spans="1:14">
      <c r="A644" s="2"/>
      <c r="B644" s="2"/>
      <c r="C644" s="4"/>
      <c r="D644" s="7"/>
      <c r="E644" s="7"/>
      <c r="F644" s="4"/>
      <c r="G644" s="6"/>
      <c r="H644" s="2"/>
      <c r="I644" s="5"/>
      <c r="J644" s="2"/>
      <c r="K644" s="5"/>
      <c r="L644" s="2"/>
      <c r="M644" s="2"/>
      <c r="N644" s="2"/>
    </row>
    <row r="645" spans="1:14">
      <c r="A645" s="2"/>
      <c r="B645" s="2"/>
      <c r="C645" s="4"/>
      <c r="D645" s="7"/>
      <c r="E645" s="7"/>
      <c r="F645" s="4"/>
      <c r="G645" s="6"/>
      <c r="H645" s="2"/>
      <c r="I645" s="5"/>
      <c r="J645" s="2"/>
      <c r="K645" s="5"/>
      <c r="L645" s="2"/>
      <c r="M645" s="2"/>
      <c r="N645" s="2"/>
    </row>
    <row r="646" spans="1:14">
      <c r="A646" s="2"/>
      <c r="B646" s="2"/>
      <c r="C646" s="4"/>
      <c r="D646" s="7"/>
      <c r="E646" s="7"/>
      <c r="F646" s="4"/>
      <c r="G646" s="6"/>
      <c r="H646" s="2"/>
      <c r="I646" s="5"/>
      <c r="J646" s="2"/>
      <c r="K646" s="5"/>
      <c r="L646" s="2"/>
      <c r="M646" s="2"/>
      <c r="N646" s="2"/>
    </row>
    <row r="647" spans="1:14">
      <c r="A647" s="2"/>
      <c r="B647" s="2"/>
      <c r="C647" s="4"/>
      <c r="D647" s="7"/>
      <c r="E647" s="7"/>
      <c r="F647" s="4"/>
      <c r="G647" s="6"/>
      <c r="H647" s="2"/>
      <c r="I647" s="5"/>
      <c r="J647" s="2"/>
      <c r="K647" s="5"/>
      <c r="L647" s="2"/>
      <c r="M647" s="2"/>
      <c r="N647" s="2"/>
    </row>
    <row r="648" spans="1:14">
      <c r="A648" s="2"/>
      <c r="B648" s="2"/>
      <c r="C648" s="4"/>
      <c r="D648" s="7"/>
      <c r="E648" s="7"/>
      <c r="F648" s="4"/>
      <c r="G648" s="6"/>
      <c r="H648" s="2"/>
      <c r="I648" s="5"/>
      <c r="J648" s="2"/>
      <c r="K648" s="5"/>
      <c r="L648" s="2"/>
      <c r="M648" s="2"/>
      <c r="N648" s="2"/>
    </row>
    <row r="649" spans="1:14">
      <c r="A649" s="2"/>
      <c r="B649" s="2"/>
      <c r="C649" s="4"/>
      <c r="D649" s="7"/>
      <c r="E649" s="7"/>
      <c r="F649" s="4"/>
      <c r="G649" s="6"/>
      <c r="H649" s="2"/>
      <c r="I649" s="5"/>
      <c r="J649" s="2"/>
      <c r="K649" s="5"/>
      <c r="L649" s="2"/>
      <c r="M649" s="2"/>
      <c r="N649" s="2"/>
    </row>
    <row r="650" spans="1:14">
      <c r="A650" s="2"/>
      <c r="B650" s="2"/>
      <c r="C650" s="4"/>
      <c r="D650" s="7"/>
      <c r="E650" s="7"/>
      <c r="F650" s="4"/>
      <c r="G650" s="6"/>
      <c r="H650" s="2"/>
      <c r="I650" s="5"/>
      <c r="J650" s="2"/>
      <c r="K650" s="5"/>
      <c r="L650" s="2"/>
      <c r="M650" s="2"/>
      <c r="N650" s="2"/>
    </row>
    <row r="651" spans="1:14">
      <c r="A651" s="2"/>
      <c r="B651" s="2"/>
      <c r="C651" s="4"/>
      <c r="D651" s="7"/>
      <c r="E651" s="7"/>
      <c r="F651" s="4"/>
      <c r="G651" s="6"/>
      <c r="H651" s="2"/>
      <c r="I651" s="5"/>
      <c r="J651" s="2"/>
      <c r="K651" s="5"/>
      <c r="L651" s="2"/>
      <c r="M651" s="2"/>
      <c r="N651" s="2"/>
    </row>
    <row r="652" spans="1:14">
      <c r="A652" s="2"/>
      <c r="B652" s="2"/>
      <c r="C652" s="4"/>
      <c r="D652" s="7"/>
      <c r="E652" s="7"/>
      <c r="F652" s="4"/>
      <c r="G652" s="6"/>
      <c r="H652" s="2"/>
      <c r="I652" s="5"/>
      <c r="J652" s="2"/>
      <c r="K652" s="5"/>
      <c r="L652" s="2"/>
      <c r="M652" s="2"/>
      <c r="N652" s="2"/>
    </row>
    <row r="653" spans="1:14">
      <c r="A653" s="2"/>
      <c r="B653" s="2"/>
      <c r="C653" s="4"/>
      <c r="D653" s="7"/>
      <c r="E653" s="7"/>
      <c r="F653" s="4"/>
      <c r="G653" s="6"/>
      <c r="H653" s="2"/>
      <c r="I653" s="5"/>
      <c r="J653" s="2"/>
      <c r="K653" s="5"/>
      <c r="L653" s="2"/>
      <c r="M653" s="2"/>
      <c r="N653" s="2"/>
    </row>
    <row r="654" spans="1:14">
      <c r="A654" s="2"/>
      <c r="B654" s="2"/>
      <c r="C654" s="4"/>
      <c r="D654" s="7"/>
      <c r="E654" s="7"/>
      <c r="F654" s="4"/>
      <c r="G654" s="6"/>
      <c r="H654" s="2"/>
      <c r="I654" s="5"/>
      <c r="J654" s="2"/>
      <c r="K654" s="5"/>
      <c r="L654" s="2"/>
      <c r="M654" s="2"/>
      <c r="N654" s="2"/>
    </row>
    <row r="655" spans="1:14">
      <c r="A655" s="2"/>
      <c r="B655" s="2"/>
      <c r="C655" s="4"/>
      <c r="D655" s="7"/>
      <c r="E655" s="7"/>
      <c r="F655" s="4"/>
      <c r="G655" s="6"/>
      <c r="H655" s="2"/>
      <c r="I655" s="5"/>
      <c r="J655" s="2"/>
      <c r="K655" s="5"/>
      <c r="L655" s="2"/>
      <c r="M655" s="2"/>
      <c r="N655" s="2"/>
    </row>
    <row r="656" spans="1:14">
      <c r="A656" s="2"/>
      <c r="B656" s="2"/>
      <c r="C656" s="4"/>
      <c r="D656" s="7"/>
      <c r="E656" s="7"/>
      <c r="F656" s="4"/>
      <c r="G656" s="6"/>
      <c r="H656" s="2"/>
      <c r="I656" s="5"/>
      <c r="J656" s="2"/>
      <c r="K656" s="5"/>
      <c r="L656" s="2"/>
      <c r="M656" s="2"/>
      <c r="N656" s="2"/>
    </row>
    <row r="657" spans="1:14">
      <c r="A657" s="2"/>
      <c r="B657" s="2"/>
      <c r="C657" s="4"/>
      <c r="D657" s="7"/>
      <c r="E657" s="7"/>
      <c r="F657" s="4"/>
      <c r="G657" s="6"/>
      <c r="H657" s="2"/>
      <c r="I657" s="5"/>
      <c r="J657" s="2"/>
      <c r="K657" s="5"/>
      <c r="L657" s="2"/>
      <c r="M657" s="2"/>
      <c r="N657" s="2"/>
    </row>
    <row r="658" spans="1:14">
      <c r="A658" s="2"/>
      <c r="B658" s="2"/>
      <c r="C658" s="4"/>
      <c r="D658" s="7"/>
      <c r="E658" s="7"/>
      <c r="F658" s="4"/>
      <c r="G658" s="6"/>
      <c r="H658" s="2"/>
      <c r="I658" s="5"/>
      <c r="J658" s="2"/>
      <c r="K658" s="5"/>
      <c r="L658" s="2"/>
      <c r="M658" s="2"/>
      <c r="N658" s="2"/>
    </row>
    <row r="659" spans="1:14">
      <c r="A659" s="2"/>
      <c r="B659" s="2"/>
      <c r="C659" s="4"/>
      <c r="D659" s="7"/>
      <c r="E659" s="7"/>
      <c r="F659" s="4"/>
      <c r="G659" s="6"/>
      <c r="H659" s="2"/>
      <c r="I659" s="5"/>
      <c r="J659" s="2"/>
      <c r="K659" s="5"/>
      <c r="L659" s="2"/>
      <c r="M659" s="2"/>
      <c r="N659" s="2"/>
    </row>
    <row r="660" spans="1:14">
      <c r="A660" s="2"/>
      <c r="B660" s="2"/>
      <c r="C660" s="4"/>
      <c r="D660" s="7"/>
      <c r="E660" s="7"/>
      <c r="F660" s="4"/>
      <c r="G660" s="6"/>
      <c r="H660" s="2"/>
      <c r="I660" s="5"/>
      <c r="J660" s="2"/>
      <c r="K660" s="5"/>
      <c r="L660" s="2"/>
      <c r="M660" s="2"/>
      <c r="N660" s="2"/>
    </row>
    <row r="661" spans="1:14">
      <c r="A661" s="2"/>
      <c r="B661" s="2"/>
      <c r="C661" s="4"/>
      <c r="D661" s="7"/>
      <c r="E661" s="7"/>
      <c r="F661" s="4"/>
      <c r="G661" s="6"/>
      <c r="H661" s="2"/>
      <c r="I661" s="5"/>
      <c r="J661" s="2"/>
      <c r="K661" s="5"/>
      <c r="L661" s="2"/>
      <c r="M661" s="2"/>
      <c r="N661" s="2"/>
    </row>
    <row r="662" spans="1:14">
      <c r="A662" s="2"/>
      <c r="B662" s="2"/>
      <c r="C662" s="4"/>
      <c r="D662" s="7"/>
      <c r="E662" s="7"/>
      <c r="F662" s="4"/>
      <c r="G662" s="6"/>
      <c r="H662" s="2"/>
      <c r="I662" s="5"/>
      <c r="J662" s="2"/>
      <c r="K662" s="5"/>
      <c r="L662" s="2"/>
      <c r="M662" s="2"/>
      <c r="N662" s="2"/>
    </row>
    <row r="663" spans="1:14">
      <c r="A663" s="2"/>
      <c r="B663" s="2"/>
      <c r="C663" s="4"/>
      <c r="D663" s="7"/>
      <c r="E663" s="7"/>
      <c r="F663" s="4"/>
      <c r="G663" s="6"/>
      <c r="H663" s="2"/>
      <c r="I663" s="5"/>
      <c r="J663" s="2"/>
      <c r="K663" s="5"/>
      <c r="L663" s="2"/>
      <c r="M663" s="2"/>
      <c r="N663" s="2"/>
    </row>
    <row r="664" spans="1:14">
      <c r="A664" s="2"/>
      <c r="B664" s="2"/>
      <c r="C664" s="4"/>
      <c r="D664" s="7"/>
      <c r="E664" s="7"/>
      <c r="F664" s="4"/>
      <c r="G664" s="6"/>
      <c r="H664" s="2"/>
      <c r="I664" s="5"/>
      <c r="J664" s="2"/>
      <c r="K664" s="5"/>
      <c r="L664" s="2"/>
      <c r="M664" s="2"/>
      <c r="N664" s="2"/>
    </row>
    <row r="665" spans="1:14">
      <c r="A665" s="2"/>
      <c r="B665" s="2"/>
      <c r="C665" s="4"/>
      <c r="D665" s="7"/>
      <c r="E665" s="7"/>
      <c r="F665" s="4"/>
      <c r="G665" s="6"/>
      <c r="H665" s="2"/>
      <c r="I665" s="5"/>
      <c r="J665" s="2"/>
      <c r="K665" s="5"/>
      <c r="L665" s="2"/>
      <c r="M665" s="2"/>
      <c r="N665" s="2"/>
    </row>
    <row r="666" spans="1:14">
      <c r="A666" s="2"/>
      <c r="B666" s="2"/>
      <c r="C666" s="4"/>
      <c r="D666" s="7"/>
      <c r="E666" s="7"/>
      <c r="F666" s="4"/>
      <c r="G666" s="6"/>
      <c r="H666" s="2"/>
      <c r="I666" s="5"/>
      <c r="J666" s="2"/>
      <c r="K666" s="5"/>
      <c r="L666" s="2"/>
      <c r="M666" s="2"/>
      <c r="N666" s="2"/>
    </row>
    <row r="667" spans="1:14">
      <c r="A667" s="2"/>
      <c r="B667" s="2"/>
      <c r="C667" s="4"/>
      <c r="D667" s="7"/>
      <c r="E667" s="7"/>
      <c r="F667" s="4"/>
      <c r="G667" s="6"/>
      <c r="H667" s="2"/>
      <c r="I667" s="5"/>
      <c r="J667" s="2"/>
      <c r="K667" s="5"/>
      <c r="L667" s="2"/>
      <c r="M667" s="2"/>
      <c r="N667" s="2"/>
    </row>
    <row r="668" spans="1:14">
      <c r="A668" s="2"/>
      <c r="B668" s="2"/>
      <c r="C668" s="4"/>
      <c r="D668" s="7"/>
      <c r="E668" s="7"/>
      <c r="F668" s="4"/>
      <c r="G668" s="6"/>
      <c r="H668" s="2"/>
      <c r="I668" s="5"/>
      <c r="J668" s="2"/>
      <c r="K668" s="5"/>
      <c r="L668" s="2"/>
      <c r="M668" s="2"/>
      <c r="N668" s="2"/>
    </row>
    <row r="669" spans="1:14">
      <c r="A669" s="2"/>
      <c r="B669" s="2"/>
      <c r="C669" s="4"/>
      <c r="D669" s="7"/>
      <c r="E669" s="7"/>
      <c r="F669" s="4"/>
      <c r="G669" s="6"/>
      <c r="H669" s="2"/>
      <c r="I669" s="5"/>
      <c r="J669" s="2"/>
      <c r="K669" s="5"/>
      <c r="L669" s="2"/>
      <c r="M669" s="2"/>
      <c r="N669" s="2"/>
    </row>
    <row r="670" spans="1:14">
      <c r="A670" s="2"/>
      <c r="B670" s="2"/>
      <c r="C670" s="4"/>
      <c r="D670" s="7"/>
      <c r="E670" s="7"/>
      <c r="F670" s="4"/>
      <c r="G670" s="6"/>
      <c r="H670" s="2"/>
      <c r="I670" s="5"/>
      <c r="J670" s="2"/>
      <c r="K670" s="5"/>
      <c r="L670" s="2"/>
      <c r="M670" s="2"/>
      <c r="N670" s="2"/>
    </row>
    <row r="671" spans="1:14">
      <c r="A671" s="2"/>
      <c r="B671" s="2"/>
      <c r="C671" s="4"/>
      <c r="D671" s="7"/>
      <c r="E671" s="7"/>
      <c r="F671" s="4"/>
      <c r="G671" s="6"/>
      <c r="H671" s="2"/>
      <c r="I671" s="5"/>
      <c r="J671" s="2"/>
      <c r="K671" s="5"/>
      <c r="L671" s="2"/>
      <c r="M671" s="2"/>
      <c r="N671" s="2"/>
    </row>
    <row r="672" spans="1:14">
      <c r="A672" s="2"/>
      <c r="B672" s="2"/>
      <c r="C672" s="4"/>
      <c r="D672" s="7"/>
      <c r="E672" s="7"/>
      <c r="F672" s="4"/>
      <c r="G672" s="6"/>
      <c r="H672" s="2"/>
      <c r="I672" s="5"/>
      <c r="J672" s="2"/>
      <c r="K672" s="5"/>
      <c r="L672" s="2"/>
      <c r="M672" s="2"/>
      <c r="N672" s="2"/>
    </row>
    <row r="673" spans="1:14">
      <c r="A673" s="2"/>
      <c r="B673" s="2"/>
      <c r="C673" s="4"/>
      <c r="D673" s="7"/>
      <c r="E673" s="7"/>
      <c r="F673" s="4"/>
      <c r="G673" s="6"/>
      <c r="H673" s="2"/>
      <c r="I673" s="5"/>
      <c r="J673" s="2"/>
      <c r="K673" s="5"/>
      <c r="L673" s="2"/>
      <c r="M673" s="2"/>
      <c r="N673" s="2"/>
    </row>
    <row r="674" spans="1:14">
      <c r="A674" s="2"/>
      <c r="B674" s="2"/>
      <c r="C674" s="4"/>
      <c r="D674" s="7"/>
      <c r="E674" s="7"/>
      <c r="F674" s="4"/>
      <c r="G674" s="6"/>
      <c r="H674" s="2"/>
      <c r="I674" s="5"/>
      <c r="J674" s="2"/>
      <c r="K674" s="5"/>
      <c r="L674" s="2"/>
      <c r="M674" s="2"/>
      <c r="N674" s="2"/>
    </row>
    <row r="675" spans="1:14">
      <c r="A675" s="2"/>
      <c r="B675" s="2"/>
      <c r="C675" s="4"/>
      <c r="D675" s="7"/>
      <c r="E675" s="7"/>
      <c r="F675" s="4"/>
      <c r="G675" s="6"/>
      <c r="H675" s="2"/>
      <c r="I675" s="5"/>
      <c r="J675" s="2"/>
      <c r="K675" s="5"/>
      <c r="L675" s="2"/>
      <c r="M675" s="2"/>
      <c r="N675" s="2"/>
    </row>
    <row r="676" spans="1:14">
      <c r="A676" s="2"/>
      <c r="B676" s="2"/>
      <c r="C676" s="4"/>
      <c r="D676" s="7"/>
      <c r="E676" s="7"/>
      <c r="F676" s="4"/>
      <c r="G676" s="6"/>
      <c r="H676" s="2"/>
      <c r="I676" s="5"/>
      <c r="J676" s="2"/>
      <c r="K676" s="5"/>
      <c r="L676" s="2"/>
      <c r="M676" s="2"/>
      <c r="N676" s="2"/>
    </row>
    <row r="677" spans="1:14">
      <c r="A677" s="2"/>
      <c r="B677" s="2"/>
      <c r="C677" s="4"/>
      <c r="D677" s="7"/>
      <c r="E677" s="7"/>
      <c r="F677" s="4"/>
      <c r="G677" s="6"/>
      <c r="H677" s="2"/>
      <c r="I677" s="5"/>
      <c r="J677" s="2"/>
      <c r="K677" s="5"/>
      <c r="L677" s="2"/>
      <c r="M677" s="2"/>
      <c r="N677" s="2"/>
    </row>
    <row r="678" spans="1:14">
      <c r="A678" s="2"/>
      <c r="B678" s="2"/>
      <c r="C678" s="4"/>
      <c r="D678" s="7"/>
      <c r="E678" s="7"/>
      <c r="F678" s="4"/>
      <c r="G678" s="6"/>
      <c r="H678" s="2"/>
      <c r="I678" s="5"/>
      <c r="J678" s="2"/>
      <c r="K678" s="5"/>
      <c r="L678" s="2"/>
      <c r="M678" s="2"/>
      <c r="N678" s="2"/>
    </row>
    <row r="679" spans="1:14">
      <c r="A679" s="2"/>
      <c r="B679" s="2"/>
      <c r="C679" s="4"/>
      <c r="D679" s="7"/>
      <c r="E679" s="7"/>
      <c r="F679" s="4"/>
      <c r="G679" s="6"/>
      <c r="H679" s="2"/>
      <c r="I679" s="5"/>
      <c r="J679" s="2"/>
      <c r="K679" s="5"/>
      <c r="L679" s="2"/>
      <c r="M679" s="2"/>
      <c r="N679" s="2"/>
    </row>
    <row r="680" spans="1:14">
      <c r="A680" s="2"/>
      <c r="B680" s="2"/>
      <c r="C680" s="4"/>
      <c r="D680" s="7"/>
      <c r="E680" s="7"/>
      <c r="F680" s="4"/>
      <c r="G680" s="6"/>
      <c r="H680" s="2"/>
      <c r="I680" s="5"/>
      <c r="J680" s="2"/>
      <c r="K680" s="5"/>
      <c r="L680" s="2"/>
      <c r="M680" s="2"/>
      <c r="N680" s="2"/>
    </row>
    <row r="681" spans="1:14">
      <c r="A681" s="2"/>
      <c r="B681" s="2"/>
      <c r="C681" s="4"/>
      <c r="D681" s="7"/>
      <c r="E681" s="7"/>
      <c r="F681" s="4"/>
      <c r="G681" s="6"/>
      <c r="H681" s="2"/>
      <c r="I681" s="5"/>
      <c r="J681" s="2"/>
      <c r="K681" s="5"/>
      <c r="L681" s="2"/>
      <c r="M681" s="2"/>
      <c r="N681" s="2"/>
    </row>
    <row r="682" spans="1:14">
      <c r="A682" s="2"/>
      <c r="B682" s="2"/>
      <c r="C682" s="4"/>
      <c r="D682" s="7"/>
      <c r="E682" s="7"/>
      <c r="F682" s="4"/>
      <c r="G682" s="6"/>
      <c r="H682" s="2"/>
      <c r="I682" s="5"/>
      <c r="J682" s="2"/>
      <c r="K682" s="5"/>
      <c r="L682" s="2"/>
      <c r="M682" s="2"/>
      <c r="N682" s="2"/>
    </row>
    <row r="683" spans="1:14">
      <c r="A683" s="2"/>
      <c r="B683" s="2"/>
      <c r="C683" s="4"/>
      <c r="D683" s="7"/>
      <c r="E683" s="7"/>
      <c r="F683" s="4"/>
      <c r="G683" s="6"/>
      <c r="H683" s="2"/>
      <c r="I683" s="5"/>
      <c r="J683" s="2"/>
      <c r="K683" s="5"/>
      <c r="L683" s="2"/>
      <c r="M683" s="2"/>
      <c r="N683" s="2"/>
    </row>
    <row r="684" spans="1:14">
      <c r="A684" s="2"/>
      <c r="B684" s="2"/>
      <c r="C684" s="4"/>
      <c r="D684" s="7"/>
      <c r="E684" s="7"/>
      <c r="F684" s="4"/>
      <c r="G684" s="6"/>
      <c r="H684" s="2"/>
      <c r="I684" s="5"/>
      <c r="J684" s="2"/>
      <c r="K684" s="5"/>
      <c r="L684" s="2"/>
      <c r="M684" s="2"/>
      <c r="N684" s="2"/>
    </row>
    <row r="685" spans="1:14">
      <c r="A685" s="2"/>
      <c r="B685" s="2"/>
      <c r="C685" s="4"/>
      <c r="D685" s="7"/>
      <c r="E685" s="7"/>
      <c r="F685" s="4"/>
      <c r="G685" s="6"/>
      <c r="H685" s="2"/>
      <c r="I685" s="5"/>
      <c r="J685" s="2"/>
      <c r="K685" s="5"/>
      <c r="L685" s="2"/>
      <c r="M685" s="2"/>
      <c r="N685" s="2"/>
    </row>
    <row r="686" spans="1:14">
      <c r="A686" s="2"/>
      <c r="B686" s="2"/>
      <c r="C686" s="4"/>
      <c r="D686" s="7"/>
      <c r="E686" s="7"/>
      <c r="F686" s="4"/>
      <c r="G686" s="6"/>
      <c r="H686" s="2"/>
      <c r="I686" s="5"/>
      <c r="J686" s="2"/>
      <c r="K686" s="5"/>
      <c r="L686" s="2"/>
      <c r="M686" s="2"/>
      <c r="N686" s="2"/>
    </row>
    <row r="687" spans="1:14">
      <c r="A687" s="2"/>
      <c r="B687" s="2"/>
      <c r="C687" s="4"/>
      <c r="D687" s="7"/>
      <c r="E687" s="7"/>
      <c r="F687" s="4"/>
      <c r="G687" s="6"/>
      <c r="H687" s="2"/>
      <c r="I687" s="5"/>
      <c r="J687" s="2"/>
      <c r="K687" s="5"/>
      <c r="L687" s="2"/>
      <c r="M687" s="2"/>
      <c r="N687" s="2"/>
    </row>
    <row r="688" spans="1:14">
      <c r="A688" s="2"/>
      <c r="B688" s="2"/>
      <c r="C688" s="4"/>
      <c r="D688" s="7"/>
      <c r="E688" s="7"/>
      <c r="F688" s="4"/>
      <c r="G688" s="6"/>
      <c r="H688" s="2"/>
      <c r="I688" s="5"/>
      <c r="J688" s="2"/>
      <c r="K688" s="5"/>
      <c r="L688" s="2"/>
      <c r="M688" s="2"/>
      <c r="N688" s="2"/>
    </row>
    <row r="689" spans="1:14">
      <c r="A689" s="2"/>
      <c r="B689" s="2"/>
      <c r="C689" s="4"/>
      <c r="D689" s="7"/>
      <c r="E689" s="7"/>
      <c r="F689" s="4"/>
      <c r="G689" s="6"/>
      <c r="H689" s="2"/>
      <c r="I689" s="5"/>
      <c r="J689" s="2"/>
      <c r="K689" s="5"/>
      <c r="L689" s="2"/>
      <c r="M689" s="2"/>
      <c r="N689" s="2"/>
    </row>
    <row r="690" spans="1:14">
      <c r="A690" s="2"/>
      <c r="B690" s="2"/>
      <c r="C690" s="4"/>
      <c r="D690" s="7"/>
      <c r="E690" s="7"/>
      <c r="F690" s="4"/>
      <c r="G690" s="6"/>
      <c r="H690" s="2"/>
      <c r="I690" s="5"/>
      <c r="J690" s="2"/>
      <c r="K690" s="5"/>
      <c r="L690" s="2"/>
      <c r="M690" s="2"/>
      <c r="N690" s="2"/>
    </row>
    <row r="691" spans="1:14">
      <c r="A691" s="2"/>
      <c r="B691" s="2"/>
      <c r="C691" s="4"/>
      <c r="D691" s="7"/>
      <c r="E691" s="7"/>
      <c r="F691" s="4"/>
      <c r="G691" s="6"/>
      <c r="H691" s="2"/>
      <c r="I691" s="5"/>
      <c r="J691" s="2"/>
      <c r="K691" s="5"/>
      <c r="L691" s="2"/>
      <c r="M691" s="2"/>
      <c r="N691" s="2"/>
    </row>
    <row r="692" spans="1:14">
      <c r="A692" s="2"/>
      <c r="B692" s="2"/>
      <c r="C692" s="4"/>
      <c r="D692" s="7"/>
      <c r="E692" s="7"/>
      <c r="F692" s="4"/>
      <c r="G692" s="6"/>
      <c r="H692" s="2"/>
      <c r="I692" s="5"/>
      <c r="J692" s="2"/>
      <c r="K692" s="5"/>
      <c r="L692" s="2"/>
      <c r="M692" s="2"/>
      <c r="N692" s="2"/>
    </row>
    <row r="693" spans="1:14">
      <c r="A693" s="2"/>
      <c r="B693" s="2"/>
      <c r="C693" s="4"/>
      <c r="D693" s="7"/>
      <c r="E693" s="7"/>
      <c r="F693" s="4"/>
      <c r="G693" s="6"/>
      <c r="H693" s="2"/>
      <c r="I693" s="5"/>
      <c r="J693" s="2"/>
      <c r="K693" s="5"/>
      <c r="L693" s="2"/>
      <c r="M693" s="2"/>
      <c r="N693" s="2"/>
    </row>
    <row r="694" spans="1:14">
      <c r="A694" s="2"/>
      <c r="B694" s="2"/>
      <c r="C694" s="4"/>
      <c r="D694" s="7"/>
      <c r="E694" s="7"/>
      <c r="F694" s="4"/>
      <c r="G694" s="6"/>
      <c r="H694" s="2"/>
      <c r="I694" s="5"/>
      <c r="J694" s="2"/>
      <c r="K694" s="5"/>
      <c r="L694" s="2"/>
      <c r="M694" s="2"/>
      <c r="N694" s="2"/>
    </row>
    <row r="695" spans="1:14">
      <c r="A695" s="2"/>
      <c r="B695" s="2"/>
      <c r="C695" s="4"/>
      <c r="D695" s="7"/>
      <c r="E695" s="7"/>
      <c r="F695" s="4"/>
      <c r="G695" s="6"/>
      <c r="H695" s="2"/>
      <c r="I695" s="5"/>
      <c r="J695" s="2"/>
      <c r="K695" s="5"/>
      <c r="L695" s="2"/>
      <c r="M695" s="2"/>
      <c r="N695" s="2"/>
    </row>
    <row r="696" spans="1:14">
      <c r="A696" s="2"/>
      <c r="B696" s="2"/>
      <c r="C696" s="4"/>
      <c r="D696" s="7"/>
      <c r="E696" s="7"/>
      <c r="F696" s="4"/>
      <c r="G696" s="6"/>
      <c r="H696" s="2"/>
      <c r="I696" s="5"/>
      <c r="J696" s="2"/>
      <c r="K696" s="5"/>
      <c r="L696" s="2"/>
      <c r="M696" s="2"/>
      <c r="N696" s="2"/>
    </row>
    <row r="697" spans="1:14">
      <c r="A697" s="2"/>
      <c r="B697" s="2"/>
      <c r="C697" s="4"/>
      <c r="D697" s="7"/>
      <c r="E697" s="7"/>
      <c r="F697" s="4"/>
      <c r="G697" s="6"/>
      <c r="H697" s="2"/>
      <c r="I697" s="5"/>
      <c r="J697" s="2"/>
      <c r="K697" s="5"/>
      <c r="L697" s="2"/>
      <c r="M697" s="2"/>
      <c r="N697" s="2"/>
    </row>
    <row r="698" spans="1:14">
      <c r="A698" s="2"/>
      <c r="B698" s="2"/>
      <c r="C698" s="4"/>
      <c r="D698" s="7"/>
      <c r="E698" s="7"/>
      <c r="F698" s="4"/>
      <c r="G698" s="6"/>
      <c r="H698" s="2"/>
      <c r="I698" s="5"/>
      <c r="J698" s="2"/>
      <c r="K698" s="5"/>
      <c r="L698" s="2"/>
      <c r="M698" s="2"/>
      <c r="N698" s="2"/>
    </row>
    <row r="699" spans="1:14">
      <c r="A699" s="2"/>
      <c r="B699" s="2"/>
      <c r="C699" s="4"/>
      <c r="D699" s="7"/>
      <c r="E699" s="7"/>
      <c r="F699" s="4"/>
      <c r="G699" s="6"/>
      <c r="H699" s="2"/>
      <c r="I699" s="5"/>
      <c r="J699" s="2"/>
      <c r="K699" s="5"/>
      <c r="L699" s="2"/>
      <c r="M699" s="2"/>
      <c r="N699" s="2"/>
    </row>
    <row r="700" spans="1:14">
      <c r="A700" s="2"/>
      <c r="B700" s="2"/>
      <c r="C700" s="4"/>
      <c r="D700" s="7"/>
      <c r="E700" s="7"/>
      <c r="F700" s="4"/>
      <c r="G700" s="6"/>
      <c r="H700" s="2"/>
      <c r="I700" s="5"/>
      <c r="J700" s="2"/>
      <c r="K700" s="5"/>
      <c r="L700" s="2"/>
      <c r="M700" s="2"/>
      <c r="N700" s="2"/>
    </row>
    <row r="701" spans="1:14">
      <c r="A701" s="2"/>
      <c r="B701" s="2"/>
      <c r="C701" s="4"/>
      <c r="D701" s="7"/>
      <c r="E701" s="7"/>
      <c r="F701" s="4"/>
      <c r="G701" s="6"/>
      <c r="H701" s="2"/>
      <c r="I701" s="5"/>
      <c r="J701" s="2"/>
      <c r="K701" s="5"/>
      <c r="L701" s="2"/>
      <c r="M701" s="2"/>
      <c r="N701" s="2"/>
    </row>
    <row r="702" spans="1:14">
      <c r="A702" s="2"/>
      <c r="B702" s="2"/>
      <c r="C702" s="4"/>
      <c r="D702" s="7"/>
      <c r="E702" s="7"/>
      <c r="F702" s="4"/>
      <c r="G702" s="6"/>
      <c r="H702" s="2"/>
      <c r="I702" s="5"/>
      <c r="J702" s="2"/>
      <c r="K702" s="5"/>
      <c r="L702" s="2"/>
      <c r="M702" s="2"/>
      <c r="N702" s="2"/>
    </row>
    <row r="703" spans="1:14">
      <c r="A703" s="2"/>
      <c r="B703" s="2"/>
      <c r="C703" s="4"/>
      <c r="D703" s="7"/>
      <c r="E703" s="7"/>
      <c r="F703" s="4"/>
      <c r="G703" s="6"/>
      <c r="H703" s="2"/>
      <c r="I703" s="5"/>
      <c r="J703" s="2"/>
      <c r="K703" s="5"/>
      <c r="L703" s="2"/>
      <c r="M703" s="2"/>
      <c r="N703" s="2"/>
    </row>
    <row r="704" spans="1:14">
      <c r="A704" s="2"/>
      <c r="B704" s="2"/>
      <c r="C704" s="4"/>
      <c r="D704" s="7"/>
      <c r="E704" s="7"/>
      <c r="F704" s="4"/>
      <c r="G704" s="6"/>
      <c r="H704" s="2"/>
      <c r="I704" s="5"/>
      <c r="J704" s="2"/>
      <c r="K704" s="5"/>
      <c r="L704" s="2"/>
      <c r="M704" s="2"/>
      <c r="N704" s="2"/>
    </row>
    <row r="705" spans="1:14">
      <c r="A705" s="2"/>
      <c r="B705" s="2"/>
      <c r="C705" s="4"/>
      <c r="D705" s="7"/>
      <c r="E705" s="7"/>
      <c r="F705" s="4"/>
      <c r="G705" s="6"/>
      <c r="H705" s="2"/>
      <c r="I705" s="5"/>
      <c r="J705" s="2"/>
      <c r="K705" s="5"/>
      <c r="L705" s="2"/>
      <c r="M705" s="2"/>
      <c r="N705" s="2"/>
    </row>
    <row r="706" spans="1:14">
      <c r="A706" s="2"/>
      <c r="B706" s="2"/>
      <c r="C706" s="4"/>
      <c r="D706" s="7"/>
      <c r="E706" s="7"/>
      <c r="F706" s="4"/>
      <c r="G706" s="6"/>
      <c r="H706" s="2"/>
      <c r="I706" s="5"/>
      <c r="J706" s="2"/>
      <c r="K706" s="5"/>
      <c r="L706" s="2"/>
      <c r="M706" s="2"/>
      <c r="N706" s="2"/>
    </row>
    <row r="707" spans="1:14">
      <c r="A707" s="2"/>
      <c r="B707" s="2"/>
      <c r="C707" s="4"/>
      <c r="D707" s="7"/>
      <c r="E707" s="7"/>
      <c r="F707" s="4"/>
      <c r="G707" s="6"/>
      <c r="H707" s="2"/>
      <c r="I707" s="5"/>
      <c r="J707" s="2"/>
      <c r="K707" s="5"/>
      <c r="L707" s="2"/>
      <c r="M707" s="2"/>
      <c r="N707" s="2"/>
    </row>
    <row r="708" spans="1:14">
      <c r="A708" s="2"/>
      <c r="B708" s="2"/>
      <c r="C708" s="4"/>
      <c r="D708" s="7"/>
      <c r="E708" s="7"/>
      <c r="F708" s="4"/>
      <c r="G708" s="6"/>
      <c r="H708" s="2"/>
      <c r="I708" s="5"/>
      <c r="J708" s="2"/>
      <c r="K708" s="5"/>
      <c r="L708" s="2"/>
      <c r="M708" s="2"/>
      <c r="N708" s="2"/>
    </row>
    <row r="709" spans="1:14">
      <c r="A709" s="2"/>
      <c r="B709" s="2"/>
      <c r="C709" s="4"/>
      <c r="D709" s="7"/>
      <c r="E709" s="7"/>
      <c r="F709" s="4"/>
      <c r="G709" s="6"/>
      <c r="H709" s="2"/>
      <c r="I709" s="5"/>
      <c r="J709" s="2"/>
      <c r="K709" s="5"/>
      <c r="L709" s="2"/>
      <c r="M709" s="2"/>
      <c r="N709" s="2"/>
    </row>
    <row r="710" spans="1:14">
      <c r="A710" s="2"/>
      <c r="B710" s="2"/>
      <c r="C710" s="4"/>
      <c r="D710" s="7"/>
      <c r="E710" s="7"/>
      <c r="F710" s="4"/>
      <c r="G710" s="6"/>
      <c r="H710" s="2"/>
      <c r="I710" s="5"/>
      <c r="J710" s="2"/>
      <c r="K710" s="5"/>
      <c r="L710" s="2"/>
      <c r="M710" s="2"/>
      <c r="N710" s="2"/>
    </row>
    <row r="711" spans="1:14">
      <c r="A711" s="2"/>
      <c r="B711" s="2"/>
      <c r="C711" s="4"/>
      <c r="D711" s="7"/>
      <c r="E711" s="7"/>
      <c r="F711" s="4"/>
      <c r="G711" s="6"/>
      <c r="H711" s="2"/>
      <c r="I711" s="5"/>
      <c r="J711" s="2"/>
      <c r="K711" s="5"/>
      <c r="L711" s="2"/>
      <c r="M711" s="2"/>
      <c r="N711" s="2"/>
    </row>
    <row r="712" spans="1:14">
      <c r="A712" s="2"/>
      <c r="B712" s="2"/>
      <c r="C712" s="4"/>
      <c r="D712" s="7"/>
      <c r="E712" s="7"/>
      <c r="F712" s="4"/>
      <c r="G712" s="6"/>
      <c r="H712" s="2"/>
      <c r="I712" s="5"/>
      <c r="J712" s="2"/>
      <c r="K712" s="5"/>
      <c r="L712" s="2"/>
      <c r="M712" s="2"/>
      <c r="N712" s="2"/>
    </row>
    <row r="713" spans="1:14">
      <c r="A713" s="2"/>
      <c r="B713" s="2"/>
      <c r="C713" s="4"/>
      <c r="D713" s="7"/>
      <c r="E713" s="7"/>
      <c r="F713" s="4"/>
      <c r="G713" s="6"/>
      <c r="H713" s="2"/>
      <c r="I713" s="5"/>
      <c r="J713" s="2"/>
      <c r="K713" s="5"/>
      <c r="L713" s="2"/>
      <c r="M713" s="2"/>
      <c r="N713" s="2"/>
    </row>
    <row r="714" spans="1:14">
      <c r="A714" s="2"/>
      <c r="B714" s="2"/>
      <c r="C714" s="4"/>
      <c r="D714" s="7"/>
      <c r="E714" s="7"/>
      <c r="F714" s="4"/>
      <c r="G714" s="6"/>
      <c r="H714" s="2"/>
      <c r="I714" s="5"/>
      <c r="J714" s="2"/>
      <c r="K714" s="5"/>
      <c r="L714" s="2"/>
      <c r="M714" s="2"/>
      <c r="N714" s="2"/>
    </row>
    <row r="715" spans="1:14">
      <c r="A715" s="2"/>
      <c r="B715" s="2"/>
      <c r="C715" s="4"/>
      <c r="D715" s="7"/>
      <c r="E715" s="7"/>
      <c r="F715" s="4"/>
      <c r="G715" s="6"/>
      <c r="H715" s="2"/>
      <c r="I715" s="5"/>
      <c r="J715" s="2"/>
      <c r="K715" s="5"/>
      <c r="L715" s="2"/>
      <c r="M715" s="2"/>
      <c r="N715" s="2"/>
    </row>
    <row r="716" spans="1:14">
      <c r="A716" s="2"/>
      <c r="B716" s="2"/>
      <c r="C716" s="4"/>
      <c r="D716" s="7"/>
      <c r="E716" s="7"/>
      <c r="F716" s="4"/>
      <c r="G716" s="6"/>
      <c r="H716" s="2"/>
      <c r="I716" s="5"/>
      <c r="J716" s="2"/>
      <c r="K716" s="5"/>
      <c r="L716" s="2"/>
      <c r="M716" s="2"/>
      <c r="N716" s="2"/>
    </row>
    <row r="717" spans="1:14">
      <c r="A717" s="2"/>
      <c r="B717" s="2"/>
      <c r="C717" s="4"/>
      <c r="D717" s="7"/>
      <c r="E717" s="7"/>
      <c r="F717" s="4"/>
      <c r="G717" s="6"/>
      <c r="H717" s="2"/>
      <c r="I717" s="5"/>
      <c r="J717" s="2"/>
      <c r="K717" s="5"/>
      <c r="L717" s="2"/>
      <c r="M717" s="2"/>
      <c r="N717" s="2"/>
    </row>
    <row r="718" spans="1:14">
      <c r="A718" s="2"/>
      <c r="B718" s="2"/>
      <c r="C718" s="4"/>
      <c r="D718" s="7"/>
      <c r="E718" s="7"/>
      <c r="F718" s="4"/>
      <c r="G718" s="6"/>
      <c r="H718" s="2"/>
      <c r="I718" s="5"/>
      <c r="J718" s="2"/>
      <c r="K718" s="5"/>
      <c r="L718" s="2"/>
      <c r="M718" s="2"/>
      <c r="N718" s="2"/>
    </row>
    <row r="719" spans="1:14">
      <c r="A719" s="2"/>
      <c r="B719" s="2"/>
      <c r="C719" s="4"/>
      <c r="D719" s="7"/>
      <c r="E719" s="7"/>
      <c r="F719" s="4"/>
      <c r="G719" s="6"/>
      <c r="H719" s="2"/>
      <c r="I719" s="5"/>
      <c r="J719" s="2"/>
      <c r="K719" s="5"/>
      <c r="L719" s="2"/>
      <c r="M719" s="2"/>
      <c r="N719" s="2"/>
    </row>
    <row r="720" spans="1:14">
      <c r="A720" s="2"/>
      <c r="B720" s="2"/>
      <c r="C720" s="4"/>
      <c r="D720" s="7"/>
      <c r="E720" s="7"/>
      <c r="F720" s="4"/>
      <c r="G720" s="6"/>
      <c r="H720" s="2"/>
      <c r="I720" s="5"/>
      <c r="J720" s="2"/>
      <c r="K720" s="5"/>
      <c r="L720" s="2"/>
      <c r="M720" s="2"/>
      <c r="N720" s="2"/>
    </row>
    <row r="721" spans="1:14">
      <c r="A721" s="2"/>
      <c r="B721" s="2"/>
      <c r="C721" s="4"/>
      <c r="D721" s="7"/>
      <c r="E721" s="7"/>
      <c r="F721" s="4"/>
      <c r="G721" s="6"/>
      <c r="H721" s="2"/>
      <c r="I721" s="5"/>
      <c r="J721" s="2"/>
      <c r="K721" s="5"/>
      <c r="L721" s="2"/>
      <c r="M721" s="2"/>
      <c r="N721" s="2"/>
    </row>
    <row r="722" spans="1:14">
      <c r="A722" s="2"/>
      <c r="B722" s="2"/>
      <c r="C722" s="4"/>
      <c r="D722" s="7"/>
      <c r="E722" s="7"/>
      <c r="F722" s="4"/>
      <c r="G722" s="6"/>
      <c r="H722" s="2"/>
      <c r="I722" s="5"/>
      <c r="J722" s="2"/>
      <c r="K722" s="5"/>
      <c r="L722" s="2"/>
      <c r="M722" s="2"/>
      <c r="N722" s="2"/>
    </row>
    <row r="723" spans="1:14">
      <c r="A723" s="2"/>
      <c r="B723" s="2"/>
      <c r="C723" s="4"/>
      <c r="D723" s="7"/>
      <c r="E723" s="7"/>
      <c r="F723" s="4"/>
      <c r="G723" s="6"/>
      <c r="H723" s="2"/>
      <c r="I723" s="5"/>
      <c r="J723" s="2"/>
      <c r="K723" s="5"/>
      <c r="L723" s="2"/>
      <c r="M723" s="2"/>
      <c r="N723" s="2"/>
    </row>
    <row r="724" spans="1:14">
      <c r="A724" s="2"/>
      <c r="B724" s="2"/>
      <c r="C724" s="4"/>
      <c r="D724" s="7"/>
      <c r="E724" s="7"/>
      <c r="F724" s="4"/>
      <c r="G724" s="6"/>
      <c r="H724" s="2"/>
      <c r="I724" s="5"/>
      <c r="J724" s="2"/>
      <c r="K724" s="5"/>
      <c r="L724" s="2"/>
      <c r="M724" s="2"/>
      <c r="N724" s="2"/>
    </row>
    <row r="725" spans="1:14">
      <c r="A725" s="2"/>
      <c r="B725" s="2"/>
      <c r="C725" s="4"/>
      <c r="D725" s="7"/>
      <c r="E725" s="7"/>
      <c r="F725" s="4"/>
      <c r="G725" s="6"/>
      <c r="H725" s="2"/>
      <c r="I725" s="5"/>
      <c r="J725" s="2"/>
      <c r="K725" s="5"/>
      <c r="L725" s="2"/>
      <c r="M725" s="2"/>
      <c r="N725" s="2"/>
    </row>
    <row r="726" spans="1:14">
      <c r="A726" s="2"/>
      <c r="B726" s="2"/>
      <c r="C726" s="4"/>
      <c r="D726" s="7"/>
      <c r="E726" s="7"/>
      <c r="F726" s="4"/>
      <c r="G726" s="6"/>
      <c r="H726" s="2"/>
      <c r="I726" s="5"/>
      <c r="J726" s="2"/>
      <c r="K726" s="5"/>
      <c r="L726" s="2"/>
      <c r="M726" s="2"/>
      <c r="N726" s="2"/>
    </row>
    <row r="727" spans="1:14">
      <c r="A727" s="2"/>
      <c r="B727" s="2"/>
      <c r="C727" s="4"/>
      <c r="D727" s="7"/>
      <c r="E727" s="7"/>
      <c r="F727" s="4"/>
      <c r="G727" s="6"/>
      <c r="H727" s="2"/>
      <c r="I727" s="5"/>
      <c r="J727" s="2"/>
      <c r="K727" s="5"/>
      <c r="L727" s="2"/>
      <c r="M727" s="2"/>
      <c r="N727" s="2"/>
    </row>
    <row r="728" spans="1:14">
      <c r="A728" s="2"/>
      <c r="B728" s="2"/>
      <c r="C728" s="4"/>
      <c r="D728" s="7"/>
      <c r="E728" s="7"/>
      <c r="F728" s="4"/>
      <c r="G728" s="6"/>
      <c r="H728" s="2"/>
      <c r="I728" s="5"/>
      <c r="J728" s="2"/>
      <c r="K728" s="5"/>
      <c r="L728" s="2"/>
      <c r="M728" s="2"/>
      <c r="N728" s="2"/>
    </row>
    <row r="729" spans="1:14">
      <c r="A729" s="2"/>
      <c r="B729" s="2"/>
      <c r="C729" s="4"/>
      <c r="D729" s="7"/>
      <c r="E729" s="7"/>
      <c r="F729" s="4"/>
      <c r="G729" s="6"/>
      <c r="H729" s="2"/>
      <c r="I729" s="5"/>
      <c r="J729" s="2"/>
      <c r="K729" s="5"/>
      <c r="L729" s="2"/>
      <c r="M729" s="2"/>
      <c r="N729" s="2"/>
    </row>
    <row r="730" spans="1:14">
      <c r="A730" s="2"/>
      <c r="B730" s="2"/>
      <c r="C730" s="4"/>
      <c r="D730" s="7"/>
      <c r="E730" s="7"/>
      <c r="F730" s="4"/>
      <c r="G730" s="6"/>
      <c r="H730" s="2"/>
      <c r="I730" s="5"/>
      <c r="J730" s="2"/>
      <c r="K730" s="5"/>
      <c r="L730" s="2"/>
      <c r="M730" s="2"/>
      <c r="N730" s="2"/>
    </row>
    <row r="731" spans="1:14">
      <c r="A731" s="2"/>
      <c r="B731" s="2"/>
      <c r="C731" s="4"/>
      <c r="D731" s="7"/>
      <c r="E731" s="7"/>
      <c r="F731" s="4"/>
      <c r="G731" s="6"/>
      <c r="H731" s="2"/>
      <c r="I731" s="5"/>
      <c r="J731" s="2"/>
      <c r="K731" s="5"/>
      <c r="L731" s="2"/>
      <c r="M731" s="2"/>
      <c r="N731" s="2"/>
    </row>
    <row r="732" spans="1:14">
      <c r="A732" s="2"/>
      <c r="B732" s="2"/>
      <c r="C732" s="4"/>
      <c r="D732" s="7"/>
      <c r="E732" s="7"/>
      <c r="F732" s="4"/>
      <c r="G732" s="6"/>
      <c r="H732" s="2"/>
      <c r="I732" s="5"/>
      <c r="J732" s="2"/>
      <c r="K732" s="5"/>
      <c r="L732" s="2"/>
      <c r="M732" s="2"/>
      <c r="N732" s="2"/>
    </row>
    <row r="733" spans="1:14">
      <c r="A733" s="2"/>
      <c r="B733" s="2"/>
      <c r="C733" s="4"/>
      <c r="D733" s="7"/>
      <c r="E733" s="7"/>
      <c r="F733" s="4"/>
      <c r="G733" s="6"/>
      <c r="H733" s="2"/>
      <c r="I733" s="5"/>
      <c r="J733" s="2"/>
      <c r="K733" s="5"/>
      <c r="L733" s="2"/>
      <c r="M733" s="2"/>
      <c r="N733" s="2"/>
    </row>
    <row r="734" spans="1:14">
      <c r="A734" s="2"/>
      <c r="B734" s="2"/>
      <c r="C734" s="4"/>
      <c r="D734" s="7"/>
      <c r="E734" s="7"/>
      <c r="F734" s="4"/>
      <c r="G734" s="6"/>
      <c r="H734" s="2"/>
      <c r="I734" s="5"/>
      <c r="J734" s="2"/>
      <c r="K734" s="5"/>
      <c r="L734" s="2"/>
      <c r="M734" s="2"/>
      <c r="N734" s="2"/>
    </row>
    <row r="735" spans="1:14">
      <c r="A735" s="2"/>
      <c r="B735" s="2"/>
      <c r="C735" s="4"/>
      <c r="D735" s="7"/>
      <c r="E735" s="7"/>
      <c r="F735" s="4"/>
      <c r="G735" s="6"/>
      <c r="H735" s="2"/>
      <c r="I735" s="5"/>
      <c r="J735" s="2"/>
      <c r="K735" s="5"/>
      <c r="L735" s="2"/>
      <c r="M735" s="2"/>
      <c r="N735" s="2"/>
    </row>
    <row r="736" spans="1:14">
      <c r="A736" s="2"/>
      <c r="B736" s="2"/>
      <c r="C736" s="4"/>
      <c r="D736" s="7"/>
      <c r="E736" s="7"/>
      <c r="F736" s="4"/>
      <c r="G736" s="6"/>
      <c r="H736" s="2"/>
      <c r="I736" s="5"/>
      <c r="J736" s="2"/>
      <c r="K736" s="5"/>
      <c r="L736" s="2"/>
      <c r="M736" s="2"/>
      <c r="N736" s="2"/>
    </row>
    <row r="737" spans="1:14">
      <c r="A737" s="2"/>
      <c r="B737" s="2"/>
      <c r="C737" s="4"/>
      <c r="D737" s="7"/>
      <c r="E737" s="7"/>
      <c r="F737" s="4"/>
      <c r="G737" s="6"/>
      <c r="H737" s="2"/>
      <c r="I737" s="5"/>
      <c r="J737" s="2"/>
      <c r="K737" s="5"/>
      <c r="L737" s="2"/>
      <c r="M737" s="2"/>
      <c r="N737" s="2"/>
    </row>
    <row r="738" spans="1:14">
      <c r="A738" s="2"/>
      <c r="B738" s="2"/>
      <c r="C738" s="4"/>
      <c r="D738" s="7"/>
      <c r="E738" s="7"/>
      <c r="F738" s="4"/>
      <c r="G738" s="6"/>
      <c r="H738" s="2"/>
      <c r="I738" s="5"/>
      <c r="J738" s="2"/>
      <c r="K738" s="5"/>
      <c r="L738" s="2"/>
      <c r="M738" s="2"/>
      <c r="N738" s="2"/>
    </row>
    <row r="739" spans="1:14">
      <c r="A739" s="2"/>
      <c r="B739" s="2"/>
      <c r="C739" s="4"/>
      <c r="D739" s="7"/>
      <c r="E739" s="7"/>
      <c r="F739" s="4"/>
      <c r="G739" s="6"/>
      <c r="H739" s="2"/>
      <c r="I739" s="5"/>
      <c r="J739" s="2"/>
      <c r="K739" s="5"/>
      <c r="L739" s="2"/>
      <c r="M739" s="2"/>
      <c r="N739" s="2"/>
    </row>
    <row r="740" spans="1:14">
      <c r="A740" s="2"/>
      <c r="B740" s="2"/>
      <c r="C740" s="4"/>
      <c r="D740" s="7"/>
      <c r="E740" s="7"/>
      <c r="F740" s="4"/>
      <c r="G740" s="6"/>
      <c r="H740" s="2"/>
      <c r="I740" s="5"/>
      <c r="J740" s="2"/>
      <c r="K740" s="5"/>
      <c r="L740" s="2"/>
      <c r="M740" s="2"/>
      <c r="N740" s="2"/>
    </row>
    <row r="741" spans="1:14">
      <c r="A741" s="2"/>
      <c r="B741" s="2"/>
      <c r="C741" s="4"/>
      <c r="D741" s="7"/>
      <c r="E741" s="7"/>
      <c r="F741" s="4"/>
      <c r="G741" s="6"/>
      <c r="H741" s="2"/>
      <c r="I741" s="5"/>
      <c r="J741" s="2"/>
      <c r="K741" s="5"/>
      <c r="L741" s="2"/>
      <c r="M741" s="2"/>
      <c r="N741" s="2"/>
    </row>
    <row r="742" spans="1:14">
      <c r="A742" s="2"/>
      <c r="B742" s="2"/>
      <c r="C742" s="4"/>
      <c r="D742" s="7"/>
      <c r="E742" s="7"/>
      <c r="F742" s="4"/>
      <c r="G742" s="6"/>
      <c r="H742" s="2"/>
      <c r="I742" s="5"/>
      <c r="J742" s="2"/>
      <c r="K742" s="5"/>
      <c r="L742" s="2"/>
      <c r="M742" s="2"/>
      <c r="N742" s="2"/>
    </row>
    <row r="743" spans="1:14">
      <c r="A743" s="2"/>
      <c r="B743" s="2"/>
      <c r="C743" s="4"/>
      <c r="D743" s="7"/>
      <c r="E743" s="7"/>
      <c r="F743" s="4"/>
      <c r="G743" s="6"/>
      <c r="H743" s="2"/>
      <c r="I743" s="5"/>
      <c r="J743" s="2"/>
      <c r="K743" s="5"/>
      <c r="L743" s="2"/>
      <c r="M743" s="2"/>
      <c r="N743" s="2"/>
    </row>
    <row r="744" spans="1:14">
      <c r="A744" s="2"/>
      <c r="B744" s="2"/>
      <c r="C744" s="4"/>
      <c r="D744" s="7"/>
      <c r="E744" s="7"/>
      <c r="F744" s="4"/>
      <c r="G744" s="6"/>
      <c r="H744" s="2"/>
      <c r="I744" s="5"/>
      <c r="J744" s="2"/>
      <c r="K744" s="5"/>
      <c r="L744" s="2"/>
      <c r="M744" s="2"/>
      <c r="N744" s="2"/>
    </row>
    <row r="745" spans="1:14">
      <c r="A745" s="2"/>
      <c r="B745" s="2"/>
      <c r="C745" s="4"/>
      <c r="D745" s="7"/>
      <c r="E745" s="7"/>
      <c r="F745" s="4"/>
      <c r="G745" s="6"/>
      <c r="H745" s="2"/>
      <c r="I745" s="5"/>
      <c r="J745" s="2"/>
      <c r="K745" s="5"/>
      <c r="L745" s="2"/>
      <c r="M745" s="2"/>
      <c r="N745" s="2"/>
    </row>
    <row r="746" spans="1:14">
      <c r="A746" s="2"/>
      <c r="B746" s="2"/>
      <c r="C746" s="4"/>
      <c r="D746" s="7"/>
      <c r="E746" s="7"/>
      <c r="F746" s="4"/>
      <c r="G746" s="6"/>
      <c r="H746" s="2"/>
      <c r="I746" s="5"/>
      <c r="J746" s="2"/>
      <c r="K746" s="5"/>
      <c r="L746" s="2"/>
      <c r="M746" s="2"/>
      <c r="N746" s="2"/>
    </row>
    <row r="747" spans="1:14">
      <c r="A747" s="2"/>
      <c r="B747" s="2"/>
      <c r="C747" s="4"/>
      <c r="D747" s="7"/>
      <c r="E747" s="7"/>
      <c r="F747" s="4"/>
      <c r="G747" s="6"/>
      <c r="H747" s="2"/>
      <c r="I747" s="5"/>
      <c r="J747" s="2"/>
      <c r="K747" s="5"/>
      <c r="L747" s="2"/>
      <c r="M747" s="2"/>
      <c r="N747" s="2"/>
    </row>
    <row r="748" spans="1:14">
      <c r="A748" s="2"/>
      <c r="B748" s="2"/>
      <c r="C748" s="4"/>
      <c r="D748" s="7"/>
      <c r="E748" s="7"/>
      <c r="F748" s="4"/>
      <c r="G748" s="6"/>
      <c r="H748" s="2"/>
      <c r="I748" s="5"/>
      <c r="J748" s="2"/>
      <c r="K748" s="5"/>
      <c r="L748" s="2"/>
      <c r="M748" s="2"/>
      <c r="N748" s="2"/>
    </row>
    <row r="749" spans="1:14">
      <c r="A749" s="2"/>
      <c r="B749" s="2"/>
      <c r="C749" s="4"/>
      <c r="D749" s="7"/>
      <c r="E749" s="7"/>
      <c r="F749" s="4"/>
      <c r="G749" s="6"/>
      <c r="H749" s="2"/>
      <c r="I749" s="5"/>
      <c r="J749" s="2"/>
      <c r="K749" s="5"/>
      <c r="L749" s="2"/>
      <c r="M749" s="2"/>
      <c r="N749" s="2"/>
    </row>
    <row r="750" spans="1:14">
      <c r="A750" s="2"/>
      <c r="B750" s="2"/>
      <c r="C750" s="4"/>
      <c r="D750" s="7"/>
      <c r="E750" s="7"/>
      <c r="F750" s="4"/>
      <c r="G750" s="6"/>
      <c r="H750" s="2"/>
      <c r="I750" s="5"/>
      <c r="J750" s="2"/>
      <c r="K750" s="5"/>
      <c r="L750" s="2"/>
      <c r="M750" s="2"/>
      <c r="N750" s="2"/>
    </row>
    <row r="751" spans="1:14">
      <c r="A751" s="2"/>
      <c r="B751" s="2"/>
      <c r="C751" s="4"/>
      <c r="D751" s="7"/>
      <c r="E751" s="7"/>
      <c r="F751" s="4"/>
      <c r="G751" s="6"/>
      <c r="H751" s="2"/>
      <c r="I751" s="5"/>
      <c r="J751" s="2"/>
      <c r="K751" s="5"/>
      <c r="L751" s="2"/>
      <c r="M751" s="2"/>
      <c r="N751" s="2"/>
    </row>
    <row r="752" spans="1:14">
      <c r="A752" s="2"/>
      <c r="B752" s="2"/>
      <c r="C752" s="4"/>
      <c r="D752" s="7"/>
      <c r="E752" s="7"/>
      <c r="F752" s="4"/>
      <c r="G752" s="6"/>
      <c r="H752" s="2"/>
      <c r="I752" s="5"/>
      <c r="J752" s="2"/>
      <c r="K752" s="5"/>
      <c r="L752" s="2"/>
      <c r="M752" s="2"/>
      <c r="N752" s="2"/>
    </row>
    <row r="753" spans="1:14">
      <c r="A753" s="2"/>
      <c r="B753" s="2"/>
      <c r="C753" s="4"/>
      <c r="D753" s="7"/>
      <c r="E753" s="7"/>
      <c r="F753" s="4"/>
      <c r="G753" s="6"/>
      <c r="H753" s="2"/>
      <c r="I753" s="5"/>
      <c r="J753" s="2"/>
      <c r="K753" s="5"/>
      <c r="L753" s="2"/>
      <c r="M753" s="2"/>
      <c r="N753" s="2"/>
    </row>
    <row r="754" spans="1:14">
      <c r="A754" s="2"/>
      <c r="B754" s="2"/>
      <c r="C754" s="4"/>
      <c r="D754" s="7"/>
      <c r="E754" s="7"/>
      <c r="F754" s="4"/>
      <c r="G754" s="6"/>
      <c r="H754" s="2"/>
      <c r="I754" s="5"/>
      <c r="J754" s="2"/>
      <c r="K754" s="5"/>
      <c r="L754" s="2"/>
      <c r="M754" s="2"/>
      <c r="N754" s="2"/>
    </row>
    <row r="755" spans="1:14">
      <c r="A755" s="2"/>
      <c r="B755" s="2"/>
      <c r="C755" s="4"/>
      <c r="D755" s="7"/>
      <c r="E755" s="7"/>
      <c r="F755" s="4"/>
      <c r="G755" s="6"/>
      <c r="H755" s="2"/>
      <c r="I755" s="5"/>
      <c r="J755" s="2"/>
      <c r="K755" s="5"/>
      <c r="L755" s="2"/>
      <c r="M755" s="2"/>
      <c r="N755" s="2"/>
    </row>
    <row r="756" spans="1:14">
      <c r="A756" s="2"/>
      <c r="B756" s="2"/>
      <c r="C756" s="4"/>
      <c r="D756" s="7"/>
      <c r="E756" s="7"/>
      <c r="F756" s="4"/>
      <c r="G756" s="6"/>
      <c r="H756" s="2"/>
      <c r="I756" s="5"/>
      <c r="J756" s="2"/>
      <c r="K756" s="5"/>
      <c r="L756" s="2"/>
      <c r="M756" s="2"/>
      <c r="N756" s="2"/>
    </row>
    <row r="757" spans="1:14">
      <c r="A757" s="2"/>
      <c r="B757" s="2"/>
      <c r="C757" s="4"/>
      <c r="D757" s="7"/>
      <c r="E757" s="7"/>
      <c r="F757" s="4"/>
      <c r="G757" s="6"/>
      <c r="H757" s="2"/>
      <c r="I757" s="5"/>
      <c r="J757" s="2"/>
      <c r="K757" s="5"/>
      <c r="L757" s="2"/>
      <c r="M757" s="2"/>
      <c r="N757" s="2"/>
    </row>
    <row r="758" spans="1:14">
      <c r="A758" s="2"/>
      <c r="B758" s="2"/>
      <c r="C758" s="4"/>
      <c r="D758" s="7"/>
      <c r="E758" s="7"/>
      <c r="F758" s="4"/>
      <c r="G758" s="6"/>
      <c r="H758" s="2"/>
      <c r="I758" s="5"/>
      <c r="J758" s="2"/>
      <c r="K758" s="5"/>
      <c r="L758" s="2"/>
      <c r="M758" s="2"/>
      <c r="N758" s="2"/>
    </row>
    <row r="759" spans="1:14">
      <c r="A759" s="2"/>
      <c r="B759" s="2"/>
      <c r="C759" s="4"/>
      <c r="D759" s="7"/>
      <c r="E759" s="7"/>
      <c r="F759" s="4"/>
      <c r="G759" s="6"/>
      <c r="H759" s="2"/>
      <c r="I759" s="5"/>
      <c r="J759" s="2"/>
      <c r="K759" s="5"/>
      <c r="L759" s="2"/>
      <c r="M759" s="2"/>
      <c r="N759" s="2"/>
    </row>
    <row r="760" spans="1:14">
      <c r="A760" s="2"/>
      <c r="B760" s="2"/>
      <c r="C760" s="4"/>
      <c r="D760" s="7"/>
      <c r="E760" s="7"/>
      <c r="F760" s="4"/>
      <c r="G760" s="6"/>
      <c r="H760" s="2"/>
      <c r="I760" s="5"/>
      <c r="J760" s="2"/>
      <c r="K760" s="5"/>
      <c r="L760" s="2"/>
      <c r="M760" s="2"/>
      <c r="N760" s="2"/>
    </row>
    <row r="761" spans="1:14">
      <c r="A761" s="2"/>
      <c r="B761" s="2"/>
      <c r="C761" s="4"/>
      <c r="D761" s="7"/>
      <c r="E761" s="7"/>
      <c r="F761" s="4"/>
      <c r="G761" s="6"/>
      <c r="H761" s="2"/>
      <c r="I761" s="5"/>
      <c r="J761" s="2"/>
      <c r="K761" s="5"/>
      <c r="L761" s="2"/>
      <c r="M761" s="2"/>
      <c r="N761" s="2"/>
    </row>
    <row r="762" spans="1:14">
      <c r="A762" s="2"/>
      <c r="B762" s="2"/>
      <c r="C762" s="4"/>
      <c r="D762" s="7"/>
      <c r="E762" s="7"/>
      <c r="F762" s="4"/>
      <c r="G762" s="6"/>
      <c r="H762" s="2"/>
      <c r="I762" s="5"/>
      <c r="J762" s="2"/>
      <c r="K762" s="5"/>
      <c r="L762" s="2"/>
      <c r="M762" s="2"/>
      <c r="N762" s="2"/>
    </row>
    <row r="763" spans="1:14">
      <c r="A763" s="2"/>
      <c r="B763" s="2"/>
      <c r="C763" s="4"/>
      <c r="D763" s="7"/>
      <c r="E763" s="7"/>
      <c r="F763" s="4"/>
      <c r="G763" s="6"/>
      <c r="H763" s="2"/>
      <c r="I763" s="5"/>
      <c r="J763" s="2"/>
      <c r="K763" s="5"/>
      <c r="L763" s="2"/>
      <c r="M763" s="2"/>
      <c r="N763" s="2"/>
    </row>
    <row r="764" spans="1:14">
      <c r="A764" s="2"/>
      <c r="B764" s="2"/>
      <c r="C764" s="4"/>
      <c r="D764" s="7"/>
      <c r="E764" s="7"/>
      <c r="F764" s="4"/>
      <c r="G764" s="6"/>
      <c r="H764" s="2"/>
      <c r="I764" s="5"/>
      <c r="J764" s="2"/>
      <c r="K764" s="5"/>
      <c r="L764" s="2"/>
      <c r="M764" s="2"/>
      <c r="N764" s="2"/>
    </row>
    <row r="765" spans="1:14">
      <c r="A765" s="2"/>
      <c r="B765" s="2"/>
      <c r="C765" s="4"/>
      <c r="D765" s="7"/>
      <c r="E765" s="7"/>
      <c r="F765" s="4"/>
      <c r="G765" s="6"/>
      <c r="H765" s="2"/>
      <c r="I765" s="5"/>
      <c r="J765" s="2"/>
      <c r="K765" s="5"/>
      <c r="L765" s="2"/>
      <c r="M765" s="2"/>
      <c r="N765" s="2"/>
    </row>
    <row r="766" spans="1:14">
      <c r="A766" s="2"/>
      <c r="B766" s="2"/>
      <c r="C766" s="4"/>
      <c r="D766" s="7"/>
      <c r="E766" s="7"/>
      <c r="F766" s="4"/>
      <c r="G766" s="6"/>
      <c r="H766" s="2"/>
      <c r="I766" s="5"/>
      <c r="J766" s="2"/>
      <c r="K766" s="5"/>
      <c r="L766" s="2"/>
      <c r="M766" s="2"/>
      <c r="N766" s="2"/>
    </row>
    <row r="767" spans="1:14">
      <c r="A767" s="2"/>
      <c r="B767" s="2"/>
      <c r="C767" s="4"/>
      <c r="D767" s="7"/>
      <c r="E767" s="7"/>
      <c r="F767" s="4"/>
      <c r="G767" s="6"/>
      <c r="H767" s="2"/>
      <c r="I767" s="5"/>
      <c r="J767" s="2"/>
      <c r="K767" s="5"/>
      <c r="L767" s="2"/>
      <c r="M767" s="2"/>
      <c r="N767" s="2"/>
    </row>
    <row r="768" spans="1:14">
      <c r="A768" s="2"/>
      <c r="B768" s="2"/>
      <c r="C768" s="4"/>
      <c r="D768" s="7"/>
      <c r="E768" s="7"/>
      <c r="F768" s="4"/>
      <c r="G768" s="6"/>
      <c r="H768" s="2"/>
      <c r="I768" s="5"/>
      <c r="J768" s="2"/>
      <c r="K768" s="5"/>
      <c r="L768" s="2"/>
      <c r="M768" s="2"/>
      <c r="N768" s="2"/>
    </row>
    <row r="769" spans="1:14">
      <c r="A769" s="2"/>
      <c r="B769" s="2"/>
      <c r="C769" s="4"/>
      <c r="D769" s="7"/>
      <c r="E769" s="7"/>
      <c r="F769" s="4"/>
      <c r="G769" s="6"/>
      <c r="H769" s="2"/>
      <c r="I769" s="5"/>
      <c r="J769" s="2"/>
      <c r="K769" s="5"/>
      <c r="L769" s="2"/>
      <c r="M769" s="2"/>
      <c r="N769" s="2"/>
    </row>
    <row r="770" spans="1:14">
      <c r="A770" s="2"/>
      <c r="B770" s="2"/>
      <c r="C770" s="4"/>
      <c r="D770" s="7"/>
      <c r="E770" s="7"/>
      <c r="F770" s="4"/>
      <c r="G770" s="6"/>
      <c r="H770" s="2"/>
      <c r="I770" s="5"/>
      <c r="J770" s="2"/>
      <c r="K770" s="5"/>
      <c r="L770" s="2"/>
      <c r="M770" s="2"/>
      <c r="N770" s="2"/>
    </row>
    <row r="771" spans="1:14">
      <c r="A771" s="2"/>
      <c r="B771" s="2"/>
      <c r="C771" s="4"/>
      <c r="D771" s="7"/>
      <c r="E771" s="7"/>
      <c r="F771" s="4"/>
      <c r="G771" s="6"/>
      <c r="H771" s="2"/>
      <c r="I771" s="5"/>
      <c r="J771" s="2"/>
      <c r="K771" s="5"/>
      <c r="L771" s="2"/>
      <c r="M771" s="2"/>
      <c r="N771" s="2"/>
    </row>
    <row r="772" spans="1:14">
      <c r="A772" s="2"/>
      <c r="B772" s="2"/>
      <c r="C772" s="4"/>
      <c r="D772" s="7"/>
      <c r="E772" s="7"/>
      <c r="F772" s="4"/>
      <c r="G772" s="6"/>
      <c r="H772" s="2"/>
      <c r="I772" s="5"/>
      <c r="J772" s="2"/>
      <c r="K772" s="5"/>
      <c r="L772" s="2"/>
      <c r="M772" s="2"/>
      <c r="N772" s="2"/>
    </row>
    <row r="773" spans="1:14">
      <c r="A773" s="2"/>
      <c r="B773" s="2"/>
      <c r="C773" s="4"/>
      <c r="D773" s="7"/>
      <c r="E773" s="7"/>
      <c r="F773" s="4"/>
      <c r="G773" s="6"/>
      <c r="H773" s="2"/>
      <c r="I773" s="5"/>
      <c r="J773" s="2"/>
      <c r="K773" s="5"/>
      <c r="L773" s="2"/>
      <c r="M773" s="2"/>
      <c r="N773" s="2"/>
    </row>
    <row r="774" spans="1:14">
      <c r="A774" s="2"/>
      <c r="B774" s="2"/>
      <c r="C774" s="4"/>
      <c r="D774" s="7"/>
      <c r="E774" s="7"/>
      <c r="F774" s="4"/>
      <c r="G774" s="6"/>
      <c r="H774" s="2"/>
      <c r="I774" s="5"/>
      <c r="J774" s="2"/>
      <c r="K774" s="5"/>
      <c r="L774" s="2"/>
      <c r="M774" s="2"/>
      <c r="N774" s="2"/>
    </row>
    <row r="775" spans="1:14">
      <c r="A775" s="2"/>
      <c r="B775" s="2"/>
      <c r="C775" s="4"/>
      <c r="D775" s="7"/>
      <c r="E775" s="7"/>
      <c r="F775" s="4"/>
      <c r="G775" s="6"/>
      <c r="H775" s="2"/>
      <c r="I775" s="5"/>
      <c r="J775" s="2"/>
      <c r="K775" s="5"/>
      <c r="L775" s="2"/>
      <c r="M775" s="2"/>
      <c r="N775" s="2"/>
    </row>
    <row r="776" spans="1:14">
      <c r="A776" s="2"/>
      <c r="B776" s="2"/>
      <c r="C776" s="4"/>
      <c r="D776" s="7"/>
      <c r="E776" s="7"/>
      <c r="F776" s="4"/>
      <c r="G776" s="6"/>
      <c r="H776" s="2"/>
      <c r="I776" s="5"/>
      <c r="J776" s="2"/>
      <c r="K776" s="5"/>
      <c r="L776" s="2"/>
      <c r="M776" s="2"/>
      <c r="N776" s="2"/>
    </row>
    <row r="777" spans="1:14">
      <c r="A777" s="2"/>
      <c r="B777" s="2"/>
      <c r="C777" s="4"/>
      <c r="D777" s="7"/>
      <c r="E777" s="7"/>
      <c r="F777" s="4"/>
      <c r="G777" s="6"/>
      <c r="H777" s="2"/>
      <c r="I777" s="5"/>
      <c r="J777" s="2"/>
      <c r="K777" s="5"/>
      <c r="L777" s="2"/>
      <c r="M777" s="2"/>
      <c r="N777" s="2"/>
    </row>
    <row r="778" spans="1:14">
      <c r="A778" s="2"/>
      <c r="B778" s="2"/>
      <c r="C778" s="4"/>
      <c r="D778" s="7"/>
      <c r="E778" s="7"/>
      <c r="F778" s="4"/>
      <c r="G778" s="6"/>
      <c r="H778" s="2"/>
      <c r="I778" s="5"/>
      <c r="J778" s="2"/>
      <c r="K778" s="5"/>
      <c r="L778" s="2"/>
      <c r="M778" s="2"/>
      <c r="N778" s="2"/>
    </row>
    <row r="779" spans="1:14">
      <c r="A779" s="2"/>
      <c r="B779" s="2"/>
      <c r="C779" s="4"/>
      <c r="D779" s="7"/>
      <c r="E779" s="7"/>
      <c r="F779" s="4"/>
      <c r="G779" s="6"/>
      <c r="H779" s="2"/>
      <c r="I779" s="5"/>
      <c r="J779" s="2"/>
      <c r="K779" s="5"/>
      <c r="L779" s="2"/>
      <c r="M779" s="2"/>
      <c r="N779" s="2"/>
    </row>
    <row r="780" spans="1:14">
      <c r="A780" s="2"/>
      <c r="B780" s="2"/>
      <c r="C780" s="4"/>
      <c r="D780" s="7"/>
      <c r="E780" s="7"/>
      <c r="F780" s="4"/>
      <c r="G780" s="6"/>
      <c r="H780" s="2"/>
      <c r="I780" s="5"/>
      <c r="J780" s="2"/>
      <c r="K780" s="5"/>
      <c r="L780" s="2"/>
      <c r="M780" s="2"/>
      <c r="N780" s="2"/>
    </row>
    <row r="781" spans="1:14">
      <c r="A781" s="2"/>
      <c r="B781" s="2"/>
      <c r="C781" s="4"/>
      <c r="D781" s="7"/>
      <c r="E781" s="7"/>
      <c r="F781" s="4"/>
      <c r="G781" s="6"/>
      <c r="H781" s="2"/>
      <c r="I781" s="5"/>
      <c r="J781" s="2"/>
      <c r="K781" s="5"/>
      <c r="L781" s="2"/>
      <c r="M781" s="2"/>
      <c r="N781" s="2"/>
    </row>
    <row r="782" spans="1:14">
      <c r="A782" s="2"/>
      <c r="B782" s="2"/>
      <c r="C782" s="4"/>
      <c r="D782" s="7"/>
      <c r="E782" s="7"/>
      <c r="F782" s="4"/>
      <c r="G782" s="6"/>
      <c r="H782" s="2"/>
      <c r="I782" s="5"/>
      <c r="J782" s="2"/>
      <c r="K782" s="5"/>
      <c r="L782" s="2"/>
      <c r="M782" s="2"/>
      <c r="N782" s="2"/>
    </row>
    <row r="783" spans="1:14">
      <c r="A783" s="2"/>
      <c r="B783" s="2"/>
      <c r="C783" s="4"/>
      <c r="D783" s="7"/>
      <c r="E783" s="7"/>
      <c r="F783" s="4"/>
      <c r="G783" s="6"/>
      <c r="H783" s="2"/>
      <c r="I783" s="5"/>
      <c r="J783" s="2"/>
      <c r="K783" s="5"/>
      <c r="L783" s="2"/>
      <c r="M783" s="2"/>
      <c r="N783" s="2"/>
    </row>
    <row r="784" spans="1:14">
      <c r="A784" s="2"/>
      <c r="B784" s="2"/>
      <c r="C784" s="4"/>
      <c r="D784" s="7"/>
      <c r="E784" s="7"/>
      <c r="F784" s="4"/>
      <c r="G784" s="6"/>
      <c r="H784" s="2"/>
      <c r="I784" s="5"/>
      <c r="J784" s="2"/>
      <c r="K784" s="5"/>
      <c r="L784" s="2"/>
      <c r="M784" s="2"/>
      <c r="N784" s="2"/>
    </row>
    <row r="785" spans="1:14">
      <c r="A785" s="2"/>
      <c r="B785" s="2"/>
      <c r="C785" s="4"/>
      <c r="D785" s="7"/>
      <c r="E785" s="7"/>
      <c r="F785" s="4"/>
      <c r="G785" s="6"/>
      <c r="H785" s="2"/>
      <c r="I785" s="5"/>
      <c r="J785" s="2"/>
      <c r="K785" s="5"/>
      <c r="L785" s="2"/>
      <c r="M785" s="2"/>
      <c r="N785" s="2"/>
    </row>
    <row r="786" spans="1:14">
      <c r="A786" s="2"/>
      <c r="B786" s="2"/>
      <c r="C786" s="4"/>
      <c r="D786" s="7"/>
      <c r="E786" s="7"/>
      <c r="F786" s="4"/>
      <c r="G786" s="6"/>
      <c r="H786" s="2"/>
      <c r="I786" s="5"/>
      <c r="J786" s="2"/>
      <c r="K786" s="5"/>
      <c r="L786" s="2"/>
      <c r="M786" s="2"/>
      <c r="N786" s="2"/>
    </row>
    <row r="787" spans="1:14">
      <c r="A787" s="2"/>
      <c r="B787" s="2"/>
      <c r="C787" s="4"/>
      <c r="D787" s="7"/>
      <c r="E787" s="7"/>
      <c r="F787" s="4"/>
      <c r="G787" s="6"/>
      <c r="H787" s="2"/>
      <c r="I787" s="5"/>
      <c r="J787" s="2"/>
      <c r="K787" s="5"/>
      <c r="L787" s="2"/>
      <c r="M787" s="2"/>
      <c r="N787" s="2"/>
    </row>
    <row r="788" spans="1:14">
      <c r="A788" s="2"/>
      <c r="B788" s="2"/>
      <c r="C788" s="4"/>
      <c r="D788" s="7"/>
      <c r="E788" s="7"/>
      <c r="F788" s="4"/>
      <c r="G788" s="6"/>
      <c r="H788" s="2"/>
      <c r="I788" s="5"/>
      <c r="J788" s="2"/>
      <c r="K788" s="5"/>
      <c r="L788" s="2"/>
      <c r="M788" s="2"/>
      <c r="N788" s="2"/>
    </row>
    <row r="789" spans="1:14">
      <c r="A789" s="2"/>
      <c r="B789" s="2"/>
      <c r="C789" s="4"/>
      <c r="D789" s="7"/>
      <c r="E789" s="7"/>
      <c r="F789" s="4"/>
      <c r="G789" s="6"/>
      <c r="H789" s="2"/>
      <c r="I789" s="5"/>
      <c r="J789" s="2"/>
      <c r="K789" s="5"/>
      <c r="L789" s="2"/>
      <c r="M789" s="2"/>
      <c r="N789" s="2"/>
    </row>
    <row r="790" spans="1:14">
      <c r="A790" s="2"/>
      <c r="B790" s="2"/>
      <c r="C790" s="4"/>
      <c r="D790" s="7"/>
      <c r="E790" s="7"/>
      <c r="F790" s="4"/>
      <c r="G790" s="6"/>
      <c r="H790" s="2"/>
      <c r="I790" s="5"/>
      <c r="J790" s="2"/>
      <c r="K790" s="5"/>
      <c r="L790" s="2"/>
      <c r="M790" s="2"/>
      <c r="N790" s="2"/>
    </row>
    <row r="791" spans="1:14">
      <c r="A791" s="2"/>
      <c r="B791" s="2"/>
      <c r="C791" s="4"/>
      <c r="D791" s="7"/>
      <c r="E791" s="7"/>
      <c r="F791" s="4"/>
      <c r="G791" s="6"/>
      <c r="H791" s="2"/>
      <c r="I791" s="5"/>
      <c r="J791" s="2"/>
      <c r="K791" s="5"/>
      <c r="L791" s="2"/>
      <c r="M791" s="2"/>
      <c r="N791" s="2"/>
    </row>
    <row r="792" spans="1:14">
      <c r="A792" s="2"/>
      <c r="B792" s="2"/>
      <c r="C792" s="4"/>
      <c r="D792" s="7"/>
      <c r="E792" s="7"/>
      <c r="F792" s="4"/>
      <c r="G792" s="6"/>
      <c r="H792" s="2"/>
      <c r="I792" s="5"/>
      <c r="J792" s="2"/>
      <c r="K792" s="5"/>
      <c r="L792" s="2"/>
      <c r="M792" s="2"/>
      <c r="N792" s="2"/>
    </row>
    <row r="793" spans="1:14">
      <c r="A793" s="2"/>
      <c r="B793" s="2"/>
      <c r="C793" s="4"/>
      <c r="D793" s="7"/>
      <c r="E793" s="7"/>
      <c r="F793" s="4"/>
      <c r="G793" s="6"/>
      <c r="H793" s="2"/>
      <c r="I793" s="5"/>
      <c r="J793" s="2"/>
      <c r="K793" s="5"/>
      <c r="L793" s="2"/>
      <c r="M793" s="2"/>
      <c r="N793" s="2"/>
    </row>
    <row r="794" spans="1:14">
      <c r="A794" s="2"/>
      <c r="B794" s="2"/>
      <c r="C794" s="4"/>
      <c r="D794" s="7"/>
      <c r="E794" s="7"/>
      <c r="F794" s="4"/>
      <c r="G794" s="6"/>
      <c r="H794" s="2"/>
      <c r="I794" s="5"/>
      <c r="J794" s="2"/>
      <c r="K794" s="5"/>
      <c r="L794" s="2"/>
      <c r="M794" s="2"/>
      <c r="N794" s="2"/>
    </row>
    <row r="795" spans="1:14">
      <c r="A795" s="2"/>
      <c r="B795" s="2"/>
      <c r="C795" s="4"/>
      <c r="D795" s="7"/>
      <c r="E795" s="7"/>
      <c r="F795" s="4"/>
      <c r="G795" s="6"/>
      <c r="H795" s="2"/>
      <c r="I795" s="5"/>
      <c r="J795" s="2"/>
      <c r="K795" s="5"/>
      <c r="L795" s="2"/>
      <c r="M795" s="2"/>
      <c r="N795" s="2"/>
    </row>
    <row r="796" spans="1:14">
      <c r="A796" s="2"/>
      <c r="B796" s="2"/>
      <c r="C796" s="4"/>
      <c r="D796" s="7"/>
      <c r="E796" s="7"/>
      <c r="F796" s="4"/>
      <c r="G796" s="6"/>
      <c r="H796" s="2"/>
      <c r="I796" s="5"/>
      <c r="J796" s="2"/>
      <c r="K796" s="5"/>
      <c r="L796" s="2"/>
      <c r="M796" s="2"/>
      <c r="N796" s="2"/>
    </row>
    <row r="797" spans="1:14">
      <c r="A797" s="2"/>
      <c r="B797" s="2"/>
      <c r="C797" s="4"/>
      <c r="D797" s="7"/>
      <c r="E797" s="7"/>
      <c r="F797" s="4"/>
      <c r="G797" s="6"/>
      <c r="H797" s="2"/>
      <c r="I797" s="5"/>
      <c r="J797" s="2"/>
      <c r="K797" s="5"/>
      <c r="L797" s="2"/>
      <c r="M797" s="2"/>
      <c r="N797" s="2"/>
    </row>
    <row r="798" spans="1:14">
      <c r="A798" s="2"/>
      <c r="B798" s="2"/>
      <c r="C798" s="4"/>
      <c r="D798" s="7"/>
      <c r="E798" s="7"/>
      <c r="F798" s="4"/>
      <c r="G798" s="6"/>
      <c r="H798" s="2"/>
      <c r="I798" s="5"/>
      <c r="J798" s="2"/>
      <c r="K798" s="5"/>
      <c r="L798" s="2"/>
      <c r="M798" s="2"/>
      <c r="N798" s="2"/>
    </row>
    <row r="799" spans="1:14">
      <c r="A799" s="2"/>
      <c r="B799" s="2"/>
      <c r="C799" s="4"/>
      <c r="D799" s="7"/>
      <c r="E799" s="7"/>
      <c r="F799" s="4"/>
      <c r="G799" s="6"/>
      <c r="H799" s="2"/>
      <c r="I799" s="5"/>
      <c r="J799" s="2"/>
      <c r="K799" s="5"/>
      <c r="L799" s="2"/>
      <c r="M799" s="2"/>
      <c r="N799" s="2"/>
    </row>
    <row r="800" spans="1:14">
      <c r="A800" s="2"/>
      <c r="B800" s="2"/>
      <c r="C800" s="4"/>
      <c r="D800" s="7"/>
      <c r="E800" s="7"/>
      <c r="F800" s="4"/>
      <c r="G800" s="6"/>
      <c r="H800" s="2"/>
      <c r="I800" s="5"/>
      <c r="J800" s="2"/>
      <c r="K800" s="5"/>
      <c r="L800" s="2"/>
      <c r="M800" s="2"/>
      <c r="N800" s="2"/>
    </row>
    <row r="801" spans="1:14">
      <c r="A801" s="2"/>
      <c r="B801" s="2"/>
      <c r="C801" s="4"/>
      <c r="D801" s="7"/>
      <c r="E801" s="7"/>
      <c r="F801" s="4"/>
      <c r="G801" s="6"/>
      <c r="H801" s="2"/>
      <c r="I801" s="5"/>
      <c r="J801" s="2"/>
      <c r="K801" s="5"/>
      <c r="L801" s="2"/>
      <c r="M801" s="2"/>
      <c r="N801" s="2"/>
    </row>
    <row r="802" spans="1:14">
      <c r="A802" s="2"/>
      <c r="B802" s="2"/>
      <c r="C802" s="4"/>
      <c r="D802" s="7"/>
      <c r="E802" s="7"/>
      <c r="F802" s="4"/>
      <c r="G802" s="6"/>
      <c r="H802" s="2"/>
      <c r="I802" s="5"/>
      <c r="J802" s="2"/>
      <c r="K802" s="5"/>
      <c r="L802" s="2"/>
      <c r="M802" s="2"/>
      <c r="N802" s="2"/>
    </row>
    <row r="803" spans="1:14">
      <c r="A803" s="2"/>
      <c r="B803" s="2"/>
      <c r="C803" s="4"/>
      <c r="D803" s="7"/>
      <c r="E803" s="7"/>
      <c r="F803" s="4"/>
      <c r="G803" s="6"/>
      <c r="H803" s="2"/>
      <c r="I803" s="5"/>
      <c r="J803" s="2"/>
      <c r="K803" s="5"/>
      <c r="L803" s="2"/>
      <c r="M803" s="2"/>
      <c r="N803" s="2"/>
    </row>
    <row r="804" spans="1:14">
      <c r="A804" s="2"/>
      <c r="B804" s="2"/>
      <c r="C804" s="4"/>
      <c r="D804" s="7"/>
      <c r="E804" s="7"/>
      <c r="F804" s="4"/>
      <c r="G804" s="6"/>
      <c r="H804" s="2"/>
      <c r="I804" s="5"/>
      <c r="J804" s="2"/>
      <c r="K804" s="5"/>
      <c r="L804" s="2"/>
      <c r="M804" s="2"/>
      <c r="N804" s="2"/>
    </row>
    <row r="805" spans="1:14">
      <c r="A805" s="2"/>
      <c r="B805" s="2"/>
      <c r="C805" s="4"/>
      <c r="D805" s="7"/>
      <c r="E805" s="7"/>
      <c r="F805" s="4"/>
      <c r="G805" s="6"/>
      <c r="H805" s="2"/>
      <c r="I805" s="5"/>
      <c r="J805" s="2"/>
      <c r="K805" s="5"/>
      <c r="L805" s="2"/>
      <c r="M805" s="2"/>
      <c r="N805" s="2"/>
    </row>
    <row r="806" spans="1:14">
      <c r="A806" s="2"/>
      <c r="B806" s="2"/>
      <c r="C806" s="4"/>
      <c r="D806" s="7"/>
      <c r="E806" s="7"/>
      <c r="F806" s="4"/>
      <c r="G806" s="6"/>
      <c r="H806" s="2"/>
      <c r="I806" s="5"/>
      <c r="J806" s="2"/>
      <c r="K806" s="5"/>
      <c r="L806" s="2"/>
      <c r="M806" s="2"/>
      <c r="N806" s="2"/>
    </row>
    <row r="807" spans="1:14">
      <c r="A807" s="2"/>
      <c r="B807" s="2"/>
      <c r="C807" s="4"/>
      <c r="D807" s="7"/>
      <c r="E807" s="7"/>
      <c r="F807" s="4"/>
      <c r="G807" s="6"/>
      <c r="H807" s="2"/>
      <c r="I807" s="5"/>
      <c r="J807" s="2"/>
      <c r="K807" s="5"/>
      <c r="L807" s="2"/>
      <c r="M807" s="2"/>
      <c r="N807" s="2"/>
    </row>
    <row r="808" spans="1:14">
      <c r="A808" s="2"/>
      <c r="B808" s="2"/>
      <c r="C808" s="4"/>
      <c r="D808" s="7"/>
      <c r="E808" s="7"/>
      <c r="F808" s="4"/>
      <c r="G808" s="6"/>
      <c r="H808" s="2"/>
      <c r="I808" s="5"/>
      <c r="J808" s="2"/>
      <c r="K808" s="5"/>
      <c r="L808" s="2"/>
      <c r="M808" s="2"/>
      <c r="N808" s="2"/>
    </row>
    <row r="809" spans="1:14">
      <c r="A809" s="2"/>
      <c r="B809" s="2"/>
      <c r="C809" s="4"/>
      <c r="D809" s="7"/>
      <c r="E809" s="7"/>
      <c r="F809" s="4"/>
      <c r="G809" s="6"/>
      <c r="H809" s="2"/>
      <c r="I809" s="5"/>
      <c r="J809" s="2"/>
      <c r="K809" s="5"/>
      <c r="L809" s="2"/>
      <c r="M809" s="2"/>
      <c r="N809" s="2"/>
    </row>
    <row r="810" spans="1:14">
      <c r="A810" s="2"/>
      <c r="B810" s="2"/>
      <c r="C810" s="4"/>
      <c r="D810" s="7"/>
      <c r="E810" s="7"/>
      <c r="F810" s="4"/>
      <c r="G810" s="6"/>
      <c r="H810" s="2"/>
      <c r="I810" s="5"/>
      <c r="J810" s="2"/>
      <c r="K810" s="5"/>
      <c r="L810" s="2"/>
      <c r="M810" s="2"/>
      <c r="N810" s="2"/>
    </row>
    <row r="811" spans="1:14">
      <c r="A811" s="2"/>
      <c r="B811" s="2"/>
      <c r="C811" s="4"/>
      <c r="D811" s="7"/>
      <c r="E811" s="7"/>
      <c r="F811" s="4"/>
      <c r="G811" s="6"/>
      <c r="H811" s="2"/>
      <c r="I811" s="5"/>
      <c r="J811" s="2"/>
      <c r="K811" s="5"/>
      <c r="L811" s="2"/>
      <c r="M811" s="2"/>
      <c r="N811" s="2"/>
    </row>
    <row r="812" spans="1:14">
      <c r="A812" s="2"/>
      <c r="B812" s="2"/>
      <c r="C812" s="4"/>
      <c r="D812" s="7"/>
      <c r="E812" s="7"/>
      <c r="F812" s="4"/>
      <c r="G812" s="6"/>
      <c r="H812" s="2"/>
      <c r="I812" s="5"/>
      <c r="J812" s="2"/>
      <c r="K812" s="5"/>
      <c r="L812" s="2"/>
      <c r="M812" s="2"/>
      <c r="N812" s="2"/>
    </row>
    <row r="813" spans="1:14">
      <c r="A813" s="2"/>
      <c r="B813" s="2"/>
      <c r="C813" s="4"/>
      <c r="D813" s="7"/>
      <c r="E813" s="7"/>
      <c r="F813" s="4"/>
      <c r="G813" s="6"/>
      <c r="H813" s="2"/>
      <c r="I813" s="5"/>
      <c r="J813" s="2"/>
      <c r="K813" s="5"/>
      <c r="L813" s="2"/>
      <c r="M813" s="2"/>
      <c r="N813" s="2"/>
    </row>
    <row r="814" spans="1:14">
      <c r="A814" s="2"/>
      <c r="B814" s="2"/>
      <c r="C814" s="4"/>
      <c r="D814" s="7"/>
      <c r="E814" s="7"/>
      <c r="F814" s="4"/>
      <c r="G814" s="6"/>
      <c r="H814" s="2"/>
      <c r="I814" s="5"/>
      <c r="J814" s="2"/>
      <c r="K814" s="5"/>
      <c r="L814" s="2"/>
      <c r="M814" s="2"/>
      <c r="N814" s="2"/>
    </row>
    <row r="815" spans="1:14">
      <c r="A815" s="2"/>
      <c r="B815" s="2"/>
      <c r="C815" s="4"/>
      <c r="D815" s="7"/>
      <c r="E815" s="7"/>
      <c r="F815" s="4"/>
      <c r="G815" s="6"/>
      <c r="H815" s="2"/>
      <c r="I815" s="5"/>
      <c r="J815" s="2"/>
      <c r="K815" s="5"/>
      <c r="L815" s="2"/>
      <c r="M815" s="2"/>
      <c r="N815" s="2"/>
    </row>
    <row r="816" spans="1:14">
      <c r="A816" s="2"/>
      <c r="B816" s="2"/>
      <c r="C816" s="4"/>
      <c r="D816" s="7"/>
      <c r="E816" s="7"/>
      <c r="F816" s="4"/>
      <c r="G816" s="6"/>
      <c r="H816" s="2"/>
      <c r="I816" s="5"/>
      <c r="J816" s="2"/>
      <c r="K816" s="5"/>
      <c r="L816" s="2"/>
      <c r="M816" s="2"/>
      <c r="N816" s="2"/>
    </row>
    <row r="817" spans="1:14">
      <c r="A817" s="2"/>
      <c r="B817" s="2"/>
      <c r="C817" s="4"/>
      <c r="D817" s="7"/>
      <c r="E817" s="7"/>
      <c r="F817" s="4"/>
      <c r="G817" s="6"/>
      <c r="H817" s="2"/>
      <c r="I817" s="5"/>
      <c r="J817" s="2"/>
      <c r="K817" s="5"/>
      <c r="L817" s="2"/>
      <c r="M817" s="2"/>
      <c r="N817" s="2"/>
    </row>
    <row r="818" spans="1:14">
      <c r="A818" s="2"/>
      <c r="B818" s="2"/>
      <c r="C818" s="4"/>
      <c r="D818" s="7"/>
      <c r="E818" s="7"/>
      <c r="F818" s="4"/>
      <c r="G818" s="6"/>
      <c r="H818" s="2"/>
      <c r="I818" s="5"/>
      <c r="J818" s="2"/>
      <c r="K818" s="5"/>
      <c r="L818" s="2"/>
      <c r="M818" s="2"/>
      <c r="N818" s="2"/>
    </row>
    <row r="819" spans="1:14">
      <c r="A819" s="2"/>
      <c r="B819" s="2"/>
      <c r="C819" s="4"/>
      <c r="D819" s="7"/>
      <c r="E819" s="7"/>
      <c r="F819" s="4"/>
      <c r="G819" s="6"/>
      <c r="H819" s="2"/>
      <c r="I819" s="5"/>
      <c r="J819" s="2"/>
      <c r="K819" s="5"/>
      <c r="L819" s="2"/>
      <c r="M819" s="2"/>
      <c r="N819" s="2"/>
    </row>
    <row r="820" spans="1:14">
      <c r="A820" s="2"/>
      <c r="B820" s="2"/>
      <c r="C820" s="4"/>
      <c r="D820" s="7"/>
      <c r="E820" s="7"/>
      <c r="F820" s="4"/>
      <c r="G820" s="6"/>
      <c r="H820" s="2"/>
      <c r="I820" s="5"/>
      <c r="J820" s="2"/>
      <c r="K820" s="5"/>
      <c r="L820" s="2"/>
      <c r="M820" s="2"/>
      <c r="N820" s="2"/>
    </row>
    <row r="821" spans="1:14">
      <c r="A821" s="2"/>
      <c r="B821" s="2"/>
      <c r="C821" s="4"/>
      <c r="D821" s="7"/>
      <c r="E821" s="7"/>
      <c r="F821" s="4"/>
      <c r="G821" s="6"/>
      <c r="H821" s="2"/>
      <c r="I821" s="5"/>
      <c r="J821" s="2"/>
      <c r="K821" s="5"/>
      <c r="L821" s="2"/>
      <c r="M821" s="2"/>
      <c r="N821" s="2"/>
    </row>
    <row r="822" spans="1:14">
      <c r="A822" s="2"/>
      <c r="B822" s="2"/>
      <c r="C822" s="4"/>
      <c r="D822" s="7"/>
      <c r="E822" s="7"/>
      <c r="F822" s="4"/>
      <c r="G822" s="6"/>
      <c r="H822" s="2"/>
      <c r="I822" s="5"/>
      <c r="J822" s="2"/>
      <c r="K822" s="5"/>
      <c r="L822" s="2"/>
      <c r="M822" s="2"/>
      <c r="N822" s="2"/>
    </row>
    <row r="823" spans="1:14">
      <c r="A823" s="2"/>
      <c r="B823" s="2"/>
      <c r="C823" s="4"/>
      <c r="D823" s="7"/>
      <c r="E823" s="7"/>
      <c r="F823" s="4"/>
      <c r="G823" s="6"/>
      <c r="H823" s="2"/>
      <c r="I823" s="5"/>
      <c r="J823" s="2"/>
      <c r="K823" s="5"/>
      <c r="L823" s="2"/>
      <c r="M823" s="2"/>
      <c r="N823" s="2"/>
    </row>
    <row r="824" spans="1:14">
      <c r="A824" s="2"/>
      <c r="B824" s="2"/>
      <c r="C824" s="4"/>
      <c r="D824" s="7"/>
      <c r="E824" s="7"/>
      <c r="F824" s="4"/>
      <c r="G824" s="6"/>
      <c r="H824" s="2"/>
      <c r="I824" s="5"/>
      <c r="J824" s="2"/>
      <c r="K824" s="5"/>
      <c r="L824" s="2"/>
      <c r="M824" s="2"/>
      <c r="N824" s="2"/>
    </row>
    <row r="825" spans="1:14">
      <c r="A825" s="2"/>
      <c r="B825" s="2"/>
      <c r="C825" s="4"/>
      <c r="D825" s="7"/>
      <c r="E825" s="7"/>
      <c r="F825" s="4"/>
      <c r="G825" s="6"/>
      <c r="H825" s="2"/>
      <c r="I825" s="5"/>
      <c r="J825" s="2"/>
      <c r="K825" s="5"/>
      <c r="L825" s="2"/>
      <c r="M825" s="2"/>
      <c r="N825" s="2"/>
    </row>
    <row r="826" spans="1:14">
      <c r="A826" s="2"/>
      <c r="B826" s="2"/>
      <c r="C826" s="4"/>
      <c r="D826" s="7"/>
      <c r="E826" s="7"/>
      <c r="F826" s="4"/>
      <c r="G826" s="6"/>
      <c r="H826" s="2"/>
      <c r="I826" s="5"/>
      <c r="J826" s="2"/>
      <c r="K826" s="5"/>
      <c r="L826" s="2"/>
      <c r="M826" s="2"/>
      <c r="N826" s="2"/>
    </row>
    <row r="827" spans="1:14">
      <c r="A827" s="2"/>
      <c r="B827" s="2"/>
      <c r="C827" s="4"/>
      <c r="D827" s="7"/>
      <c r="E827" s="7"/>
      <c r="F827" s="4"/>
      <c r="G827" s="6"/>
      <c r="H827" s="2"/>
      <c r="I827" s="5"/>
      <c r="J827" s="2"/>
      <c r="K827" s="5"/>
      <c r="L827" s="2"/>
      <c r="M827" s="2"/>
      <c r="N827" s="2"/>
    </row>
    <row r="828" spans="1:14">
      <c r="A828" s="2"/>
      <c r="B828" s="2"/>
      <c r="C828" s="4"/>
      <c r="D828" s="7"/>
      <c r="E828" s="7"/>
      <c r="F828" s="4"/>
      <c r="G828" s="6"/>
      <c r="H828" s="2"/>
      <c r="I828" s="5"/>
      <c r="J828" s="2"/>
      <c r="K828" s="5"/>
      <c r="L828" s="2"/>
      <c r="M828" s="2"/>
      <c r="N828" s="2"/>
    </row>
    <row r="829" spans="1:14">
      <c r="A829" s="2"/>
      <c r="B829" s="2"/>
      <c r="C829" s="4"/>
      <c r="D829" s="7"/>
      <c r="E829" s="7"/>
      <c r="F829" s="4"/>
      <c r="G829" s="6"/>
      <c r="H829" s="2"/>
      <c r="I829" s="5"/>
      <c r="J829" s="2"/>
      <c r="K829" s="5"/>
      <c r="L829" s="2"/>
      <c r="M829" s="2"/>
      <c r="N829" s="2"/>
    </row>
    <row r="830" spans="1:14">
      <c r="A830" s="2"/>
      <c r="B830" s="2"/>
      <c r="C830" s="4"/>
      <c r="D830" s="7"/>
      <c r="E830" s="7"/>
      <c r="F830" s="4"/>
      <c r="G830" s="6"/>
      <c r="H830" s="2"/>
      <c r="I830" s="5"/>
      <c r="J830" s="2"/>
      <c r="K830" s="5"/>
      <c r="L830" s="2"/>
      <c r="M830" s="2"/>
      <c r="N830" s="2"/>
    </row>
    <row r="831" spans="1:14">
      <c r="A831" s="2"/>
      <c r="B831" s="2"/>
      <c r="C831" s="4"/>
      <c r="D831" s="7"/>
      <c r="E831" s="7"/>
      <c r="F831" s="4"/>
      <c r="G831" s="6"/>
      <c r="H831" s="2"/>
      <c r="I831" s="5"/>
      <c r="J831" s="2"/>
      <c r="K831" s="5"/>
      <c r="L831" s="2"/>
      <c r="M831" s="2"/>
      <c r="N831" s="2"/>
    </row>
    <row r="832" spans="1:14">
      <c r="A832" s="2"/>
      <c r="B832" s="2"/>
      <c r="C832" s="4"/>
      <c r="D832" s="7"/>
      <c r="E832" s="7"/>
      <c r="F832" s="4"/>
      <c r="G832" s="6"/>
      <c r="H832" s="2"/>
      <c r="I832" s="5"/>
      <c r="J832" s="2"/>
      <c r="K832" s="5"/>
      <c r="L832" s="2"/>
      <c r="M832" s="2"/>
      <c r="N832" s="2"/>
    </row>
    <row r="833" spans="1:14">
      <c r="A833" s="2"/>
      <c r="B833" s="2"/>
      <c r="C833" s="4"/>
      <c r="D833" s="7"/>
      <c r="E833" s="7"/>
      <c r="F833" s="4"/>
      <c r="G833" s="6"/>
      <c r="H833" s="2"/>
      <c r="I833" s="5"/>
      <c r="J833" s="2"/>
      <c r="K833" s="5"/>
      <c r="L833" s="2"/>
      <c r="M833" s="2"/>
      <c r="N833" s="2"/>
    </row>
    <row r="834" spans="1:14">
      <c r="A834" s="2"/>
      <c r="B834" s="2"/>
      <c r="C834" s="4"/>
      <c r="D834" s="7"/>
      <c r="E834" s="7"/>
      <c r="F834" s="4"/>
      <c r="G834" s="6"/>
      <c r="H834" s="2"/>
      <c r="I834" s="5"/>
      <c r="J834" s="2"/>
      <c r="K834" s="5"/>
      <c r="L834" s="2"/>
      <c r="M834" s="2"/>
      <c r="N834" s="2"/>
    </row>
    <row r="835" spans="1:14">
      <c r="A835" s="2"/>
      <c r="B835" s="2"/>
      <c r="C835" s="4"/>
      <c r="D835" s="7"/>
      <c r="E835" s="7"/>
      <c r="F835" s="4"/>
      <c r="G835" s="6"/>
      <c r="H835" s="2"/>
      <c r="I835" s="5"/>
      <c r="J835" s="2"/>
      <c r="K835" s="5"/>
      <c r="L835" s="2"/>
      <c r="M835" s="2"/>
      <c r="N835" s="2"/>
    </row>
    <row r="836" spans="1:14">
      <c r="A836" s="2"/>
      <c r="B836" s="2"/>
      <c r="C836" s="4"/>
      <c r="D836" s="7"/>
      <c r="E836" s="7"/>
      <c r="F836" s="4"/>
      <c r="G836" s="6"/>
      <c r="H836" s="2"/>
      <c r="I836" s="5"/>
      <c r="J836" s="2"/>
      <c r="K836" s="5"/>
      <c r="L836" s="2"/>
      <c r="M836" s="2"/>
      <c r="N836" s="2"/>
    </row>
    <row r="837" spans="1:14">
      <c r="A837" s="2"/>
      <c r="B837" s="2"/>
      <c r="C837" s="4"/>
      <c r="D837" s="7"/>
      <c r="E837" s="7"/>
      <c r="F837" s="4"/>
      <c r="G837" s="6"/>
      <c r="H837" s="2"/>
      <c r="I837" s="5"/>
      <c r="J837" s="2"/>
      <c r="K837" s="5"/>
      <c r="L837" s="2"/>
      <c r="M837" s="2"/>
      <c r="N837" s="2"/>
    </row>
    <row r="838" spans="1:14">
      <c r="A838" s="2"/>
      <c r="B838" s="2"/>
      <c r="C838" s="4"/>
      <c r="D838" s="7"/>
      <c r="E838" s="7"/>
      <c r="F838" s="4"/>
      <c r="G838" s="6"/>
      <c r="H838" s="2"/>
      <c r="I838" s="5"/>
      <c r="J838" s="2"/>
      <c r="K838" s="5"/>
      <c r="L838" s="2"/>
      <c r="M838" s="2"/>
      <c r="N838" s="2"/>
    </row>
    <row r="839" spans="1:14">
      <c r="A839" s="2"/>
      <c r="B839" s="2"/>
      <c r="C839" s="4"/>
      <c r="D839" s="7"/>
      <c r="E839" s="7"/>
      <c r="F839" s="4"/>
      <c r="G839" s="6"/>
      <c r="H839" s="2"/>
      <c r="I839" s="5"/>
      <c r="J839" s="2"/>
      <c r="K839" s="5"/>
      <c r="L839" s="2"/>
      <c r="M839" s="2"/>
      <c r="N839" s="2"/>
    </row>
    <row r="840" spans="1:14">
      <c r="A840" s="2"/>
      <c r="B840" s="2"/>
      <c r="C840" s="4"/>
      <c r="D840" s="7"/>
      <c r="E840" s="7"/>
      <c r="F840" s="4"/>
      <c r="G840" s="6"/>
      <c r="H840" s="2"/>
      <c r="I840" s="5"/>
      <c r="J840" s="2"/>
      <c r="K840" s="5"/>
      <c r="L840" s="2"/>
      <c r="M840" s="2"/>
      <c r="N840" s="2"/>
    </row>
    <row r="841" spans="1:14">
      <c r="A841" s="2"/>
      <c r="B841" s="2"/>
      <c r="C841" s="4"/>
      <c r="D841" s="7"/>
      <c r="E841" s="7"/>
      <c r="F841" s="4"/>
      <c r="G841" s="6"/>
      <c r="H841" s="2"/>
      <c r="I841" s="5"/>
      <c r="J841" s="2"/>
      <c r="K841" s="5"/>
      <c r="L841" s="2"/>
      <c r="M841" s="2"/>
      <c r="N841" s="2"/>
    </row>
    <row r="842" spans="1:14">
      <c r="A842" s="2"/>
      <c r="B842" s="2"/>
      <c r="C842" s="4"/>
      <c r="D842" s="7"/>
      <c r="E842" s="7"/>
      <c r="F842" s="4"/>
      <c r="G842" s="6"/>
      <c r="H842" s="2"/>
      <c r="I842" s="5"/>
      <c r="J842" s="2"/>
      <c r="K842" s="5"/>
      <c r="L842" s="2"/>
      <c r="M842" s="2"/>
      <c r="N842" s="2"/>
    </row>
    <row r="843" spans="1:14">
      <c r="A843" s="2"/>
      <c r="B843" s="2"/>
      <c r="C843" s="4"/>
      <c r="D843" s="7"/>
      <c r="E843" s="7"/>
      <c r="F843" s="4"/>
      <c r="G843" s="6"/>
      <c r="H843" s="2"/>
      <c r="I843" s="5"/>
      <c r="J843" s="2"/>
      <c r="K843" s="5"/>
      <c r="L843" s="2"/>
      <c r="M843" s="2"/>
      <c r="N843" s="2"/>
    </row>
    <row r="844" spans="1:14">
      <c r="A844" s="2"/>
      <c r="B844" s="2"/>
      <c r="C844" s="4"/>
      <c r="D844" s="7"/>
      <c r="E844" s="7"/>
      <c r="F844" s="4"/>
      <c r="G844" s="6"/>
      <c r="H844" s="2"/>
      <c r="I844" s="5"/>
      <c r="J844" s="2"/>
      <c r="K844" s="5"/>
      <c r="L844" s="2"/>
      <c r="M844" s="2"/>
      <c r="N844" s="2"/>
    </row>
    <row r="845" spans="1:14">
      <c r="A845" s="2"/>
      <c r="B845" s="2"/>
      <c r="C845" s="4"/>
      <c r="D845" s="7"/>
      <c r="E845" s="7"/>
      <c r="F845" s="4"/>
      <c r="G845" s="6"/>
      <c r="H845" s="2"/>
      <c r="I845" s="5"/>
      <c r="J845" s="2"/>
      <c r="K845" s="5"/>
      <c r="L845" s="2"/>
      <c r="M845" s="2"/>
      <c r="N845" s="2"/>
    </row>
    <row r="846" spans="1:14">
      <c r="A846" s="2"/>
      <c r="B846" s="2"/>
      <c r="C846" s="4"/>
      <c r="D846" s="7"/>
      <c r="E846" s="7"/>
      <c r="F846" s="4"/>
      <c r="G846" s="6"/>
      <c r="H846" s="2"/>
      <c r="I846" s="5"/>
      <c r="J846" s="2"/>
      <c r="K846" s="5"/>
      <c r="L846" s="2"/>
      <c r="M846" s="2"/>
      <c r="N846" s="2"/>
    </row>
    <row r="847" spans="1:14">
      <c r="A847" s="2"/>
      <c r="B847" s="2"/>
      <c r="C847" s="4"/>
      <c r="D847" s="7"/>
      <c r="E847" s="7"/>
      <c r="F847" s="4"/>
      <c r="G847" s="6"/>
      <c r="H847" s="2"/>
      <c r="I847" s="5"/>
      <c r="J847" s="2"/>
      <c r="K847" s="5"/>
      <c r="L847" s="2"/>
      <c r="M847" s="2"/>
      <c r="N847" s="2"/>
    </row>
    <row r="848" spans="1:14">
      <c r="A848" s="2"/>
      <c r="B848" s="2"/>
      <c r="C848" s="4"/>
      <c r="D848" s="7"/>
      <c r="E848" s="7"/>
      <c r="F848" s="4"/>
      <c r="G848" s="6"/>
      <c r="H848" s="2"/>
      <c r="I848" s="5"/>
      <c r="J848" s="2"/>
      <c r="K848" s="5"/>
      <c r="L848" s="2"/>
      <c r="M848" s="2"/>
      <c r="N848" s="2"/>
    </row>
    <row r="849" spans="1:14">
      <c r="A849" s="2"/>
      <c r="B849" s="2"/>
      <c r="C849" s="4"/>
      <c r="D849" s="7"/>
      <c r="E849" s="7"/>
      <c r="F849" s="4"/>
      <c r="G849" s="6"/>
      <c r="H849" s="2"/>
      <c r="I849" s="5"/>
      <c r="J849" s="2"/>
      <c r="K849" s="5"/>
      <c r="L849" s="2"/>
      <c r="M849" s="2"/>
      <c r="N849" s="2"/>
    </row>
    <row r="850" spans="1:14">
      <c r="A850" s="2"/>
      <c r="B850" s="2"/>
      <c r="C850" s="4"/>
      <c r="D850" s="7"/>
      <c r="E850" s="7"/>
      <c r="F850" s="4"/>
      <c r="G850" s="6"/>
      <c r="H850" s="2"/>
      <c r="I850" s="5"/>
      <c r="J850" s="2"/>
      <c r="K850" s="5"/>
      <c r="L850" s="2"/>
      <c r="M850" s="2"/>
      <c r="N850" s="2"/>
    </row>
    <row r="851" spans="1:14">
      <c r="A851" s="2"/>
      <c r="B851" s="2"/>
      <c r="C851" s="4"/>
      <c r="D851" s="7"/>
      <c r="E851" s="7"/>
      <c r="F851" s="4"/>
      <c r="G851" s="6"/>
      <c r="H851" s="2"/>
      <c r="I851" s="5"/>
      <c r="J851" s="2"/>
      <c r="K851" s="5"/>
      <c r="L851" s="2"/>
      <c r="M851" s="2"/>
      <c r="N851" s="2"/>
    </row>
    <row r="852" spans="1:14">
      <c r="A852" s="2"/>
      <c r="B852" s="2"/>
      <c r="C852" s="4"/>
      <c r="D852" s="7"/>
      <c r="E852" s="7"/>
      <c r="F852" s="4"/>
      <c r="G852" s="6"/>
      <c r="H852" s="2"/>
      <c r="I852" s="5"/>
      <c r="J852" s="2"/>
      <c r="K852" s="5"/>
      <c r="L852" s="2"/>
      <c r="M852" s="2"/>
      <c r="N852" s="2"/>
    </row>
    <row r="853" spans="1:14">
      <c r="A853" s="2"/>
      <c r="B853" s="2"/>
      <c r="C853" s="4"/>
      <c r="D853" s="7"/>
      <c r="E853" s="7"/>
      <c r="F853" s="4"/>
      <c r="G853" s="6"/>
      <c r="H853" s="2"/>
      <c r="I853" s="5"/>
      <c r="J853" s="2"/>
      <c r="K853" s="5"/>
      <c r="L853" s="2"/>
      <c r="M853" s="2"/>
      <c r="N853" s="2"/>
    </row>
    <row r="854" spans="1:14">
      <c r="A854" s="2"/>
      <c r="B854" s="2"/>
      <c r="C854" s="4"/>
      <c r="D854" s="7"/>
      <c r="E854" s="7"/>
      <c r="F854" s="4"/>
      <c r="G854" s="6"/>
      <c r="H854" s="2"/>
      <c r="I854" s="5"/>
      <c r="J854" s="2"/>
      <c r="K854" s="5"/>
      <c r="L854" s="2"/>
      <c r="M854" s="2"/>
      <c r="N854" s="2"/>
    </row>
    <row r="855" spans="1:14">
      <c r="A855" s="2"/>
      <c r="B855" s="2"/>
      <c r="C855" s="4"/>
      <c r="D855" s="7"/>
      <c r="E855" s="7"/>
      <c r="F855" s="4"/>
      <c r="G855" s="6"/>
      <c r="H855" s="2"/>
      <c r="I855" s="5"/>
      <c r="J855" s="2"/>
      <c r="K855" s="5"/>
      <c r="L855" s="2"/>
      <c r="M855" s="2"/>
      <c r="N855" s="2"/>
    </row>
    <row r="856" spans="1:14">
      <c r="A856" s="2"/>
      <c r="B856" s="2"/>
      <c r="C856" s="4"/>
      <c r="D856" s="7"/>
      <c r="E856" s="7"/>
      <c r="F856" s="4"/>
      <c r="G856" s="6"/>
      <c r="H856" s="2"/>
      <c r="I856" s="5"/>
      <c r="J856" s="2"/>
      <c r="K856" s="5"/>
      <c r="L856" s="2"/>
      <c r="M856" s="2"/>
      <c r="N856" s="2"/>
    </row>
    <row r="857" spans="1:14">
      <c r="A857" s="2"/>
      <c r="B857" s="2"/>
      <c r="C857" s="4"/>
      <c r="D857" s="7"/>
      <c r="E857" s="7"/>
      <c r="F857" s="4"/>
      <c r="G857" s="6"/>
      <c r="H857" s="2"/>
      <c r="I857" s="5"/>
      <c r="J857" s="2"/>
      <c r="K857" s="5"/>
      <c r="L857" s="2"/>
      <c r="M857" s="2"/>
      <c r="N857" s="2"/>
    </row>
    <row r="858" spans="1:14">
      <c r="A858" s="2"/>
      <c r="B858" s="2"/>
      <c r="C858" s="4"/>
      <c r="D858" s="7"/>
      <c r="E858" s="7"/>
      <c r="F858" s="4"/>
      <c r="G858" s="6"/>
      <c r="H858" s="2"/>
      <c r="I858" s="5"/>
      <c r="J858" s="2"/>
      <c r="K858" s="5"/>
      <c r="L858" s="2"/>
      <c r="M858" s="2"/>
      <c r="N858" s="2"/>
    </row>
    <row r="859" spans="1:14">
      <c r="A859" s="2"/>
      <c r="B859" s="2"/>
      <c r="C859" s="4"/>
      <c r="D859" s="7"/>
      <c r="E859" s="7"/>
      <c r="F859" s="4"/>
      <c r="G859" s="6"/>
      <c r="H859" s="2"/>
      <c r="I859" s="5"/>
      <c r="J859" s="2"/>
      <c r="K859" s="5"/>
      <c r="L859" s="2"/>
      <c r="M859" s="2"/>
      <c r="N859" s="2"/>
    </row>
    <row r="860" spans="1:14">
      <c r="A860" s="2"/>
      <c r="B860" s="2"/>
      <c r="C860" s="4"/>
      <c r="D860" s="7"/>
      <c r="E860" s="7"/>
      <c r="F860" s="4"/>
      <c r="G860" s="6"/>
      <c r="H860" s="2"/>
      <c r="I860" s="5"/>
      <c r="J860" s="2"/>
      <c r="K860" s="5"/>
      <c r="L860" s="2"/>
      <c r="M860" s="2"/>
      <c r="N860" s="2"/>
    </row>
    <row r="861" spans="1:14">
      <c r="A861" s="2"/>
      <c r="B861" s="2"/>
      <c r="C861" s="4"/>
      <c r="D861" s="7"/>
      <c r="E861" s="7"/>
      <c r="F861" s="4"/>
      <c r="G861" s="6"/>
      <c r="H861" s="2"/>
      <c r="I861" s="5"/>
      <c r="J861" s="2"/>
      <c r="K861" s="5"/>
      <c r="L861" s="2"/>
      <c r="M861" s="2"/>
      <c r="N861" s="2"/>
    </row>
    <row r="862" spans="1:14">
      <c r="A862" s="2"/>
      <c r="B862" s="2"/>
      <c r="C862" s="4"/>
      <c r="D862" s="7"/>
      <c r="E862" s="7"/>
      <c r="F862" s="4"/>
      <c r="G862" s="6"/>
      <c r="H862" s="2"/>
      <c r="I862" s="5"/>
      <c r="J862" s="2"/>
      <c r="K862" s="5"/>
      <c r="L862" s="2"/>
      <c r="M862" s="2"/>
      <c r="N862" s="2"/>
    </row>
    <row r="863" spans="1:14">
      <c r="A863" s="2"/>
      <c r="B863" s="2"/>
      <c r="C863" s="4"/>
      <c r="D863" s="7"/>
      <c r="E863" s="7"/>
      <c r="F863" s="4"/>
      <c r="G863" s="6"/>
      <c r="H863" s="2"/>
      <c r="I863" s="5"/>
      <c r="J863" s="2"/>
      <c r="K863" s="5"/>
      <c r="L863" s="2"/>
      <c r="M863" s="2"/>
      <c r="N863" s="2"/>
    </row>
    <row r="864" spans="1:14">
      <c r="A864" s="2"/>
      <c r="B864" s="2"/>
      <c r="C864" s="4"/>
      <c r="D864" s="7"/>
      <c r="E864" s="7"/>
      <c r="F864" s="4"/>
      <c r="G864" s="6"/>
      <c r="H864" s="2"/>
      <c r="I864" s="5"/>
      <c r="J864" s="2"/>
      <c r="K864" s="5"/>
      <c r="L864" s="2"/>
      <c r="M864" s="2"/>
      <c r="N864" s="2"/>
    </row>
    <row r="865" spans="1:14">
      <c r="A865" s="2"/>
      <c r="B865" s="2"/>
      <c r="C865" s="4"/>
      <c r="D865" s="7"/>
      <c r="E865" s="7"/>
      <c r="F865" s="4"/>
      <c r="G865" s="6"/>
      <c r="H865" s="2"/>
      <c r="I865" s="5"/>
      <c r="J865" s="2"/>
      <c r="K865" s="5"/>
      <c r="L865" s="2"/>
      <c r="M865" s="2"/>
      <c r="N865" s="2"/>
    </row>
    <row r="866" spans="1:14">
      <c r="A866" s="2"/>
      <c r="B866" s="2"/>
      <c r="C866" s="4"/>
      <c r="D866" s="7"/>
      <c r="E866" s="7"/>
      <c r="F866" s="4"/>
      <c r="G866" s="6"/>
      <c r="H866" s="2"/>
      <c r="I866" s="5"/>
      <c r="J866" s="2"/>
      <c r="K866" s="5"/>
      <c r="L866" s="2"/>
      <c r="M866" s="2"/>
      <c r="N866" s="2"/>
    </row>
    <row r="867" spans="1:14">
      <c r="A867" s="2"/>
      <c r="B867" s="2"/>
      <c r="C867" s="4"/>
      <c r="D867" s="7"/>
      <c r="E867" s="7"/>
      <c r="F867" s="4"/>
      <c r="G867" s="6"/>
      <c r="H867" s="2"/>
      <c r="I867" s="5"/>
      <c r="J867" s="2"/>
      <c r="K867" s="5"/>
      <c r="L867" s="2"/>
      <c r="M867" s="2"/>
      <c r="N867" s="2"/>
    </row>
    <row r="868" spans="1:14">
      <c r="A868" s="2"/>
      <c r="B868" s="2"/>
      <c r="C868" s="4"/>
      <c r="D868" s="7"/>
      <c r="E868" s="7"/>
      <c r="F868" s="4"/>
      <c r="G868" s="6"/>
      <c r="H868" s="2"/>
      <c r="I868" s="5"/>
      <c r="J868" s="2"/>
      <c r="K868" s="5"/>
      <c r="L868" s="2"/>
      <c r="M868" s="2"/>
      <c r="N868" s="2"/>
    </row>
    <row r="869" spans="1:14">
      <c r="A869" s="2"/>
      <c r="B869" s="2"/>
      <c r="C869" s="4"/>
      <c r="D869" s="7"/>
      <c r="E869" s="7"/>
      <c r="F869" s="4"/>
      <c r="G869" s="6"/>
      <c r="H869" s="2"/>
      <c r="I869" s="5"/>
      <c r="J869" s="2"/>
      <c r="K869" s="5"/>
      <c r="L869" s="2"/>
      <c r="M869" s="2"/>
      <c r="N869" s="2"/>
    </row>
    <row r="870" spans="1:14">
      <c r="A870" s="2"/>
      <c r="B870" s="2"/>
      <c r="C870" s="4"/>
      <c r="D870" s="7"/>
      <c r="E870" s="7"/>
      <c r="F870" s="4"/>
      <c r="G870" s="6"/>
      <c r="H870" s="2"/>
      <c r="I870" s="5"/>
      <c r="J870" s="2"/>
      <c r="K870" s="5"/>
      <c r="L870" s="2"/>
      <c r="M870" s="2"/>
      <c r="N870" s="2"/>
    </row>
    <row r="871" spans="1:14">
      <c r="A871" s="2"/>
      <c r="B871" s="2"/>
      <c r="C871" s="4"/>
      <c r="D871" s="7"/>
      <c r="E871" s="7"/>
      <c r="F871" s="4"/>
      <c r="G871" s="6"/>
      <c r="H871" s="2"/>
      <c r="I871" s="5"/>
      <c r="J871" s="2"/>
      <c r="K871" s="5"/>
      <c r="L871" s="2"/>
      <c r="M871" s="2"/>
      <c r="N871" s="2"/>
    </row>
    <row r="872" spans="1:14">
      <c r="A872" s="2"/>
      <c r="B872" s="2"/>
      <c r="C872" s="4"/>
      <c r="D872" s="7"/>
      <c r="E872" s="7"/>
      <c r="F872" s="4"/>
      <c r="G872" s="6"/>
      <c r="H872" s="2"/>
      <c r="I872" s="5"/>
      <c r="J872" s="2"/>
      <c r="K872" s="5"/>
      <c r="L872" s="2"/>
      <c r="M872" s="2"/>
      <c r="N872" s="2"/>
    </row>
    <row r="873" spans="1:14">
      <c r="A873" s="2"/>
      <c r="B873" s="2"/>
      <c r="C873" s="4"/>
      <c r="D873" s="7"/>
      <c r="E873" s="7"/>
      <c r="F873" s="4"/>
      <c r="G873" s="6"/>
      <c r="H873" s="2"/>
      <c r="I873" s="5"/>
      <c r="J873" s="2"/>
      <c r="K873" s="5"/>
      <c r="L873" s="2"/>
      <c r="M873" s="2"/>
      <c r="N873" s="2"/>
    </row>
    <row r="874" spans="1:14">
      <c r="A874" s="2"/>
      <c r="B874" s="2"/>
      <c r="C874" s="4"/>
      <c r="D874" s="7"/>
      <c r="E874" s="7"/>
      <c r="F874" s="4"/>
      <c r="G874" s="6"/>
      <c r="H874" s="2"/>
      <c r="I874" s="5"/>
      <c r="J874" s="2"/>
      <c r="K874" s="5"/>
      <c r="L874" s="2"/>
      <c r="M874" s="2"/>
      <c r="N874" s="2"/>
    </row>
    <row r="875" spans="1:14">
      <c r="A875" s="2"/>
      <c r="B875" s="2"/>
      <c r="C875" s="4"/>
      <c r="D875" s="7"/>
      <c r="E875" s="7"/>
      <c r="F875" s="4"/>
      <c r="G875" s="6"/>
      <c r="H875" s="2"/>
      <c r="I875" s="5"/>
      <c r="J875" s="2"/>
      <c r="K875" s="5"/>
      <c r="L875" s="2"/>
      <c r="M875" s="2"/>
      <c r="N875" s="2"/>
    </row>
    <row r="876" spans="1:14">
      <c r="A876" s="2"/>
      <c r="B876" s="2"/>
      <c r="C876" s="4"/>
      <c r="D876" s="7"/>
      <c r="E876" s="7"/>
      <c r="F876" s="4"/>
      <c r="G876" s="6"/>
      <c r="H876" s="2"/>
      <c r="I876" s="5"/>
      <c r="J876" s="2"/>
      <c r="K876" s="5"/>
      <c r="L876" s="2"/>
      <c r="M876" s="2"/>
      <c r="N876" s="2"/>
    </row>
    <row r="877" spans="1:14">
      <c r="A877" s="2"/>
      <c r="B877" s="2"/>
      <c r="C877" s="4"/>
      <c r="D877" s="7"/>
      <c r="E877" s="7"/>
      <c r="F877" s="4"/>
      <c r="G877" s="6"/>
      <c r="H877" s="2"/>
      <c r="I877" s="5"/>
      <c r="J877" s="2"/>
      <c r="K877" s="5"/>
      <c r="L877" s="2"/>
      <c r="M877" s="2"/>
      <c r="N877" s="2"/>
    </row>
    <row r="878" spans="1:14">
      <c r="A878" s="2"/>
      <c r="B878" s="2"/>
      <c r="C878" s="4"/>
      <c r="D878" s="7"/>
      <c r="E878" s="7"/>
      <c r="F878" s="4"/>
      <c r="G878" s="6"/>
      <c r="H878" s="2"/>
      <c r="I878" s="5"/>
      <c r="J878" s="2"/>
      <c r="K878" s="5"/>
      <c r="L878" s="2"/>
      <c r="M878" s="2"/>
      <c r="N878" s="2"/>
    </row>
    <row r="879" spans="1:14">
      <c r="A879" s="2"/>
      <c r="B879" s="2"/>
      <c r="C879" s="4"/>
      <c r="D879" s="7"/>
      <c r="E879" s="7"/>
      <c r="F879" s="4"/>
      <c r="G879" s="6"/>
      <c r="H879" s="2"/>
      <c r="I879" s="5"/>
      <c r="J879" s="2"/>
      <c r="K879" s="5"/>
      <c r="L879" s="2"/>
      <c r="M879" s="2"/>
      <c r="N879" s="2"/>
    </row>
    <row r="880" spans="1:14">
      <c r="A880" s="2"/>
      <c r="B880" s="2"/>
      <c r="C880" s="4"/>
      <c r="D880" s="7"/>
      <c r="E880" s="7"/>
      <c r="F880" s="4"/>
      <c r="G880" s="6"/>
      <c r="H880" s="2"/>
      <c r="I880" s="5"/>
      <c r="J880" s="2"/>
      <c r="K880" s="5"/>
      <c r="L880" s="2"/>
      <c r="M880" s="2"/>
      <c r="N880" s="2"/>
    </row>
    <row r="881" spans="1:14">
      <c r="A881" s="2"/>
      <c r="B881" s="2"/>
      <c r="C881" s="4"/>
      <c r="D881" s="7"/>
      <c r="E881" s="7"/>
      <c r="F881" s="4"/>
      <c r="G881" s="6"/>
      <c r="H881" s="2"/>
      <c r="I881" s="5"/>
      <c r="J881" s="2"/>
      <c r="K881" s="5"/>
      <c r="L881" s="2"/>
      <c r="M881" s="2"/>
      <c r="N881" s="2"/>
    </row>
    <row r="882" spans="1:14">
      <c r="A882" s="2"/>
      <c r="B882" s="2"/>
      <c r="C882" s="4"/>
      <c r="D882" s="7"/>
      <c r="E882" s="7"/>
      <c r="F882" s="4"/>
      <c r="G882" s="6"/>
      <c r="H882" s="2"/>
      <c r="I882" s="5"/>
      <c r="J882" s="2"/>
      <c r="K882" s="5"/>
      <c r="L882" s="2"/>
      <c r="M882" s="2"/>
      <c r="N882" s="2"/>
    </row>
    <row r="883" spans="1:14">
      <c r="A883" s="2"/>
      <c r="B883" s="2"/>
      <c r="C883" s="4"/>
      <c r="D883" s="7"/>
      <c r="E883" s="7"/>
      <c r="F883" s="4"/>
      <c r="G883" s="6"/>
      <c r="H883" s="2"/>
      <c r="I883" s="5"/>
      <c r="J883" s="2"/>
      <c r="K883" s="5"/>
      <c r="L883" s="2"/>
      <c r="M883" s="2"/>
      <c r="N883" s="2"/>
    </row>
    <row r="884" spans="1:14">
      <c r="A884" s="2"/>
      <c r="B884" s="2"/>
      <c r="C884" s="4"/>
      <c r="D884" s="7"/>
      <c r="E884" s="7"/>
      <c r="F884" s="4"/>
      <c r="G884" s="6"/>
      <c r="H884" s="2"/>
      <c r="I884" s="5"/>
      <c r="J884" s="2"/>
      <c r="K884" s="5"/>
      <c r="L884" s="2"/>
      <c r="M884" s="2"/>
      <c r="N884" s="2"/>
    </row>
    <row r="885" spans="1:14">
      <c r="A885" s="2"/>
      <c r="B885" s="2"/>
      <c r="C885" s="4"/>
      <c r="D885" s="7"/>
      <c r="E885" s="7"/>
      <c r="F885" s="4"/>
      <c r="G885" s="6"/>
      <c r="H885" s="2"/>
      <c r="I885" s="5"/>
      <c r="J885" s="2"/>
      <c r="K885" s="5"/>
      <c r="L885" s="2"/>
      <c r="M885" s="2"/>
      <c r="N885" s="2"/>
    </row>
    <row r="886" spans="1:14">
      <c r="A886" s="2"/>
      <c r="B886" s="2"/>
      <c r="C886" s="4"/>
      <c r="D886" s="7"/>
      <c r="E886" s="7"/>
      <c r="F886" s="4"/>
      <c r="G886" s="6"/>
      <c r="H886" s="2"/>
      <c r="I886" s="5"/>
      <c r="J886" s="2"/>
      <c r="K886" s="5"/>
      <c r="L886" s="2"/>
      <c r="M886" s="2"/>
      <c r="N886" s="2"/>
    </row>
    <row r="887" spans="1:14">
      <c r="A887" s="2"/>
      <c r="B887" s="2"/>
      <c r="C887" s="4"/>
      <c r="D887" s="7"/>
      <c r="E887" s="7"/>
      <c r="F887" s="4"/>
      <c r="G887" s="6"/>
      <c r="H887" s="2"/>
      <c r="I887" s="5"/>
      <c r="J887" s="2"/>
      <c r="K887" s="5"/>
      <c r="L887" s="2"/>
      <c r="M887" s="2"/>
      <c r="N887" s="2"/>
    </row>
    <row r="888" spans="1:14">
      <c r="A888" s="2"/>
      <c r="B888" s="2"/>
      <c r="C888" s="4"/>
      <c r="D888" s="7"/>
      <c r="E888" s="7"/>
      <c r="F888" s="4"/>
      <c r="G888" s="6"/>
      <c r="H888" s="2"/>
      <c r="I888" s="5"/>
      <c r="J888" s="2"/>
      <c r="K888" s="5"/>
      <c r="L888" s="2"/>
      <c r="M888" s="2"/>
      <c r="N888" s="2"/>
    </row>
    <row r="889" spans="1:14">
      <c r="A889" s="2"/>
      <c r="B889" s="2"/>
      <c r="C889" s="4"/>
      <c r="D889" s="7"/>
      <c r="E889" s="7"/>
      <c r="F889" s="4"/>
      <c r="G889" s="6"/>
      <c r="H889" s="2"/>
      <c r="I889" s="5"/>
      <c r="J889" s="2"/>
      <c r="K889" s="5"/>
      <c r="L889" s="2"/>
      <c r="M889" s="2"/>
      <c r="N889" s="2"/>
    </row>
    <row r="890" spans="1:14">
      <c r="A890" s="2"/>
      <c r="B890" s="2"/>
      <c r="C890" s="4"/>
      <c r="D890" s="7"/>
      <c r="E890" s="7"/>
      <c r="F890" s="4"/>
      <c r="G890" s="6"/>
      <c r="H890" s="2"/>
      <c r="I890" s="5"/>
      <c r="J890" s="2"/>
      <c r="K890" s="5"/>
      <c r="L890" s="2"/>
      <c r="M890" s="2"/>
      <c r="N890" s="2"/>
    </row>
    <row r="891" spans="1:14">
      <c r="A891" s="2"/>
      <c r="B891" s="2"/>
      <c r="C891" s="4"/>
      <c r="D891" s="7"/>
      <c r="E891" s="7"/>
      <c r="F891" s="4"/>
      <c r="G891" s="6"/>
      <c r="H891" s="2"/>
      <c r="I891" s="5"/>
      <c r="J891" s="2"/>
      <c r="K891" s="5"/>
      <c r="L891" s="2"/>
      <c r="M891" s="2"/>
      <c r="N891" s="2"/>
    </row>
    <row r="892" spans="1:14">
      <c r="A892" s="2"/>
      <c r="B892" s="2"/>
      <c r="C892" s="4"/>
      <c r="D892" s="7"/>
      <c r="E892" s="7"/>
      <c r="F892" s="4"/>
      <c r="G892" s="6"/>
      <c r="H892" s="2"/>
      <c r="I892" s="5"/>
      <c r="J892" s="2"/>
      <c r="K892" s="5"/>
      <c r="L892" s="2"/>
      <c r="M892" s="2"/>
      <c r="N892" s="2"/>
    </row>
    <row r="893" spans="1:14">
      <c r="A893" s="2"/>
      <c r="B893" s="2"/>
      <c r="C893" s="4"/>
      <c r="D893" s="7"/>
      <c r="E893" s="7"/>
      <c r="F893" s="4"/>
      <c r="G893" s="6"/>
      <c r="H893" s="2"/>
      <c r="I893" s="5"/>
      <c r="J893" s="2"/>
      <c r="K893" s="5"/>
      <c r="L893" s="2"/>
      <c r="M893" s="2"/>
      <c r="N893" s="2"/>
    </row>
    <row r="894" spans="1:14">
      <c r="A894" s="2"/>
      <c r="B894" s="2"/>
      <c r="C894" s="4"/>
      <c r="D894" s="7"/>
      <c r="E894" s="7"/>
      <c r="F894" s="4"/>
      <c r="G894" s="6"/>
      <c r="H894" s="2"/>
      <c r="I894" s="5"/>
      <c r="J894" s="2"/>
      <c r="K894" s="5"/>
      <c r="L894" s="2"/>
      <c r="M894" s="2"/>
      <c r="N894" s="2"/>
    </row>
    <row r="895" spans="1:14">
      <c r="A895" s="2"/>
      <c r="B895" s="2"/>
      <c r="C895" s="4"/>
      <c r="D895" s="7"/>
      <c r="E895" s="7"/>
      <c r="F895" s="4"/>
      <c r="G895" s="6"/>
      <c r="H895" s="2"/>
      <c r="I895" s="5"/>
      <c r="J895" s="2"/>
      <c r="K895" s="5"/>
      <c r="L895" s="2"/>
      <c r="M895" s="2"/>
      <c r="N895" s="2"/>
    </row>
    <row r="896" spans="1:14">
      <c r="A896" s="2"/>
      <c r="B896" s="2"/>
      <c r="C896" s="4"/>
      <c r="D896" s="7"/>
      <c r="E896" s="7"/>
      <c r="F896" s="4"/>
      <c r="G896" s="6"/>
      <c r="H896" s="2"/>
      <c r="I896" s="5"/>
      <c r="J896" s="2"/>
      <c r="K896" s="5"/>
      <c r="L896" s="2"/>
      <c r="M896" s="2"/>
      <c r="N896" s="2"/>
    </row>
    <row r="897" spans="1:14">
      <c r="A897" s="2"/>
      <c r="B897" s="2"/>
      <c r="C897" s="4"/>
      <c r="D897" s="7"/>
      <c r="E897" s="7"/>
      <c r="F897" s="4"/>
      <c r="G897" s="6"/>
      <c r="H897" s="2"/>
      <c r="I897" s="5"/>
      <c r="J897" s="2"/>
      <c r="K897" s="5"/>
      <c r="L897" s="2"/>
      <c r="M897" s="2"/>
      <c r="N897" s="2"/>
    </row>
    <row r="898" spans="1:14">
      <c r="A898" s="2"/>
      <c r="B898" s="2"/>
      <c r="C898" s="4"/>
      <c r="D898" s="7"/>
      <c r="E898" s="7"/>
      <c r="F898" s="4"/>
      <c r="G898" s="6"/>
      <c r="H898" s="2"/>
      <c r="I898" s="5"/>
      <c r="J898" s="2"/>
      <c r="K898" s="5"/>
      <c r="L898" s="2"/>
      <c r="M898" s="2"/>
      <c r="N898" s="2"/>
    </row>
    <row r="899" spans="1:14">
      <c r="A899" s="2"/>
      <c r="B899" s="2"/>
      <c r="C899" s="4"/>
      <c r="D899" s="7"/>
      <c r="E899" s="7"/>
      <c r="F899" s="4"/>
      <c r="G899" s="6"/>
      <c r="H899" s="2"/>
      <c r="I899" s="5"/>
      <c r="J899" s="2"/>
      <c r="K899" s="5"/>
      <c r="L899" s="2"/>
      <c r="M899" s="2"/>
      <c r="N899" s="2"/>
    </row>
    <row r="900" spans="1:14">
      <c r="A900" s="2"/>
      <c r="B900" s="2"/>
      <c r="C900" s="4"/>
      <c r="D900" s="7"/>
      <c r="E900" s="7"/>
      <c r="F900" s="4"/>
      <c r="G900" s="6"/>
      <c r="H900" s="2"/>
      <c r="I900" s="5"/>
      <c r="J900" s="2"/>
      <c r="K900" s="5"/>
      <c r="L900" s="2"/>
      <c r="M900" s="2"/>
      <c r="N900" s="2"/>
    </row>
    <row r="901" spans="1:14">
      <c r="A901" s="2"/>
      <c r="B901" s="2"/>
      <c r="C901" s="4"/>
      <c r="D901" s="7"/>
      <c r="E901" s="7"/>
      <c r="F901" s="4"/>
      <c r="G901" s="6"/>
      <c r="H901" s="2"/>
      <c r="I901" s="5"/>
      <c r="J901" s="2"/>
      <c r="K901" s="5"/>
      <c r="L901" s="2"/>
      <c r="M901" s="2"/>
      <c r="N901" s="2"/>
    </row>
    <row r="902" spans="1:14">
      <c r="A902" s="2"/>
      <c r="B902" s="2"/>
      <c r="C902" s="4"/>
      <c r="D902" s="7"/>
      <c r="E902" s="7"/>
      <c r="F902" s="4"/>
      <c r="G902" s="6"/>
      <c r="H902" s="2"/>
      <c r="I902" s="5"/>
      <c r="J902" s="2"/>
      <c r="K902" s="5"/>
      <c r="L902" s="2"/>
      <c r="M902" s="2"/>
      <c r="N902" s="2"/>
    </row>
    <row r="903" spans="1:14">
      <c r="A903" s="2"/>
      <c r="B903" s="2"/>
      <c r="C903" s="4"/>
      <c r="D903" s="7"/>
      <c r="E903" s="7"/>
      <c r="F903" s="4"/>
      <c r="G903" s="6"/>
      <c r="H903" s="2"/>
      <c r="I903" s="5"/>
      <c r="J903" s="2"/>
      <c r="K903" s="5"/>
      <c r="L903" s="2"/>
      <c r="M903" s="2"/>
      <c r="N903" s="2"/>
    </row>
    <row r="904" spans="1:14">
      <c r="A904" s="2"/>
      <c r="B904" s="2"/>
      <c r="C904" s="4"/>
      <c r="D904" s="7"/>
      <c r="E904" s="7"/>
      <c r="F904" s="4"/>
      <c r="G904" s="6"/>
      <c r="H904" s="2"/>
      <c r="I904" s="5"/>
      <c r="J904" s="2"/>
      <c r="K904" s="5"/>
      <c r="L904" s="2"/>
      <c r="M904" s="2"/>
      <c r="N904" s="2"/>
    </row>
    <row r="905" spans="1:14">
      <c r="A905" s="2"/>
      <c r="B905" s="2"/>
      <c r="C905" s="4"/>
      <c r="D905" s="7"/>
      <c r="E905" s="7"/>
      <c r="F905" s="4"/>
      <c r="G905" s="6"/>
      <c r="H905" s="2"/>
      <c r="I905" s="5"/>
      <c r="J905" s="2"/>
      <c r="K905" s="5"/>
      <c r="L905" s="2"/>
      <c r="M905" s="2"/>
      <c r="N905" s="2"/>
    </row>
    <row r="906" spans="1:14">
      <c r="A906" s="2"/>
      <c r="B906" s="2"/>
      <c r="C906" s="4"/>
      <c r="D906" s="7"/>
      <c r="E906" s="7"/>
      <c r="F906" s="4"/>
      <c r="G906" s="6"/>
      <c r="H906" s="2"/>
      <c r="I906" s="5"/>
      <c r="J906" s="2"/>
      <c r="K906" s="5"/>
      <c r="L906" s="2"/>
      <c r="M906" s="2"/>
      <c r="N906" s="2"/>
    </row>
    <row r="907" spans="1:14">
      <c r="A907" s="2"/>
      <c r="B907" s="2"/>
      <c r="C907" s="4"/>
      <c r="D907" s="7"/>
      <c r="E907" s="7"/>
      <c r="F907" s="4"/>
      <c r="G907" s="6"/>
      <c r="H907" s="2"/>
      <c r="I907" s="5"/>
      <c r="J907" s="2"/>
      <c r="K907" s="5"/>
      <c r="L907" s="2"/>
      <c r="M907" s="2"/>
      <c r="N907" s="2"/>
    </row>
    <row r="908" spans="1:14">
      <c r="A908" s="2"/>
      <c r="B908" s="2"/>
      <c r="C908" s="4"/>
      <c r="D908" s="7"/>
      <c r="E908" s="7"/>
      <c r="F908" s="4"/>
      <c r="G908" s="6"/>
      <c r="H908" s="2"/>
      <c r="I908" s="5"/>
      <c r="J908" s="2"/>
      <c r="K908" s="5"/>
      <c r="L908" s="2"/>
      <c r="M908" s="2"/>
      <c r="N908" s="2"/>
    </row>
    <row r="909" spans="1:14">
      <c r="A909" s="2"/>
      <c r="B909" s="2"/>
      <c r="C909" s="4"/>
      <c r="D909" s="7"/>
      <c r="E909" s="7"/>
      <c r="F909" s="4"/>
      <c r="G909" s="6"/>
      <c r="H909" s="2"/>
      <c r="I909" s="5"/>
      <c r="J909" s="2"/>
      <c r="K909" s="5"/>
      <c r="L909" s="2"/>
      <c r="M909" s="2"/>
      <c r="N909" s="2"/>
    </row>
    <row r="910" spans="1:14">
      <c r="A910" s="2"/>
      <c r="B910" s="2"/>
      <c r="C910" s="4"/>
      <c r="D910" s="7"/>
      <c r="E910" s="7"/>
      <c r="F910" s="4"/>
      <c r="G910" s="6"/>
      <c r="H910" s="2"/>
      <c r="I910" s="5"/>
      <c r="J910" s="2"/>
      <c r="K910" s="5"/>
      <c r="L910" s="2"/>
      <c r="M910" s="2"/>
      <c r="N910" s="2"/>
    </row>
    <row r="911" spans="1:14">
      <c r="A911" s="2"/>
      <c r="B911" s="2"/>
      <c r="C911" s="4"/>
      <c r="D911" s="7"/>
      <c r="E911" s="7"/>
      <c r="F911" s="4"/>
      <c r="G911" s="6"/>
      <c r="H911" s="2"/>
      <c r="I911" s="5"/>
      <c r="J911" s="2"/>
      <c r="K911" s="5"/>
      <c r="L911" s="2"/>
      <c r="M911" s="2"/>
      <c r="N911" s="2"/>
    </row>
    <row r="912" spans="1:14">
      <c r="A912" s="2"/>
      <c r="B912" s="2"/>
      <c r="C912" s="4"/>
      <c r="D912" s="7"/>
      <c r="E912" s="7"/>
      <c r="F912" s="4"/>
      <c r="G912" s="6"/>
      <c r="H912" s="2"/>
      <c r="I912" s="5"/>
      <c r="J912" s="2"/>
      <c r="K912" s="5"/>
      <c r="L912" s="2"/>
      <c r="M912" s="2"/>
      <c r="N912" s="2"/>
    </row>
    <row r="913" spans="1:14">
      <c r="A913" s="2"/>
      <c r="B913" s="2"/>
      <c r="C913" s="4"/>
      <c r="D913" s="7"/>
      <c r="E913" s="7"/>
      <c r="F913" s="4"/>
      <c r="G913" s="6"/>
      <c r="H913" s="2"/>
      <c r="I913" s="5"/>
      <c r="J913" s="2"/>
      <c r="K913" s="5"/>
      <c r="L913" s="2"/>
      <c r="M913" s="2"/>
      <c r="N913" s="2"/>
    </row>
    <row r="914" spans="1:14">
      <c r="A914" s="2"/>
      <c r="B914" s="2"/>
      <c r="C914" s="4"/>
      <c r="D914" s="7"/>
      <c r="E914" s="7"/>
      <c r="F914" s="4"/>
      <c r="G914" s="6"/>
      <c r="H914" s="2"/>
      <c r="I914" s="5"/>
      <c r="J914" s="2"/>
      <c r="K914" s="5"/>
      <c r="L914" s="2"/>
      <c r="M914" s="2"/>
      <c r="N914" s="2"/>
    </row>
    <row r="915" spans="1:14">
      <c r="A915" s="2"/>
      <c r="B915" s="2"/>
      <c r="C915" s="4"/>
      <c r="D915" s="7"/>
      <c r="E915" s="7"/>
      <c r="F915" s="4"/>
      <c r="G915" s="6"/>
      <c r="H915" s="2"/>
      <c r="I915" s="5"/>
      <c r="J915" s="2"/>
      <c r="K915" s="5"/>
      <c r="L915" s="2"/>
      <c r="M915" s="2"/>
      <c r="N915" s="2"/>
    </row>
    <row r="916" spans="1:14">
      <c r="A916" s="2"/>
      <c r="B916" s="2"/>
      <c r="C916" s="4"/>
      <c r="D916" s="7"/>
      <c r="E916" s="7"/>
      <c r="F916" s="4"/>
      <c r="G916" s="6"/>
      <c r="H916" s="2"/>
      <c r="I916" s="5"/>
      <c r="J916" s="2"/>
      <c r="K916" s="5"/>
      <c r="L916" s="2"/>
      <c r="M916" s="2"/>
      <c r="N916" s="2"/>
    </row>
    <row r="917" spans="1:14">
      <c r="A917" s="2"/>
      <c r="B917" s="2"/>
      <c r="C917" s="4"/>
      <c r="D917" s="7"/>
      <c r="E917" s="7"/>
      <c r="F917" s="4"/>
      <c r="G917" s="6"/>
      <c r="H917" s="2"/>
      <c r="I917" s="5"/>
      <c r="J917" s="2"/>
      <c r="K917" s="5"/>
      <c r="L917" s="2"/>
      <c r="M917" s="2"/>
      <c r="N917" s="2"/>
    </row>
    <row r="918" spans="1:14">
      <c r="A918" s="2"/>
      <c r="B918" s="2"/>
      <c r="C918" s="4"/>
      <c r="D918" s="7"/>
      <c r="E918" s="7"/>
      <c r="F918" s="4"/>
      <c r="G918" s="6"/>
      <c r="H918" s="2"/>
      <c r="I918" s="5"/>
      <c r="J918" s="2"/>
      <c r="K918" s="5"/>
      <c r="L918" s="2"/>
      <c r="M918" s="2"/>
      <c r="N918" s="2"/>
    </row>
    <row r="919" spans="1:14">
      <c r="A919" s="2"/>
      <c r="B919" s="2"/>
      <c r="C919" s="4"/>
      <c r="D919" s="7"/>
      <c r="E919" s="7"/>
      <c r="F919" s="4"/>
      <c r="G919" s="6"/>
      <c r="H919" s="2"/>
      <c r="I919" s="5"/>
      <c r="J919" s="2"/>
      <c r="K919" s="5"/>
      <c r="L919" s="2"/>
      <c r="M919" s="2"/>
      <c r="N919" s="2"/>
    </row>
    <row r="920" spans="1:14">
      <c r="A920" s="2"/>
      <c r="B920" s="2"/>
      <c r="C920" s="4"/>
      <c r="D920" s="7"/>
      <c r="E920" s="7"/>
      <c r="F920" s="4"/>
      <c r="G920" s="6"/>
      <c r="H920" s="2"/>
      <c r="I920" s="5"/>
      <c r="J920" s="2"/>
      <c r="K920" s="5"/>
      <c r="L920" s="2"/>
      <c r="M920" s="2"/>
      <c r="N920" s="2"/>
    </row>
    <row r="921" spans="1:14">
      <c r="A921" s="2"/>
      <c r="B921" s="2"/>
      <c r="C921" s="4"/>
      <c r="D921" s="7"/>
      <c r="E921" s="7"/>
      <c r="F921" s="4"/>
      <c r="G921" s="6"/>
      <c r="H921" s="2"/>
      <c r="I921" s="5"/>
      <c r="J921" s="2"/>
      <c r="K921" s="5"/>
      <c r="L921" s="2"/>
      <c r="M921" s="2"/>
      <c r="N921" s="2"/>
    </row>
    <row r="922" spans="1:14">
      <c r="A922" s="2"/>
      <c r="B922" s="2"/>
      <c r="C922" s="4"/>
      <c r="D922" s="7"/>
      <c r="E922" s="7"/>
      <c r="F922" s="4"/>
      <c r="G922" s="6"/>
      <c r="H922" s="2"/>
      <c r="I922" s="5"/>
      <c r="J922" s="2"/>
      <c r="K922" s="5"/>
      <c r="L922" s="2"/>
      <c r="M922" s="2"/>
      <c r="N922" s="2"/>
    </row>
    <row r="923" spans="1:14">
      <c r="A923" s="2"/>
      <c r="B923" s="2"/>
      <c r="C923" s="4"/>
      <c r="D923" s="7"/>
      <c r="E923" s="7"/>
      <c r="F923" s="4"/>
      <c r="G923" s="6"/>
      <c r="H923" s="2"/>
      <c r="I923" s="5"/>
      <c r="J923" s="2"/>
      <c r="K923" s="5"/>
      <c r="L923" s="2"/>
      <c r="M923" s="2"/>
      <c r="N923" s="2"/>
    </row>
    <row r="924" spans="1:14">
      <c r="A924" s="2"/>
      <c r="B924" s="2"/>
      <c r="C924" s="4"/>
      <c r="D924" s="7"/>
      <c r="E924" s="7"/>
      <c r="F924" s="4"/>
      <c r="G924" s="6"/>
      <c r="H924" s="2"/>
      <c r="I924" s="5"/>
      <c r="J924" s="2"/>
      <c r="K924" s="5"/>
      <c r="L924" s="2"/>
      <c r="M924" s="2"/>
      <c r="N924" s="2"/>
    </row>
    <row r="925" spans="1:14">
      <c r="A925" s="2"/>
      <c r="B925" s="2"/>
      <c r="C925" s="4"/>
      <c r="D925" s="7"/>
      <c r="E925" s="7"/>
      <c r="F925" s="4"/>
      <c r="G925" s="6"/>
      <c r="H925" s="2"/>
      <c r="I925" s="5"/>
      <c r="J925" s="2"/>
      <c r="K925" s="5"/>
      <c r="L925" s="2"/>
      <c r="M925" s="2"/>
      <c r="N925" s="2"/>
    </row>
    <row r="926" spans="1:14">
      <c r="A926" s="2"/>
      <c r="B926" s="2"/>
      <c r="C926" s="4"/>
      <c r="D926" s="7"/>
      <c r="E926" s="7"/>
      <c r="F926" s="4"/>
      <c r="G926" s="6"/>
      <c r="H926" s="2"/>
      <c r="I926" s="5"/>
      <c r="J926" s="2"/>
      <c r="K926" s="5"/>
      <c r="L926" s="2"/>
      <c r="M926" s="2"/>
      <c r="N926" s="2"/>
    </row>
    <row r="927" spans="1:14">
      <c r="A927" s="2"/>
      <c r="B927" s="2"/>
      <c r="C927" s="4"/>
      <c r="D927" s="7"/>
      <c r="E927" s="7"/>
      <c r="F927" s="4"/>
      <c r="G927" s="6"/>
      <c r="H927" s="2"/>
      <c r="I927" s="5"/>
      <c r="J927" s="2"/>
      <c r="K927" s="5"/>
      <c r="L927" s="2"/>
      <c r="M927" s="2"/>
      <c r="N927" s="2"/>
    </row>
    <row r="928" spans="1:14">
      <c r="A928" s="2"/>
      <c r="B928" s="2"/>
      <c r="C928" s="4"/>
      <c r="D928" s="7"/>
      <c r="E928" s="7"/>
      <c r="F928" s="4"/>
      <c r="G928" s="6"/>
      <c r="H928" s="2"/>
      <c r="I928" s="5"/>
      <c r="J928" s="2"/>
      <c r="K928" s="5"/>
      <c r="L928" s="2"/>
      <c r="M928" s="2"/>
      <c r="N928" s="2"/>
    </row>
    <row r="929" spans="1:14">
      <c r="A929" s="2"/>
      <c r="B929" s="2"/>
      <c r="C929" s="4"/>
      <c r="D929" s="7"/>
      <c r="E929" s="7"/>
      <c r="F929" s="4"/>
      <c r="G929" s="6"/>
      <c r="H929" s="2"/>
      <c r="I929" s="5"/>
      <c r="J929" s="2"/>
      <c r="K929" s="5"/>
      <c r="L929" s="2"/>
      <c r="M929" s="2"/>
      <c r="N929" s="2"/>
    </row>
    <row r="930" spans="1:14">
      <c r="A930" s="2"/>
      <c r="B930" s="2"/>
      <c r="C930" s="4"/>
      <c r="D930" s="7"/>
      <c r="E930" s="7"/>
      <c r="F930" s="4"/>
      <c r="G930" s="6"/>
      <c r="H930" s="2"/>
      <c r="I930" s="5"/>
      <c r="J930" s="2"/>
      <c r="K930" s="5"/>
      <c r="L930" s="2"/>
      <c r="M930" s="2"/>
      <c r="N930" s="2"/>
    </row>
    <row r="931" spans="1:14">
      <c r="A931" s="2"/>
      <c r="B931" s="2"/>
      <c r="C931" s="4"/>
      <c r="D931" s="7"/>
      <c r="E931" s="7"/>
      <c r="F931" s="4"/>
      <c r="G931" s="6"/>
      <c r="H931" s="2"/>
      <c r="I931" s="5"/>
      <c r="J931" s="2"/>
      <c r="K931" s="5"/>
      <c r="L931" s="2"/>
      <c r="M931" s="2"/>
      <c r="N931" s="2"/>
    </row>
    <row r="932" spans="1:14">
      <c r="A932" s="2"/>
      <c r="B932" s="2"/>
      <c r="C932" s="4"/>
      <c r="D932" s="7"/>
      <c r="E932" s="7"/>
      <c r="F932" s="4"/>
      <c r="G932" s="6"/>
      <c r="H932" s="2"/>
      <c r="I932" s="5"/>
      <c r="J932" s="2"/>
      <c r="K932" s="5"/>
      <c r="L932" s="2"/>
      <c r="M932" s="2"/>
      <c r="N932" s="2"/>
    </row>
    <row r="933" spans="1:14">
      <c r="A933" s="2"/>
      <c r="B933" s="2"/>
      <c r="C933" s="4"/>
      <c r="D933" s="7"/>
      <c r="E933" s="7"/>
      <c r="F933" s="4"/>
      <c r="G933" s="6"/>
      <c r="H933" s="2"/>
      <c r="I933" s="5"/>
      <c r="J933" s="2"/>
      <c r="K933" s="5"/>
      <c r="L933" s="2"/>
      <c r="M933" s="2"/>
      <c r="N933" s="2"/>
    </row>
    <row r="934" spans="1:14">
      <c r="A934" s="2"/>
      <c r="B934" s="2"/>
      <c r="C934" s="4"/>
      <c r="D934" s="7"/>
      <c r="E934" s="7"/>
      <c r="F934" s="4"/>
      <c r="G934" s="6"/>
      <c r="H934" s="2"/>
      <c r="I934" s="5"/>
      <c r="J934" s="2"/>
      <c r="K934" s="5"/>
      <c r="L934" s="2"/>
      <c r="M934" s="2"/>
      <c r="N934" s="2"/>
    </row>
    <row r="935" spans="1:14">
      <c r="A935" s="2"/>
      <c r="B935" s="2"/>
      <c r="C935" s="4"/>
      <c r="D935" s="7"/>
      <c r="E935" s="7"/>
      <c r="F935" s="4"/>
      <c r="G935" s="6"/>
      <c r="H935" s="2"/>
      <c r="I935" s="5"/>
      <c r="J935" s="2"/>
      <c r="K935" s="5"/>
      <c r="L935" s="2"/>
      <c r="M935" s="2"/>
      <c r="N935" s="2"/>
    </row>
    <row r="936" spans="1:14">
      <c r="A936" s="2"/>
      <c r="B936" s="2"/>
      <c r="C936" s="4"/>
      <c r="D936" s="7"/>
      <c r="E936" s="7"/>
      <c r="F936" s="4"/>
      <c r="G936" s="6"/>
      <c r="H936" s="2"/>
      <c r="I936" s="5"/>
      <c r="J936" s="2"/>
      <c r="K936" s="5"/>
      <c r="L936" s="2"/>
      <c r="M936" s="2"/>
      <c r="N936" s="2"/>
    </row>
    <row r="937" spans="1:14">
      <c r="A937" s="2"/>
      <c r="B937" s="2"/>
      <c r="C937" s="4"/>
      <c r="D937" s="7"/>
      <c r="E937" s="7"/>
      <c r="F937" s="4"/>
      <c r="G937" s="6"/>
      <c r="H937" s="2"/>
      <c r="I937" s="5"/>
      <c r="J937" s="2"/>
      <c r="K937" s="5"/>
      <c r="L937" s="2"/>
      <c r="M937" s="2"/>
      <c r="N937" s="2"/>
    </row>
    <row r="938" spans="1:14">
      <c r="A938" s="2"/>
      <c r="B938" s="2"/>
      <c r="C938" s="4"/>
      <c r="D938" s="7"/>
      <c r="E938" s="7"/>
      <c r="F938" s="4"/>
      <c r="G938" s="6"/>
      <c r="H938" s="2"/>
      <c r="I938" s="5"/>
      <c r="J938" s="2"/>
      <c r="K938" s="5"/>
      <c r="L938" s="2"/>
      <c r="M938" s="2"/>
      <c r="N938" s="2"/>
    </row>
    <row r="939" spans="1:14">
      <c r="A939" s="2"/>
      <c r="B939" s="2"/>
      <c r="C939" s="4"/>
      <c r="D939" s="7"/>
      <c r="E939" s="7"/>
      <c r="F939" s="4"/>
      <c r="G939" s="6"/>
      <c r="H939" s="2"/>
      <c r="I939" s="5"/>
      <c r="J939" s="2"/>
      <c r="K939" s="5"/>
      <c r="L939" s="2"/>
      <c r="M939" s="2"/>
      <c r="N939" s="2"/>
    </row>
    <row r="940" spans="1:14">
      <c r="A940" s="2"/>
      <c r="B940" s="2"/>
      <c r="C940" s="4"/>
      <c r="D940" s="7"/>
      <c r="E940" s="7"/>
      <c r="F940" s="4"/>
      <c r="G940" s="6"/>
      <c r="H940" s="2"/>
      <c r="I940" s="5"/>
      <c r="J940" s="2"/>
      <c r="K940" s="5"/>
      <c r="L940" s="2"/>
      <c r="M940" s="2"/>
      <c r="N940" s="2"/>
    </row>
    <row r="941" spans="1:14">
      <c r="A941" s="2"/>
      <c r="B941" s="2"/>
      <c r="C941" s="4"/>
      <c r="D941" s="7"/>
      <c r="E941" s="7"/>
      <c r="F941" s="4"/>
      <c r="G941" s="6"/>
      <c r="H941" s="2"/>
      <c r="I941" s="5"/>
      <c r="J941" s="2"/>
      <c r="K941" s="5"/>
      <c r="L941" s="2"/>
      <c r="M941" s="2"/>
      <c r="N941" s="2"/>
    </row>
    <row r="942" spans="1:14">
      <c r="A942" s="2"/>
      <c r="B942" s="2"/>
      <c r="C942" s="4"/>
      <c r="D942" s="7"/>
      <c r="E942" s="7"/>
      <c r="F942" s="4"/>
      <c r="G942" s="6"/>
      <c r="H942" s="2"/>
      <c r="I942" s="5"/>
      <c r="J942" s="2"/>
      <c r="K942" s="5"/>
      <c r="L942" s="2"/>
      <c r="M942" s="2"/>
      <c r="N942" s="2"/>
    </row>
    <row r="943" spans="1:14">
      <c r="A943" s="2"/>
      <c r="B943" s="2"/>
      <c r="C943" s="4"/>
      <c r="D943" s="7"/>
      <c r="E943" s="7"/>
      <c r="F943" s="4"/>
      <c r="G943" s="6"/>
      <c r="H943" s="2"/>
      <c r="I943" s="5"/>
      <c r="J943" s="2"/>
      <c r="K943" s="5"/>
      <c r="L943" s="2"/>
      <c r="M943" s="2"/>
      <c r="N943" s="2"/>
    </row>
    <row r="944" spans="1:14">
      <c r="A944" s="2"/>
      <c r="B944" s="2"/>
      <c r="C944" s="4"/>
      <c r="D944" s="7"/>
      <c r="E944" s="7"/>
      <c r="F944" s="4"/>
      <c r="G944" s="6"/>
      <c r="H944" s="2"/>
      <c r="I944" s="5"/>
      <c r="J944" s="2"/>
      <c r="K944" s="5"/>
      <c r="L944" s="2"/>
      <c r="M944" s="2"/>
      <c r="N944" s="2"/>
    </row>
    <row r="945" spans="1:14">
      <c r="A945" s="2"/>
      <c r="B945" s="2"/>
      <c r="C945" s="4"/>
      <c r="D945" s="7"/>
      <c r="E945" s="7"/>
      <c r="F945" s="4"/>
      <c r="G945" s="6"/>
      <c r="H945" s="2"/>
      <c r="I945" s="5"/>
      <c r="J945" s="2"/>
      <c r="K945" s="5"/>
      <c r="L945" s="2"/>
      <c r="M945" s="2"/>
      <c r="N945" s="2"/>
    </row>
    <row r="946" spans="1:14">
      <c r="A946" s="2"/>
      <c r="B946" s="2"/>
      <c r="C946" s="4"/>
      <c r="D946" s="7"/>
      <c r="E946" s="7"/>
      <c r="F946" s="4"/>
      <c r="G946" s="6"/>
      <c r="H946" s="2"/>
      <c r="I946" s="5"/>
      <c r="J946" s="2"/>
      <c r="K946" s="5"/>
      <c r="L946" s="2"/>
      <c r="M946" s="2"/>
      <c r="N946" s="2"/>
    </row>
    <row r="947" spans="1:14">
      <c r="A947" s="2"/>
      <c r="B947" s="2"/>
      <c r="C947" s="4"/>
      <c r="D947" s="7"/>
      <c r="E947" s="7"/>
      <c r="F947" s="4"/>
      <c r="G947" s="6"/>
      <c r="H947" s="2"/>
      <c r="I947" s="5"/>
      <c r="J947" s="2"/>
      <c r="K947" s="5"/>
      <c r="L947" s="2"/>
      <c r="M947" s="2"/>
      <c r="N947" s="2"/>
    </row>
    <row r="948" spans="1:14">
      <c r="A948" s="2"/>
      <c r="B948" s="2"/>
      <c r="C948" s="4"/>
      <c r="D948" s="7"/>
      <c r="E948" s="7"/>
      <c r="F948" s="4"/>
      <c r="G948" s="6"/>
      <c r="H948" s="2"/>
      <c r="I948" s="5"/>
      <c r="J948" s="2"/>
      <c r="K948" s="5"/>
      <c r="L948" s="2"/>
      <c r="M948" s="2"/>
      <c r="N948" s="2"/>
    </row>
    <row r="949" spans="1:14">
      <c r="A949" s="2"/>
      <c r="B949" s="2"/>
      <c r="C949" s="4"/>
      <c r="D949" s="7"/>
      <c r="E949" s="7"/>
      <c r="F949" s="4"/>
      <c r="G949" s="6"/>
      <c r="H949" s="2"/>
      <c r="I949" s="5"/>
      <c r="J949" s="2"/>
      <c r="K949" s="5"/>
      <c r="L949" s="2"/>
      <c r="M949" s="2"/>
      <c r="N949" s="2"/>
    </row>
    <row r="950" spans="1:14">
      <c r="A950" s="2"/>
      <c r="B950" s="2"/>
      <c r="C950" s="4"/>
      <c r="D950" s="7"/>
      <c r="E950" s="7"/>
      <c r="F950" s="4"/>
      <c r="G950" s="6"/>
      <c r="H950" s="2"/>
      <c r="I950" s="5"/>
      <c r="J950" s="2"/>
      <c r="K950" s="5"/>
      <c r="L950" s="2"/>
      <c r="M950" s="2"/>
      <c r="N950" s="2"/>
    </row>
    <row r="951" spans="1:14">
      <c r="A951" s="2"/>
      <c r="B951" s="2"/>
      <c r="C951" s="4"/>
      <c r="D951" s="7"/>
      <c r="E951" s="7"/>
      <c r="F951" s="4"/>
      <c r="G951" s="6"/>
      <c r="H951" s="2"/>
      <c r="I951" s="5"/>
      <c r="J951" s="2"/>
      <c r="K951" s="5"/>
      <c r="L951" s="2"/>
      <c r="M951" s="2"/>
      <c r="N951" s="2"/>
    </row>
    <row r="952" spans="1:14">
      <c r="A952" s="2"/>
      <c r="B952" s="2"/>
      <c r="C952" s="4"/>
      <c r="D952" s="7"/>
      <c r="E952" s="7"/>
      <c r="F952" s="4"/>
      <c r="G952" s="6"/>
      <c r="H952" s="2"/>
      <c r="I952" s="5"/>
      <c r="J952" s="2"/>
      <c r="K952" s="5"/>
      <c r="L952" s="2"/>
      <c r="M952" s="2"/>
      <c r="N952" s="2"/>
    </row>
    <row r="953" spans="1:14">
      <c r="A953" s="2"/>
      <c r="B953" s="2"/>
      <c r="C953" s="4"/>
      <c r="D953" s="7"/>
      <c r="E953" s="7"/>
      <c r="F953" s="4"/>
      <c r="G953" s="6"/>
      <c r="H953" s="2"/>
      <c r="I953" s="5"/>
      <c r="J953" s="2"/>
      <c r="K953" s="5"/>
      <c r="L953" s="2"/>
      <c r="M953" s="2"/>
      <c r="N953" s="2"/>
    </row>
    <row r="954" spans="1:14">
      <c r="A954" s="2"/>
      <c r="B954" s="2"/>
      <c r="C954" s="4"/>
      <c r="D954" s="7"/>
      <c r="E954" s="7"/>
      <c r="F954" s="4"/>
      <c r="G954" s="6"/>
      <c r="H954" s="2"/>
      <c r="I954" s="5"/>
      <c r="J954" s="2"/>
      <c r="K954" s="5"/>
      <c r="L954" s="2"/>
      <c r="M954" s="2"/>
      <c r="N954" s="2"/>
    </row>
    <row r="955" spans="1:14">
      <c r="A955" s="2"/>
      <c r="B955" s="2"/>
      <c r="C955" s="4"/>
      <c r="D955" s="7"/>
      <c r="E955" s="7"/>
      <c r="F955" s="4"/>
      <c r="G955" s="6"/>
      <c r="H955" s="2"/>
      <c r="I955" s="5"/>
      <c r="J955" s="2"/>
      <c r="K955" s="5"/>
      <c r="L955" s="2"/>
      <c r="M955" s="2"/>
      <c r="N955" s="2"/>
    </row>
    <row r="956" spans="1:14">
      <c r="A956" s="2"/>
      <c r="B956" s="2"/>
      <c r="C956" s="4"/>
      <c r="D956" s="7"/>
      <c r="E956" s="7"/>
      <c r="F956" s="4"/>
      <c r="G956" s="6"/>
      <c r="H956" s="2"/>
      <c r="I956" s="5"/>
      <c r="J956" s="2"/>
      <c r="K956" s="5"/>
      <c r="L956" s="2"/>
      <c r="M956" s="2"/>
      <c r="N956" s="2"/>
    </row>
    <row r="957" spans="1:14">
      <c r="A957" s="2"/>
      <c r="B957" s="2"/>
      <c r="C957" s="4"/>
      <c r="D957" s="7"/>
      <c r="E957" s="7"/>
      <c r="F957" s="4"/>
      <c r="G957" s="6"/>
      <c r="H957" s="2"/>
      <c r="I957" s="5"/>
      <c r="J957" s="2"/>
      <c r="K957" s="5"/>
      <c r="L957" s="2"/>
      <c r="M957" s="2"/>
      <c r="N957" s="2"/>
    </row>
    <row r="958" spans="1:14">
      <c r="A958" s="2"/>
      <c r="B958" s="2"/>
      <c r="C958" s="4"/>
      <c r="D958" s="7"/>
      <c r="E958" s="7"/>
      <c r="F958" s="4"/>
      <c r="G958" s="6"/>
      <c r="H958" s="2"/>
      <c r="I958" s="5"/>
      <c r="J958" s="2"/>
      <c r="K958" s="5"/>
      <c r="L958" s="2"/>
      <c r="M958" s="2"/>
      <c r="N958" s="2"/>
    </row>
    <row r="959" spans="1:14">
      <c r="A959" s="2"/>
      <c r="B959" s="2"/>
      <c r="C959" s="4"/>
      <c r="D959" s="7"/>
      <c r="E959" s="7"/>
      <c r="F959" s="4"/>
      <c r="G959" s="6"/>
      <c r="H959" s="2"/>
      <c r="I959" s="5"/>
      <c r="J959" s="2"/>
      <c r="K959" s="5"/>
      <c r="L959" s="2"/>
      <c r="M959" s="2"/>
      <c r="N959" s="2"/>
    </row>
    <row r="960" spans="1:14">
      <c r="A960" s="2"/>
      <c r="B960" s="2"/>
      <c r="C960" s="4"/>
      <c r="D960" s="7"/>
      <c r="E960" s="7"/>
      <c r="F960" s="4"/>
      <c r="G960" s="6"/>
      <c r="H960" s="2"/>
      <c r="I960" s="5"/>
      <c r="J960" s="2"/>
      <c r="K960" s="5"/>
      <c r="L960" s="2"/>
      <c r="M960" s="2"/>
      <c r="N960" s="2"/>
    </row>
    <row r="961" spans="1:14">
      <c r="A961" s="2"/>
      <c r="B961" s="2"/>
      <c r="C961" s="4"/>
      <c r="D961" s="7"/>
      <c r="E961" s="7"/>
      <c r="F961" s="4"/>
      <c r="G961" s="6"/>
      <c r="H961" s="2"/>
      <c r="I961" s="5"/>
      <c r="J961" s="2"/>
      <c r="K961" s="5"/>
      <c r="L961" s="2"/>
      <c r="M961" s="2"/>
      <c r="N961" s="2"/>
    </row>
    <row r="962" spans="1:14">
      <c r="A962" s="2"/>
      <c r="B962" s="2"/>
      <c r="C962" s="4"/>
      <c r="D962" s="7"/>
      <c r="E962" s="7"/>
      <c r="F962" s="4"/>
      <c r="G962" s="6"/>
      <c r="H962" s="2"/>
      <c r="I962" s="5"/>
      <c r="J962" s="2"/>
      <c r="K962" s="5"/>
      <c r="L962" s="2"/>
      <c r="M962" s="2"/>
      <c r="N962" s="2"/>
    </row>
    <row r="963" spans="1:14">
      <c r="A963" s="2"/>
      <c r="B963" s="2"/>
      <c r="C963" s="4"/>
      <c r="D963" s="7"/>
      <c r="E963" s="7"/>
      <c r="F963" s="4"/>
      <c r="G963" s="6"/>
      <c r="H963" s="2"/>
      <c r="I963" s="5"/>
      <c r="J963" s="2"/>
      <c r="K963" s="5"/>
      <c r="L963" s="2"/>
      <c r="M963" s="2"/>
      <c r="N963" s="2"/>
    </row>
    <row r="964" spans="1:14">
      <c r="A964" s="2"/>
      <c r="B964" s="2"/>
      <c r="C964" s="4"/>
      <c r="D964" s="7"/>
      <c r="E964" s="7"/>
      <c r="F964" s="4"/>
      <c r="G964" s="6"/>
      <c r="H964" s="2"/>
      <c r="I964" s="5"/>
      <c r="J964" s="2"/>
      <c r="K964" s="5"/>
      <c r="L964" s="2"/>
      <c r="M964" s="2"/>
      <c r="N964" s="2"/>
    </row>
    <row r="965" spans="1:14">
      <c r="A965" s="2"/>
      <c r="B965" s="2"/>
      <c r="C965" s="4"/>
      <c r="D965" s="7"/>
      <c r="E965" s="7"/>
      <c r="F965" s="4"/>
      <c r="G965" s="6"/>
      <c r="H965" s="2"/>
      <c r="I965" s="5"/>
      <c r="J965" s="2"/>
      <c r="K965" s="5"/>
      <c r="L965" s="2"/>
      <c r="M965" s="2"/>
      <c r="N965" s="2"/>
    </row>
    <row r="966" spans="1:14">
      <c r="A966" s="2"/>
      <c r="B966" s="2"/>
      <c r="C966" s="4"/>
      <c r="D966" s="7"/>
      <c r="E966" s="7"/>
      <c r="F966" s="4"/>
      <c r="G966" s="6"/>
      <c r="H966" s="2"/>
      <c r="I966" s="5"/>
      <c r="J966" s="2"/>
      <c r="K966" s="5"/>
      <c r="L966" s="2"/>
      <c r="M966" s="2"/>
      <c r="N966" s="2"/>
    </row>
    <row r="967" spans="1:14">
      <c r="A967" s="2"/>
      <c r="B967" s="2"/>
      <c r="C967" s="4"/>
      <c r="D967" s="7"/>
      <c r="E967" s="7"/>
      <c r="F967" s="4"/>
      <c r="G967" s="6"/>
      <c r="H967" s="2"/>
      <c r="I967" s="5"/>
      <c r="J967" s="2"/>
      <c r="K967" s="5"/>
      <c r="L967" s="2"/>
      <c r="M967" s="2"/>
      <c r="N967" s="2"/>
    </row>
    <row r="968" spans="1:14">
      <c r="A968" s="2"/>
      <c r="B968" s="2"/>
      <c r="C968" s="4"/>
      <c r="D968" s="7"/>
      <c r="E968" s="7"/>
      <c r="F968" s="4"/>
      <c r="G968" s="6"/>
      <c r="H968" s="2"/>
      <c r="I968" s="5"/>
      <c r="J968" s="2"/>
      <c r="K968" s="5"/>
      <c r="L968" s="2"/>
      <c r="M968" s="2"/>
      <c r="N968" s="2"/>
    </row>
    <row r="969" spans="1:14">
      <c r="A969" s="2"/>
      <c r="B969" s="2"/>
      <c r="C969" s="4"/>
      <c r="D969" s="7"/>
      <c r="E969" s="7"/>
      <c r="F969" s="4"/>
      <c r="G969" s="6"/>
      <c r="H969" s="2"/>
      <c r="I969" s="5"/>
      <c r="J969" s="2"/>
      <c r="K969" s="5"/>
      <c r="L969" s="2"/>
      <c r="M969" s="2"/>
      <c r="N969" s="2"/>
    </row>
    <row r="970" spans="1:14">
      <c r="A970" s="2"/>
      <c r="B970" s="2"/>
      <c r="C970" s="4"/>
      <c r="D970" s="7"/>
      <c r="E970" s="7"/>
      <c r="F970" s="4"/>
      <c r="G970" s="6"/>
      <c r="H970" s="2"/>
      <c r="I970" s="5"/>
      <c r="J970" s="2"/>
      <c r="K970" s="5"/>
      <c r="L970" s="2"/>
      <c r="M970" s="2"/>
      <c r="N970" s="2"/>
    </row>
    <row r="971" spans="1:14">
      <c r="A971" s="2"/>
      <c r="B971" s="2"/>
      <c r="C971" s="4"/>
      <c r="D971" s="7"/>
      <c r="E971" s="7"/>
      <c r="F971" s="4"/>
      <c r="G971" s="6"/>
      <c r="H971" s="2"/>
      <c r="I971" s="5"/>
      <c r="J971" s="2"/>
      <c r="K971" s="5"/>
      <c r="L971" s="2"/>
      <c r="M971" s="2"/>
      <c r="N971" s="2"/>
    </row>
    <row r="972" spans="1:14">
      <c r="A972" s="2"/>
      <c r="B972" s="2"/>
      <c r="C972" s="4"/>
      <c r="D972" s="7"/>
      <c r="E972" s="7"/>
      <c r="F972" s="4"/>
      <c r="G972" s="6"/>
      <c r="H972" s="2"/>
      <c r="I972" s="5"/>
      <c r="J972" s="2"/>
      <c r="K972" s="5"/>
      <c r="L972" s="2"/>
      <c r="M972" s="2"/>
      <c r="N972" s="2"/>
    </row>
    <row r="973" spans="1:14">
      <c r="A973" s="2"/>
      <c r="B973" s="2"/>
      <c r="C973" s="4"/>
      <c r="D973" s="7"/>
      <c r="E973" s="7"/>
      <c r="F973" s="4"/>
      <c r="G973" s="6"/>
      <c r="H973" s="2"/>
      <c r="I973" s="5"/>
      <c r="J973" s="2"/>
      <c r="K973" s="5"/>
      <c r="L973" s="2"/>
      <c r="M973" s="2"/>
      <c r="N973" s="2"/>
    </row>
    <row r="974" spans="1:14">
      <c r="A974" s="2"/>
      <c r="B974" s="2"/>
      <c r="C974" s="4"/>
      <c r="D974" s="7"/>
      <c r="E974" s="7"/>
      <c r="F974" s="4"/>
      <c r="G974" s="6"/>
      <c r="H974" s="2"/>
      <c r="I974" s="5"/>
      <c r="J974" s="2"/>
      <c r="K974" s="5"/>
      <c r="L974" s="2"/>
      <c r="M974" s="2"/>
      <c r="N974" s="2"/>
    </row>
    <row r="975" spans="1:14">
      <c r="A975" s="2"/>
      <c r="B975" s="2"/>
      <c r="C975" s="4"/>
      <c r="D975" s="7"/>
      <c r="E975" s="7"/>
      <c r="F975" s="4"/>
      <c r="G975" s="6"/>
      <c r="H975" s="2"/>
      <c r="I975" s="5"/>
      <c r="J975" s="2"/>
      <c r="K975" s="5"/>
      <c r="L975" s="2"/>
      <c r="M975" s="2"/>
      <c r="N975" s="2"/>
    </row>
    <row r="976" spans="1:14">
      <c r="A976" s="2"/>
      <c r="B976" s="2"/>
      <c r="C976" s="4"/>
      <c r="D976" s="7"/>
      <c r="E976" s="7"/>
      <c r="F976" s="4"/>
      <c r="G976" s="6"/>
      <c r="H976" s="2"/>
      <c r="I976" s="5"/>
      <c r="J976" s="2"/>
      <c r="K976" s="5"/>
      <c r="L976" s="2"/>
      <c r="M976" s="2"/>
      <c r="N976" s="2"/>
    </row>
    <row r="977" spans="1:14">
      <c r="A977" s="2"/>
      <c r="B977" s="2"/>
      <c r="C977" s="4"/>
      <c r="D977" s="7"/>
      <c r="E977" s="7"/>
      <c r="F977" s="4"/>
      <c r="G977" s="6"/>
      <c r="H977" s="2"/>
      <c r="I977" s="5"/>
      <c r="J977" s="2"/>
      <c r="K977" s="5"/>
      <c r="L977" s="2"/>
      <c r="M977" s="2"/>
      <c r="N977" s="2"/>
    </row>
    <row r="978" spans="1:14">
      <c r="A978" s="2"/>
      <c r="B978" s="2"/>
      <c r="C978" s="4"/>
      <c r="D978" s="7"/>
      <c r="E978" s="7"/>
      <c r="F978" s="4"/>
      <c r="G978" s="6"/>
      <c r="H978" s="2"/>
      <c r="I978" s="5"/>
      <c r="J978" s="2"/>
      <c r="K978" s="5"/>
      <c r="L978" s="2"/>
      <c r="M978" s="2"/>
      <c r="N978" s="2"/>
    </row>
    <row r="979" spans="1:14">
      <c r="A979" s="2"/>
      <c r="B979" s="2"/>
      <c r="C979" s="4"/>
      <c r="D979" s="7"/>
      <c r="E979" s="7"/>
      <c r="F979" s="4"/>
      <c r="G979" s="6"/>
      <c r="H979" s="2"/>
      <c r="I979" s="5"/>
      <c r="J979" s="2"/>
      <c r="K979" s="5"/>
      <c r="L979" s="2"/>
      <c r="M979" s="2"/>
      <c r="N979" s="2"/>
    </row>
    <row r="980" spans="1:14">
      <c r="A980" s="2"/>
      <c r="B980" s="2"/>
      <c r="C980" s="4"/>
      <c r="D980" s="7"/>
      <c r="E980" s="7"/>
      <c r="F980" s="4"/>
      <c r="G980" s="6"/>
      <c r="H980" s="2"/>
      <c r="I980" s="5"/>
      <c r="J980" s="2"/>
      <c r="K980" s="5"/>
      <c r="L980" s="2"/>
      <c r="M980" s="2"/>
      <c r="N980" s="2"/>
    </row>
    <row r="981" spans="1:14">
      <c r="A981" s="2"/>
      <c r="B981" s="2"/>
      <c r="C981" s="4"/>
      <c r="D981" s="7"/>
      <c r="E981" s="7"/>
      <c r="F981" s="4"/>
      <c r="G981" s="6"/>
      <c r="H981" s="2"/>
      <c r="I981" s="5"/>
      <c r="J981" s="2"/>
      <c r="K981" s="5"/>
      <c r="L981" s="2"/>
      <c r="M981" s="2"/>
      <c r="N981" s="2"/>
    </row>
    <row r="982" spans="1:14">
      <c r="A982" s="2"/>
      <c r="B982" s="2"/>
      <c r="C982" s="4"/>
      <c r="D982" s="7"/>
      <c r="E982" s="7"/>
      <c r="F982" s="4"/>
      <c r="G982" s="6"/>
      <c r="H982" s="2"/>
      <c r="I982" s="5"/>
      <c r="J982" s="2"/>
      <c r="K982" s="5"/>
      <c r="L982" s="2"/>
      <c r="M982" s="2"/>
      <c r="N982" s="2"/>
    </row>
    <row r="983" spans="1:14">
      <c r="A983" s="2"/>
      <c r="B983" s="2"/>
      <c r="C983" s="4"/>
      <c r="D983" s="7"/>
      <c r="E983" s="7"/>
      <c r="F983" s="4"/>
      <c r="G983" s="6"/>
      <c r="H983" s="2"/>
      <c r="I983" s="5"/>
      <c r="J983" s="2"/>
      <c r="K983" s="5"/>
      <c r="L983" s="2"/>
      <c r="M983" s="2"/>
      <c r="N983" s="2"/>
    </row>
    <row r="984" spans="1:14">
      <c r="A984" s="2"/>
      <c r="B984" s="2"/>
      <c r="C984" s="4"/>
      <c r="D984" s="7"/>
      <c r="E984" s="7"/>
      <c r="F984" s="4"/>
      <c r="G984" s="6"/>
      <c r="H984" s="2"/>
      <c r="I984" s="5"/>
      <c r="J984" s="2"/>
      <c r="K984" s="5"/>
      <c r="L984" s="2"/>
      <c r="M984" s="2"/>
      <c r="N984" s="2"/>
    </row>
    <row r="985" spans="1:14">
      <c r="A985" s="2"/>
      <c r="B985" s="2"/>
      <c r="C985" s="4"/>
      <c r="D985" s="7"/>
      <c r="E985" s="7"/>
      <c r="F985" s="4"/>
      <c r="G985" s="6"/>
      <c r="H985" s="2"/>
      <c r="I985" s="5"/>
      <c r="J985" s="2"/>
      <c r="K985" s="5"/>
      <c r="L985" s="2"/>
      <c r="M985" s="2"/>
      <c r="N985" s="2"/>
    </row>
    <row r="986" spans="1:14">
      <c r="A986" s="2"/>
      <c r="B986" s="2"/>
      <c r="C986" s="4"/>
      <c r="D986" s="7"/>
      <c r="E986" s="7"/>
      <c r="F986" s="4"/>
      <c r="G986" s="6"/>
      <c r="H986" s="2"/>
      <c r="I986" s="5"/>
      <c r="J986" s="2"/>
      <c r="K986" s="5"/>
      <c r="L986" s="2"/>
      <c r="M986" s="2"/>
      <c r="N986" s="2"/>
    </row>
    <row r="987" spans="1:14">
      <c r="A987" s="2"/>
      <c r="B987" s="2"/>
      <c r="C987" s="4"/>
      <c r="D987" s="7"/>
      <c r="E987" s="7"/>
      <c r="F987" s="4"/>
      <c r="G987" s="6"/>
      <c r="H987" s="2"/>
      <c r="I987" s="5"/>
      <c r="J987" s="2"/>
      <c r="K987" s="5"/>
      <c r="L987" s="2"/>
      <c r="M987" s="2"/>
      <c r="N987" s="2"/>
    </row>
    <row r="988" spans="1:14">
      <c r="A988" s="2"/>
      <c r="B988" s="2"/>
      <c r="C988" s="4"/>
      <c r="D988" s="7"/>
      <c r="E988" s="7"/>
      <c r="F988" s="4"/>
      <c r="G988" s="6"/>
      <c r="H988" s="2"/>
      <c r="I988" s="5"/>
      <c r="J988" s="2"/>
      <c r="K988" s="5"/>
      <c r="L988" s="2"/>
      <c r="M988" s="2"/>
      <c r="N988" s="2"/>
    </row>
    <row r="989" spans="1:14">
      <c r="A989" s="2"/>
      <c r="B989" s="2"/>
      <c r="C989" s="4"/>
      <c r="D989" s="7"/>
      <c r="E989" s="7"/>
      <c r="F989" s="4"/>
      <c r="G989" s="6"/>
      <c r="H989" s="2"/>
      <c r="I989" s="5"/>
      <c r="J989" s="2"/>
      <c r="K989" s="5"/>
      <c r="L989" s="2"/>
      <c r="M989" s="2"/>
      <c r="N989" s="2"/>
    </row>
    <row r="990" spans="1:14">
      <c r="A990" s="2"/>
      <c r="B990" s="2"/>
      <c r="C990" s="4"/>
      <c r="D990" s="7"/>
      <c r="E990" s="7"/>
      <c r="F990" s="4"/>
      <c r="G990" s="6"/>
      <c r="H990" s="2"/>
      <c r="I990" s="5"/>
      <c r="J990" s="2"/>
      <c r="K990" s="5"/>
      <c r="L990" s="2"/>
      <c r="M990" s="2"/>
      <c r="N990" s="2"/>
    </row>
    <row r="991" spans="1:14">
      <c r="A991" s="2"/>
      <c r="B991" s="2"/>
      <c r="C991" s="4"/>
      <c r="D991" s="7"/>
      <c r="E991" s="7"/>
      <c r="F991" s="4"/>
      <c r="G991" s="6"/>
      <c r="H991" s="2"/>
      <c r="I991" s="5"/>
      <c r="J991" s="2"/>
      <c r="K991" s="5"/>
      <c r="L991" s="2"/>
      <c r="M991" s="2"/>
      <c r="N991" s="2"/>
    </row>
    <row r="992" spans="1:14">
      <c r="A992" s="2"/>
      <c r="B992" s="2"/>
      <c r="C992" s="4"/>
      <c r="D992" s="7"/>
      <c r="E992" s="7"/>
      <c r="F992" s="4"/>
      <c r="G992" s="6"/>
      <c r="H992" s="2"/>
      <c r="I992" s="5"/>
      <c r="J992" s="2"/>
      <c r="K992" s="5"/>
      <c r="L992" s="2"/>
      <c r="M992" s="2"/>
      <c r="N992" s="2"/>
    </row>
    <row r="993" spans="1:14">
      <c r="A993" s="2"/>
      <c r="B993" s="2"/>
      <c r="C993" s="4"/>
      <c r="D993" s="7"/>
      <c r="E993" s="7"/>
      <c r="F993" s="4"/>
      <c r="G993" s="6"/>
      <c r="H993" s="2"/>
      <c r="I993" s="5"/>
      <c r="J993" s="2"/>
      <c r="K993" s="5"/>
      <c r="L993" s="2"/>
      <c r="M993" s="2"/>
      <c r="N993" s="2"/>
    </row>
    <row r="994" spans="1:14">
      <c r="A994" s="2"/>
      <c r="B994" s="2"/>
      <c r="C994" s="4"/>
      <c r="D994" s="7"/>
      <c r="E994" s="7"/>
      <c r="F994" s="4"/>
      <c r="G994" s="6"/>
      <c r="H994" s="2"/>
      <c r="I994" s="5"/>
      <c r="J994" s="2"/>
      <c r="K994" s="5"/>
      <c r="L994" s="2"/>
      <c r="M994" s="2"/>
      <c r="N994" s="2"/>
    </row>
    <row r="995" spans="1:14">
      <c r="A995" s="2"/>
      <c r="B995" s="2"/>
      <c r="C995" s="4"/>
      <c r="D995" s="7"/>
      <c r="E995" s="7"/>
      <c r="F995" s="4"/>
      <c r="G995" s="6"/>
      <c r="H995" s="2"/>
      <c r="I995" s="5"/>
      <c r="J995" s="2"/>
      <c r="K995" s="5"/>
      <c r="L995" s="2"/>
      <c r="M995" s="2"/>
      <c r="N995" s="2"/>
    </row>
    <row r="996" spans="1:14">
      <c r="A996" s="2"/>
      <c r="B996" s="2"/>
      <c r="C996" s="4"/>
      <c r="D996" s="7"/>
      <c r="E996" s="7"/>
      <c r="F996" s="4"/>
      <c r="G996" s="6"/>
      <c r="H996" s="2"/>
      <c r="I996" s="5"/>
      <c r="J996" s="2"/>
      <c r="K996" s="5"/>
      <c r="L996" s="2"/>
      <c r="M996" s="2"/>
      <c r="N996" s="2"/>
    </row>
    <row r="997" spans="1:14">
      <c r="A997" s="2"/>
      <c r="B997" s="2"/>
      <c r="C997" s="4"/>
      <c r="D997" s="7"/>
      <c r="E997" s="7"/>
      <c r="F997" s="4"/>
      <c r="G997" s="6"/>
      <c r="H997" s="2"/>
      <c r="I997" s="5"/>
      <c r="J997" s="2"/>
      <c r="K997" s="5"/>
      <c r="L997" s="2"/>
      <c r="M997" s="2"/>
      <c r="N997" s="2"/>
    </row>
    <row r="998" spans="1:14">
      <c r="A998" s="2"/>
      <c r="B998" s="2"/>
      <c r="C998" s="4"/>
      <c r="D998" s="7"/>
      <c r="E998" s="7"/>
      <c r="F998" s="4"/>
      <c r="G998" s="6"/>
      <c r="H998" s="2"/>
      <c r="I998" s="5"/>
      <c r="J998" s="2"/>
      <c r="K998" s="5"/>
      <c r="L998" s="2"/>
      <c r="M998" s="2"/>
      <c r="N998" s="2"/>
    </row>
    <row r="999" spans="1:14">
      <c r="A999" s="2"/>
      <c r="B999" s="2"/>
      <c r="C999" s="4"/>
      <c r="D999" s="7"/>
      <c r="E999" s="7"/>
      <c r="F999" s="4"/>
      <c r="G999" s="6"/>
      <c r="H999" s="2"/>
      <c r="I999" s="5"/>
      <c r="J999" s="2"/>
      <c r="K999" s="5"/>
      <c r="L999" s="2"/>
      <c r="M999" s="2"/>
      <c r="N999" s="2"/>
    </row>
    <row r="1000" spans="1:14">
      <c r="A1000" s="2"/>
      <c r="B1000" s="2"/>
      <c r="C1000" s="4"/>
      <c r="D1000" s="7"/>
      <c r="E1000" s="7"/>
      <c r="F1000" s="4"/>
      <c r="G1000" s="6"/>
      <c r="H1000" s="2"/>
      <c r="I1000" s="5"/>
      <c r="J1000" s="2"/>
      <c r="K1000" s="5"/>
      <c r="L1000" s="2"/>
      <c r="M1000" s="2"/>
      <c r="N100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topLeftCell="A14" workbookViewId="0">
      <selection activeCell="F34" sqref="F34"/>
    </sheetView>
  </sheetViews>
  <sheetFormatPr defaultRowHeight="13.8"/>
  <cols>
    <col min="1" max="2" width="16" customWidth="1"/>
    <col min="3" max="3" width="20" customWidth="1"/>
    <col min="4" max="4" width="16" style="18" customWidth="1"/>
    <col min="5" max="7" width="18" customWidth="1"/>
    <col min="8" max="8" width="16" customWidth="1"/>
    <col min="9" max="9" width="18" customWidth="1"/>
    <col min="10" max="10" width="17.3984375" customWidth="1"/>
  </cols>
  <sheetData>
    <row r="1" spans="1:10" ht="27.6">
      <c r="A1" s="1" t="s">
        <v>5</v>
      </c>
      <c r="B1" s="1" t="s">
        <v>6</v>
      </c>
      <c r="C1" s="1" t="s">
        <v>8</v>
      </c>
      <c r="D1" s="1" t="s">
        <v>33</v>
      </c>
      <c r="E1" s="1" t="s">
        <v>12</v>
      </c>
      <c r="F1" s="1" t="s">
        <v>13</v>
      </c>
      <c r="G1" s="1" t="s">
        <v>34</v>
      </c>
      <c r="H1" s="1" t="s">
        <v>35</v>
      </c>
      <c r="I1" s="1" t="s">
        <v>36</v>
      </c>
      <c r="J1" s="1" t="s">
        <v>104</v>
      </c>
    </row>
    <row r="2" spans="1:10">
      <c r="A2" s="2" t="s">
        <v>37</v>
      </c>
      <c r="B2" s="2" t="s">
        <v>14</v>
      </c>
      <c r="C2" s="9">
        <f>IFERROR(LOOKUP(2,1/((Raw_Observations!$A$2:$A$250=A2)*(Raw_Observations!$B$2:$B$250=B2)),Raw_Observations!$E$2:$E$250),"")</f>
        <v>4671001</v>
      </c>
      <c r="D2" s="17">
        <f ca="1">IFERROR(MAX(0,LOOKUP(2,1/((Raw_Observations!$A$2:$A$250=A2)*(Raw_Observations!$B$2:$B$250=B2)),Raw_Observations!$F$2:$F$250)-TODAY()),"")</f>
        <v>0</v>
      </c>
      <c r="E2" s="16">
        <f>IFERROR(LOOKUP(2,1/((Raw_Observations!$A$2:$A$999=A3)*(Raw_Observations!$B$2:$B$999=B3)),Raw_Observations!$J$2:$J$999),"No Match")</f>
        <v>0.03</v>
      </c>
      <c r="F2" s="16">
        <f>IFERROR(LOOKUP(2,1/((Raw_Observations!$A$2:$A$250=A2)*(Raw_Observations!$B$2:$B$250=B2)),Raw_Observations!$K$2:$K$250),"")</f>
        <v>2.6869530770370388E-2</v>
      </c>
      <c r="G2" s="16">
        <v>0.02</v>
      </c>
      <c r="H2" s="16">
        <f t="shared" ref="H2:H33" si="0">IF(OR(E2="",G2="",E2="No Match"),"",E2+G2)</f>
        <v>0.05</v>
      </c>
      <c r="I2" s="9">
        <f t="shared" ref="I2:I33" ca="1" si="1">IF(OR(C2="",D2="",H2=""),"",C2/((1+H2)^(D2/365)))</f>
        <v>4671001</v>
      </c>
      <c r="J2" s="10">
        <f ca="1">IFERROR((I2/LOOKUP(2,1/((Raw_Observations!$A$2:$A$999=A2)*(Raw_Observations!$B$2:$B$999=B2)),Raw_Observations!$D$2:$D$999))^365-1,"")</f>
        <v>2.8934764644671147</v>
      </c>
    </row>
    <row r="3" spans="1:10">
      <c r="A3" s="2" t="s">
        <v>38</v>
      </c>
      <c r="B3" s="2" t="s">
        <v>15</v>
      </c>
      <c r="C3" s="9">
        <f>IFERROR(LOOKUP(2,1/((Raw_Observations!$A$2:$A$250=A3)*(Raw_Observations!$B$2:$B$250=B3)),Raw_Observations!$E$2:$E$250),"")</f>
        <v>3520202</v>
      </c>
      <c r="D3" s="17">
        <f ca="1">IFERROR(MAX(0,LOOKUP(2,1/((Raw_Observations!$A$2:$A$250=A3)*(Raw_Observations!$B$2:$B$250=B3)),Raw_Observations!$F$2:$F$250)-TODAY()),"")</f>
        <v>0</v>
      </c>
      <c r="E3" s="16">
        <f>IFERROR(LOOKUP(2,1/((Raw_Observations!$A$2:$A$999=A4)*(Raw_Observations!$B$2:$B$999=B4)),Raw_Observations!$J$2:$J$999),"No Match")</f>
        <v>0.03</v>
      </c>
      <c r="F3" s="16">
        <f>IFERROR(LOOKUP(2,1/((Raw_Observations!$A$2:$A$250=A3)*(Raw_Observations!$B$2:$B$250=B3)),Raw_Observations!$K$2:$K$250),"")</f>
        <v>3.6845321750421905E-2</v>
      </c>
      <c r="G3" s="16">
        <v>0.02</v>
      </c>
      <c r="H3" s="16">
        <f t="shared" si="0"/>
        <v>0.05</v>
      </c>
      <c r="I3" s="9">
        <f t="shared" ca="1" si="1"/>
        <v>3520202</v>
      </c>
      <c r="J3" s="10">
        <f ca="1">IFERROR((I3/LOOKUP(2,1/((Raw_Observations!$A$2:$A$999=A3)*(Raw_Observations!$B$2:$B$999=B3)),Raw_Observations!$D$2:$D$999))^365-1,"")</f>
        <v>2.4192250397153314</v>
      </c>
    </row>
    <row r="4" spans="1:10">
      <c r="A4" s="2" t="s">
        <v>39</v>
      </c>
      <c r="B4" s="2" t="s">
        <v>16</v>
      </c>
      <c r="C4" s="9">
        <f>IFERROR(LOOKUP(2,1/((Raw_Observations!$A$2:$A$250=A4)*(Raw_Observations!$B$2:$B$250=B4)),Raw_Observations!$E$2:$E$250),"")</f>
        <v>4626551</v>
      </c>
      <c r="D4" s="17">
        <f ca="1">IFERROR(MAX(0,LOOKUP(2,1/((Raw_Observations!$A$2:$A$250=A4)*(Raw_Observations!$B$2:$B$250=B4)),Raw_Observations!$F$2:$F$250)-TODAY()),"")</f>
        <v>0</v>
      </c>
      <c r="E4" s="16">
        <f>IFERROR(LOOKUP(2,1/((Raw_Observations!$A$2:$A$999=A4)*(Raw_Observations!$B$2:$B$999=B4)),Raw_Observations!$J$2:$J$999),"No Match")</f>
        <v>0.03</v>
      </c>
      <c r="F4" s="16">
        <f>IFERROR(LOOKUP(2,1/((Raw_Observations!$A$2:$A$250=A4)*(Raw_Observations!$B$2:$B$250=B4)),Raw_Observations!$K$2:$K$250),"")</f>
        <v>3.6879994290029333E-2</v>
      </c>
      <c r="G4" s="16">
        <v>0.02</v>
      </c>
      <c r="H4" s="16">
        <f t="shared" si="0"/>
        <v>0.05</v>
      </c>
      <c r="I4" s="9">
        <f t="shared" ca="1" si="1"/>
        <v>4626551</v>
      </c>
      <c r="J4" s="10">
        <f ca="1">IFERROR((I4/LOOKUP(2,1/((Raw_Observations!$A$2:$A$999=A4)*(Raw_Observations!$B$2:$B$999=B4)),Raw_Observations!$D$2:$D$999))^365-1,"")</f>
        <v>2.4213370329283133</v>
      </c>
    </row>
    <row r="5" spans="1:10">
      <c r="A5" s="2" t="s">
        <v>40</v>
      </c>
      <c r="B5" s="2" t="s">
        <v>17</v>
      </c>
      <c r="C5" s="9">
        <f>IFERROR(LOOKUP(2,1/((Raw_Observations!$A$2:$A$250=A5)*(Raw_Observations!$B$2:$B$250=B5)),Raw_Observations!$E$2:$E$250),"")</f>
        <v>3520202</v>
      </c>
      <c r="D5" s="17">
        <f ca="1">IFERROR(MAX(0,LOOKUP(2,1/((Raw_Observations!$A$2:$A$250=A5)*(Raw_Observations!$B$2:$B$250=B5)),Raw_Observations!$F$2:$F$250)-TODAY()),"")</f>
        <v>0</v>
      </c>
      <c r="E5" s="16">
        <f>IFERROR(LOOKUP(2,1/((Raw_Observations!$A$2:$A$999=A5)*(Raw_Observations!$B$2:$B$999=B5)),Raw_Observations!$J$2:$J$999),"No Match")</f>
        <v>0.03</v>
      </c>
      <c r="F5" s="16">
        <f>IFERROR(LOOKUP(2,1/((Raw_Observations!$A$2:$A$250=A5)*(Raw_Observations!$B$2:$B$250=B5)),Raw_Observations!$K$2:$K$250),"")</f>
        <v>3.6313870398653442E-2</v>
      </c>
      <c r="G5" s="16">
        <v>0.02</v>
      </c>
      <c r="H5" s="16">
        <f t="shared" si="0"/>
        <v>0.05</v>
      </c>
      <c r="I5" s="9">
        <f t="shared" ca="1" si="1"/>
        <v>3520202</v>
      </c>
      <c r="J5" s="10">
        <f ca="1">IFERROR((I5/LOOKUP(2,1/((Raw_Observations!$A$2:$A$999=A5)*(Raw_Observations!$B$2:$B$999=B5)),Raw_Observations!$D$2:$D$999))^365-1,"")</f>
        <v>2.387007128928468</v>
      </c>
    </row>
    <row r="6" spans="1:10">
      <c r="A6" s="2" t="s">
        <v>41</v>
      </c>
      <c r="B6" s="2" t="s">
        <v>18</v>
      </c>
      <c r="C6" s="9">
        <f>IFERROR(LOOKUP(2,1/((Raw_Observations!$A$2:$A$250=A6)*(Raw_Observations!$B$2:$B$250=B6)),Raw_Observations!$E$2:$E$250),"")</f>
        <v>6749674</v>
      </c>
      <c r="D6" s="17">
        <f ca="1">IFERROR(MAX(0,LOOKUP(2,1/((Raw_Observations!$A$2:$A$250=A6)*(Raw_Observations!$B$2:$B$250=B6)),Raw_Observations!$F$2:$F$250)-TODAY()),"")</f>
        <v>0</v>
      </c>
      <c r="E6" s="16">
        <f>IFERROR(LOOKUP(2,1/((Raw_Observations!$A$2:$A$999=A6)*(Raw_Observations!$B$2:$B$999=B6)),Raw_Observations!$J$2:$J$999),"No Match")</f>
        <v>6.7000000000000004E-2</v>
      </c>
      <c r="F6" s="16">
        <f>IFERROR(LOOKUP(2,1/((Raw_Observations!$A$2:$A$250=A6)*(Raw_Observations!$B$2:$B$250=B6)),Raw_Observations!$K$2:$K$250),"")</f>
        <v>6.0869003828364909E-3</v>
      </c>
      <c r="G6" s="16">
        <v>2E-3</v>
      </c>
      <c r="H6" s="16">
        <f t="shared" si="0"/>
        <v>6.9000000000000006E-2</v>
      </c>
      <c r="I6" s="9">
        <f t="shared" ca="1" si="1"/>
        <v>6749674</v>
      </c>
      <c r="J6" s="10">
        <f ca="1">IFERROR((I6/LOOKUP(2,1/((Raw_Observations!$A$2:$A$999=A6)*(Raw_Observations!$B$2:$B$999=B6)),Raw_Observations!$D$2:$D$999))^365-1,"")</f>
        <v>67.880072772144814</v>
      </c>
    </row>
    <row r="7" spans="1:10">
      <c r="A7" s="2" t="s">
        <v>42</v>
      </c>
      <c r="B7" s="2" t="s">
        <v>19</v>
      </c>
      <c r="C7" s="9">
        <f>IFERROR(LOOKUP(2,1/((Raw_Observations!$A$2:$A$250=A7)*(Raw_Observations!$B$2:$B$250=B7)),Raw_Observations!$E$2:$E$250),"")</f>
        <v>20826744</v>
      </c>
      <c r="D7" s="17">
        <f ca="1">IFERROR(MAX(0,LOOKUP(2,1/((Raw_Observations!$A$2:$A$250=A7)*(Raw_Observations!$B$2:$B$250=B7)),Raw_Observations!$F$2:$F$250)-TODAY()),"")</f>
        <v>122</v>
      </c>
      <c r="E7" s="16">
        <f>IFERROR(LOOKUP(2,1/((Raw_Observations!$A$2:$A$999=A7)*(Raw_Observations!$B$2:$B$999=B7)),Raw_Observations!$J$2:$J$999),"No Match")</f>
        <v>7.0999999999999994E-2</v>
      </c>
      <c r="F7" s="16">
        <f>IFERROR(LOOKUP(2,1/((Raw_Observations!$A$2:$A$250=A7)*(Raw_Observations!$B$2:$B$250=B7)),Raw_Observations!$K$2:$K$250),"")</f>
        <v>6.6851072775846038E-3</v>
      </c>
      <c r="G7" s="16">
        <v>3.0000000000000001E-3</v>
      </c>
      <c r="H7" s="16">
        <f t="shared" si="0"/>
        <v>7.3999999999999996E-2</v>
      </c>
      <c r="I7" s="9">
        <f t="shared" ca="1" si="1"/>
        <v>20335661.487562463</v>
      </c>
      <c r="J7" s="10">
        <f ca="1">IFERROR((I7/LOOKUP(2,1/((Raw_Observations!$A$2:$A$999=A7)*(Raw_Observations!$B$2:$B$999=B7)),Raw_Observations!$D$2:$D$999))^365-1,"")</f>
        <v>144.71087045421612</v>
      </c>
    </row>
    <row r="8" spans="1:10">
      <c r="A8" s="2" t="s">
        <v>43</v>
      </c>
      <c r="B8" s="2" t="s">
        <v>20</v>
      </c>
      <c r="C8" s="9">
        <f>IFERROR(LOOKUP(2,1/((Raw_Observations!$A$2:$A$250=A8)*(Raw_Observations!$B$2:$B$250=B8)),Raw_Observations!$E$2:$E$250),"")</f>
        <v>30297331</v>
      </c>
      <c r="D8" s="17">
        <f ca="1">IFERROR(MAX(0,LOOKUP(2,1/((Raw_Observations!$A$2:$A$250=A8)*(Raw_Observations!$B$2:$B$250=B8)),Raw_Observations!$F$2:$F$250)-TODAY()),"")</f>
        <v>38</v>
      </c>
      <c r="E8" s="16">
        <f>IFERROR(LOOKUP(2,1/((Raw_Observations!$A$2:$A$999=A8)*(Raw_Observations!$B$2:$B$999=B8)),Raw_Observations!$J$2:$J$999),"No Match")</f>
        <v>7.0000000000000007E-2</v>
      </c>
      <c r="F8" s="16">
        <f>IFERROR(LOOKUP(2,1/((Raw_Observations!$A$2:$A$250=A8)*(Raw_Observations!$B$2:$B$250=B8)),Raw_Observations!$K$2:$K$250),"")</f>
        <v>8.9830704899290237E-3</v>
      </c>
      <c r="G8" s="16">
        <v>3.3999999999999998E-3</v>
      </c>
      <c r="H8" s="16">
        <f t="shared" si="0"/>
        <v>7.3400000000000007E-2</v>
      </c>
      <c r="I8" s="9">
        <f t="shared" ca="1" si="1"/>
        <v>30074734.013242763</v>
      </c>
      <c r="J8" s="10">
        <f ca="1">IFERROR((I8/LOOKUP(2,1/((Raw_Observations!$A$2:$A$999=A8)*(Raw_Observations!$B$2:$B$999=B8)),Raw_Observations!$D$2:$D$999))^365-1,"")</f>
        <v>115.54491720151078</v>
      </c>
    </row>
    <row r="9" spans="1:10">
      <c r="A9" s="2" t="s">
        <v>44</v>
      </c>
      <c r="B9" s="2" t="s">
        <v>21</v>
      </c>
      <c r="C9" s="9">
        <f>IFERROR(LOOKUP(2,1/((Raw_Observations!$A$2:$A$250=A9)*(Raw_Observations!$B$2:$B$250=B9)),Raw_Observations!$E$2:$E$250),"")</f>
        <v>31206091</v>
      </c>
      <c r="D9" s="17">
        <f ca="1">IFERROR(MAX(0,LOOKUP(2,1/((Raw_Observations!$A$2:$A$250=A9)*(Raw_Observations!$B$2:$B$250=B9)),Raw_Observations!$F$2:$F$250)-TODAY()),"")</f>
        <v>123</v>
      </c>
      <c r="E9" s="16">
        <f>IFERROR(LOOKUP(2,1/((Raw_Observations!$A$2:$A$999=A9)*(Raw_Observations!$B$2:$B$999=B9)),Raw_Observations!$J$2:$J$999),"No Match")</f>
        <v>7.0999999999999994E-2</v>
      </c>
      <c r="F9" s="16">
        <f>IFERROR(LOOKUP(2,1/((Raw_Observations!$A$2:$A$250=A9)*(Raw_Observations!$B$2:$B$250=B9)),Raw_Observations!$K$2:$K$250),"")</f>
        <v>7.4884784833213064E-3</v>
      </c>
      <c r="G9" s="16">
        <v>3.0000000000000001E-3</v>
      </c>
      <c r="H9" s="16">
        <f t="shared" si="0"/>
        <v>7.3999999999999996E-2</v>
      </c>
      <c r="I9" s="9">
        <f t="shared" ca="1" si="1"/>
        <v>30464310.453369875</v>
      </c>
      <c r="J9" s="10">
        <f ca="1">IFERROR((I9/LOOKUP(2,1/((Raw_Observations!$A$2:$A$999=A9)*(Raw_Observations!$B$2:$B$999=B9)),Raw_Observations!$D$2:$D$999))^365-1,"")</f>
        <v>154.49330743335597</v>
      </c>
    </row>
    <row r="10" spans="1:10">
      <c r="A10" s="2" t="s">
        <v>45</v>
      </c>
      <c r="B10" s="2" t="s">
        <v>22</v>
      </c>
      <c r="C10" s="9">
        <f>IFERROR(LOOKUP(2,1/((Raw_Observations!$A$2:$A$250=A10)*(Raw_Observations!$B$2:$B$250=B10)),Raw_Observations!$E$2:$E$250),"")</f>
        <v>20110411</v>
      </c>
      <c r="D10" s="17">
        <f ca="1">IFERROR(MAX(0,LOOKUP(2,1/((Raw_Observations!$A$2:$A$250=A10)*(Raw_Observations!$B$2:$B$250=B10)),Raw_Observations!$F$2:$F$250)-TODAY()),"")</f>
        <v>0</v>
      </c>
      <c r="E10" s="16">
        <f>IFERROR(LOOKUP(2,1/((Raw_Observations!$A$2:$A$999=A10)*(Raw_Observations!$B$2:$B$999=B10)),Raw_Observations!$J$2:$J$999),"No Match")</f>
        <v>0.02</v>
      </c>
      <c r="F10" s="16">
        <f>IFERROR(LOOKUP(2,1/((Raw_Observations!$A$2:$A$250=A10)*(Raw_Observations!$B$2:$B$250=B10)),Raw_Observations!$K$2:$K$250),"")</f>
        <v>4.7021452010702861E-2</v>
      </c>
      <c r="G10" s="16">
        <v>0.01</v>
      </c>
      <c r="H10" s="16">
        <f t="shared" si="0"/>
        <v>0.03</v>
      </c>
      <c r="I10" s="9">
        <f t="shared" ca="1" si="1"/>
        <v>20110411</v>
      </c>
      <c r="J10" s="10">
        <f ca="1">IFERROR((I10/LOOKUP(2,1/((Raw_Observations!$A$2:$A$999=A10)*(Raw_Observations!$B$2:$B$999=B10)),Raw_Observations!$D$2:$D$999))^365-1,"")</f>
        <v>1.3240793967305295</v>
      </c>
    </row>
    <row r="11" spans="1:10">
      <c r="A11" s="2" t="s">
        <v>46</v>
      </c>
      <c r="B11" s="2" t="s">
        <v>23</v>
      </c>
      <c r="C11" s="9">
        <f>IFERROR(LOOKUP(2,1/((Raw_Observations!$A$2:$A$250=A11)*(Raw_Observations!$B$2:$B$250=B11)),Raw_Observations!$E$2:$E$250),"")</f>
        <v>50305612</v>
      </c>
      <c r="D11" s="17">
        <f ca="1">IFERROR(MAX(0,LOOKUP(2,1/((Raw_Observations!$A$2:$A$250=A11)*(Raw_Observations!$B$2:$B$250=B11)),Raw_Observations!$F$2:$F$250)-TODAY()),"")</f>
        <v>0</v>
      </c>
      <c r="E11" s="16">
        <f>IFERROR(LOOKUP(2,1/((Raw_Observations!$A$2:$A$999=A11)*(Raw_Observations!$B$2:$B$999=B11)),Raw_Observations!$J$2:$J$999),"No Match")</f>
        <v>0.02</v>
      </c>
      <c r="F11" s="16">
        <f>IFERROR(LOOKUP(2,1/((Raw_Observations!$A$2:$A$250=A11)*(Raw_Observations!$B$2:$B$250=B11)),Raw_Observations!$K$2:$K$250),"")</f>
        <v>4.6039853031993663E-2</v>
      </c>
      <c r="G11" s="16">
        <v>1.7000000000000001E-2</v>
      </c>
      <c r="H11" s="16">
        <f t="shared" si="0"/>
        <v>3.7000000000000005E-2</v>
      </c>
      <c r="I11" s="9">
        <f t="shared" ca="1" si="1"/>
        <v>50305612</v>
      </c>
      <c r="J11" s="10">
        <f ca="1">IFERROR((I11/LOOKUP(2,1/((Raw_Observations!$A$2:$A$999=A11)*(Raw_Observations!$B$2:$B$999=B11)),Raw_Observations!$D$2:$D$999))^365-1,"")</f>
        <v>0.89554634612705986</v>
      </c>
    </row>
    <row r="12" spans="1:10">
      <c r="A12" s="2" t="s">
        <v>47</v>
      </c>
      <c r="B12" s="2" t="s">
        <v>24</v>
      </c>
      <c r="C12" s="9">
        <f>IFERROR(LOOKUP(2,1/((Raw_Observations!$A$2:$A$250=A12)*(Raw_Observations!$B$2:$B$250=B12)),Raw_Observations!$E$2:$E$250),"")</f>
        <v>9963029</v>
      </c>
      <c r="D12" s="17">
        <f ca="1">IFERROR(MAX(0,LOOKUP(2,1/((Raw_Observations!$A$2:$A$250=A12)*(Raw_Observations!$B$2:$B$250=B12)),Raw_Observations!$F$2:$F$250)-TODAY()),"")</f>
        <v>0</v>
      </c>
      <c r="E12" s="16">
        <f>IFERROR(LOOKUP(2,1/((Raw_Observations!$A$2:$A$999=A12)*(Raw_Observations!$B$2:$B$999=B12)),Raw_Observations!$J$2:$J$999),"No Match")</f>
        <v>0.03</v>
      </c>
      <c r="F12" s="16">
        <f>IFERROR(LOOKUP(2,1/((Raw_Observations!$A$2:$A$250=A12)*(Raw_Observations!$B$2:$B$250=B12)),Raw_Observations!$K$2:$K$250),"")</f>
        <v>3.816072000743323E-2</v>
      </c>
      <c r="G12" s="16">
        <v>1.7000000000000001E-2</v>
      </c>
      <c r="H12" s="16">
        <f t="shared" si="0"/>
        <v>4.7E-2</v>
      </c>
      <c r="I12" s="9">
        <f t="shared" ca="1" si="1"/>
        <v>9963029</v>
      </c>
      <c r="J12" s="10">
        <f ca="1">IFERROR((I12/LOOKUP(2,1/((Raw_Observations!$A$2:$A$999=A12)*(Raw_Observations!$B$2:$B$999=B12)),Raw_Observations!$D$2:$D$999))^365-1,"")</f>
        <v>2.7387985716303911</v>
      </c>
    </row>
    <row r="13" spans="1:10">
      <c r="A13" s="2" t="s">
        <v>48</v>
      </c>
      <c r="B13" s="2" t="s">
        <v>25</v>
      </c>
      <c r="C13" s="9">
        <f>IFERROR(LOOKUP(2,1/((Raw_Observations!$A$2:$A$250=A13)*(Raw_Observations!$B$2:$B$250=B13)),Raw_Observations!$E$2:$E$250),"")</f>
        <v>6584707</v>
      </c>
      <c r="D13" s="17">
        <f ca="1">IFERROR(MAX(0,LOOKUP(2,1/((Raw_Observations!$A$2:$A$250=A13)*(Raw_Observations!$B$2:$B$250=B13)),Raw_Observations!$F$2:$F$250)-TODAY()),"")</f>
        <v>0</v>
      </c>
      <c r="E13" s="16">
        <f>IFERROR(LOOKUP(2,1/((Raw_Observations!$A$2:$A$999=A13)*(Raw_Observations!$B$2:$B$999=B13)),Raw_Observations!$J$2:$J$999),"No Match")</f>
        <v>0.02</v>
      </c>
      <c r="F13" s="16">
        <f>IFERROR(LOOKUP(2,1/((Raw_Observations!$A$2:$A$250=A13)*(Raw_Observations!$B$2:$B$250=B13)),Raw_Observations!$K$2:$K$250),"")</f>
        <v>0.10140723769994732</v>
      </c>
      <c r="G13" s="16">
        <v>1.7000000000000001E-2</v>
      </c>
      <c r="H13" s="16">
        <f t="shared" si="0"/>
        <v>3.7000000000000005E-2</v>
      </c>
      <c r="I13" s="9">
        <f t="shared" ca="1" si="1"/>
        <v>6584707</v>
      </c>
      <c r="J13" s="10">
        <f ca="1">IFERROR((I13/LOOKUP(2,1/((Raw_Observations!$A$2:$A$999=A13)*(Raw_Observations!$B$2:$B$999=B13)),Raw_Observations!$D$2:$D$999))^365-1,"")</f>
        <v>3.4353062442247335</v>
      </c>
    </row>
    <row r="14" spans="1:10">
      <c r="A14" s="2" t="s">
        <v>49</v>
      </c>
      <c r="B14" s="2" t="s">
        <v>26</v>
      </c>
      <c r="C14" s="9">
        <f>IFERROR(LOOKUP(2,1/((Raw_Observations!$A$2:$A$250=A14)*(Raw_Observations!$B$2:$B$250=B14)),Raw_Observations!$E$2:$E$250),"")</f>
        <v>4574570</v>
      </c>
      <c r="D14" s="17">
        <f ca="1">IFERROR(MAX(0,LOOKUP(2,1/((Raw_Observations!$A$2:$A$250=A14)*(Raw_Observations!$B$2:$B$250=B14)),Raw_Observations!$F$2:$F$250)-TODAY()),"")</f>
        <v>0</v>
      </c>
      <c r="E14" s="16">
        <f>IFERROR(LOOKUP(2,1/((Raw_Observations!$A$2:$A$999=A14)*(Raw_Observations!$B$2:$B$999=B14)),Raw_Observations!$J$2:$J$999),"No Match")</f>
        <v>0.04</v>
      </c>
      <c r="F14" s="16">
        <f>IFERROR(LOOKUP(2,1/((Raw_Observations!$A$2:$A$250=A14)*(Raw_Observations!$B$2:$B$250=B14)),Raw_Observations!$K$2:$K$250),"")</f>
        <v>2.6926527424052028E-2</v>
      </c>
      <c r="G14" s="16">
        <v>1.7000000000000001E-2</v>
      </c>
      <c r="H14" s="16">
        <f t="shared" si="0"/>
        <v>5.7000000000000002E-2</v>
      </c>
      <c r="I14" s="9">
        <f t="shared" ca="1" si="1"/>
        <v>4574570</v>
      </c>
      <c r="J14" s="10">
        <f ca="1">IFERROR((I14/LOOKUP(2,1/((Raw_Observations!$A$2:$A$999=A14)*(Raw_Observations!$B$2:$B$999=B14)),Raw_Observations!$D$2:$D$999))^365-1,"")</f>
        <v>4.0508309443162016</v>
      </c>
    </row>
    <row r="15" spans="1:10">
      <c r="A15" s="2" t="s">
        <v>50</v>
      </c>
      <c r="B15" s="2" t="s">
        <v>27</v>
      </c>
      <c r="C15" s="9">
        <f>IFERROR(LOOKUP(2,1/((Raw_Observations!$A$2:$A$250=A15)*(Raw_Observations!$B$2:$B$250=B15)),Raw_Observations!$E$2:$E$250),"")</f>
        <v>51993393</v>
      </c>
      <c r="D15" s="17">
        <f ca="1">IFERROR(MAX(0,LOOKUP(2,1/((Raw_Observations!$A$2:$A$250=A15)*(Raw_Observations!$B$2:$B$250=B15)),Raw_Observations!$F$2:$F$250)-TODAY()),"")</f>
        <v>131</v>
      </c>
      <c r="E15" s="16">
        <f>IFERROR(LOOKUP(2,1/((Raw_Observations!$A$2:$A$999=A15)*(Raw_Observations!$B$2:$B$999=B15)),Raw_Observations!$J$2:$J$999),"No Match")</f>
        <v>7.0999999999999994E-2</v>
      </c>
      <c r="F15" s="16">
        <f>IFERROR(LOOKUP(2,1/((Raw_Observations!$A$2:$A$250=A15)*(Raw_Observations!$B$2:$B$250=B15)),Raw_Observations!$K$2:$K$250),"")</f>
        <v>1.1432327380667309E-2</v>
      </c>
      <c r="G15" s="16">
        <v>9.2999999999999992E-3</v>
      </c>
      <c r="H15" s="16">
        <f t="shared" si="0"/>
        <v>8.0299999999999996E-2</v>
      </c>
      <c r="I15" s="9">
        <f t="shared" ca="1" si="1"/>
        <v>50571862.124884464</v>
      </c>
      <c r="J15" s="10">
        <f ca="1">IFERROR((I15/LOOKUP(2,1/((Raw_Observations!$A$2:$A$999=A15)*(Raw_Observations!$B$2:$B$999=B15)),Raw_Observations!$D$2:$D$999))^365-1,"")</f>
        <v>78.620472671992118</v>
      </c>
    </row>
    <row r="16" spans="1:10">
      <c r="A16" s="2" t="s">
        <v>51</v>
      </c>
      <c r="B16" s="2" t="s">
        <v>28</v>
      </c>
      <c r="C16" s="9">
        <f>IFERROR(LOOKUP(2,1/((Raw_Observations!$A$2:$A$250=A16)*(Raw_Observations!$B$2:$B$250=B16)),Raw_Observations!$E$2:$E$250),"")</f>
        <v>16005791</v>
      </c>
      <c r="D16" s="17">
        <f ca="1">IFERROR(MAX(0,LOOKUP(2,1/((Raw_Observations!$A$2:$A$250=A16)*(Raw_Observations!$B$2:$B$250=B16)),Raw_Observations!$F$2:$F$250)-TODAY()),"")</f>
        <v>0</v>
      </c>
      <c r="E16" s="16">
        <f>IFERROR(LOOKUP(2,1/((Raw_Observations!$A$2:$A$999=A16)*(Raw_Observations!$B$2:$B$999=B16)),Raw_Observations!$J$2:$J$999),"No Match")</f>
        <v>0.04</v>
      </c>
      <c r="F16" s="16">
        <f>IFERROR(LOOKUP(2,1/((Raw_Observations!$A$2:$A$250=A16)*(Raw_Observations!$B$2:$B$250=B16)),Raw_Observations!$K$2:$K$250),"")</f>
        <v>2.2569680837883944E-2</v>
      </c>
      <c r="G16" s="16">
        <v>0.01</v>
      </c>
      <c r="H16" s="16">
        <f t="shared" si="0"/>
        <v>0.05</v>
      </c>
      <c r="I16" s="9">
        <f t="shared" ca="1" si="1"/>
        <v>16005791</v>
      </c>
      <c r="J16" s="10">
        <f ca="1">IFERROR((I16/LOOKUP(2,1/((Raw_Observations!$A$2:$A$999=A16)*(Raw_Observations!$B$2:$B$999=B16)),Raw_Observations!$D$2:$D$999))^365-1,"")</f>
        <v>2.5768918831468444</v>
      </c>
    </row>
    <row r="17" spans="1:10">
      <c r="A17" s="2" t="s">
        <v>52</v>
      </c>
      <c r="B17" s="2" t="s">
        <v>29</v>
      </c>
      <c r="C17" s="9">
        <f>IFERROR(LOOKUP(2,1/((Raw_Observations!$A$2:$A$250=A17)*(Raw_Observations!$B$2:$B$250=B17)),Raw_Observations!$E$2:$E$250),"")</f>
        <v>7038644</v>
      </c>
      <c r="D17" s="17">
        <f ca="1">IFERROR(MAX(0,LOOKUP(2,1/((Raw_Observations!$A$2:$A$250=A17)*(Raw_Observations!$B$2:$B$250=B17)),Raw_Observations!$F$2:$F$250)-TODAY()),"")</f>
        <v>0</v>
      </c>
      <c r="E17" s="16">
        <f>IFERROR(LOOKUP(2,1/((Raw_Observations!$A$2:$A$999=A17)*(Raw_Observations!$B$2:$B$999=B17)),Raw_Observations!$J$2:$J$999),"No Match")</f>
        <v>0.04</v>
      </c>
      <c r="F17" s="16">
        <f>IFERROR(LOOKUP(2,1/((Raw_Observations!$A$2:$A$250=A17)*(Raw_Observations!$B$2:$B$250=B17)),Raw_Observations!$K$2:$K$250),"")</f>
        <v>2.1344413639628391E-2</v>
      </c>
      <c r="G17" s="16">
        <v>1.2E-2</v>
      </c>
      <c r="H17" s="16">
        <f t="shared" si="0"/>
        <v>5.2000000000000005E-2</v>
      </c>
      <c r="I17" s="9">
        <f t="shared" ca="1" si="1"/>
        <v>7038644</v>
      </c>
      <c r="J17" s="10">
        <f ca="1">IFERROR((I17/LOOKUP(2,1/((Raw_Observations!$A$2:$A$999=A17)*(Raw_Observations!$B$2:$B$999=B17)),Raw_Observations!$D$2:$D$999))^365-1,"")</f>
        <v>3.4300482744531635</v>
      </c>
    </row>
    <row r="18" spans="1:10">
      <c r="A18" s="2" t="s">
        <v>53</v>
      </c>
      <c r="B18" s="2" t="s">
        <v>30</v>
      </c>
      <c r="C18" s="9">
        <f>IFERROR(LOOKUP(2,1/((Raw_Observations!$A$2:$A$250=A18)*(Raw_Observations!$B$2:$B$250=B18)),Raw_Observations!$E$2:$E$250),"")</f>
        <v>5124410</v>
      </c>
      <c r="D18" s="17">
        <f ca="1">IFERROR(MAX(0,LOOKUP(2,1/((Raw_Observations!$A$2:$A$250=A18)*(Raw_Observations!$B$2:$B$250=B18)),Raw_Observations!$F$2:$F$250)-TODAY()),"")</f>
        <v>0</v>
      </c>
      <c r="E18" s="16">
        <f>IFERROR(LOOKUP(2,1/((Raw_Observations!$A$2:$A$999=A18)*(Raw_Observations!$B$2:$B$999=B18)),Raw_Observations!$J$2:$J$999),"No Match")</f>
        <v>0.03</v>
      </c>
      <c r="F18" s="16">
        <f>IFERROR(LOOKUP(2,1/((Raw_Observations!$A$2:$A$250=A18)*(Raw_Observations!$B$2:$B$250=B18)),Raw_Observations!$K$2:$K$250),"")</f>
        <v>2.5803648622332115E-2</v>
      </c>
      <c r="G18" s="16">
        <v>1.2E-2</v>
      </c>
      <c r="H18" s="16">
        <f t="shared" si="0"/>
        <v>4.1999999999999996E-2</v>
      </c>
      <c r="I18" s="9">
        <f t="shared" ca="1" si="1"/>
        <v>5124410</v>
      </c>
      <c r="J18" s="10">
        <f ca="1">IFERROR((I18/LOOKUP(2,1/((Raw_Observations!$A$2:$A$999=A18)*(Raw_Observations!$B$2:$B$999=B18)),Raw_Observations!$D$2:$D$999))^365-1,"")</f>
        <v>1.5171766494817476</v>
      </c>
    </row>
    <row r="19" spans="1:10">
      <c r="A19" s="2" t="s">
        <v>54</v>
      </c>
      <c r="B19" s="2" t="s">
        <v>31</v>
      </c>
      <c r="C19" s="9">
        <f>IFERROR(LOOKUP(2,1/((Raw_Observations!$A$2:$A$250=A19)*(Raw_Observations!$B$2:$B$250=B19)),Raw_Observations!$E$2:$E$250),"")</f>
        <v>35398329</v>
      </c>
      <c r="D19" s="17">
        <f ca="1">IFERROR(MAX(0,LOOKUP(2,1/((Raw_Observations!$A$2:$A$250=A19)*(Raw_Observations!$B$2:$B$250=B19)),Raw_Observations!$F$2:$F$250)-TODAY()),"")</f>
        <v>0</v>
      </c>
      <c r="E19" s="16">
        <f>IFERROR(LOOKUP(2,1/((Raw_Observations!$A$2:$A$999=A19)*(Raw_Observations!$B$2:$B$999=B19)),Raw_Observations!$J$2:$J$999),"No Match")</f>
        <v>0.03</v>
      </c>
      <c r="F19" s="16">
        <f>IFERROR(LOOKUP(2,1/((Raw_Observations!$A$2:$A$250=A19)*(Raw_Observations!$B$2:$B$250=B19)),Raw_Observations!$K$2:$K$250),"")</f>
        <v>3.8605584181376634E-2</v>
      </c>
      <c r="G19" s="16">
        <v>1.2E-2</v>
      </c>
      <c r="H19" s="16">
        <f t="shared" si="0"/>
        <v>4.1999999999999996E-2</v>
      </c>
      <c r="I19" s="9">
        <f t="shared" ca="1" si="1"/>
        <v>35398329</v>
      </c>
      <c r="J19" s="10">
        <f ca="1">IFERROR((I19/LOOKUP(2,1/((Raw_Observations!$A$2:$A$999=A19)*(Raw_Observations!$B$2:$B$999=B19)),Raw_Observations!$D$2:$D$999))^365-1,"")</f>
        <v>2.3015198137530417</v>
      </c>
    </row>
    <row r="20" spans="1:10">
      <c r="A20" s="2" t="s">
        <v>55</v>
      </c>
      <c r="B20" s="2" t="s">
        <v>32</v>
      </c>
      <c r="C20" s="9">
        <f>IFERROR(LOOKUP(2,1/((Raw_Observations!$A$2:$A$250=A20)*(Raw_Observations!$B$2:$B$250=B20)),Raw_Observations!$E$2:$E$250),"")</f>
        <v>45248425</v>
      </c>
      <c r="D20" s="17">
        <f ca="1">IFERROR(MAX(0,LOOKUP(2,1/((Raw_Observations!$A$2:$A$250=A20)*(Raw_Observations!$B$2:$B$250=B20)),Raw_Observations!$F$2:$F$250)-TODAY()),"")</f>
        <v>0</v>
      </c>
      <c r="E20" s="16">
        <f>IFERROR(LOOKUP(2,1/((Raw_Observations!$A$2:$A$999=A20)*(Raw_Observations!$B$2:$B$999=B20)),Raw_Observations!$J$2:$J$999),"No Match")</f>
        <v>0.04</v>
      </c>
      <c r="F20" s="16">
        <f>IFERROR(LOOKUP(2,1/((Raw_Observations!$A$2:$A$250=A20)*(Raw_Observations!$B$2:$B$250=B20)),Raw_Observations!$K$2:$K$250),"")</f>
        <v>2.6956193746280367E-2</v>
      </c>
      <c r="G20" s="16">
        <v>1.4999999999999999E-2</v>
      </c>
      <c r="H20" s="16">
        <f t="shared" si="0"/>
        <v>5.5E-2</v>
      </c>
      <c r="I20" s="9">
        <f t="shared" ca="1" si="1"/>
        <v>45248425</v>
      </c>
      <c r="J20" s="10">
        <f ca="1">IFERROR((I20/LOOKUP(2,1/((Raw_Observations!$A$2:$A$999=A20)*(Raw_Observations!$B$2:$B$999=B20)),Raw_Observations!$D$2:$D$999))^365-1,"")</f>
        <v>5.5501474599970537</v>
      </c>
    </row>
    <row r="21" spans="1:10">
      <c r="A21" s="2" t="s">
        <v>96</v>
      </c>
      <c r="B21" s="2" t="s">
        <v>102</v>
      </c>
      <c r="C21" s="9">
        <f>IFERROR(LOOKUP(2,1/((Raw_Observations!$A$2:$A$250=A21)*(Raw_Observations!$B$2:$B$250=B21)),Raw_Observations!$E$2:$E$250),"")</f>
        <v>19148155</v>
      </c>
      <c r="D21" s="8">
        <f ca="1">IFERROR(MAX(0,LOOKUP(2,1/((Raw_Observations!$A$2:$A$250=A21)*(Raw_Observations!$B$2:$B$250=B21)),Raw_Observations!$F$2:$F$250)-TODAY()),"")</f>
        <v>0</v>
      </c>
      <c r="E21" s="16">
        <f>IFERROR(LOOKUP(2,1/((Raw_Observations!$A$2:$A$999=A21)*(Raw_Observations!$B$2:$B$999=B21)),Raw_Observations!$J$2:$J$999),"No Match")</f>
        <v>0.03</v>
      </c>
      <c r="F21" s="10">
        <f>IFERROR(LOOKUP(2,1/((Raw_Observations!$A$2:$A$250=A21)*(Raw_Observations!$B$2:$B$250=B21)),Raw_Observations!$K$2:$K$250),"")</f>
        <v>3.1589794784445929E-2</v>
      </c>
      <c r="G21" s="16">
        <v>2.9499999999999998E-2</v>
      </c>
      <c r="H21" s="16">
        <f t="shared" si="0"/>
        <v>5.9499999999999997E-2</v>
      </c>
      <c r="I21" s="9">
        <f t="shared" ca="1" si="1"/>
        <v>19148155</v>
      </c>
      <c r="J21" s="10">
        <f ca="1">IFERROR((I21/LOOKUP(2,1/((Raw_Observations!$A$2:$A$999=A21)*(Raw_Observations!$B$2:$B$999=B21)),Raw_Observations!$D$2:$D$999))^365-1,"")</f>
        <v>1.9323866180762499</v>
      </c>
    </row>
    <row r="22" spans="1:10">
      <c r="A22" s="2" t="s">
        <v>97</v>
      </c>
      <c r="B22" s="2" t="s">
        <v>103</v>
      </c>
      <c r="C22" s="9">
        <f>IFERROR(LOOKUP(2,1/((Raw_Observations!$A$2:$A$250=A22)*(Raw_Observations!$B$2:$B$250=B22)),Raw_Observations!$E$2:$E$250),"")</f>
        <v>15030272</v>
      </c>
      <c r="D22" s="8">
        <f ca="1">IFERROR(MAX(0,LOOKUP(2,1/((Raw_Observations!$A$2:$A$250=A22)*(Raw_Observations!$B$2:$B$250=B22)),Raw_Observations!$F$2:$F$250)-TODAY()),"")</f>
        <v>0</v>
      </c>
      <c r="E22" s="16">
        <f>IFERROR(LOOKUP(2,1/((Raw_Observations!$A$2:$A$999=A22)*(Raw_Observations!$B$2:$B$999=B22)),Raw_Observations!$J$2:$J$999),"No Match")</f>
        <v>0.03</v>
      </c>
      <c r="F22" s="10">
        <f>IFERROR(LOOKUP(2,1/((Raw_Observations!$A$2:$A$250=A22)*(Raw_Observations!$B$2:$B$250=B22)),Raw_Observations!$K$2:$K$250),"")</f>
        <v>3.1642018879888073E-2</v>
      </c>
      <c r="G22" s="16">
        <v>2.9499999999999998E-2</v>
      </c>
      <c r="H22" s="16">
        <f t="shared" si="0"/>
        <v>5.9499999999999997E-2</v>
      </c>
      <c r="I22" s="9">
        <f t="shared" ca="1" si="1"/>
        <v>15030272</v>
      </c>
      <c r="J22" s="10">
        <f ca="1">IFERROR((I22/LOOKUP(2,1/((Raw_Observations!$A$2:$A$999=A22)*(Raw_Observations!$B$2:$B$999=B22)),Raw_Observations!$D$2:$D$999))^365-1,"")</f>
        <v>1.9349843213152971</v>
      </c>
    </row>
    <row r="23" spans="1:10">
      <c r="A23" s="2" t="s">
        <v>120</v>
      </c>
      <c r="B23" s="2" t="s">
        <v>112</v>
      </c>
      <c r="C23" s="9">
        <f>IFERROR(LOOKUP(2,1/((Raw_Observations!$A$2:$A$250=A23)*(Raw_Observations!$B$2:$B$250=B23)),Raw_Observations!$E$2:$E$250),"")</f>
        <v>52225917</v>
      </c>
      <c r="D23" s="8">
        <f ca="1">IFERROR(MAX(0,LOOKUP(2,1/((Raw_Observations!$A$2:$A$250=A23)*(Raw_Observations!$B$2:$B$250=B23)),Raw_Observations!$F$2:$F$250)-TODAY()),"")</f>
        <v>179</v>
      </c>
      <c r="E23" s="16">
        <f>IFERROR(LOOKUP(2,1/((Raw_Observations!$A$2:$A$999=A24)*(Raw_Observations!$B$2:$B$999=B24)),Raw_Observations!$J$2:$J$999),"No Match")</f>
        <v>7.0999999999999994E-2</v>
      </c>
      <c r="F23" s="10">
        <f>IFERROR(LOOKUP(2,1/((Raw_Observations!$A$2:$A$250=A23)*(Raw_Observations!$B$2:$B$250=B23)),Raw_Observations!$K$2:$K$250),"")</f>
        <v>2.2053440991562659E-2</v>
      </c>
      <c r="G23" s="16">
        <v>2.0799999999999999E-2</v>
      </c>
      <c r="H23" s="10">
        <f t="shared" si="0"/>
        <v>9.1799999999999993E-2</v>
      </c>
      <c r="I23" s="9">
        <f t="shared" ca="1" si="1"/>
        <v>50024215.304023072</v>
      </c>
      <c r="J23" s="10">
        <f ca="1">IFERROR((I23/LOOKUP(2,1/((Raw_Observations!$A$2:$A$999=A23)*(Raw_Observations!$B$2:$B$999=B23)),Raw_Observations!$D$2:$D$999))^365-1,"")</f>
        <v>0.34226458942554339</v>
      </c>
    </row>
    <row r="24" spans="1:10">
      <c r="A24" s="2" t="s">
        <v>121</v>
      </c>
      <c r="B24" s="2" t="s">
        <v>113</v>
      </c>
      <c r="C24" s="9">
        <f>IFERROR(LOOKUP(2,1/((Raw_Observations!$A$2:$A$250=A24)*(Raw_Observations!$B$2:$B$250=B24)),Raw_Observations!$E$2:$E$250),"")</f>
        <v>52242252</v>
      </c>
      <c r="D24" s="8">
        <f ca="1">IFERROR(MAX(0,LOOKUP(2,1/((Raw_Observations!$A$2:$A$250=A24)*(Raw_Observations!$B$2:$B$250=B24)),Raw_Observations!$F$2:$F$250)-TODAY()),"")</f>
        <v>179</v>
      </c>
      <c r="E24" s="16">
        <f>IFERROR(LOOKUP(2,1/((Raw_Observations!$A$2:$A$999=A25)*(Raw_Observations!$B$2:$B$999=B25)),Raw_Observations!$J$2:$J$999),"No Match")</f>
        <v>7.0999999999999994E-2</v>
      </c>
      <c r="F24" s="10">
        <f>IFERROR(LOOKUP(2,1/((Raw_Observations!$A$2:$A$250=A24)*(Raw_Observations!$B$2:$B$250=B24)),Raw_Observations!$K$2:$K$250),"")</f>
        <v>2.2076614680431164E-2</v>
      </c>
      <c r="G24" s="16">
        <v>2.0799999999999999E-2</v>
      </c>
      <c r="H24" s="10">
        <f t="shared" si="0"/>
        <v>9.1799999999999993E-2</v>
      </c>
      <c r="I24" s="9">
        <f t="shared" ca="1" si="1"/>
        <v>50039861.665138975</v>
      </c>
      <c r="J24" s="10">
        <f ca="1">IFERROR((I24/LOOKUP(2,1/((Raw_Observations!$A$2:$A$999=A24)*(Raw_Observations!$B$2:$B$999=B24)),Raw_Observations!$D$2:$D$999))^365-1,"")</f>
        <v>0.34739661407179834</v>
      </c>
    </row>
    <row r="25" spans="1:10">
      <c r="A25" s="2" t="s">
        <v>122</v>
      </c>
      <c r="B25" s="2" t="s">
        <v>114</v>
      </c>
      <c r="C25" s="9">
        <f>IFERROR(LOOKUP(2,1/((Raw_Observations!$A$2:$A$250=A25)*(Raw_Observations!$B$2:$B$250=B25)),Raw_Observations!$E$2:$E$250),"")</f>
        <v>52372315</v>
      </c>
      <c r="D25" s="8">
        <f ca="1">IFERROR(MAX(0,LOOKUP(2,1/((Raw_Observations!$A$2:$A$250=A25)*(Raw_Observations!$B$2:$B$250=B25)),Raw_Observations!$F$2:$F$250)-TODAY()),"")</f>
        <v>180</v>
      </c>
      <c r="E25" s="16">
        <f>IFERROR(LOOKUP(2,1/((Raw_Observations!$A$2:$A$999=A26)*(Raw_Observations!$B$2:$B$999=B26)),Raw_Observations!$J$2:$J$999),"No Match")</f>
        <v>7.0999999999999994E-2</v>
      </c>
      <c r="F25" s="10">
        <f>IFERROR(LOOKUP(2,1/((Raw_Observations!$A$2:$A$250=A25)*(Raw_Observations!$B$2:$B$250=B25)),Raw_Observations!$K$2:$K$250),"")</f>
        <v>2.1969745050784042E-2</v>
      </c>
      <c r="G25" s="16">
        <v>2.0799999999999999E-2</v>
      </c>
      <c r="H25" s="10">
        <f t="shared" si="0"/>
        <v>9.1799999999999993E-2</v>
      </c>
      <c r="I25" s="9">
        <f t="shared" ca="1" si="1"/>
        <v>50152372.255471848</v>
      </c>
      <c r="J25" s="10">
        <f ca="1">IFERROR((I25/LOOKUP(2,1/((Raw_Observations!$A$2:$A$999=A25)*(Raw_Observations!$B$2:$B$999=B25)),Raw_Observations!$D$2:$D$999))^365-1,"")</f>
        <v>0.32530912167212689</v>
      </c>
    </row>
    <row r="26" spans="1:10">
      <c r="A26" s="2" t="s">
        <v>123</v>
      </c>
      <c r="B26" s="2" t="s">
        <v>115</v>
      </c>
      <c r="C26" s="9">
        <f>IFERROR(LOOKUP(2,1/((Raw_Observations!$A$2:$A$250=A26)*(Raw_Observations!$B$2:$B$250=B26)),Raw_Observations!$E$2:$E$250),"")</f>
        <v>52295424</v>
      </c>
      <c r="D26" s="8">
        <f ca="1">IFERROR(MAX(0,LOOKUP(2,1/((Raw_Observations!$A$2:$A$250=A26)*(Raw_Observations!$B$2:$B$250=B26)),Raw_Observations!$F$2:$F$250)-TODAY()),"")</f>
        <v>179</v>
      </c>
      <c r="E26" s="16">
        <f>IFERROR(LOOKUP(2,1/((Raw_Observations!$A$2:$A$999=A27)*(Raw_Observations!$B$2:$B$999=B27)),Raw_Observations!$J$2:$J$999),"No Match")</f>
        <v>7.0999999999999994E-2</v>
      </c>
      <c r="F26" s="10">
        <f>IFERROR(LOOKUP(2,1/((Raw_Observations!$A$2:$A$250=A26)*(Raw_Observations!$B$2:$B$250=B26)),Raw_Observations!$K$2:$K$250),"")</f>
        <v>2.1983124862429551E-2</v>
      </c>
      <c r="G26" s="16">
        <v>2.0799999999999999E-2</v>
      </c>
      <c r="H26" s="10">
        <f t="shared" si="0"/>
        <v>9.1799999999999993E-2</v>
      </c>
      <c r="I26" s="9">
        <f t="shared" ca="1" si="1"/>
        <v>50090792.07917355</v>
      </c>
      <c r="J26" s="10">
        <f ca="1">IFERROR((I26/LOOKUP(2,1/((Raw_Observations!$A$2:$A$999=A26)*(Raw_Observations!$B$2:$B$999=B26)),Raw_Observations!$D$2:$D$999))^365-1,"")</f>
        <v>0.32681111713601596</v>
      </c>
    </row>
    <row r="27" spans="1:10">
      <c r="A27" s="2" t="s">
        <v>124</v>
      </c>
      <c r="B27" s="2" t="s">
        <v>111</v>
      </c>
      <c r="C27" s="9">
        <f>IFERROR(LOOKUP(2,1/((Raw_Observations!$A$2:$A$250=A27)*(Raw_Observations!$B$2:$B$250=B27)),Raw_Observations!$E$2:$E$250),"")</f>
        <v>52266726</v>
      </c>
      <c r="D27" s="8">
        <f ca="1">IFERROR(MAX(0,LOOKUP(2,1/((Raw_Observations!$A$2:$A$250=A27)*(Raw_Observations!$B$2:$B$250=B27)),Raw_Observations!$F$2:$F$250)-TODAY()),"")</f>
        <v>180</v>
      </c>
      <c r="E27" s="16">
        <f>IFERROR(LOOKUP(2,1/((Raw_Observations!$A$2:$A$999=A28)*(Raw_Observations!$B$2:$B$999=B28)),Raw_Observations!$J$2:$J$999),"No Match")</f>
        <v>7.0999999999999994E-2</v>
      </c>
      <c r="F27" s="10">
        <f>IFERROR(LOOKUP(2,1/((Raw_Observations!$A$2:$A$250=A27)*(Raw_Observations!$B$2:$B$250=B27)),Raw_Observations!$K$2:$K$250),"")</f>
        <v>2.1939763496380674E-2</v>
      </c>
      <c r="G27" s="16">
        <v>2.0799999999999999E-2</v>
      </c>
      <c r="H27" s="10">
        <f t="shared" si="0"/>
        <v>9.1799999999999993E-2</v>
      </c>
      <c r="I27" s="9">
        <f t="shared" ca="1" si="1"/>
        <v>50051258.931875534</v>
      </c>
      <c r="J27" s="10">
        <f ca="1">IFERROR((I27/LOOKUP(2,1/((Raw_Observations!$A$2:$A$999=A27)*(Raw_Observations!$B$2:$B$999=B27)),Raw_Observations!$D$2:$D$999))^365-1,"")</f>
        <v>0.31874510000874046</v>
      </c>
    </row>
    <row r="28" spans="1:10">
      <c r="A28" s="2" t="s">
        <v>125</v>
      </c>
      <c r="B28" s="2" t="s">
        <v>116</v>
      </c>
      <c r="C28" s="9">
        <f>IFERROR(LOOKUP(2,1/((Raw_Observations!$A$2:$A$250=A28)*(Raw_Observations!$B$2:$B$250=B28)),Raw_Observations!$E$2:$E$250),"")</f>
        <v>52256593</v>
      </c>
      <c r="D28" s="8">
        <f ca="1">IFERROR(MAX(0,LOOKUP(2,1/((Raw_Observations!$A$2:$A$250=A28)*(Raw_Observations!$B$2:$B$250=B28)),Raw_Observations!$F$2:$F$250)-TODAY()),"")</f>
        <v>180</v>
      </c>
      <c r="E28" s="16">
        <f>IFERROR(LOOKUP(2,1/((Raw_Observations!$A$2:$A$999=A29)*(Raw_Observations!$B$2:$B$999=B29)),Raw_Observations!$J$2:$J$999),"No Match")</f>
        <v>7.0999999999999994E-2</v>
      </c>
      <c r="F28" s="10">
        <f>IFERROR(LOOKUP(2,1/((Raw_Observations!$A$2:$A$250=A28)*(Raw_Observations!$B$2:$B$250=B28)),Raw_Observations!$K$2:$K$250),"")</f>
        <v>2.2055997117133644E-2</v>
      </c>
      <c r="G28" s="16">
        <v>2.198E-2</v>
      </c>
      <c r="H28" s="10">
        <f t="shared" si="0"/>
        <v>9.2979999999999993E-2</v>
      </c>
      <c r="I28" s="9">
        <f t="shared" ca="1" si="1"/>
        <v>50014905.33049497</v>
      </c>
      <c r="J28" s="10">
        <f ca="1">IFERROR((I28/LOOKUP(2,1/((Raw_Observations!$A$2:$A$999=A28)*(Raw_Observations!$B$2:$B$999=B28)),Raw_Observations!$D$2:$D$999))^365-1,"")</f>
        <v>0.10682191660147144</v>
      </c>
    </row>
    <row r="29" spans="1:10">
      <c r="A29" s="2" t="s">
        <v>126</v>
      </c>
      <c r="B29" s="2" t="s">
        <v>117</v>
      </c>
      <c r="C29" s="9">
        <f>IFERROR(LOOKUP(2,1/((Raw_Observations!$A$2:$A$250=A29)*(Raw_Observations!$B$2:$B$250=B29)),Raw_Observations!$E$2:$E$250),"")</f>
        <v>34463041</v>
      </c>
      <c r="D29" s="8">
        <f ca="1">IFERROR(MAX(0,LOOKUP(2,1/((Raw_Observations!$A$2:$A$250=A29)*(Raw_Observations!$B$2:$B$250=B29)),Raw_Observations!$F$2:$F$250)-TODAY()),"")</f>
        <v>179</v>
      </c>
      <c r="E29" s="16">
        <f>IFERROR(LOOKUP(2,1/((Raw_Observations!$A$2:$A$999=A30)*(Raw_Observations!$B$2:$B$999=B30)),Raw_Observations!$J$2:$J$999),"No Match")</f>
        <v>7.0999999999999994E-2</v>
      </c>
      <c r="F29" s="10">
        <f>IFERROR(LOOKUP(2,1/((Raw_Observations!$A$2:$A$250=A29)*(Raw_Observations!$B$2:$B$250=B29)),Raw_Observations!$K$2:$K$250),"")</f>
        <v>2.1889684975957294E-2</v>
      </c>
      <c r="G29" s="16">
        <v>2.0799999999999999E-2</v>
      </c>
      <c r="H29" s="10">
        <f t="shared" si="0"/>
        <v>9.1799999999999993E-2</v>
      </c>
      <c r="I29" s="9">
        <f t="shared" ca="1" si="1"/>
        <v>33010173.531570055</v>
      </c>
      <c r="J29" s="10">
        <f ca="1">IFERROR((I29/LOOKUP(2,1/((Raw_Observations!$A$2:$A$999=A29)*(Raw_Observations!$B$2:$B$999=B29)),Raw_Observations!$D$2:$D$999))^365-1,"")</f>
        <v>0.3065491490382477</v>
      </c>
    </row>
    <row r="30" spans="1:10">
      <c r="A30" s="2" t="s">
        <v>127</v>
      </c>
      <c r="B30" s="2" t="s">
        <v>118</v>
      </c>
      <c r="C30" s="9">
        <f>IFERROR(LOOKUP(2,1/((Raw_Observations!$A$2:$A$250=A30)*(Raw_Observations!$B$2:$B$250=B30)),Raw_Observations!$E$2:$E$250),"")</f>
        <v>34443606</v>
      </c>
      <c r="D30" s="8">
        <f ca="1">IFERROR(MAX(0,LOOKUP(2,1/((Raw_Observations!$A$2:$A$250=A30)*(Raw_Observations!$B$2:$B$250=B30)),Raw_Observations!$F$2:$F$250)-TODAY()),"")</f>
        <v>179</v>
      </c>
      <c r="E30" s="16">
        <f>IFERROR(LOOKUP(2,1/((Raw_Observations!$A$2:$A$999=A31)*(Raw_Observations!$B$2:$B$999=B31)),Raw_Observations!$J$2:$J$999),"No Match")</f>
        <v>7.0999999999999994E-2</v>
      </c>
      <c r="F30" s="10">
        <f>IFERROR(LOOKUP(2,1/((Raw_Observations!$A$2:$A$250=A30)*(Raw_Observations!$B$2:$B$250=B30)),Raw_Observations!$K$2:$K$250),"")</f>
        <v>2.1849215623804333E-2</v>
      </c>
      <c r="G30" s="16">
        <v>2.0799999999999999E-2</v>
      </c>
      <c r="H30" s="10">
        <f t="shared" si="0"/>
        <v>9.1799999999999993E-2</v>
      </c>
      <c r="I30" s="9">
        <f t="shared" ca="1" si="1"/>
        <v>32991557.857968122</v>
      </c>
      <c r="J30" s="10">
        <f ca="1">IFERROR((I30/LOOKUP(2,1/((Raw_Observations!$A$2:$A$999=A30)*(Raw_Observations!$B$2:$B$999=B30)),Raw_Observations!$D$2:$D$999))^365-1,"")</f>
        <v>0.29786935061797326</v>
      </c>
    </row>
    <row r="31" spans="1:10">
      <c r="A31" s="2" t="s">
        <v>128</v>
      </c>
      <c r="B31" s="2" t="s">
        <v>119</v>
      </c>
      <c r="C31" s="9">
        <f>IFERROR(LOOKUP(2,1/((Raw_Observations!$A$2:$A$250=A31)*(Raw_Observations!$B$2:$B$250=B31)),Raw_Observations!$E$2:$E$250),"")</f>
        <v>34475656</v>
      </c>
      <c r="D31" s="8">
        <f ca="1">IFERROR(MAX(0,LOOKUP(2,1/((Raw_Observations!$A$2:$A$250=A31)*(Raw_Observations!$B$2:$B$250=B31)),Raw_Observations!$F$2:$F$250)-TODAY()),"")</f>
        <v>179</v>
      </c>
      <c r="E31" s="16">
        <v>7.0999999999999994E-2</v>
      </c>
      <c r="F31" s="10">
        <f>IFERROR(LOOKUP(2,1/((Raw_Observations!$A$2:$A$250=A31)*(Raw_Observations!$B$2:$B$250=B31)),Raw_Observations!$K$2:$K$250),"")</f>
        <v>2.1760369683881689E-2</v>
      </c>
      <c r="G31" s="16">
        <v>2.0799999999999999E-2</v>
      </c>
      <c r="H31" s="10">
        <f t="shared" si="0"/>
        <v>9.1799999999999993E-2</v>
      </c>
      <c r="I31" s="9">
        <f t="shared" ca="1" si="1"/>
        <v>33022256.717702724</v>
      </c>
      <c r="J31" s="10">
        <f ca="1">IFERROR((I31/LOOKUP(2,1/((Raw_Observations!$A$2:$A$999=A31)*(Raw_Observations!$B$2:$B$999=B31)),Raw_Observations!$D$2:$D$999))^365-1,"")</f>
        <v>0.27901443525654646</v>
      </c>
    </row>
    <row r="32" spans="1:10">
      <c r="A32" s="2"/>
      <c r="B32" s="2"/>
      <c r="C32" s="9">
        <f>IFERROR(LOOKUP(2,1/((Raw_Observations!$A$2:$A$250=A32)*(Raw_Observations!$B$2:$B$250=B32)),Raw_Observations!$E$2:$E$250),"")</f>
        <v>0</v>
      </c>
      <c r="D32" s="8">
        <f ca="1">IFERROR(MAX(0,LOOKUP(2,1/((Raw_Observations!$A$2:$A$250=A32)*(Raw_Observations!$B$2:$B$250=B32)),Raw_Observations!$F$2:$F$250)-TODAY()),"")</f>
        <v>0</v>
      </c>
      <c r="E32" s="16">
        <f>IFERROR(LOOKUP(2,1/((Raw_Observations!$A$2:$A$999=A33)*(Raw_Observations!$B$2:$B$999=B33)),Raw_Observations!$J$2:$J$999),"No Match")</f>
        <v>0</v>
      </c>
      <c r="F32" s="10" t="str">
        <f>IFERROR(LOOKUP(2,1/((Raw_Observations!$A$2:$A$250=A32)*(Raw_Observations!$B$2:$B$250=B32)),Raw_Observations!$K$2:$K$250),"")</f>
        <v/>
      </c>
      <c r="G32" s="10"/>
      <c r="H32" s="10" t="str">
        <f t="shared" si="0"/>
        <v/>
      </c>
      <c r="I32" s="9" t="str">
        <f t="shared" ca="1" si="1"/>
        <v/>
      </c>
      <c r="J32" s="10" t="str">
        <f ca="1">IFERROR((I32/LOOKUP(2,1/((Raw_Observations!$A$2:$A$999=A32)*(Raw_Observations!$B$2:$B$999=B32)),Raw_Observations!$D$2:$D$999))^365-1,"")</f>
        <v/>
      </c>
    </row>
    <row r="33" spans="1:10">
      <c r="A33" s="2"/>
      <c r="B33" s="2"/>
      <c r="C33" s="9">
        <f>IFERROR(LOOKUP(2,1/((Raw_Observations!$A$2:$A$250=A33)*(Raw_Observations!$B$2:$B$250=B33)),Raw_Observations!$E$2:$E$250),"")</f>
        <v>0</v>
      </c>
      <c r="D33" s="8">
        <f ca="1">IFERROR(MAX(0,LOOKUP(2,1/((Raw_Observations!$A$2:$A$250=A33)*(Raw_Observations!$B$2:$B$250=B33)),Raw_Observations!$F$2:$F$250)-TODAY()),"")</f>
        <v>0</v>
      </c>
      <c r="E33" s="10" t="str">
        <f ca="1">IF(OR(A33="",B33=""),"",IFERROR(SUMIFS(Bank_Rates!$C$2:$C$100,Bank_Rates!$A$2:$A$100,LOOKUP(2,1/((Raw_Observations!$A$2:$A$250=A33)*(Raw_Observations!$B$2:$B$250=B33)),Raw_Observations!$H$2:$H$250),Bank_Rates!$B$2:$B$100,MAXIFS(Bank_Rates!$B$2:$B$100,Bank_Rates!$A$2:$A$100,LOOKUP(2,1/((Raw_Observations!$A$2:$A$250=A33)*(Raw_Observations!$B$2:$B$250=B33)),Raw_Observations!$H$2:$H$250),Bank_Rates!$B$2:$B$100,"&lt;="&amp;TODAY()),Bank_Rates!$D$2:$D$100,MAXIFS(Bank_Rates!$D$2:$D$100,Bank_Rates!$A$2:$A$100,LOOKUP(2,1/((Raw_Observations!$A$2:$A$250=A33)*(Raw_Observations!$B$2:$B$250=B33)),Raw_Observations!$H$2:$H$250),Bank_Rates!$B$2:$B$100,MAXIFS(Bank_Rates!$B$2:$B$100,Bank_Rates!$A$2:$A$100,LOOKUP(2,1/((Raw_Observations!$A$2:$A$250=A33)*(Raw_Observations!$B$2:$B$250=B33)),Raw_Observations!$H$2:$H$250),Bank_Rates!$B$2:$B$100,"&lt;="&amp;TODAY()),Bank_Rates!$D$2:$D$100,"&lt;="&amp;D33)),"No Match"))</f>
        <v/>
      </c>
      <c r="F33" s="10" t="str">
        <f>IFERROR(LOOKUP(2,1/((Raw_Observations!$A$2:$A$250=A33)*(Raw_Observations!$B$2:$B$250=B33)),Raw_Observations!$K$2:$K$250),"")</f>
        <v/>
      </c>
      <c r="G33" s="10"/>
      <c r="H33" s="10" t="str">
        <f t="shared" ca="1" si="0"/>
        <v/>
      </c>
      <c r="I33" s="9" t="str">
        <f t="shared" ca="1" si="1"/>
        <v/>
      </c>
      <c r="J33" s="10" t="str">
        <f ca="1">IFERROR((I33/LOOKUP(2,1/((Raw_Observations!$A$2:$A$999=A33)*(Raw_Observations!$B$2:$B$999=B33)),Raw_Observations!$D$2:$D$999))^365-1,"")</f>
        <v/>
      </c>
    </row>
    <row r="34" spans="1:10">
      <c r="A34" s="2"/>
      <c r="B34" s="2"/>
      <c r="C34" s="9">
        <f>IFERROR(LOOKUP(2,1/((Raw_Observations!$A$2:$A$250=A34)*(Raw_Observations!$B$2:$B$250=B34)),Raw_Observations!$E$2:$E$250),"")</f>
        <v>0</v>
      </c>
      <c r="D34" s="8">
        <f ca="1">IFERROR(MAX(0,LOOKUP(2,1/((Raw_Observations!$A$2:$A$250=A34)*(Raw_Observations!$B$2:$B$250=B34)),Raw_Observations!$F$2:$F$250)-TODAY()),"")</f>
        <v>0</v>
      </c>
      <c r="E34" s="10" t="str">
        <f ca="1">IF(OR(A34="",B34=""),"",IFERROR(SUMIFS(Bank_Rates!$C$2:$C$100,Bank_Rates!$A$2:$A$100,LOOKUP(2,1/((Raw_Observations!$A$2:$A$250=A34)*(Raw_Observations!$B$2:$B$250=B34)),Raw_Observations!$H$2:$H$250),Bank_Rates!$B$2:$B$100,MAXIFS(Bank_Rates!$B$2:$B$100,Bank_Rates!$A$2:$A$100,LOOKUP(2,1/((Raw_Observations!$A$2:$A$250=A34)*(Raw_Observations!$B$2:$B$250=B34)),Raw_Observations!$H$2:$H$250),Bank_Rates!$B$2:$B$100,"&lt;="&amp;TODAY()),Bank_Rates!$D$2:$D$100,MAXIFS(Bank_Rates!$D$2:$D$100,Bank_Rates!$A$2:$A$100,LOOKUP(2,1/((Raw_Observations!$A$2:$A$250=A34)*(Raw_Observations!$B$2:$B$250=B34)),Raw_Observations!$H$2:$H$250),Bank_Rates!$B$2:$B$100,MAXIFS(Bank_Rates!$B$2:$B$100,Bank_Rates!$A$2:$A$100,LOOKUP(2,1/((Raw_Observations!$A$2:$A$250=A34)*(Raw_Observations!$B$2:$B$250=B34)),Raw_Observations!$H$2:$H$250),Bank_Rates!$B$2:$B$100,"&lt;="&amp;TODAY()),Bank_Rates!$D$2:$D$100,"&lt;="&amp;D34)),"No Match"))</f>
        <v/>
      </c>
      <c r="F34" s="10" t="str">
        <f>IFERROR(LOOKUP(2,1/((Raw_Observations!$A$2:$A$250=A34)*(Raw_Observations!$B$2:$B$250=B34)),Raw_Observations!$K$2:$K$250),"")</f>
        <v/>
      </c>
      <c r="G34" s="10"/>
      <c r="H34" s="10" t="str">
        <f t="shared" ref="H34:H65" ca="1" si="2">IF(OR(E34="",G34="",E34="No Match"),"",E34+G34)</f>
        <v/>
      </c>
      <c r="I34" s="9" t="str">
        <f t="shared" ref="I34:I65" ca="1" si="3">IF(OR(C34="",D34="",H34=""),"",C34/((1+H34)^(D34/365)))</f>
        <v/>
      </c>
      <c r="J34" s="10" t="str">
        <f ca="1">IFERROR((I34/LOOKUP(2,1/((Raw_Observations!$A$2:$A$999=A34)*(Raw_Observations!$B$2:$B$999=B34)),Raw_Observations!$D$2:$D$999))^365-1,"")</f>
        <v/>
      </c>
    </row>
    <row r="35" spans="1:10">
      <c r="A35" s="2"/>
      <c r="B35" s="2"/>
      <c r="C35" s="9">
        <f>IFERROR(LOOKUP(2,1/((Raw_Observations!$A$2:$A$250=A35)*(Raw_Observations!$B$2:$B$250=B35)),Raw_Observations!$E$2:$E$250),"")</f>
        <v>0</v>
      </c>
      <c r="D35" s="8">
        <f ca="1">IFERROR(MAX(0,LOOKUP(2,1/((Raw_Observations!$A$2:$A$250=A35)*(Raw_Observations!$B$2:$B$250=B35)),Raw_Observations!$F$2:$F$250)-TODAY()),"")</f>
        <v>0</v>
      </c>
      <c r="E35" s="10" t="str">
        <f ca="1">IF(OR(A35="",B35=""),"",IFERROR(SUMIFS(Bank_Rates!$C$2:$C$100,Bank_Rates!$A$2:$A$100,LOOKUP(2,1/((Raw_Observations!$A$2:$A$250=A35)*(Raw_Observations!$B$2:$B$250=B35)),Raw_Observations!$H$2:$H$250),Bank_Rates!$B$2:$B$100,MAXIFS(Bank_Rates!$B$2:$B$100,Bank_Rates!$A$2:$A$100,LOOKUP(2,1/((Raw_Observations!$A$2:$A$250=A35)*(Raw_Observations!$B$2:$B$250=B35)),Raw_Observations!$H$2:$H$250),Bank_Rates!$B$2:$B$100,"&lt;="&amp;TODAY()),Bank_Rates!$D$2:$D$100,MAXIFS(Bank_Rates!$D$2:$D$100,Bank_Rates!$A$2:$A$100,LOOKUP(2,1/((Raw_Observations!$A$2:$A$250=A35)*(Raw_Observations!$B$2:$B$250=B35)),Raw_Observations!$H$2:$H$250),Bank_Rates!$B$2:$B$100,MAXIFS(Bank_Rates!$B$2:$B$100,Bank_Rates!$A$2:$A$100,LOOKUP(2,1/((Raw_Observations!$A$2:$A$250=A35)*(Raw_Observations!$B$2:$B$250=B35)),Raw_Observations!$H$2:$H$250),Bank_Rates!$B$2:$B$100,"&lt;="&amp;TODAY()),Bank_Rates!$D$2:$D$100,"&lt;="&amp;D35)),"No Match"))</f>
        <v/>
      </c>
      <c r="F35" s="10" t="str">
        <f>IFERROR(LOOKUP(2,1/((Raw_Observations!$A$2:$A$250=A35)*(Raw_Observations!$B$2:$B$250=B35)),Raw_Observations!$K$2:$K$250),"")</f>
        <v/>
      </c>
      <c r="G35" s="10"/>
      <c r="H35" s="10" t="str">
        <f t="shared" ca="1" si="2"/>
        <v/>
      </c>
      <c r="I35" s="9" t="str">
        <f t="shared" ca="1" si="3"/>
        <v/>
      </c>
      <c r="J35" s="10" t="str">
        <f ca="1">IFERROR((I35/LOOKUP(2,1/((Raw_Observations!$A$2:$A$999=A35)*(Raw_Observations!$B$2:$B$999=B35)),Raw_Observations!$D$2:$D$999))^365-1,"")</f>
        <v/>
      </c>
    </row>
    <row r="36" spans="1:10">
      <c r="A36" s="2"/>
      <c r="B36" s="2"/>
      <c r="C36" s="9">
        <f>IFERROR(LOOKUP(2,1/((Raw_Observations!$A$2:$A$250=A36)*(Raw_Observations!$B$2:$B$250=B36)),Raw_Observations!$E$2:$E$250),"")</f>
        <v>0</v>
      </c>
      <c r="D36" s="8">
        <f ca="1">IFERROR(MAX(0,LOOKUP(2,1/((Raw_Observations!$A$2:$A$250=A36)*(Raw_Observations!$B$2:$B$250=B36)),Raw_Observations!$F$2:$F$250)-TODAY()),"")</f>
        <v>0</v>
      </c>
      <c r="E36" s="10" t="str">
        <f ca="1">IF(OR(A36="",B36=""),"",IFERROR(SUMIFS(Bank_Rates!$C$2:$C$100,Bank_Rates!$A$2:$A$100,LOOKUP(2,1/((Raw_Observations!$A$2:$A$250=A36)*(Raw_Observations!$B$2:$B$250=B36)),Raw_Observations!$H$2:$H$250),Bank_Rates!$B$2:$B$100,MAXIFS(Bank_Rates!$B$2:$B$100,Bank_Rates!$A$2:$A$100,LOOKUP(2,1/((Raw_Observations!$A$2:$A$250=A36)*(Raw_Observations!$B$2:$B$250=B36)),Raw_Observations!$H$2:$H$250),Bank_Rates!$B$2:$B$100,"&lt;="&amp;TODAY()),Bank_Rates!$D$2:$D$100,MAXIFS(Bank_Rates!$D$2:$D$100,Bank_Rates!$A$2:$A$100,LOOKUP(2,1/((Raw_Observations!$A$2:$A$250=A36)*(Raw_Observations!$B$2:$B$250=B36)),Raw_Observations!$H$2:$H$250),Bank_Rates!$B$2:$B$100,MAXIFS(Bank_Rates!$B$2:$B$100,Bank_Rates!$A$2:$A$100,LOOKUP(2,1/((Raw_Observations!$A$2:$A$250=A36)*(Raw_Observations!$B$2:$B$250=B36)),Raw_Observations!$H$2:$H$250),Bank_Rates!$B$2:$B$100,"&lt;="&amp;TODAY()),Bank_Rates!$D$2:$D$100,"&lt;="&amp;D36)),"No Match"))</f>
        <v/>
      </c>
      <c r="F36" s="10" t="str">
        <f>IFERROR(LOOKUP(2,1/((Raw_Observations!$A$2:$A$250=A36)*(Raw_Observations!$B$2:$B$250=B36)),Raw_Observations!$K$2:$K$250),"")</f>
        <v/>
      </c>
      <c r="G36" s="10"/>
      <c r="H36" s="10" t="str">
        <f t="shared" ca="1" si="2"/>
        <v/>
      </c>
      <c r="I36" s="9" t="str">
        <f t="shared" ca="1" si="3"/>
        <v/>
      </c>
      <c r="J36" s="10" t="str">
        <f ca="1">IFERROR((I36/LOOKUP(2,1/((Raw_Observations!$A$2:$A$999=A36)*(Raw_Observations!$B$2:$B$999=B36)),Raw_Observations!$D$2:$D$999))^365-1,"")</f>
        <v/>
      </c>
    </row>
    <row r="37" spans="1:10">
      <c r="A37" s="2"/>
      <c r="B37" s="2"/>
      <c r="C37" s="9">
        <f>IFERROR(LOOKUP(2,1/((Raw_Observations!$A$2:$A$250=A37)*(Raw_Observations!$B$2:$B$250=B37)),Raw_Observations!$E$2:$E$250),"")</f>
        <v>0</v>
      </c>
      <c r="D37" s="8">
        <f ca="1">IFERROR(MAX(0,LOOKUP(2,1/((Raw_Observations!$A$2:$A$250=A37)*(Raw_Observations!$B$2:$B$250=B37)),Raw_Observations!$F$2:$F$250)-TODAY()),"")</f>
        <v>0</v>
      </c>
      <c r="E37" s="10" t="str">
        <f ca="1">IF(OR(A37="",B37=""),"",IFERROR(SUMIFS(Bank_Rates!$C$2:$C$100,Bank_Rates!$A$2:$A$100,LOOKUP(2,1/((Raw_Observations!$A$2:$A$250=A37)*(Raw_Observations!$B$2:$B$250=B37)),Raw_Observations!$H$2:$H$250),Bank_Rates!$B$2:$B$100,MAXIFS(Bank_Rates!$B$2:$B$100,Bank_Rates!$A$2:$A$100,LOOKUP(2,1/((Raw_Observations!$A$2:$A$250=A37)*(Raw_Observations!$B$2:$B$250=B37)),Raw_Observations!$H$2:$H$250),Bank_Rates!$B$2:$B$100,"&lt;="&amp;TODAY()),Bank_Rates!$D$2:$D$100,MAXIFS(Bank_Rates!$D$2:$D$100,Bank_Rates!$A$2:$A$100,LOOKUP(2,1/((Raw_Observations!$A$2:$A$250=A37)*(Raw_Observations!$B$2:$B$250=B37)),Raw_Observations!$H$2:$H$250),Bank_Rates!$B$2:$B$100,MAXIFS(Bank_Rates!$B$2:$B$100,Bank_Rates!$A$2:$A$100,LOOKUP(2,1/((Raw_Observations!$A$2:$A$250=A37)*(Raw_Observations!$B$2:$B$250=B37)),Raw_Observations!$H$2:$H$250),Bank_Rates!$B$2:$B$100,"&lt;="&amp;TODAY()),Bank_Rates!$D$2:$D$100,"&lt;="&amp;D37)),"No Match"))</f>
        <v/>
      </c>
      <c r="F37" s="10" t="str">
        <f>IFERROR(LOOKUP(2,1/((Raw_Observations!$A$2:$A$250=A37)*(Raw_Observations!$B$2:$B$250=B37)),Raw_Observations!$K$2:$K$250),"")</f>
        <v/>
      </c>
      <c r="G37" s="10"/>
      <c r="H37" s="10" t="str">
        <f t="shared" ca="1" si="2"/>
        <v/>
      </c>
      <c r="I37" s="9" t="str">
        <f t="shared" ca="1" si="3"/>
        <v/>
      </c>
      <c r="J37" s="10" t="str">
        <f ca="1">IFERROR((I37/LOOKUP(2,1/((Raw_Observations!$A$2:$A$999=A37)*(Raw_Observations!$B$2:$B$999=B37)),Raw_Observations!$D$2:$D$999))^365-1,"")</f>
        <v/>
      </c>
    </row>
    <row r="38" spans="1:10">
      <c r="A38" s="2"/>
      <c r="B38" s="2"/>
      <c r="C38" s="9">
        <f>IFERROR(LOOKUP(2,1/((Raw_Observations!$A$2:$A$250=A38)*(Raw_Observations!$B$2:$B$250=B38)),Raw_Observations!$E$2:$E$250),"")</f>
        <v>0</v>
      </c>
      <c r="D38" s="8">
        <f ca="1">IFERROR(MAX(0,LOOKUP(2,1/((Raw_Observations!$A$2:$A$250=A38)*(Raw_Observations!$B$2:$B$250=B38)),Raw_Observations!$F$2:$F$250)-TODAY()),"")</f>
        <v>0</v>
      </c>
      <c r="E38" s="10" t="str">
        <f ca="1">IF(OR(A38="",B38=""),"",IFERROR(SUMIFS(Bank_Rates!$C$2:$C$100,Bank_Rates!$A$2:$A$100,LOOKUP(2,1/((Raw_Observations!$A$2:$A$250=A38)*(Raw_Observations!$B$2:$B$250=B38)),Raw_Observations!$H$2:$H$250),Bank_Rates!$B$2:$B$100,MAXIFS(Bank_Rates!$B$2:$B$100,Bank_Rates!$A$2:$A$100,LOOKUP(2,1/((Raw_Observations!$A$2:$A$250=A38)*(Raw_Observations!$B$2:$B$250=B38)),Raw_Observations!$H$2:$H$250),Bank_Rates!$B$2:$B$100,"&lt;="&amp;TODAY()),Bank_Rates!$D$2:$D$100,MAXIFS(Bank_Rates!$D$2:$D$100,Bank_Rates!$A$2:$A$100,LOOKUP(2,1/((Raw_Observations!$A$2:$A$250=A38)*(Raw_Observations!$B$2:$B$250=B38)),Raw_Observations!$H$2:$H$250),Bank_Rates!$B$2:$B$100,MAXIFS(Bank_Rates!$B$2:$B$100,Bank_Rates!$A$2:$A$100,LOOKUP(2,1/((Raw_Observations!$A$2:$A$250=A38)*(Raw_Observations!$B$2:$B$250=B38)),Raw_Observations!$H$2:$H$250),Bank_Rates!$B$2:$B$100,"&lt;="&amp;TODAY()),Bank_Rates!$D$2:$D$100,"&lt;="&amp;D38)),"No Match"))</f>
        <v/>
      </c>
      <c r="F38" s="10" t="str">
        <f>IFERROR(LOOKUP(2,1/((Raw_Observations!$A$2:$A$250=A38)*(Raw_Observations!$B$2:$B$250=B38)),Raw_Observations!$K$2:$K$250),"")</f>
        <v/>
      </c>
      <c r="G38" s="10"/>
      <c r="H38" s="10" t="str">
        <f t="shared" ca="1" si="2"/>
        <v/>
      </c>
      <c r="I38" s="9" t="str">
        <f t="shared" ca="1" si="3"/>
        <v/>
      </c>
      <c r="J38" s="10" t="str">
        <f ca="1">IFERROR((I38/LOOKUP(2,1/((Raw_Observations!$A$2:$A$999=A38)*(Raw_Observations!$B$2:$B$999=B38)),Raw_Observations!$D$2:$D$999))^365-1,"")</f>
        <v/>
      </c>
    </row>
    <row r="39" spans="1:10">
      <c r="A39" s="2"/>
      <c r="B39" s="2"/>
      <c r="C39" s="9">
        <f>IFERROR(LOOKUP(2,1/((Raw_Observations!$A$2:$A$250=A39)*(Raw_Observations!$B$2:$B$250=B39)),Raw_Observations!$E$2:$E$250),"")</f>
        <v>0</v>
      </c>
      <c r="D39" s="8">
        <f ca="1">IFERROR(MAX(0,LOOKUP(2,1/((Raw_Observations!$A$2:$A$250=A39)*(Raw_Observations!$B$2:$B$250=B39)),Raw_Observations!$F$2:$F$250)-TODAY()),"")</f>
        <v>0</v>
      </c>
      <c r="E39" s="10" t="str">
        <f ca="1">IF(OR(A39="",B39=""),"",IFERROR(SUMIFS(Bank_Rates!$C$2:$C$100,Bank_Rates!$A$2:$A$100,LOOKUP(2,1/((Raw_Observations!$A$2:$A$250=A39)*(Raw_Observations!$B$2:$B$250=B39)),Raw_Observations!$H$2:$H$250),Bank_Rates!$B$2:$B$100,MAXIFS(Bank_Rates!$B$2:$B$100,Bank_Rates!$A$2:$A$100,LOOKUP(2,1/((Raw_Observations!$A$2:$A$250=A39)*(Raw_Observations!$B$2:$B$250=B39)),Raw_Observations!$H$2:$H$250),Bank_Rates!$B$2:$B$100,"&lt;="&amp;TODAY()),Bank_Rates!$D$2:$D$100,MAXIFS(Bank_Rates!$D$2:$D$100,Bank_Rates!$A$2:$A$100,LOOKUP(2,1/((Raw_Observations!$A$2:$A$250=A39)*(Raw_Observations!$B$2:$B$250=B39)),Raw_Observations!$H$2:$H$250),Bank_Rates!$B$2:$B$100,MAXIFS(Bank_Rates!$B$2:$B$100,Bank_Rates!$A$2:$A$100,LOOKUP(2,1/((Raw_Observations!$A$2:$A$250=A39)*(Raw_Observations!$B$2:$B$250=B39)),Raw_Observations!$H$2:$H$250),Bank_Rates!$B$2:$B$100,"&lt;="&amp;TODAY()),Bank_Rates!$D$2:$D$100,"&lt;="&amp;D39)),"No Match"))</f>
        <v/>
      </c>
      <c r="F39" s="10" t="str">
        <f>IFERROR(LOOKUP(2,1/((Raw_Observations!$A$2:$A$250=A39)*(Raw_Observations!$B$2:$B$250=B39)),Raw_Observations!$K$2:$K$250),"")</f>
        <v/>
      </c>
      <c r="G39" s="10"/>
      <c r="H39" s="10" t="str">
        <f t="shared" ca="1" si="2"/>
        <v/>
      </c>
      <c r="I39" s="9" t="str">
        <f t="shared" ca="1" si="3"/>
        <v/>
      </c>
      <c r="J39" s="10" t="str">
        <f ca="1">IFERROR((I39/LOOKUP(2,1/((Raw_Observations!$A$2:$A$999=A39)*(Raw_Observations!$B$2:$B$999=B39)),Raw_Observations!$D$2:$D$999))^365-1,"")</f>
        <v/>
      </c>
    </row>
    <row r="40" spans="1:10">
      <c r="A40" s="2"/>
      <c r="B40" s="2"/>
      <c r="C40" s="9">
        <f>IFERROR(LOOKUP(2,1/((Raw_Observations!$A$2:$A$250=A40)*(Raw_Observations!$B$2:$B$250=B40)),Raw_Observations!$E$2:$E$250),"")</f>
        <v>0</v>
      </c>
      <c r="D40" s="8">
        <f ca="1">IFERROR(MAX(0,LOOKUP(2,1/((Raw_Observations!$A$2:$A$250=A40)*(Raw_Observations!$B$2:$B$250=B40)),Raw_Observations!$F$2:$F$250)-TODAY()),"")</f>
        <v>0</v>
      </c>
      <c r="E40" s="10" t="str">
        <f ca="1">IF(OR(A40="",B40=""),"",IFERROR(SUMIFS(Bank_Rates!$C$2:$C$100,Bank_Rates!$A$2:$A$100,LOOKUP(2,1/((Raw_Observations!$A$2:$A$250=A40)*(Raw_Observations!$B$2:$B$250=B40)),Raw_Observations!$H$2:$H$250),Bank_Rates!$B$2:$B$100,MAXIFS(Bank_Rates!$B$2:$B$100,Bank_Rates!$A$2:$A$100,LOOKUP(2,1/((Raw_Observations!$A$2:$A$250=A40)*(Raw_Observations!$B$2:$B$250=B40)),Raw_Observations!$H$2:$H$250),Bank_Rates!$B$2:$B$100,"&lt;="&amp;TODAY()),Bank_Rates!$D$2:$D$100,MAXIFS(Bank_Rates!$D$2:$D$100,Bank_Rates!$A$2:$A$100,LOOKUP(2,1/((Raw_Observations!$A$2:$A$250=A40)*(Raw_Observations!$B$2:$B$250=B40)),Raw_Observations!$H$2:$H$250),Bank_Rates!$B$2:$B$100,MAXIFS(Bank_Rates!$B$2:$B$100,Bank_Rates!$A$2:$A$100,LOOKUP(2,1/((Raw_Observations!$A$2:$A$250=A40)*(Raw_Observations!$B$2:$B$250=B40)),Raw_Observations!$H$2:$H$250),Bank_Rates!$B$2:$B$100,"&lt;="&amp;TODAY()),Bank_Rates!$D$2:$D$100,"&lt;="&amp;D40)),"No Match"))</f>
        <v/>
      </c>
      <c r="F40" s="10" t="str">
        <f>IFERROR(LOOKUP(2,1/((Raw_Observations!$A$2:$A$250=A40)*(Raw_Observations!$B$2:$B$250=B40)),Raw_Observations!$K$2:$K$250),"")</f>
        <v/>
      </c>
      <c r="G40" s="10"/>
      <c r="H40" s="10" t="str">
        <f t="shared" ca="1" si="2"/>
        <v/>
      </c>
      <c r="I40" s="9" t="str">
        <f t="shared" ca="1" si="3"/>
        <v/>
      </c>
      <c r="J40" s="10" t="str">
        <f ca="1">IFERROR((I40/LOOKUP(2,1/((Raw_Observations!$A$2:$A$999=A40)*(Raw_Observations!$B$2:$B$999=B40)),Raw_Observations!$D$2:$D$999))^365-1,"")</f>
        <v/>
      </c>
    </row>
    <row r="41" spans="1:10">
      <c r="A41" s="2"/>
      <c r="B41" s="2"/>
      <c r="C41" s="9">
        <f>IFERROR(LOOKUP(2,1/((Raw_Observations!$A$2:$A$250=A41)*(Raw_Observations!$B$2:$B$250=B41)),Raw_Observations!$E$2:$E$250),"")</f>
        <v>0</v>
      </c>
      <c r="D41" s="8">
        <f ca="1">IFERROR(MAX(0,LOOKUP(2,1/((Raw_Observations!$A$2:$A$250=A41)*(Raw_Observations!$B$2:$B$250=B41)),Raw_Observations!$F$2:$F$250)-TODAY()),"")</f>
        <v>0</v>
      </c>
      <c r="E41" s="10" t="str">
        <f ca="1">IF(OR(A41="",B41=""),"",IFERROR(SUMIFS(Bank_Rates!$C$2:$C$100,Bank_Rates!$A$2:$A$100,LOOKUP(2,1/((Raw_Observations!$A$2:$A$250=A41)*(Raw_Observations!$B$2:$B$250=B41)),Raw_Observations!$H$2:$H$250),Bank_Rates!$B$2:$B$100,MAXIFS(Bank_Rates!$B$2:$B$100,Bank_Rates!$A$2:$A$100,LOOKUP(2,1/((Raw_Observations!$A$2:$A$250=A41)*(Raw_Observations!$B$2:$B$250=B41)),Raw_Observations!$H$2:$H$250),Bank_Rates!$B$2:$B$100,"&lt;="&amp;TODAY()),Bank_Rates!$D$2:$D$100,MAXIFS(Bank_Rates!$D$2:$D$100,Bank_Rates!$A$2:$A$100,LOOKUP(2,1/((Raw_Observations!$A$2:$A$250=A41)*(Raw_Observations!$B$2:$B$250=B41)),Raw_Observations!$H$2:$H$250),Bank_Rates!$B$2:$B$100,MAXIFS(Bank_Rates!$B$2:$B$100,Bank_Rates!$A$2:$A$100,LOOKUP(2,1/((Raw_Observations!$A$2:$A$250=A41)*(Raw_Observations!$B$2:$B$250=B41)),Raw_Observations!$H$2:$H$250),Bank_Rates!$B$2:$B$100,"&lt;="&amp;TODAY()),Bank_Rates!$D$2:$D$100,"&lt;="&amp;D41)),"No Match"))</f>
        <v/>
      </c>
      <c r="F41" s="10" t="str">
        <f>IFERROR(LOOKUP(2,1/((Raw_Observations!$A$2:$A$250=A41)*(Raw_Observations!$B$2:$B$250=B41)),Raw_Observations!$K$2:$K$250),"")</f>
        <v/>
      </c>
      <c r="G41" s="10"/>
      <c r="H41" s="10" t="str">
        <f t="shared" ca="1" si="2"/>
        <v/>
      </c>
      <c r="I41" s="9" t="str">
        <f t="shared" ca="1" si="3"/>
        <v/>
      </c>
      <c r="J41" s="10" t="str">
        <f ca="1">IFERROR((I41/LOOKUP(2,1/((Raw_Observations!$A$2:$A$999=A41)*(Raw_Observations!$B$2:$B$999=B41)),Raw_Observations!$D$2:$D$999))^365-1,"")</f>
        <v/>
      </c>
    </row>
    <row r="42" spans="1:10">
      <c r="A42" s="2"/>
      <c r="B42" s="2"/>
      <c r="C42" s="9">
        <f>IFERROR(LOOKUP(2,1/((Raw_Observations!$A$2:$A$250=A42)*(Raw_Observations!$B$2:$B$250=B42)),Raw_Observations!$E$2:$E$250),"")</f>
        <v>0</v>
      </c>
      <c r="D42" s="8">
        <f ca="1">IFERROR(MAX(0,LOOKUP(2,1/((Raw_Observations!$A$2:$A$250=A42)*(Raw_Observations!$B$2:$B$250=B42)),Raw_Observations!$F$2:$F$250)-TODAY()),"")</f>
        <v>0</v>
      </c>
      <c r="E42" s="10" t="str">
        <f ca="1">IF(OR(A42="",B42=""),"",IFERROR(SUMIFS(Bank_Rates!$C$2:$C$100,Bank_Rates!$A$2:$A$100,LOOKUP(2,1/((Raw_Observations!$A$2:$A$250=A42)*(Raw_Observations!$B$2:$B$250=B42)),Raw_Observations!$H$2:$H$250),Bank_Rates!$B$2:$B$100,MAXIFS(Bank_Rates!$B$2:$B$100,Bank_Rates!$A$2:$A$100,LOOKUP(2,1/((Raw_Observations!$A$2:$A$250=A42)*(Raw_Observations!$B$2:$B$250=B42)),Raw_Observations!$H$2:$H$250),Bank_Rates!$B$2:$B$100,"&lt;="&amp;TODAY()),Bank_Rates!$D$2:$D$100,MAXIFS(Bank_Rates!$D$2:$D$100,Bank_Rates!$A$2:$A$100,LOOKUP(2,1/((Raw_Observations!$A$2:$A$250=A42)*(Raw_Observations!$B$2:$B$250=B42)),Raw_Observations!$H$2:$H$250),Bank_Rates!$B$2:$B$100,MAXIFS(Bank_Rates!$B$2:$B$100,Bank_Rates!$A$2:$A$100,LOOKUP(2,1/((Raw_Observations!$A$2:$A$250=A42)*(Raw_Observations!$B$2:$B$250=B42)),Raw_Observations!$H$2:$H$250),Bank_Rates!$B$2:$B$100,"&lt;="&amp;TODAY()),Bank_Rates!$D$2:$D$100,"&lt;="&amp;D42)),"No Match"))</f>
        <v/>
      </c>
      <c r="F42" s="10" t="str">
        <f>IFERROR(LOOKUP(2,1/((Raw_Observations!$A$2:$A$250=A42)*(Raw_Observations!$B$2:$B$250=B42)),Raw_Observations!$K$2:$K$250),"")</f>
        <v/>
      </c>
      <c r="G42" s="10"/>
      <c r="H42" s="10" t="str">
        <f t="shared" ca="1" si="2"/>
        <v/>
      </c>
      <c r="I42" s="9" t="str">
        <f t="shared" ca="1" si="3"/>
        <v/>
      </c>
      <c r="J42" s="10" t="str">
        <f ca="1">IFERROR((I42/LOOKUP(2,1/((Raw_Observations!$A$2:$A$999=A42)*(Raw_Observations!$B$2:$B$999=B42)),Raw_Observations!$D$2:$D$999))^365-1,"")</f>
        <v/>
      </c>
    </row>
    <row r="43" spans="1:10">
      <c r="A43" s="2"/>
      <c r="B43" s="2"/>
      <c r="C43" s="9">
        <f>IFERROR(LOOKUP(2,1/((Raw_Observations!$A$2:$A$250=A43)*(Raw_Observations!$B$2:$B$250=B43)),Raw_Observations!$E$2:$E$250),"")</f>
        <v>0</v>
      </c>
      <c r="D43" s="8">
        <f ca="1">IFERROR(MAX(0,LOOKUP(2,1/((Raw_Observations!$A$2:$A$250=A43)*(Raw_Observations!$B$2:$B$250=B43)),Raw_Observations!$F$2:$F$250)-TODAY()),"")</f>
        <v>0</v>
      </c>
      <c r="E43" s="10" t="str">
        <f ca="1">IF(OR(A43="",B43=""),"",IFERROR(SUMIFS(Bank_Rates!$C$2:$C$100,Bank_Rates!$A$2:$A$100,LOOKUP(2,1/((Raw_Observations!$A$2:$A$250=A43)*(Raw_Observations!$B$2:$B$250=B43)),Raw_Observations!$H$2:$H$250),Bank_Rates!$B$2:$B$100,MAXIFS(Bank_Rates!$B$2:$B$100,Bank_Rates!$A$2:$A$100,LOOKUP(2,1/((Raw_Observations!$A$2:$A$250=A43)*(Raw_Observations!$B$2:$B$250=B43)),Raw_Observations!$H$2:$H$250),Bank_Rates!$B$2:$B$100,"&lt;="&amp;TODAY()),Bank_Rates!$D$2:$D$100,MAXIFS(Bank_Rates!$D$2:$D$100,Bank_Rates!$A$2:$A$100,LOOKUP(2,1/((Raw_Observations!$A$2:$A$250=A43)*(Raw_Observations!$B$2:$B$250=B43)),Raw_Observations!$H$2:$H$250),Bank_Rates!$B$2:$B$100,MAXIFS(Bank_Rates!$B$2:$B$100,Bank_Rates!$A$2:$A$100,LOOKUP(2,1/((Raw_Observations!$A$2:$A$250=A43)*(Raw_Observations!$B$2:$B$250=B43)),Raw_Observations!$H$2:$H$250),Bank_Rates!$B$2:$B$100,"&lt;="&amp;TODAY()),Bank_Rates!$D$2:$D$100,"&lt;="&amp;D43)),"No Match"))</f>
        <v/>
      </c>
      <c r="F43" s="10" t="str">
        <f>IFERROR(LOOKUP(2,1/((Raw_Observations!$A$2:$A$250=A43)*(Raw_Observations!$B$2:$B$250=B43)),Raw_Observations!$K$2:$K$250),"")</f>
        <v/>
      </c>
      <c r="G43" s="10"/>
      <c r="H43" s="10" t="str">
        <f t="shared" ca="1" si="2"/>
        <v/>
      </c>
      <c r="I43" s="9" t="str">
        <f t="shared" ca="1" si="3"/>
        <v/>
      </c>
      <c r="J43" s="10" t="str">
        <f ca="1">IFERROR((I43/LOOKUP(2,1/((Raw_Observations!$A$2:$A$999=A43)*(Raw_Observations!$B$2:$B$999=B43)),Raw_Observations!$D$2:$D$999))^365-1,"")</f>
        <v/>
      </c>
    </row>
    <row r="44" spans="1:10">
      <c r="A44" s="2"/>
      <c r="B44" s="2"/>
      <c r="C44" s="9">
        <f>IFERROR(LOOKUP(2,1/((Raw_Observations!$A$2:$A$250=A44)*(Raw_Observations!$B$2:$B$250=B44)),Raw_Observations!$E$2:$E$250),"")</f>
        <v>0</v>
      </c>
      <c r="D44" s="8">
        <f ca="1">IFERROR(MAX(0,LOOKUP(2,1/((Raw_Observations!$A$2:$A$250=A44)*(Raw_Observations!$B$2:$B$250=B44)),Raw_Observations!$F$2:$F$250)-TODAY()),"")</f>
        <v>0</v>
      </c>
      <c r="E44" s="10" t="str">
        <f ca="1">IF(OR(A44="",B44=""),"",IFERROR(SUMIFS(Bank_Rates!$C$2:$C$100,Bank_Rates!$A$2:$A$100,LOOKUP(2,1/((Raw_Observations!$A$2:$A$250=A44)*(Raw_Observations!$B$2:$B$250=B44)),Raw_Observations!$H$2:$H$250),Bank_Rates!$B$2:$B$100,MAXIFS(Bank_Rates!$B$2:$B$100,Bank_Rates!$A$2:$A$100,LOOKUP(2,1/((Raw_Observations!$A$2:$A$250=A44)*(Raw_Observations!$B$2:$B$250=B44)),Raw_Observations!$H$2:$H$250),Bank_Rates!$B$2:$B$100,"&lt;="&amp;TODAY()),Bank_Rates!$D$2:$D$100,MAXIFS(Bank_Rates!$D$2:$D$100,Bank_Rates!$A$2:$A$100,LOOKUP(2,1/((Raw_Observations!$A$2:$A$250=A44)*(Raw_Observations!$B$2:$B$250=B44)),Raw_Observations!$H$2:$H$250),Bank_Rates!$B$2:$B$100,MAXIFS(Bank_Rates!$B$2:$B$100,Bank_Rates!$A$2:$A$100,LOOKUP(2,1/((Raw_Observations!$A$2:$A$250=A44)*(Raw_Observations!$B$2:$B$250=B44)),Raw_Observations!$H$2:$H$250),Bank_Rates!$B$2:$B$100,"&lt;="&amp;TODAY()),Bank_Rates!$D$2:$D$100,"&lt;="&amp;D44)),"No Match"))</f>
        <v/>
      </c>
      <c r="F44" s="10" t="str">
        <f>IFERROR(LOOKUP(2,1/((Raw_Observations!$A$2:$A$250=A44)*(Raw_Observations!$B$2:$B$250=B44)),Raw_Observations!$K$2:$K$250),"")</f>
        <v/>
      </c>
      <c r="G44" s="10"/>
      <c r="H44" s="10" t="str">
        <f t="shared" ca="1" si="2"/>
        <v/>
      </c>
      <c r="I44" s="9" t="str">
        <f t="shared" ca="1" si="3"/>
        <v/>
      </c>
      <c r="J44" s="10" t="str">
        <f ca="1">IFERROR((I44/LOOKUP(2,1/((Raw_Observations!$A$2:$A$999=A44)*(Raw_Observations!$B$2:$B$999=B44)),Raw_Observations!$D$2:$D$999))^365-1,"")</f>
        <v/>
      </c>
    </row>
    <row r="45" spans="1:10">
      <c r="A45" s="2"/>
      <c r="B45" s="2"/>
      <c r="C45" s="9">
        <f>IFERROR(LOOKUP(2,1/((Raw_Observations!$A$2:$A$250=A45)*(Raw_Observations!$B$2:$B$250=B45)),Raw_Observations!$E$2:$E$250),"")</f>
        <v>0</v>
      </c>
      <c r="D45" s="8">
        <f ca="1">IFERROR(MAX(0,LOOKUP(2,1/((Raw_Observations!$A$2:$A$250=A45)*(Raw_Observations!$B$2:$B$250=B45)),Raw_Observations!$F$2:$F$250)-TODAY()),"")</f>
        <v>0</v>
      </c>
      <c r="E45" s="10" t="str">
        <f ca="1">IF(OR(A45="",B45=""),"",IFERROR(SUMIFS(Bank_Rates!$C$2:$C$100,Bank_Rates!$A$2:$A$100,LOOKUP(2,1/((Raw_Observations!$A$2:$A$250=A45)*(Raw_Observations!$B$2:$B$250=B45)),Raw_Observations!$H$2:$H$250),Bank_Rates!$B$2:$B$100,MAXIFS(Bank_Rates!$B$2:$B$100,Bank_Rates!$A$2:$A$100,LOOKUP(2,1/((Raw_Observations!$A$2:$A$250=A45)*(Raw_Observations!$B$2:$B$250=B45)),Raw_Observations!$H$2:$H$250),Bank_Rates!$B$2:$B$100,"&lt;="&amp;TODAY()),Bank_Rates!$D$2:$D$100,MAXIFS(Bank_Rates!$D$2:$D$100,Bank_Rates!$A$2:$A$100,LOOKUP(2,1/((Raw_Observations!$A$2:$A$250=A45)*(Raw_Observations!$B$2:$B$250=B45)),Raw_Observations!$H$2:$H$250),Bank_Rates!$B$2:$B$100,MAXIFS(Bank_Rates!$B$2:$B$100,Bank_Rates!$A$2:$A$100,LOOKUP(2,1/((Raw_Observations!$A$2:$A$250=A45)*(Raw_Observations!$B$2:$B$250=B45)),Raw_Observations!$H$2:$H$250),Bank_Rates!$B$2:$B$100,"&lt;="&amp;TODAY()),Bank_Rates!$D$2:$D$100,"&lt;="&amp;D45)),"No Match"))</f>
        <v/>
      </c>
      <c r="F45" s="10" t="str">
        <f>IFERROR(LOOKUP(2,1/((Raw_Observations!$A$2:$A$250=A45)*(Raw_Observations!$B$2:$B$250=B45)),Raw_Observations!$K$2:$K$250),"")</f>
        <v/>
      </c>
      <c r="G45" s="10"/>
      <c r="H45" s="10" t="str">
        <f t="shared" ca="1" si="2"/>
        <v/>
      </c>
      <c r="I45" s="9" t="str">
        <f t="shared" ca="1" si="3"/>
        <v/>
      </c>
      <c r="J45" s="10" t="str">
        <f ca="1">IFERROR((I45/LOOKUP(2,1/((Raw_Observations!$A$2:$A$999=A45)*(Raw_Observations!$B$2:$B$999=B45)),Raw_Observations!$D$2:$D$999))^365-1,"")</f>
        <v/>
      </c>
    </row>
    <row r="46" spans="1:10">
      <c r="A46" s="2"/>
      <c r="B46" s="2"/>
      <c r="C46" s="9">
        <f>IFERROR(LOOKUP(2,1/((Raw_Observations!$A$2:$A$250=A46)*(Raw_Observations!$B$2:$B$250=B46)),Raw_Observations!$E$2:$E$250),"")</f>
        <v>0</v>
      </c>
      <c r="D46" s="8">
        <f ca="1">IFERROR(MAX(0,LOOKUP(2,1/((Raw_Observations!$A$2:$A$250=A46)*(Raw_Observations!$B$2:$B$250=B46)),Raw_Observations!$F$2:$F$250)-TODAY()),"")</f>
        <v>0</v>
      </c>
      <c r="E46" s="10" t="str">
        <f ca="1">IF(OR(A46="",B46=""),"",IFERROR(SUMIFS(Bank_Rates!$C$2:$C$100,Bank_Rates!$A$2:$A$100,LOOKUP(2,1/((Raw_Observations!$A$2:$A$250=A46)*(Raw_Observations!$B$2:$B$250=B46)),Raw_Observations!$H$2:$H$250),Bank_Rates!$B$2:$B$100,MAXIFS(Bank_Rates!$B$2:$B$100,Bank_Rates!$A$2:$A$100,LOOKUP(2,1/((Raw_Observations!$A$2:$A$250=A46)*(Raw_Observations!$B$2:$B$250=B46)),Raw_Observations!$H$2:$H$250),Bank_Rates!$B$2:$B$100,"&lt;="&amp;TODAY()),Bank_Rates!$D$2:$D$100,MAXIFS(Bank_Rates!$D$2:$D$100,Bank_Rates!$A$2:$A$100,LOOKUP(2,1/((Raw_Observations!$A$2:$A$250=A46)*(Raw_Observations!$B$2:$B$250=B46)),Raw_Observations!$H$2:$H$250),Bank_Rates!$B$2:$B$100,MAXIFS(Bank_Rates!$B$2:$B$100,Bank_Rates!$A$2:$A$100,LOOKUP(2,1/((Raw_Observations!$A$2:$A$250=A46)*(Raw_Observations!$B$2:$B$250=B46)),Raw_Observations!$H$2:$H$250),Bank_Rates!$B$2:$B$100,"&lt;="&amp;TODAY()),Bank_Rates!$D$2:$D$100,"&lt;="&amp;D46)),"No Match"))</f>
        <v/>
      </c>
      <c r="F46" s="10" t="str">
        <f>IFERROR(LOOKUP(2,1/((Raw_Observations!$A$2:$A$250=A46)*(Raw_Observations!$B$2:$B$250=B46)),Raw_Observations!$K$2:$K$250),"")</f>
        <v/>
      </c>
      <c r="G46" s="10"/>
      <c r="H46" s="10" t="str">
        <f t="shared" ca="1" si="2"/>
        <v/>
      </c>
      <c r="I46" s="9" t="str">
        <f t="shared" ca="1" si="3"/>
        <v/>
      </c>
      <c r="J46" s="10" t="str">
        <f ca="1">IFERROR((I46/LOOKUP(2,1/((Raw_Observations!$A$2:$A$999=A46)*(Raw_Observations!$B$2:$B$999=B46)),Raw_Observations!$D$2:$D$999))^365-1,"")</f>
        <v/>
      </c>
    </row>
    <row r="47" spans="1:10">
      <c r="A47" s="2"/>
      <c r="B47" s="2"/>
      <c r="C47" s="9">
        <f>IFERROR(LOOKUP(2,1/((Raw_Observations!$A$2:$A$250=A47)*(Raw_Observations!$B$2:$B$250=B47)),Raw_Observations!$E$2:$E$250),"")</f>
        <v>0</v>
      </c>
      <c r="D47" s="8">
        <f ca="1">IFERROR(MAX(0,LOOKUP(2,1/((Raw_Observations!$A$2:$A$250=A47)*(Raw_Observations!$B$2:$B$250=B47)),Raw_Observations!$F$2:$F$250)-TODAY()),"")</f>
        <v>0</v>
      </c>
      <c r="E47" s="10" t="str">
        <f ca="1">IF(OR(A47="",B47=""),"",IFERROR(SUMIFS(Bank_Rates!$C$2:$C$100,Bank_Rates!$A$2:$A$100,LOOKUP(2,1/((Raw_Observations!$A$2:$A$250=A47)*(Raw_Observations!$B$2:$B$250=B47)),Raw_Observations!$H$2:$H$250),Bank_Rates!$B$2:$B$100,MAXIFS(Bank_Rates!$B$2:$B$100,Bank_Rates!$A$2:$A$100,LOOKUP(2,1/((Raw_Observations!$A$2:$A$250=A47)*(Raw_Observations!$B$2:$B$250=B47)),Raw_Observations!$H$2:$H$250),Bank_Rates!$B$2:$B$100,"&lt;="&amp;TODAY()),Bank_Rates!$D$2:$D$100,MAXIFS(Bank_Rates!$D$2:$D$100,Bank_Rates!$A$2:$A$100,LOOKUP(2,1/((Raw_Observations!$A$2:$A$250=A47)*(Raw_Observations!$B$2:$B$250=B47)),Raw_Observations!$H$2:$H$250),Bank_Rates!$B$2:$B$100,MAXIFS(Bank_Rates!$B$2:$B$100,Bank_Rates!$A$2:$A$100,LOOKUP(2,1/((Raw_Observations!$A$2:$A$250=A47)*(Raw_Observations!$B$2:$B$250=B47)),Raw_Observations!$H$2:$H$250),Bank_Rates!$B$2:$B$100,"&lt;="&amp;TODAY()),Bank_Rates!$D$2:$D$100,"&lt;="&amp;D47)),"No Match"))</f>
        <v/>
      </c>
      <c r="F47" s="10" t="str">
        <f>IFERROR(LOOKUP(2,1/((Raw_Observations!$A$2:$A$250=A47)*(Raw_Observations!$B$2:$B$250=B47)),Raw_Observations!$K$2:$K$250),"")</f>
        <v/>
      </c>
      <c r="G47" s="10"/>
      <c r="H47" s="10" t="str">
        <f t="shared" ca="1" si="2"/>
        <v/>
      </c>
      <c r="I47" s="9" t="str">
        <f t="shared" ca="1" si="3"/>
        <v/>
      </c>
      <c r="J47" s="10" t="str">
        <f ca="1">IFERROR((I47/LOOKUP(2,1/((Raw_Observations!$A$2:$A$999=A47)*(Raw_Observations!$B$2:$B$999=B47)),Raw_Observations!$D$2:$D$999))^365-1,"")</f>
        <v/>
      </c>
    </row>
    <row r="48" spans="1:10">
      <c r="A48" s="2"/>
      <c r="B48" s="2"/>
      <c r="C48" s="9">
        <f>IFERROR(LOOKUP(2,1/((Raw_Observations!$A$2:$A$250=A48)*(Raw_Observations!$B$2:$B$250=B48)),Raw_Observations!$E$2:$E$250),"")</f>
        <v>0</v>
      </c>
      <c r="D48" s="8">
        <f ca="1">IFERROR(MAX(0,LOOKUP(2,1/((Raw_Observations!$A$2:$A$250=A48)*(Raw_Observations!$B$2:$B$250=B48)),Raw_Observations!$F$2:$F$250)-TODAY()),"")</f>
        <v>0</v>
      </c>
      <c r="E48" s="10" t="str">
        <f ca="1">IF(OR(A48="",B48=""),"",IFERROR(SUMIFS(Bank_Rates!$C$2:$C$100,Bank_Rates!$A$2:$A$100,LOOKUP(2,1/((Raw_Observations!$A$2:$A$250=A48)*(Raw_Observations!$B$2:$B$250=B48)),Raw_Observations!$H$2:$H$250),Bank_Rates!$B$2:$B$100,MAXIFS(Bank_Rates!$B$2:$B$100,Bank_Rates!$A$2:$A$100,LOOKUP(2,1/((Raw_Observations!$A$2:$A$250=A48)*(Raw_Observations!$B$2:$B$250=B48)),Raw_Observations!$H$2:$H$250),Bank_Rates!$B$2:$B$100,"&lt;="&amp;TODAY()),Bank_Rates!$D$2:$D$100,MAXIFS(Bank_Rates!$D$2:$D$100,Bank_Rates!$A$2:$A$100,LOOKUP(2,1/((Raw_Observations!$A$2:$A$250=A48)*(Raw_Observations!$B$2:$B$250=B48)),Raw_Observations!$H$2:$H$250),Bank_Rates!$B$2:$B$100,MAXIFS(Bank_Rates!$B$2:$B$100,Bank_Rates!$A$2:$A$100,LOOKUP(2,1/((Raw_Observations!$A$2:$A$250=A48)*(Raw_Observations!$B$2:$B$250=B48)),Raw_Observations!$H$2:$H$250),Bank_Rates!$B$2:$B$100,"&lt;="&amp;TODAY()),Bank_Rates!$D$2:$D$100,"&lt;="&amp;D48)),"No Match"))</f>
        <v/>
      </c>
      <c r="F48" s="10" t="str">
        <f>IFERROR(LOOKUP(2,1/((Raw_Observations!$A$2:$A$250=A48)*(Raw_Observations!$B$2:$B$250=B48)),Raw_Observations!$K$2:$K$250),"")</f>
        <v/>
      </c>
      <c r="G48" s="10"/>
      <c r="H48" s="10" t="str">
        <f t="shared" ca="1" si="2"/>
        <v/>
      </c>
      <c r="I48" s="9" t="str">
        <f t="shared" ca="1" si="3"/>
        <v/>
      </c>
      <c r="J48" s="10" t="str">
        <f ca="1">IFERROR((I48/LOOKUP(2,1/((Raw_Observations!$A$2:$A$999=A48)*(Raw_Observations!$B$2:$B$999=B48)),Raw_Observations!$D$2:$D$999))^365-1,"")</f>
        <v/>
      </c>
    </row>
    <row r="49" spans="1:10">
      <c r="A49" s="2"/>
      <c r="B49" s="2"/>
      <c r="C49" s="9">
        <f>IFERROR(LOOKUP(2,1/((Raw_Observations!$A$2:$A$250=A49)*(Raw_Observations!$B$2:$B$250=B49)),Raw_Observations!$E$2:$E$250),"")</f>
        <v>0</v>
      </c>
      <c r="D49" s="8">
        <f ca="1">IFERROR(MAX(0,LOOKUP(2,1/((Raw_Observations!$A$2:$A$250=A49)*(Raw_Observations!$B$2:$B$250=B49)),Raw_Observations!$F$2:$F$250)-TODAY()),"")</f>
        <v>0</v>
      </c>
      <c r="E49" s="10" t="str">
        <f ca="1">IF(OR(A49="",B49=""),"",IFERROR(SUMIFS(Bank_Rates!$C$2:$C$100,Bank_Rates!$A$2:$A$100,LOOKUP(2,1/((Raw_Observations!$A$2:$A$250=A49)*(Raw_Observations!$B$2:$B$250=B49)),Raw_Observations!$H$2:$H$250),Bank_Rates!$B$2:$B$100,MAXIFS(Bank_Rates!$B$2:$B$100,Bank_Rates!$A$2:$A$100,LOOKUP(2,1/((Raw_Observations!$A$2:$A$250=A49)*(Raw_Observations!$B$2:$B$250=B49)),Raw_Observations!$H$2:$H$250),Bank_Rates!$B$2:$B$100,"&lt;="&amp;TODAY()),Bank_Rates!$D$2:$D$100,MAXIFS(Bank_Rates!$D$2:$D$100,Bank_Rates!$A$2:$A$100,LOOKUP(2,1/((Raw_Observations!$A$2:$A$250=A49)*(Raw_Observations!$B$2:$B$250=B49)),Raw_Observations!$H$2:$H$250),Bank_Rates!$B$2:$B$100,MAXIFS(Bank_Rates!$B$2:$B$100,Bank_Rates!$A$2:$A$100,LOOKUP(2,1/((Raw_Observations!$A$2:$A$250=A49)*(Raw_Observations!$B$2:$B$250=B49)),Raw_Observations!$H$2:$H$250),Bank_Rates!$B$2:$B$100,"&lt;="&amp;TODAY()),Bank_Rates!$D$2:$D$100,"&lt;="&amp;D49)),"No Match"))</f>
        <v/>
      </c>
      <c r="F49" s="10" t="str">
        <f>IFERROR(LOOKUP(2,1/((Raw_Observations!$A$2:$A$250=A49)*(Raw_Observations!$B$2:$B$250=B49)),Raw_Observations!$K$2:$K$250),"")</f>
        <v/>
      </c>
      <c r="G49" s="10"/>
      <c r="H49" s="10" t="str">
        <f t="shared" ca="1" si="2"/>
        <v/>
      </c>
      <c r="I49" s="9" t="str">
        <f t="shared" ca="1" si="3"/>
        <v/>
      </c>
      <c r="J49" s="10" t="str">
        <f ca="1">IFERROR((I49/LOOKUP(2,1/((Raw_Observations!$A$2:$A$999=A49)*(Raw_Observations!$B$2:$B$999=B49)),Raw_Observations!$D$2:$D$999))^365-1,"")</f>
        <v/>
      </c>
    </row>
    <row r="50" spans="1:10">
      <c r="A50" s="2"/>
      <c r="B50" s="2"/>
      <c r="C50" s="9">
        <f>IFERROR(LOOKUP(2,1/((Raw_Observations!$A$2:$A$250=A50)*(Raw_Observations!$B$2:$B$250=B50)),Raw_Observations!$E$2:$E$250),"")</f>
        <v>0</v>
      </c>
      <c r="D50" s="8">
        <f ca="1">IFERROR(MAX(0,LOOKUP(2,1/((Raw_Observations!$A$2:$A$250=A50)*(Raw_Observations!$B$2:$B$250=B50)),Raw_Observations!$F$2:$F$250)-TODAY()),"")</f>
        <v>0</v>
      </c>
      <c r="E50" s="10" t="str">
        <f ca="1">IF(OR(A50="",B50=""),"",IFERROR(SUMIFS(Bank_Rates!$C$2:$C$100,Bank_Rates!$A$2:$A$100,LOOKUP(2,1/((Raw_Observations!$A$2:$A$250=A50)*(Raw_Observations!$B$2:$B$250=B50)),Raw_Observations!$H$2:$H$250),Bank_Rates!$B$2:$B$100,MAXIFS(Bank_Rates!$B$2:$B$100,Bank_Rates!$A$2:$A$100,LOOKUP(2,1/((Raw_Observations!$A$2:$A$250=A50)*(Raw_Observations!$B$2:$B$250=B50)),Raw_Observations!$H$2:$H$250),Bank_Rates!$B$2:$B$100,"&lt;="&amp;TODAY()),Bank_Rates!$D$2:$D$100,MAXIFS(Bank_Rates!$D$2:$D$100,Bank_Rates!$A$2:$A$100,LOOKUP(2,1/((Raw_Observations!$A$2:$A$250=A50)*(Raw_Observations!$B$2:$B$250=B50)),Raw_Observations!$H$2:$H$250),Bank_Rates!$B$2:$B$100,MAXIFS(Bank_Rates!$B$2:$B$100,Bank_Rates!$A$2:$A$100,LOOKUP(2,1/((Raw_Observations!$A$2:$A$250=A50)*(Raw_Observations!$B$2:$B$250=B50)),Raw_Observations!$H$2:$H$250),Bank_Rates!$B$2:$B$100,"&lt;="&amp;TODAY()),Bank_Rates!$D$2:$D$100,"&lt;="&amp;D50)),"No Match"))</f>
        <v/>
      </c>
      <c r="F50" s="10" t="str">
        <f>IFERROR(LOOKUP(2,1/((Raw_Observations!$A$2:$A$250=A50)*(Raw_Observations!$B$2:$B$250=B50)),Raw_Observations!$K$2:$K$250),"")</f>
        <v/>
      </c>
      <c r="G50" s="10"/>
      <c r="H50" s="10" t="str">
        <f t="shared" ca="1" si="2"/>
        <v/>
      </c>
      <c r="I50" s="9" t="str">
        <f t="shared" ca="1" si="3"/>
        <v/>
      </c>
      <c r="J50" s="10" t="str">
        <f ca="1">IFERROR((I50/LOOKUP(2,1/((Raw_Observations!$A$2:$A$999=A50)*(Raw_Observations!$B$2:$B$999=B50)),Raw_Observations!$D$2:$D$999))^365-1,"")</f>
        <v/>
      </c>
    </row>
    <row r="51" spans="1:10">
      <c r="A51" s="2"/>
      <c r="B51" s="2"/>
      <c r="C51" s="9">
        <f>IFERROR(LOOKUP(2,1/((Raw_Observations!$A$2:$A$250=A51)*(Raw_Observations!$B$2:$B$250=B51)),Raw_Observations!$E$2:$E$250),"")</f>
        <v>0</v>
      </c>
      <c r="D51" s="8">
        <f ca="1">IFERROR(MAX(0,LOOKUP(2,1/((Raw_Observations!$A$2:$A$250=A51)*(Raw_Observations!$B$2:$B$250=B51)),Raw_Observations!$F$2:$F$250)-TODAY()),"")</f>
        <v>0</v>
      </c>
      <c r="E51" s="10" t="str">
        <f ca="1">IF(OR(A51="",B51=""),"",IFERROR(SUMIFS(Bank_Rates!$C$2:$C$100,Bank_Rates!$A$2:$A$100,LOOKUP(2,1/((Raw_Observations!$A$2:$A$250=A51)*(Raw_Observations!$B$2:$B$250=B51)),Raw_Observations!$H$2:$H$250),Bank_Rates!$B$2:$B$100,MAXIFS(Bank_Rates!$B$2:$B$100,Bank_Rates!$A$2:$A$100,LOOKUP(2,1/((Raw_Observations!$A$2:$A$250=A51)*(Raw_Observations!$B$2:$B$250=B51)),Raw_Observations!$H$2:$H$250),Bank_Rates!$B$2:$B$100,"&lt;="&amp;TODAY()),Bank_Rates!$D$2:$D$100,MAXIFS(Bank_Rates!$D$2:$D$100,Bank_Rates!$A$2:$A$100,LOOKUP(2,1/((Raw_Observations!$A$2:$A$250=A51)*(Raw_Observations!$B$2:$B$250=B51)),Raw_Observations!$H$2:$H$250),Bank_Rates!$B$2:$B$100,MAXIFS(Bank_Rates!$B$2:$B$100,Bank_Rates!$A$2:$A$100,LOOKUP(2,1/((Raw_Observations!$A$2:$A$250=A51)*(Raw_Observations!$B$2:$B$250=B51)),Raw_Observations!$H$2:$H$250),Bank_Rates!$B$2:$B$100,"&lt;="&amp;TODAY()),Bank_Rates!$D$2:$D$100,"&lt;="&amp;D51)),"No Match"))</f>
        <v/>
      </c>
      <c r="F51" s="10" t="str">
        <f>IFERROR(LOOKUP(2,1/((Raw_Observations!$A$2:$A$250=A51)*(Raw_Observations!$B$2:$B$250=B51)),Raw_Observations!$K$2:$K$250),"")</f>
        <v/>
      </c>
      <c r="G51" s="10"/>
      <c r="H51" s="10" t="str">
        <f t="shared" ca="1" si="2"/>
        <v/>
      </c>
      <c r="I51" s="9" t="str">
        <f t="shared" ca="1" si="3"/>
        <v/>
      </c>
      <c r="J51" s="10" t="str">
        <f ca="1">IFERROR((I51/LOOKUP(2,1/((Raw_Observations!$A$2:$A$999=A51)*(Raw_Observations!$B$2:$B$999=B51)),Raw_Observations!$D$2:$D$999))^365-1,"")</f>
        <v/>
      </c>
    </row>
    <row r="52" spans="1:10">
      <c r="A52" s="2"/>
      <c r="B52" s="2"/>
      <c r="C52" s="9">
        <f>IFERROR(LOOKUP(2,1/((Raw_Observations!$A$2:$A$250=A52)*(Raw_Observations!$B$2:$B$250=B52)),Raw_Observations!$E$2:$E$250),"")</f>
        <v>0</v>
      </c>
      <c r="D52" s="8">
        <f ca="1">IFERROR(MAX(0,LOOKUP(2,1/((Raw_Observations!$A$2:$A$250=A52)*(Raw_Observations!$B$2:$B$250=B52)),Raw_Observations!$F$2:$F$250)-TODAY()),"")</f>
        <v>0</v>
      </c>
      <c r="E52" s="10" t="str">
        <f ca="1">IF(OR(A52="",B52=""),"",IFERROR(SUMIFS(Bank_Rates!$C$2:$C$100,Bank_Rates!$A$2:$A$100,LOOKUP(2,1/((Raw_Observations!$A$2:$A$250=A52)*(Raw_Observations!$B$2:$B$250=B52)),Raw_Observations!$H$2:$H$250),Bank_Rates!$B$2:$B$100,MAXIFS(Bank_Rates!$B$2:$B$100,Bank_Rates!$A$2:$A$100,LOOKUP(2,1/((Raw_Observations!$A$2:$A$250=A52)*(Raw_Observations!$B$2:$B$250=B52)),Raw_Observations!$H$2:$H$250),Bank_Rates!$B$2:$B$100,"&lt;="&amp;TODAY()),Bank_Rates!$D$2:$D$100,MAXIFS(Bank_Rates!$D$2:$D$100,Bank_Rates!$A$2:$A$100,LOOKUP(2,1/((Raw_Observations!$A$2:$A$250=A52)*(Raw_Observations!$B$2:$B$250=B52)),Raw_Observations!$H$2:$H$250),Bank_Rates!$B$2:$B$100,MAXIFS(Bank_Rates!$B$2:$B$100,Bank_Rates!$A$2:$A$100,LOOKUP(2,1/((Raw_Observations!$A$2:$A$250=A52)*(Raw_Observations!$B$2:$B$250=B52)),Raw_Observations!$H$2:$H$250),Bank_Rates!$B$2:$B$100,"&lt;="&amp;TODAY()),Bank_Rates!$D$2:$D$100,"&lt;="&amp;D52)),"No Match"))</f>
        <v/>
      </c>
      <c r="F52" s="10" t="str">
        <f>IFERROR(LOOKUP(2,1/((Raw_Observations!$A$2:$A$250=A52)*(Raw_Observations!$B$2:$B$250=B52)),Raw_Observations!$K$2:$K$250),"")</f>
        <v/>
      </c>
      <c r="G52" s="10"/>
      <c r="H52" s="10" t="str">
        <f t="shared" ca="1" si="2"/>
        <v/>
      </c>
      <c r="I52" s="9" t="str">
        <f t="shared" ca="1" si="3"/>
        <v/>
      </c>
      <c r="J52" s="10" t="str">
        <f ca="1">IFERROR((I52/LOOKUP(2,1/((Raw_Observations!$A$2:$A$999=A52)*(Raw_Observations!$B$2:$B$999=B52)),Raw_Observations!$D$2:$D$999))^365-1,"")</f>
        <v/>
      </c>
    </row>
    <row r="53" spans="1:10">
      <c r="A53" s="2"/>
      <c r="B53" s="2"/>
      <c r="C53" s="9">
        <f>IFERROR(LOOKUP(2,1/((Raw_Observations!$A$2:$A$250=A53)*(Raw_Observations!$B$2:$B$250=B53)),Raw_Observations!$E$2:$E$250),"")</f>
        <v>0</v>
      </c>
      <c r="D53" s="8">
        <f ca="1">IFERROR(MAX(0,LOOKUP(2,1/((Raw_Observations!$A$2:$A$250=A53)*(Raw_Observations!$B$2:$B$250=B53)),Raw_Observations!$F$2:$F$250)-TODAY()),"")</f>
        <v>0</v>
      </c>
      <c r="E53" s="10" t="str">
        <f ca="1">IF(OR(A53="",B53=""),"",IFERROR(SUMIFS(Bank_Rates!$C$2:$C$100,Bank_Rates!$A$2:$A$100,LOOKUP(2,1/((Raw_Observations!$A$2:$A$250=A53)*(Raw_Observations!$B$2:$B$250=B53)),Raw_Observations!$H$2:$H$250),Bank_Rates!$B$2:$B$100,MAXIFS(Bank_Rates!$B$2:$B$100,Bank_Rates!$A$2:$A$100,LOOKUP(2,1/((Raw_Observations!$A$2:$A$250=A53)*(Raw_Observations!$B$2:$B$250=B53)),Raw_Observations!$H$2:$H$250),Bank_Rates!$B$2:$B$100,"&lt;="&amp;TODAY()),Bank_Rates!$D$2:$D$100,MAXIFS(Bank_Rates!$D$2:$D$100,Bank_Rates!$A$2:$A$100,LOOKUP(2,1/((Raw_Observations!$A$2:$A$250=A53)*(Raw_Observations!$B$2:$B$250=B53)),Raw_Observations!$H$2:$H$250),Bank_Rates!$B$2:$B$100,MAXIFS(Bank_Rates!$B$2:$B$100,Bank_Rates!$A$2:$A$100,LOOKUP(2,1/((Raw_Observations!$A$2:$A$250=A53)*(Raw_Observations!$B$2:$B$250=B53)),Raw_Observations!$H$2:$H$250),Bank_Rates!$B$2:$B$100,"&lt;="&amp;TODAY()),Bank_Rates!$D$2:$D$100,"&lt;="&amp;D53)),"No Match"))</f>
        <v/>
      </c>
      <c r="F53" s="10" t="str">
        <f>IFERROR(LOOKUP(2,1/((Raw_Observations!$A$2:$A$250=A53)*(Raw_Observations!$B$2:$B$250=B53)),Raw_Observations!$K$2:$K$250),"")</f>
        <v/>
      </c>
      <c r="G53" s="10"/>
      <c r="H53" s="10" t="str">
        <f t="shared" ca="1" si="2"/>
        <v/>
      </c>
      <c r="I53" s="9" t="str">
        <f t="shared" ca="1" si="3"/>
        <v/>
      </c>
      <c r="J53" s="10" t="str">
        <f ca="1">IFERROR((I53/LOOKUP(2,1/((Raw_Observations!$A$2:$A$999=A53)*(Raw_Observations!$B$2:$B$999=B53)),Raw_Observations!$D$2:$D$999))^365-1,"")</f>
        <v/>
      </c>
    </row>
    <row r="54" spans="1:10">
      <c r="A54" s="2"/>
      <c r="B54" s="2"/>
      <c r="C54" s="9">
        <f>IFERROR(LOOKUP(2,1/((Raw_Observations!$A$2:$A$250=A54)*(Raw_Observations!$B$2:$B$250=B54)),Raw_Observations!$E$2:$E$250),"")</f>
        <v>0</v>
      </c>
      <c r="D54" s="8">
        <f ca="1">IFERROR(MAX(0,LOOKUP(2,1/((Raw_Observations!$A$2:$A$250=A54)*(Raw_Observations!$B$2:$B$250=B54)),Raw_Observations!$F$2:$F$250)-TODAY()),"")</f>
        <v>0</v>
      </c>
      <c r="E54" s="10" t="str">
        <f ca="1">IF(OR(A54="",B54=""),"",IFERROR(SUMIFS(Bank_Rates!$C$2:$C$100,Bank_Rates!$A$2:$A$100,LOOKUP(2,1/((Raw_Observations!$A$2:$A$250=A54)*(Raw_Observations!$B$2:$B$250=B54)),Raw_Observations!$H$2:$H$250),Bank_Rates!$B$2:$B$100,MAXIFS(Bank_Rates!$B$2:$B$100,Bank_Rates!$A$2:$A$100,LOOKUP(2,1/((Raw_Observations!$A$2:$A$250=A54)*(Raw_Observations!$B$2:$B$250=B54)),Raw_Observations!$H$2:$H$250),Bank_Rates!$B$2:$B$100,"&lt;="&amp;TODAY()),Bank_Rates!$D$2:$D$100,MAXIFS(Bank_Rates!$D$2:$D$100,Bank_Rates!$A$2:$A$100,LOOKUP(2,1/((Raw_Observations!$A$2:$A$250=A54)*(Raw_Observations!$B$2:$B$250=B54)),Raw_Observations!$H$2:$H$250),Bank_Rates!$B$2:$B$100,MAXIFS(Bank_Rates!$B$2:$B$100,Bank_Rates!$A$2:$A$100,LOOKUP(2,1/((Raw_Observations!$A$2:$A$250=A54)*(Raw_Observations!$B$2:$B$250=B54)),Raw_Observations!$H$2:$H$250),Bank_Rates!$B$2:$B$100,"&lt;="&amp;TODAY()),Bank_Rates!$D$2:$D$100,"&lt;="&amp;D54)),"No Match"))</f>
        <v/>
      </c>
      <c r="F54" s="10" t="str">
        <f>IFERROR(LOOKUP(2,1/((Raw_Observations!$A$2:$A$250=A54)*(Raw_Observations!$B$2:$B$250=B54)),Raw_Observations!$K$2:$K$250),"")</f>
        <v/>
      </c>
      <c r="G54" s="10"/>
      <c r="H54" s="10" t="str">
        <f t="shared" ca="1" si="2"/>
        <v/>
      </c>
      <c r="I54" s="9" t="str">
        <f t="shared" ca="1" si="3"/>
        <v/>
      </c>
      <c r="J54" s="10" t="str">
        <f ca="1">IFERROR((I54/LOOKUP(2,1/((Raw_Observations!$A$2:$A$999=A54)*(Raw_Observations!$B$2:$B$999=B54)),Raw_Observations!$D$2:$D$999))^365-1,"")</f>
        <v/>
      </c>
    </row>
    <row r="55" spans="1:10">
      <c r="A55" s="2"/>
      <c r="B55" s="2"/>
      <c r="C55" s="9">
        <f>IFERROR(LOOKUP(2,1/((Raw_Observations!$A$2:$A$250=A55)*(Raw_Observations!$B$2:$B$250=B55)),Raw_Observations!$E$2:$E$250),"")</f>
        <v>0</v>
      </c>
      <c r="D55" s="8">
        <f ca="1">IFERROR(MAX(0,LOOKUP(2,1/((Raw_Observations!$A$2:$A$250=A55)*(Raw_Observations!$B$2:$B$250=B55)),Raw_Observations!$F$2:$F$250)-TODAY()),"")</f>
        <v>0</v>
      </c>
      <c r="E55" s="10" t="str">
        <f ca="1">IF(OR(A55="",B55=""),"",IFERROR(SUMIFS(Bank_Rates!$C$2:$C$100,Bank_Rates!$A$2:$A$100,LOOKUP(2,1/((Raw_Observations!$A$2:$A$250=A55)*(Raw_Observations!$B$2:$B$250=B55)),Raw_Observations!$H$2:$H$250),Bank_Rates!$B$2:$B$100,MAXIFS(Bank_Rates!$B$2:$B$100,Bank_Rates!$A$2:$A$100,LOOKUP(2,1/((Raw_Observations!$A$2:$A$250=A55)*(Raw_Observations!$B$2:$B$250=B55)),Raw_Observations!$H$2:$H$250),Bank_Rates!$B$2:$B$100,"&lt;="&amp;TODAY()),Bank_Rates!$D$2:$D$100,MAXIFS(Bank_Rates!$D$2:$D$100,Bank_Rates!$A$2:$A$100,LOOKUP(2,1/((Raw_Observations!$A$2:$A$250=A55)*(Raw_Observations!$B$2:$B$250=B55)),Raw_Observations!$H$2:$H$250),Bank_Rates!$B$2:$B$100,MAXIFS(Bank_Rates!$B$2:$B$100,Bank_Rates!$A$2:$A$100,LOOKUP(2,1/((Raw_Observations!$A$2:$A$250=A55)*(Raw_Observations!$B$2:$B$250=B55)),Raw_Observations!$H$2:$H$250),Bank_Rates!$B$2:$B$100,"&lt;="&amp;TODAY()),Bank_Rates!$D$2:$D$100,"&lt;="&amp;D55)),"No Match"))</f>
        <v/>
      </c>
      <c r="F55" s="10" t="str">
        <f>IFERROR(LOOKUP(2,1/((Raw_Observations!$A$2:$A$250=A55)*(Raw_Observations!$B$2:$B$250=B55)),Raw_Observations!$K$2:$K$250),"")</f>
        <v/>
      </c>
      <c r="G55" s="10"/>
      <c r="H55" s="10" t="str">
        <f t="shared" ca="1" si="2"/>
        <v/>
      </c>
      <c r="I55" s="9" t="str">
        <f t="shared" ca="1" si="3"/>
        <v/>
      </c>
      <c r="J55" s="10" t="str">
        <f ca="1">IFERROR((I55/LOOKUP(2,1/((Raw_Observations!$A$2:$A$999=A55)*(Raw_Observations!$B$2:$B$999=B55)),Raw_Observations!$D$2:$D$999))^365-1,"")</f>
        <v/>
      </c>
    </row>
    <row r="56" spans="1:10">
      <c r="A56" s="2"/>
      <c r="B56" s="2"/>
      <c r="C56" s="9">
        <f>IFERROR(LOOKUP(2,1/((Raw_Observations!$A$2:$A$250=A56)*(Raw_Observations!$B$2:$B$250=B56)),Raw_Observations!$E$2:$E$250),"")</f>
        <v>0</v>
      </c>
      <c r="D56" s="8">
        <f ca="1">IFERROR(MAX(0,LOOKUP(2,1/((Raw_Observations!$A$2:$A$250=A56)*(Raw_Observations!$B$2:$B$250=B56)),Raw_Observations!$F$2:$F$250)-TODAY()),"")</f>
        <v>0</v>
      </c>
      <c r="E56" s="10" t="str">
        <f ca="1">IF(OR(A56="",B56=""),"",IFERROR(SUMIFS(Bank_Rates!$C$2:$C$100,Bank_Rates!$A$2:$A$100,LOOKUP(2,1/((Raw_Observations!$A$2:$A$250=A56)*(Raw_Observations!$B$2:$B$250=B56)),Raw_Observations!$H$2:$H$250),Bank_Rates!$B$2:$B$100,MAXIFS(Bank_Rates!$B$2:$B$100,Bank_Rates!$A$2:$A$100,LOOKUP(2,1/((Raw_Observations!$A$2:$A$250=A56)*(Raw_Observations!$B$2:$B$250=B56)),Raw_Observations!$H$2:$H$250),Bank_Rates!$B$2:$B$100,"&lt;="&amp;TODAY()),Bank_Rates!$D$2:$D$100,MAXIFS(Bank_Rates!$D$2:$D$100,Bank_Rates!$A$2:$A$100,LOOKUP(2,1/((Raw_Observations!$A$2:$A$250=A56)*(Raw_Observations!$B$2:$B$250=B56)),Raw_Observations!$H$2:$H$250),Bank_Rates!$B$2:$B$100,MAXIFS(Bank_Rates!$B$2:$B$100,Bank_Rates!$A$2:$A$100,LOOKUP(2,1/((Raw_Observations!$A$2:$A$250=A56)*(Raw_Observations!$B$2:$B$250=B56)),Raw_Observations!$H$2:$H$250),Bank_Rates!$B$2:$B$100,"&lt;="&amp;TODAY()),Bank_Rates!$D$2:$D$100,"&lt;="&amp;D56)),"No Match"))</f>
        <v/>
      </c>
      <c r="F56" s="10" t="str">
        <f>IFERROR(LOOKUP(2,1/((Raw_Observations!$A$2:$A$250=A56)*(Raw_Observations!$B$2:$B$250=B56)),Raw_Observations!$K$2:$K$250),"")</f>
        <v/>
      </c>
      <c r="G56" s="10"/>
      <c r="H56" s="10" t="str">
        <f t="shared" ca="1" si="2"/>
        <v/>
      </c>
      <c r="I56" s="9" t="str">
        <f t="shared" ca="1" si="3"/>
        <v/>
      </c>
      <c r="J56" s="10" t="str">
        <f ca="1">IFERROR((I56/LOOKUP(2,1/((Raw_Observations!$A$2:$A$999=A56)*(Raw_Observations!$B$2:$B$999=B56)),Raw_Observations!$D$2:$D$999))^365-1,"")</f>
        <v/>
      </c>
    </row>
    <row r="57" spans="1:10">
      <c r="A57" s="2"/>
      <c r="B57" s="2"/>
      <c r="C57" s="9">
        <f>IFERROR(LOOKUP(2,1/((Raw_Observations!$A$2:$A$250=A57)*(Raw_Observations!$B$2:$B$250=B57)),Raw_Observations!$E$2:$E$250),"")</f>
        <v>0</v>
      </c>
      <c r="D57" s="8">
        <f ca="1">IFERROR(MAX(0,LOOKUP(2,1/((Raw_Observations!$A$2:$A$250=A57)*(Raw_Observations!$B$2:$B$250=B57)),Raw_Observations!$F$2:$F$250)-TODAY()),"")</f>
        <v>0</v>
      </c>
      <c r="E57" s="10" t="str">
        <f ca="1">IF(OR(A57="",B57=""),"",IFERROR(SUMIFS(Bank_Rates!$C$2:$C$100,Bank_Rates!$A$2:$A$100,LOOKUP(2,1/((Raw_Observations!$A$2:$A$250=A57)*(Raw_Observations!$B$2:$B$250=B57)),Raw_Observations!$H$2:$H$250),Bank_Rates!$B$2:$B$100,MAXIFS(Bank_Rates!$B$2:$B$100,Bank_Rates!$A$2:$A$100,LOOKUP(2,1/((Raw_Observations!$A$2:$A$250=A57)*(Raw_Observations!$B$2:$B$250=B57)),Raw_Observations!$H$2:$H$250),Bank_Rates!$B$2:$B$100,"&lt;="&amp;TODAY()),Bank_Rates!$D$2:$D$100,MAXIFS(Bank_Rates!$D$2:$D$100,Bank_Rates!$A$2:$A$100,LOOKUP(2,1/((Raw_Observations!$A$2:$A$250=A57)*(Raw_Observations!$B$2:$B$250=B57)),Raw_Observations!$H$2:$H$250),Bank_Rates!$B$2:$B$100,MAXIFS(Bank_Rates!$B$2:$B$100,Bank_Rates!$A$2:$A$100,LOOKUP(2,1/((Raw_Observations!$A$2:$A$250=A57)*(Raw_Observations!$B$2:$B$250=B57)),Raw_Observations!$H$2:$H$250),Bank_Rates!$B$2:$B$100,"&lt;="&amp;TODAY()),Bank_Rates!$D$2:$D$100,"&lt;="&amp;D57)),"No Match"))</f>
        <v/>
      </c>
      <c r="F57" s="10" t="str">
        <f>IFERROR(LOOKUP(2,1/((Raw_Observations!$A$2:$A$250=A57)*(Raw_Observations!$B$2:$B$250=B57)),Raw_Observations!$K$2:$K$250),"")</f>
        <v/>
      </c>
      <c r="G57" s="10"/>
      <c r="H57" s="10" t="str">
        <f t="shared" ca="1" si="2"/>
        <v/>
      </c>
      <c r="I57" s="9" t="str">
        <f t="shared" ca="1" si="3"/>
        <v/>
      </c>
      <c r="J57" s="10" t="str">
        <f ca="1">IFERROR((I57/LOOKUP(2,1/((Raw_Observations!$A$2:$A$999=A57)*(Raw_Observations!$B$2:$B$999=B57)),Raw_Observations!$D$2:$D$999))^365-1,"")</f>
        <v/>
      </c>
    </row>
    <row r="58" spans="1:10">
      <c r="A58" s="2"/>
      <c r="B58" s="2"/>
      <c r="C58" s="9">
        <f>IFERROR(LOOKUP(2,1/((Raw_Observations!$A$2:$A$250=A58)*(Raw_Observations!$B$2:$B$250=B58)),Raw_Observations!$E$2:$E$250),"")</f>
        <v>0</v>
      </c>
      <c r="D58" s="8">
        <f ca="1">IFERROR(MAX(0,LOOKUP(2,1/((Raw_Observations!$A$2:$A$250=A58)*(Raw_Observations!$B$2:$B$250=B58)),Raw_Observations!$F$2:$F$250)-TODAY()),"")</f>
        <v>0</v>
      </c>
      <c r="E58" s="10" t="str">
        <f ca="1">IF(OR(A58="",B58=""),"",IFERROR(SUMIFS(Bank_Rates!$C$2:$C$100,Bank_Rates!$A$2:$A$100,LOOKUP(2,1/((Raw_Observations!$A$2:$A$250=A58)*(Raw_Observations!$B$2:$B$250=B58)),Raw_Observations!$H$2:$H$250),Bank_Rates!$B$2:$B$100,MAXIFS(Bank_Rates!$B$2:$B$100,Bank_Rates!$A$2:$A$100,LOOKUP(2,1/((Raw_Observations!$A$2:$A$250=A58)*(Raw_Observations!$B$2:$B$250=B58)),Raw_Observations!$H$2:$H$250),Bank_Rates!$B$2:$B$100,"&lt;="&amp;TODAY()),Bank_Rates!$D$2:$D$100,MAXIFS(Bank_Rates!$D$2:$D$100,Bank_Rates!$A$2:$A$100,LOOKUP(2,1/((Raw_Observations!$A$2:$A$250=A58)*(Raw_Observations!$B$2:$B$250=B58)),Raw_Observations!$H$2:$H$250),Bank_Rates!$B$2:$B$100,MAXIFS(Bank_Rates!$B$2:$B$100,Bank_Rates!$A$2:$A$100,LOOKUP(2,1/((Raw_Observations!$A$2:$A$250=A58)*(Raw_Observations!$B$2:$B$250=B58)),Raw_Observations!$H$2:$H$250),Bank_Rates!$B$2:$B$100,"&lt;="&amp;TODAY()),Bank_Rates!$D$2:$D$100,"&lt;="&amp;D58)),"No Match"))</f>
        <v/>
      </c>
      <c r="F58" s="10" t="str">
        <f>IFERROR(LOOKUP(2,1/((Raw_Observations!$A$2:$A$250=A58)*(Raw_Observations!$B$2:$B$250=B58)),Raw_Observations!$K$2:$K$250),"")</f>
        <v/>
      </c>
      <c r="G58" s="10"/>
      <c r="H58" s="10" t="str">
        <f t="shared" ca="1" si="2"/>
        <v/>
      </c>
      <c r="I58" s="9" t="str">
        <f t="shared" ca="1" si="3"/>
        <v/>
      </c>
      <c r="J58" s="10" t="str">
        <f ca="1">IFERROR((I58/LOOKUP(2,1/((Raw_Observations!$A$2:$A$999=A58)*(Raw_Observations!$B$2:$B$999=B58)),Raw_Observations!$D$2:$D$999))^365-1,"")</f>
        <v/>
      </c>
    </row>
    <row r="59" spans="1:10">
      <c r="A59" s="2"/>
      <c r="B59" s="2"/>
      <c r="C59" s="9">
        <f>IFERROR(LOOKUP(2,1/((Raw_Observations!$A$2:$A$250=A59)*(Raw_Observations!$B$2:$B$250=B59)),Raw_Observations!$E$2:$E$250),"")</f>
        <v>0</v>
      </c>
      <c r="D59" s="8">
        <f ca="1">IFERROR(MAX(0,LOOKUP(2,1/((Raw_Observations!$A$2:$A$250=A59)*(Raw_Observations!$B$2:$B$250=B59)),Raw_Observations!$F$2:$F$250)-TODAY()),"")</f>
        <v>0</v>
      </c>
      <c r="E59" s="10" t="str">
        <f ca="1">IF(OR(A59="",B59=""),"",IFERROR(SUMIFS(Bank_Rates!$C$2:$C$100,Bank_Rates!$A$2:$A$100,LOOKUP(2,1/((Raw_Observations!$A$2:$A$250=A59)*(Raw_Observations!$B$2:$B$250=B59)),Raw_Observations!$H$2:$H$250),Bank_Rates!$B$2:$B$100,MAXIFS(Bank_Rates!$B$2:$B$100,Bank_Rates!$A$2:$A$100,LOOKUP(2,1/((Raw_Observations!$A$2:$A$250=A59)*(Raw_Observations!$B$2:$B$250=B59)),Raw_Observations!$H$2:$H$250),Bank_Rates!$B$2:$B$100,"&lt;="&amp;TODAY()),Bank_Rates!$D$2:$D$100,MAXIFS(Bank_Rates!$D$2:$D$100,Bank_Rates!$A$2:$A$100,LOOKUP(2,1/((Raw_Observations!$A$2:$A$250=A59)*(Raw_Observations!$B$2:$B$250=B59)),Raw_Observations!$H$2:$H$250),Bank_Rates!$B$2:$B$100,MAXIFS(Bank_Rates!$B$2:$B$100,Bank_Rates!$A$2:$A$100,LOOKUP(2,1/((Raw_Observations!$A$2:$A$250=A59)*(Raw_Observations!$B$2:$B$250=B59)),Raw_Observations!$H$2:$H$250),Bank_Rates!$B$2:$B$100,"&lt;="&amp;TODAY()),Bank_Rates!$D$2:$D$100,"&lt;="&amp;D59)),"No Match"))</f>
        <v/>
      </c>
      <c r="F59" s="10" t="str">
        <f>IFERROR(LOOKUP(2,1/((Raw_Observations!$A$2:$A$250=A59)*(Raw_Observations!$B$2:$B$250=B59)),Raw_Observations!$K$2:$K$250),"")</f>
        <v/>
      </c>
      <c r="G59" s="10"/>
      <c r="H59" s="10" t="str">
        <f t="shared" ca="1" si="2"/>
        <v/>
      </c>
      <c r="I59" s="9" t="str">
        <f t="shared" ca="1" si="3"/>
        <v/>
      </c>
      <c r="J59" s="10" t="str">
        <f ca="1">IFERROR((I59/LOOKUP(2,1/((Raw_Observations!$A$2:$A$999=A59)*(Raw_Observations!$B$2:$B$999=B59)),Raw_Observations!$D$2:$D$999))^365-1,"")</f>
        <v/>
      </c>
    </row>
    <row r="60" spans="1:10">
      <c r="A60" s="2"/>
      <c r="B60" s="2"/>
      <c r="C60" s="9">
        <f>IFERROR(LOOKUP(2,1/((Raw_Observations!$A$2:$A$250=A60)*(Raw_Observations!$B$2:$B$250=B60)),Raw_Observations!$E$2:$E$250),"")</f>
        <v>0</v>
      </c>
      <c r="D60" s="8">
        <f ca="1">IFERROR(MAX(0,LOOKUP(2,1/((Raw_Observations!$A$2:$A$250=A60)*(Raw_Observations!$B$2:$B$250=B60)),Raw_Observations!$F$2:$F$250)-TODAY()),"")</f>
        <v>0</v>
      </c>
      <c r="E60" s="10" t="str">
        <f ca="1">IF(OR(A60="",B60=""),"",IFERROR(SUMIFS(Bank_Rates!$C$2:$C$100,Bank_Rates!$A$2:$A$100,LOOKUP(2,1/((Raw_Observations!$A$2:$A$250=A60)*(Raw_Observations!$B$2:$B$250=B60)),Raw_Observations!$H$2:$H$250),Bank_Rates!$B$2:$B$100,MAXIFS(Bank_Rates!$B$2:$B$100,Bank_Rates!$A$2:$A$100,LOOKUP(2,1/((Raw_Observations!$A$2:$A$250=A60)*(Raw_Observations!$B$2:$B$250=B60)),Raw_Observations!$H$2:$H$250),Bank_Rates!$B$2:$B$100,"&lt;="&amp;TODAY()),Bank_Rates!$D$2:$D$100,MAXIFS(Bank_Rates!$D$2:$D$100,Bank_Rates!$A$2:$A$100,LOOKUP(2,1/((Raw_Observations!$A$2:$A$250=A60)*(Raw_Observations!$B$2:$B$250=B60)),Raw_Observations!$H$2:$H$250),Bank_Rates!$B$2:$B$100,MAXIFS(Bank_Rates!$B$2:$B$100,Bank_Rates!$A$2:$A$100,LOOKUP(2,1/((Raw_Observations!$A$2:$A$250=A60)*(Raw_Observations!$B$2:$B$250=B60)),Raw_Observations!$H$2:$H$250),Bank_Rates!$B$2:$B$100,"&lt;="&amp;TODAY()),Bank_Rates!$D$2:$D$100,"&lt;="&amp;D60)),"No Match"))</f>
        <v/>
      </c>
      <c r="F60" s="10" t="str">
        <f>IFERROR(LOOKUP(2,1/((Raw_Observations!$A$2:$A$250=A60)*(Raw_Observations!$B$2:$B$250=B60)),Raw_Observations!$K$2:$K$250),"")</f>
        <v/>
      </c>
      <c r="G60" s="10"/>
      <c r="H60" s="10" t="str">
        <f t="shared" ca="1" si="2"/>
        <v/>
      </c>
      <c r="I60" s="9" t="str">
        <f t="shared" ca="1" si="3"/>
        <v/>
      </c>
      <c r="J60" s="10" t="str">
        <f ca="1">IFERROR((I60/LOOKUP(2,1/((Raw_Observations!$A$2:$A$999=A60)*(Raw_Observations!$B$2:$B$999=B60)),Raw_Observations!$D$2:$D$999))^365-1,"")</f>
        <v/>
      </c>
    </row>
    <row r="61" spans="1:10">
      <c r="A61" s="2"/>
      <c r="B61" s="2"/>
      <c r="C61" s="9">
        <f>IFERROR(LOOKUP(2,1/((Raw_Observations!$A$2:$A$250=A61)*(Raw_Observations!$B$2:$B$250=B61)),Raw_Observations!$E$2:$E$250),"")</f>
        <v>0</v>
      </c>
      <c r="D61" s="8">
        <f ca="1">IFERROR(MAX(0,LOOKUP(2,1/((Raw_Observations!$A$2:$A$250=A61)*(Raw_Observations!$B$2:$B$250=B61)),Raw_Observations!$F$2:$F$250)-TODAY()),"")</f>
        <v>0</v>
      </c>
      <c r="E61" s="10" t="str">
        <f ca="1">IF(OR(A61="",B61=""),"",IFERROR(SUMIFS(Bank_Rates!$C$2:$C$100,Bank_Rates!$A$2:$A$100,LOOKUP(2,1/((Raw_Observations!$A$2:$A$250=A61)*(Raw_Observations!$B$2:$B$250=B61)),Raw_Observations!$H$2:$H$250),Bank_Rates!$B$2:$B$100,MAXIFS(Bank_Rates!$B$2:$B$100,Bank_Rates!$A$2:$A$100,LOOKUP(2,1/((Raw_Observations!$A$2:$A$250=A61)*(Raw_Observations!$B$2:$B$250=B61)),Raw_Observations!$H$2:$H$250),Bank_Rates!$B$2:$B$100,"&lt;="&amp;TODAY()),Bank_Rates!$D$2:$D$100,MAXIFS(Bank_Rates!$D$2:$D$100,Bank_Rates!$A$2:$A$100,LOOKUP(2,1/((Raw_Observations!$A$2:$A$250=A61)*(Raw_Observations!$B$2:$B$250=B61)),Raw_Observations!$H$2:$H$250),Bank_Rates!$B$2:$B$100,MAXIFS(Bank_Rates!$B$2:$B$100,Bank_Rates!$A$2:$A$100,LOOKUP(2,1/((Raw_Observations!$A$2:$A$250=A61)*(Raw_Observations!$B$2:$B$250=B61)),Raw_Observations!$H$2:$H$250),Bank_Rates!$B$2:$B$100,"&lt;="&amp;TODAY()),Bank_Rates!$D$2:$D$100,"&lt;="&amp;D61)),"No Match"))</f>
        <v/>
      </c>
      <c r="F61" s="10" t="str">
        <f>IFERROR(LOOKUP(2,1/((Raw_Observations!$A$2:$A$250=A61)*(Raw_Observations!$B$2:$B$250=B61)),Raw_Observations!$K$2:$K$250),"")</f>
        <v/>
      </c>
      <c r="G61" s="10"/>
      <c r="H61" s="10" t="str">
        <f t="shared" ca="1" si="2"/>
        <v/>
      </c>
      <c r="I61" s="9" t="str">
        <f t="shared" ca="1" si="3"/>
        <v/>
      </c>
      <c r="J61" s="10" t="str">
        <f ca="1">IFERROR((I61/LOOKUP(2,1/((Raw_Observations!$A$2:$A$999=A61)*(Raw_Observations!$B$2:$B$999=B61)),Raw_Observations!$D$2:$D$999))^365-1,"")</f>
        <v/>
      </c>
    </row>
    <row r="62" spans="1:10">
      <c r="A62" s="2"/>
      <c r="B62" s="2"/>
      <c r="C62" s="9">
        <f>IFERROR(LOOKUP(2,1/((Raw_Observations!$A$2:$A$250=A62)*(Raw_Observations!$B$2:$B$250=B62)),Raw_Observations!$E$2:$E$250),"")</f>
        <v>0</v>
      </c>
      <c r="D62" s="8">
        <f ca="1">IFERROR(MAX(0,LOOKUP(2,1/((Raw_Observations!$A$2:$A$250=A62)*(Raw_Observations!$B$2:$B$250=B62)),Raw_Observations!$F$2:$F$250)-TODAY()),"")</f>
        <v>0</v>
      </c>
      <c r="E62" s="10" t="str">
        <f ca="1">IF(OR(A62="",B62=""),"",IFERROR(SUMIFS(Bank_Rates!$C$2:$C$100,Bank_Rates!$A$2:$A$100,LOOKUP(2,1/((Raw_Observations!$A$2:$A$250=A62)*(Raw_Observations!$B$2:$B$250=B62)),Raw_Observations!$H$2:$H$250),Bank_Rates!$B$2:$B$100,MAXIFS(Bank_Rates!$B$2:$B$100,Bank_Rates!$A$2:$A$100,LOOKUP(2,1/((Raw_Observations!$A$2:$A$250=A62)*(Raw_Observations!$B$2:$B$250=B62)),Raw_Observations!$H$2:$H$250),Bank_Rates!$B$2:$B$100,"&lt;="&amp;TODAY()),Bank_Rates!$D$2:$D$100,MAXIFS(Bank_Rates!$D$2:$D$100,Bank_Rates!$A$2:$A$100,LOOKUP(2,1/((Raw_Observations!$A$2:$A$250=A62)*(Raw_Observations!$B$2:$B$250=B62)),Raw_Observations!$H$2:$H$250),Bank_Rates!$B$2:$B$100,MAXIFS(Bank_Rates!$B$2:$B$100,Bank_Rates!$A$2:$A$100,LOOKUP(2,1/((Raw_Observations!$A$2:$A$250=A62)*(Raw_Observations!$B$2:$B$250=B62)),Raw_Observations!$H$2:$H$250),Bank_Rates!$B$2:$B$100,"&lt;="&amp;TODAY()),Bank_Rates!$D$2:$D$100,"&lt;="&amp;D62)),"No Match"))</f>
        <v/>
      </c>
      <c r="F62" s="10" t="str">
        <f>IFERROR(LOOKUP(2,1/((Raw_Observations!$A$2:$A$250=A62)*(Raw_Observations!$B$2:$B$250=B62)),Raw_Observations!$K$2:$K$250),"")</f>
        <v/>
      </c>
      <c r="G62" s="10"/>
      <c r="H62" s="10" t="str">
        <f t="shared" ca="1" si="2"/>
        <v/>
      </c>
      <c r="I62" s="9" t="str">
        <f t="shared" ca="1" si="3"/>
        <v/>
      </c>
      <c r="J62" s="10" t="str">
        <f ca="1">IFERROR((I62/LOOKUP(2,1/((Raw_Observations!$A$2:$A$999=A62)*(Raw_Observations!$B$2:$B$999=B62)),Raw_Observations!$D$2:$D$999))^365-1,"")</f>
        <v/>
      </c>
    </row>
    <row r="63" spans="1:10">
      <c r="A63" s="2"/>
      <c r="B63" s="2"/>
      <c r="C63" s="9">
        <f>IFERROR(LOOKUP(2,1/((Raw_Observations!$A$2:$A$250=A63)*(Raw_Observations!$B$2:$B$250=B63)),Raw_Observations!$E$2:$E$250),"")</f>
        <v>0</v>
      </c>
      <c r="D63" s="8">
        <f ca="1">IFERROR(MAX(0,LOOKUP(2,1/((Raw_Observations!$A$2:$A$250=A63)*(Raw_Observations!$B$2:$B$250=B63)),Raw_Observations!$F$2:$F$250)-TODAY()),"")</f>
        <v>0</v>
      </c>
      <c r="E63" s="10" t="str">
        <f ca="1">IF(OR(A63="",B63=""),"",IFERROR(SUMIFS(Bank_Rates!$C$2:$C$100,Bank_Rates!$A$2:$A$100,LOOKUP(2,1/((Raw_Observations!$A$2:$A$250=A63)*(Raw_Observations!$B$2:$B$250=B63)),Raw_Observations!$H$2:$H$250),Bank_Rates!$B$2:$B$100,MAXIFS(Bank_Rates!$B$2:$B$100,Bank_Rates!$A$2:$A$100,LOOKUP(2,1/((Raw_Observations!$A$2:$A$250=A63)*(Raw_Observations!$B$2:$B$250=B63)),Raw_Observations!$H$2:$H$250),Bank_Rates!$B$2:$B$100,"&lt;="&amp;TODAY()),Bank_Rates!$D$2:$D$100,MAXIFS(Bank_Rates!$D$2:$D$100,Bank_Rates!$A$2:$A$100,LOOKUP(2,1/((Raw_Observations!$A$2:$A$250=A63)*(Raw_Observations!$B$2:$B$250=B63)),Raw_Observations!$H$2:$H$250),Bank_Rates!$B$2:$B$100,MAXIFS(Bank_Rates!$B$2:$B$100,Bank_Rates!$A$2:$A$100,LOOKUP(2,1/((Raw_Observations!$A$2:$A$250=A63)*(Raw_Observations!$B$2:$B$250=B63)),Raw_Observations!$H$2:$H$250),Bank_Rates!$B$2:$B$100,"&lt;="&amp;TODAY()),Bank_Rates!$D$2:$D$100,"&lt;="&amp;D63)),"No Match"))</f>
        <v/>
      </c>
      <c r="F63" s="10" t="str">
        <f>IFERROR(LOOKUP(2,1/((Raw_Observations!$A$2:$A$250=A63)*(Raw_Observations!$B$2:$B$250=B63)),Raw_Observations!$K$2:$K$250),"")</f>
        <v/>
      </c>
      <c r="G63" s="10"/>
      <c r="H63" s="10" t="str">
        <f t="shared" ca="1" si="2"/>
        <v/>
      </c>
      <c r="I63" s="9" t="str">
        <f t="shared" ca="1" si="3"/>
        <v/>
      </c>
      <c r="J63" s="10" t="str">
        <f ca="1">IFERROR((I63/LOOKUP(2,1/((Raw_Observations!$A$2:$A$999=A63)*(Raw_Observations!$B$2:$B$999=B63)),Raw_Observations!$D$2:$D$999))^365-1,"")</f>
        <v/>
      </c>
    </row>
    <row r="64" spans="1:10">
      <c r="A64" s="2"/>
      <c r="B64" s="2"/>
      <c r="C64" s="9">
        <f>IFERROR(LOOKUP(2,1/((Raw_Observations!$A$2:$A$250=A64)*(Raw_Observations!$B$2:$B$250=B64)),Raw_Observations!$E$2:$E$250),"")</f>
        <v>0</v>
      </c>
      <c r="D64" s="8">
        <f ca="1">IFERROR(MAX(0,LOOKUP(2,1/((Raw_Observations!$A$2:$A$250=A64)*(Raw_Observations!$B$2:$B$250=B64)),Raw_Observations!$F$2:$F$250)-TODAY()),"")</f>
        <v>0</v>
      </c>
      <c r="E64" s="10" t="str">
        <f ca="1">IF(OR(A64="",B64=""),"",IFERROR(SUMIFS(Bank_Rates!$C$2:$C$100,Bank_Rates!$A$2:$A$100,LOOKUP(2,1/((Raw_Observations!$A$2:$A$250=A64)*(Raw_Observations!$B$2:$B$250=B64)),Raw_Observations!$H$2:$H$250),Bank_Rates!$B$2:$B$100,MAXIFS(Bank_Rates!$B$2:$B$100,Bank_Rates!$A$2:$A$100,LOOKUP(2,1/((Raw_Observations!$A$2:$A$250=A64)*(Raw_Observations!$B$2:$B$250=B64)),Raw_Observations!$H$2:$H$250),Bank_Rates!$B$2:$B$100,"&lt;="&amp;TODAY()),Bank_Rates!$D$2:$D$100,MAXIFS(Bank_Rates!$D$2:$D$100,Bank_Rates!$A$2:$A$100,LOOKUP(2,1/((Raw_Observations!$A$2:$A$250=A64)*(Raw_Observations!$B$2:$B$250=B64)),Raw_Observations!$H$2:$H$250),Bank_Rates!$B$2:$B$100,MAXIFS(Bank_Rates!$B$2:$B$100,Bank_Rates!$A$2:$A$100,LOOKUP(2,1/((Raw_Observations!$A$2:$A$250=A64)*(Raw_Observations!$B$2:$B$250=B64)),Raw_Observations!$H$2:$H$250),Bank_Rates!$B$2:$B$100,"&lt;="&amp;TODAY()),Bank_Rates!$D$2:$D$100,"&lt;="&amp;D64)),"No Match"))</f>
        <v/>
      </c>
      <c r="F64" s="10" t="str">
        <f>IFERROR(LOOKUP(2,1/((Raw_Observations!$A$2:$A$250=A64)*(Raw_Observations!$B$2:$B$250=B64)),Raw_Observations!$K$2:$K$250),"")</f>
        <v/>
      </c>
      <c r="G64" s="10"/>
      <c r="H64" s="10" t="str">
        <f t="shared" ca="1" si="2"/>
        <v/>
      </c>
      <c r="I64" s="9" t="str">
        <f t="shared" ca="1" si="3"/>
        <v/>
      </c>
      <c r="J64" s="10" t="str">
        <f ca="1">IFERROR((I64/LOOKUP(2,1/((Raw_Observations!$A$2:$A$999=A64)*(Raw_Observations!$B$2:$B$999=B64)),Raw_Observations!$D$2:$D$999))^365-1,"")</f>
        <v/>
      </c>
    </row>
    <row r="65" spans="1:10">
      <c r="A65" s="2"/>
      <c r="B65" s="2"/>
      <c r="C65" s="9">
        <f>IFERROR(LOOKUP(2,1/((Raw_Observations!$A$2:$A$250=A65)*(Raw_Observations!$B$2:$B$250=B65)),Raw_Observations!$E$2:$E$250),"")</f>
        <v>0</v>
      </c>
      <c r="D65" s="8">
        <f ca="1">IFERROR(MAX(0,LOOKUP(2,1/((Raw_Observations!$A$2:$A$250=A65)*(Raw_Observations!$B$2:$B$250=B65)),Raw_Observations!$F$2:$F$250)-TODAY()),"")</f>
        <v>0</v>
      </c>
      <c r="E65" s="10" t="str">
        <f ca="1">IF(OR(A65="",B65=""),"",IFERROR(SUMIFS(Bank_Rates!$C$2:$C$100,Bank_Rates!$A$2:$A$100,LOOKUP(2,1/((Raw_Observations!$A$2:$A$250=A65)*(Raw_Observations!$B$2:$B$250=B65)),Raw_Observations!$H$2:$H$250),Bank_Rates!$B$2:$B$100,MAXIFS(Bank_Rates!$B$2:$B$100,Bank_Rates!$A$2:$A$100,LOOKUP(2,1/((Raw_Observations!$A$2:$A$250=A65)*(Raw_Observations!$B$2:$B$250=B65)),Raw_Observations!$H$2:$H$250),Bank_Rates!$B$2:$B$100,"&lt;="&amp;TODAY()),Bank_Rates!$D$2:$D$100,MAXIFS(Bank_Rates!$D$2:$D$100,Bank_Rates!$A$2:$A$100,LOOKUP(2,1/((Raw_Observations!$A$2:$A$250=A65)*(Raw_Observations!$B$2:$B$250=B65)),Raw_Observations!$H$2:$H$250),Bank_Rates!$B$2:$B$100,MAXIFS(Bank_Rates!$B$2:$B$100,Bank_Rates!$A$2:$A$100,LOOKUP(2,1/((Raw_Observations!$A$2:$A$250=A65)*(Raw_Observations!$B$2:$B$250=B65)),Raw_Observations!$H$2:$H$250),Bank_Rates!$B$2:$B$100,"&lt;="&amp;TODAY()),Bank_Rates!$D$2:$D$100,"&lt;="&amp;D65)),"No Match"))</f>
        <v/>
      </c>
      <c r="F65" s="10" t="str">
        <f>IFERROR(LOOKUP(2,1/((Raw_Observations!$A$2:$A$250=A65)*(Raw_Observations!$B$2:$B$250=B65)),Raw_Observations!$K$2:$K$250),"")</f>
        <v/>
      </c>
      <c r="G65" s="10"/>
      <c r="H65" s="10" t="str">
        <f t="shared" ca="1" si="2"/>
        <v/>
      </c>
      <c r="I65" s="9" t="str">
        <f t="shared" ca="1" si="3"/>
        <v/>
      </c>
      <c r="J65" s="10" t="str">
        <f ca="1">IFERROR((I65/LOOKUP(2,1/((Raw_Observations!$A$2:$A$999=A65)*(Raw_Observations!$B$2:$B$999=B65)),Raw_Observations!$D$2:$D$999))^365-1,"")</f>
        <v/>
      </c>
    </row>
    <row r="66" spans="1:10">
      <c r="A66" s="2"/>
      <c r="B66" s="2"/>
      <c r="C66" s="9">
        <f>IFERROR(LOOKUP(2,1/((Raw_Observations!$A$2:$A$250=A66)*(Raw_Observations!$B$2:$B$250=B66)),Raw_Observations!$E$2:$E$250),"")</f>
        <v>0</v>
      </c>
      <c r="D66" s="8">
        <f ca="1">IFERROR(MAX(0,LOOKUP(2,1/((Raw_Observations!$A$2:$A$250=A66)*(Raw_Observations!$B$2:$B$250=B66)),Raw_Observations!$F$2:$F$250)-TODAY()),"")</f>
        <v>0</v>
      </c>
      <c r="E66" s="10" t="str">
        <f ca="1">IF(OR(A66="",B66=""),"",IFERROR(SUMIFS(Bank_Rates!$C$2:$C$100,Bank_Rates!$A$2:$A$100,LOOKUP(2,1/((Raw_Observations!$A$2:$A$250=A66)*(Raw_Observations!$B$2:$B$250=B66)),Raw_Observations!$H$2:$H$250),Bank_Rates!$B$2:$B$100,MAXIFS(Bank_Rates!$B$2:$B$100,Bank_Rates!$A$2:$A$100,LOOKUP(2,1/((Raw_Observations!$A$2:$A$250=A66)*(Raw_Observations!$B$2:$B$250=B66)),Raw_Observations!$H$2:$H$250),Bank_Rates!$B$2:$B$100,"&lt;="&amp;TODAY()),Bank_Rates!$D$2:$D$100,MAXIFS(Bank_Rates!$D$2:$D$100,Bank_Rates!$A$2:$A$100,LOOKUP(2,1/((Raw_Observations!$A$2:$A$250=A66)*(Raw_Observations!$B$2:$B$250=B66)),Raw_Observations!$H$2:$H$250),Bank_Rates!$B$2:$B$100,MAXIFS(Bank_Rates!$B$2:$B$100,Bank_Rates!$A$2:$A$100,LOOKUP(2,1/((Raw_Observations!$A$2:$A$250=A66)*(Raw_Observations!$B$2:$B$250=B66)),Raw_Observations!$H$2:$H$250),Bank_Rates!$B$2:$B$100,"&lt;="&amp;TODAY()),Bank_Rates!$D$2:$D$100,"&lt;="&amp;D66)),"No Match"))</f>
        <v/>
      </c>
      <c r="F66" s="10" t="str">
        <f>IFERROR(LOOKUP(2,1/((Raw_Observations!$A$2:$A$250=A66)*(Raw_Observations!$B$2:$B$250=B66)),Raw_Observations!$K$2:$K$250),"")</f>
        <v/>
      </c>
      <c r="G66" s="10"/>
      <c r="H66" s="10" t="str">
        <f t="shared" ref="H66:H97" ca="1" si="4">IF(OR(E66="",G66="",E66="No Match"),"",E66+G66)</f>
        <v/>
      </c>
      <c r="I66" s="9" t="str">
        <f t="shared" ref="I66:I97" ca="1" si="5">IF(OR(C66="",D66="",H66=""),"",C66/((1+H66)^(D66/365)))</f>
        <v/>
      </c>
      <c r="J66" s="10" t="str">
        <f ca="1">IFERROR((I66/LOOKUP(2,1/((Raw_Observations!$A$2:$A$999=A66)*(Raw_Observations!$B$2:$B$999=B66)),Raw_Observations!$D$2:$D$999))^365-1,"")</f>
        <v/>
      </c>
    </row>
    <row r="67" spans="1:10">
      <c r="A67" s="2"/>
      <c r="B67" s="2"/>
      <c r="C67" s="9">
        <f>IFERROR(LOOKUP(2,1/((Raw_Observations!$A$2:$A$250=A67)*(Raw_Observations!$B$2:$B$250=B67)),Raw_Observations!$E$2:$E$250),"")</f>
        <v>0</v>
      </c>
      <c r="D67" s="8">
        <f ca="1">IFERROR(MAX(0,LOOKUP(2,1/((Raw_Observations!$A$2:$A$250=A67)*(Raw_Observations!$B$2:$B$250=B67)),Raw_Observations!$F$2:$F$250)-TODAY()),"")</f>
        <v>0</v>
      </c>
      <c r="E67" s="10" t="str">
        <f ca="1">IF(OR(A67="",B67=""),"",IFERROR(SUMIFS(Bank_Rates!$C$2:$C$100,Bank_Rates!$A$2:$A$100,LOOKUP(2,1/((Raw_Observations!$A$2:$A$250=A67)*(Raw_Observations!$B$2:$B$250=B67)),Raw_Observations!$H$2:$H$250),Bank_Rates!$B$2:$B$100,MAXIFS(Bank_Rates!$B$2:$B$100,Bank_Rates!$A$2:$A$100,LOOKUP(2,1/((Raw_Observations!$A$2:$A$250=A67)*(Raw_Observations!$B$2:$B$250=B67)),Raw_Observations!$H$2:$H$250),Bank_Rates!$B$2:$B$100,"&lt;="&amp;TODAY()),Bank_Rates!$D$2:$D$100,MAXIFS(Bank_Rates!$D$2:$D$100,Bank_Rates!$A$2:$A$100,LOOKUP(2,1/((Raw_Observations!$A$2:$A$250=A67)*(Raw_Observations!$B$2:$B$250=B67)),Raw_Observations!$H$2:$H$250),Bank_Rates!$B$2:$B$100,MAXIFS(Bank_Rates!$B$2:$B$100,Bank_Rates!$A$2:$A$100,LOOKUP(2,1/((Raw_Observations!$A$2:$A$250=A67)*(Raw_Observations!$B$2:$B$250=B67)),Raw_Observations!$H$2:$H$250),Bank_Rates!$B$2:$B$100,"&lt;="&amp;TODAY()),Bank_Rates!$D$2:$D$100,"&lt;="&amp;D67)),"No Match"))</f>
        <v/>
      </c>
      <c r="F67" s="10" t="str">
        <f>IFERROR(LOOKUP(2,1/((Raw_Observations!$A$2:$A$250=A67)*(Raw_Observations!$B$2:$B$250=B67)),Raw_Observations!$K$2:$K$250),"")</f>
        <v/>
      </c>
      <c r="G67" s="10"/>
      <c r="H67" s="10" t="str">
        <f t="shared" ca="1" si="4"/>
        <v/>
      </c>
      <c r="I67" s="9" t="str">
        <f t="shared" ca="1" si="5"/>
        <v/>
      </c>
      <c r="J67" s="10" t="str">
        <f ca="1">IFERROR((I67/LOOKUP(2,1/((Raw_Observations!$A$2:$A$999=A67)*(Raw_Observations!$B$2:$B$999=B67)),Raw_Observations!$D$2:$D$999))^365-1,"")</f>
        <v/>
      </c>
    </row>
    <row r="68" spans="1:10">
      <c r="A68" s="2"/>
      <c r="B68" s="2"/>
      <c r="C68" s="9">
        <f>IFERROR(LOOKUP(2,1/((Raw_Observations!$A$2:$A$250=A68)*(Raw_Observations!$B$2:$B$250=B68)),Raw_Observations!$E$2:$E$250),"")</f>
        <v>0</v>
      </c>
      <c r="D68" s="8">
        <f ca="1">IFERROR(MAX(0,LOOKUP(2,1/((Raw_Observations!$A$2:$A$250=A68)*(Raw_Observations!$B$2:$B$250=B68)),Raw_Observations!$F$2:$F$250)-TODAY()),"")</f>
        <v>0</v>
      </c>
      <c r="E68" s="10" t="str">
        <f ca="1">IF(OR(A68="",B68=""),"",IFERROR(SUMIFS(Bank_Rates!$C$2:$C$100,Bank_Rates!$A$2:$A$100,LOOKUP(2,1/((Raw_Observations!$A$2:$A$250=A68)*(Raw_Observations!$B$2:$B$250=B68)),Raw_Observations!$H$2:$H$250),Bank_Rates!$B$2:$B$100,MAXIFS(Bank_Rates!$B$2:$B$100,Bank_Rates!$A$2:$A$100,LOOKUP(2,1/((Raw_Observations!$A$2:$A$250=A68)*(Raw_Observations!$B$2:$B$250=B68)),Raw_Observations!$H$2:$H$250),Bank_Rates!$B$2:$B$100,"&lt;="&amp;TODAY()),Bank_Rates!$D$2:$D$100,MAXIFS(Bank_Rates!$D$2:$D$100,Bank_Rates!$A$2:$A$100,LOOKUP(2,1/((Raw_Observations!$A$2:$A$250=A68)*(Raw_Observations!$B$2:$B$250=B68)),Raw_Observations!$H$2:$H$250),Bank_Rates!$B$2:$B$100,MAXIFS(Bank_Rates!$B$2:$B$100,Bank_Rates!$A$2:$A$100,LOOKUP(2,1/((Raw_Observations!$A$2:$A$250=A68)*(Raw_Observations!$B$2:$B$250=B68)),Raw_Observations!$H$2:$H$250),Bank_Rates!$B$2:$B$100,"&lt;="&amp;TODAY()),Bank_Rates!$D$2:$D$100,"&lt;="&amp;D68)),"No Match"))</f>
        <v/>
      </c>
      <c r="F68" s="10" t="str">
        <f>IFERROR(LOOKUP(2,1/((Raw_Observations!$A$2:$A$250=A68)*(Raw_Observations!$B$2:$B$250=B68)),Raw_Observations!$K$2:$K$250),"")</f>
        <v/>
      </c>
      <c r="G68" s="10"/>
      <c r="H68" s="10" t="str">
        <f t="shared" ca="1" si="4"/>
        <v/>
      </c>
      <c r="I68" s="9" t="str">
        <f t="shared" ca="1" si="5"/>
        <v/>
      </c>
      <c r="J68" s="10" t="str">
        <f ca="1">IFERROR((I68/LOOKUP(2,1/((Raw_Observations!$A$2:$A$999=A68)*(Raw_Observations!$B$2:$B$999=B68)),Raw_Observations!$D$2:$D$999))^365-1,"")</f>
        <v/>
      </c>
    </row>
    <row r="69" spans="1:10">
      <c r="A69" s="2"/>
      <c r="B69" s="2"/>
      <c r="C69" s="9">
        <f>IFERROR(LOOKUP(2,1/((Raw_Observations!$A$2:$A$250=A69)*(Raw_Observations!$B$2:$B$250=B69)),Raw_Observations!$E$2:$E$250),"")</f>
        <v>0</v>
      </c>
      <c r="D69" s="8">
        <f ca="1">IFERROR(MAX(0,LOOKUP(2,1/((Raw_Observations!$A$2:$A$250=A69)*(Raw_Observations!$B$2:$B$250=B69)),Raw_Observations!$F$2:$F$250)-TODAY()),"")</f>
        <v>0</v>
      </c>
      <c r="E69" s="10" t="str">
        <f ca="1">IF(OR(A69="",B69=""),"",IFERROR(SUMIFS(Bank_Rates!$C$2:$C$100,Bank_Rates!$A$2:$A$100,LOOKUP(2,1/((Raw_Observations!$A$2:$A$250=A69)*(Raw_Observations!$B$2:$B$250=B69)),Raw_Observations!$H$2:$H$250),Bank_Rates!$B$2:$B$100,MAXIFS(Bank_Rates!$B$2:$B$100,Bank_Rates!$A$2:$A$100,LOOKUP(2,1/((Raw_Observations!$A$2:$A$250=A69)*(Raw_Observations!$B$2:$B$250=B69)),Raw_Observations!$H$2:$H$250),Bank_Rates!$B$2:$B$100,"&lt;="&amp;TODAY()),Bank_Rates!$D$2:$D$100,MAXIFS(Bank_Rates!$D$2:$D$100,Bank_Rates!$A$2:$A$100,LOOKUP(2,1/((Raw_Observations!$A$2:$A$250=A69)*(Raw_Observations!$B$2:$B$250=B69)),Raw_Observations!$H$2:$H$250),Bank_Rates!$B$2:$B$100,MAXIFS(Bank_Rates!$B$2:$B$100,Bank_Rates!$A$2:$A$100,LOOKUP(2,1/((Raw_Observations!$A$2:$A$250=A69)*(Raw_Observations!$B$2:$B$250=B69)),Raw_Observations!$H$2:$H$250),Bank_Rates!$B$2:$B$100,"&lt;="&amp;TODAY()),Bank_Rates!$D$2:$D$100,"&lt;="&amp;D69)),"No Match"))</f>
        <v/>
      </c>
      <c r="F69" s="10" t="str">
        <f>IFERROR(LOOKUP(2,1/((Raw_Observations!$A$2:$A$250=A69)*(Raw_Observations!$B$2:$B$250=B69)),Raw_Observations!$K$2:$K$250),"")</f>
        <v/>
      </c>
      <c r="G69" s="10"/>
      <c r="H69" s="10" t="str">
        <f t="shared" ca="1" si="4"/>
        <v/>
      </c>
      <c r="I69" s="9" t="str">
        <f t="shared" ca="1" si="5"/>
        <v/>
      </c>
      <c r="J69" s="10" t="str">
        <f ca="1">IFERROR((I69/LOOKUP(2,1/((Raw_Observations!$A$2:$A$999=A69)*(Raw_Observations!$B$2:$B$999=B69)),Raw_Observations!$D$2:$D$999))^365-1,"")</f>
        <v/>
      </c>
    </row>
    <row r="70" spans="1:10">
      <c r="A70" s="2"/>
      <c r="B70" s="2"/>
      <c r="C70" s="9">
        <f>IFERROR(LOOKUP(2,1/((Raw_Observations!$A$2:$A$250=A70)*(Raw_Observations!$B$2:$B$250=B70)),Raw_Observations!$E$2:$E$250),"")</f>
        <v>0</v>
      </c>
      <c r="D70" s="8">
        <f ca="1">IFERROR(MAX(0,LOOKUP(2,1/((Raw_Observations!$A$2:$A$250=A70)*(Raw_Observations!$B$2:$B$250=B70)),Raw_Observations!$F$2:$F$250)-TODAY()),"")</f>
        <v>0</v>
      </c>
      <c r="E70" s="10" t="str">
        <f ca="1">IF(OR(A70="",B70=""),"",IFERROR(SUMIFS(Bank_Rates!$C$2:$C$100,Bank_Rates!$A$2:$A$100,LOOKUP(2,1/((Raw_Observations!$A$2:$A$250=A70)*(Raw_Observations!$B$2:$B$250=B70)),Raw_Observations!$H$2:$H$250),Bank_Rates!$B$2:$B$100,MAXIFS(Bank_Rates!$B$2:$B$100,Bank_Rates!$A$2:$A$100,LOOKUP(2,1/((Raw_Observations!$A$2:$A$250=A70)*(Raw_Observations!$B$2:$B$250=B70)),Raw_Observations!$H$2:$H$250),Bank_Rates!$B$2:$B$100,"&lt;="&amp;TODAY()),Bank_Rates!$D$2:$D$100,MAXIFS(Bank_Rates!$D$2:$D$100,Bank_Rates!$A$2:$A$100,LOOKUP(2,1/((Raw_Observations!$A$2:$A$250=A70)*(Raw_Observations!$B$2:$B$250=B70)),Raw_Observations!$H$2:$H$250),Bank_Rates!$B$2:$B$100,MAXIFS(Bank_Rates!$B$2:$B$100,Bank_Rates!$A$2:$A$100,LOOKUP(2,1/((Raw_Observations!$A$2:$A$250=A70)*(Raw_Observations!$B$2:$B$250=B70)),Raw_Observations!$H$2:$H$250),Bank_Rates!$B$2:$B$100,"&lt;="&amp;TODAY()),Bank_Rates!$D$2:$D$100,"&lt;="&amp;D70)),"No Match"))</f>
        <v/>
      </c>
      <c r="F70" s="10" t="str">
        <f>IFERROR(LOOKUP(2,1/((Raw_Observations!$A$2:$A$250=A70)*(Raw_Observations!$B$2:$B$250=B70)),Raw_Observations!$K$2:$K$250),"")</f>
        <v/>
      </c>
      <c r="G70" s="10"/>
      <c r="H70" s="10" t="str">
        <f t="shared" ca="1" si="4"/>
        <v/>
      </c>
      <c r="I70" s="9" t="str">
        <f t="shared" ca="1" si="5"/>
        <v/>
      </c>
      <c r="J70" s="10" t="str">
        <f ca="1">IFERROR((I70/LOOKUP(2,1/((Raw_Observations!$A$2:$A$999=A70)*(Raw_Observations!$B$2:$B$999=B70)),Raw_Observations!$D$2:$D$999))^365-1,"")</f>
        <v/>
      </c>
    </row>
    <row r="71" spans="1:10">
      <c r="A71" s="2"/>
      <c r="B71" s="2"/>
      <c r="C71" s="9">
        <f>IFERROR(LOOKUP(2,1/((Raw_Observations!$A$2:$A$250=A71)*(Raw_Observations!$B$2:$B$250=B71)),Raw_Observations!$E$2:$E$250),"")</f>
        <v>0</v>
      </c>
      <c r="D71" s="8">
        <f ca="1">IFERROR(MAX(0,LOOKUP(2,1/((Raw_Observations!$A$2:$A$250=A71)*(Raw_Observations!$B$2:$B$250=B71)),Raw_Observations!$F$2:$F$250)-TODAY()),"")</f>
        <v>0</v>
      </c>
      <c r="E71" s="10" t="str">
        <f ca="1">IF(OR(A71="",B71=""),"",IFERROR(SUMIFS(Bank_Rates!$C$2:$C$100,Bank_Rates!$A$2:$A$100,LOOKUP(2,1/((Raw_Observations!$A$2:$A$250=A71)*(Raw_Observations!$B$2:$B$250=B71)),Raw_Observations!$H$2:$H$250),Bank_Rates!$B$2:$B$100,MAXIFS(Bank_Rates!$B$2:$B$100,Bank_Rates!$A$2:$A$100,LOOKUP(2,1/((Raw_Observations!$A$2:$A$250=A71)*(Raw_Observations!$B$2:$B$250=B71)),Raw_Observations!$H$2:$H$250),Bank_Rates!$B$2:$B$100,"&lt;="&amp;TODAY()),Bank_Rates!$D$2:$D$100,MAXIFS(Bank_Rates!$D$2:$D$100,Bank_Rates!$A$2:$A$100,LOOKUP(2,1/((Raw_Observations!$A$2:$A$250=A71)*(Raw_Observations!$B$2:$B$250=B71)),Raw_Observations!$H$2:$H$250),Bank_Rates!$B$2:$B$100,MAXIFS(Bank_Rates!$B$2:$B$100,Bank_Rates!$A$2:$A$100,LOOKUP(2,1/((Raw_Observations!$A$2:$A$250=A71)*(Raw_Observations!$B$2:$B$250=B71)),Raw_Observations!$H$2:$H$250),Bank_Rates!$B$2:$B$100,"&lt;="&amp;TODAY()),Bank_Rates!$D$2:$D$100,"&lt;="&amp;D71)),"No Match"))</f>
        <v/>
      </c>
      <c r="F71" s="10" t="str">
        <f>IFERROR(LOOKUP(2,1/((Raw_Observations!$A$2:$A$250=A71)*(Raw_Observations!$B$2:$B$250=B71)),Raw_Observations!$K$2:$K$250),"")</f>
        <v/>
      </c>
      <c r="G71" s="10"/>
      <c r="H71" s="10" t="str">
        <f t="shared" ca="1" si="4"/>
        <v/>
      </c>
      <c r="I71" s="9" t="str">
        <f t="shared" ca="1" si="5"/>
        <v/>
      </c>
      <c r="J71" s="10" t="str">
        <f ca="1">IFERROR((I71/LOOKUP(2,1/((Raw_Observations!$A$2:$A$999=A71)*(Raw_Observations!$B$2:$B$999=B71)),Raw_Observations!$D$2:$D$999))^365-1,"")</f>
        <v/>
      </c>
    </row>
    <row r="72" spans="1:10">
      <c r="A72" s="2"/>
      <c r="B72" s="2"/>
      <c r="C72" s="9">
        <f>IFERROR(LOOKUP(2,1/((Raw_Observations!$A$2:$A$250=A72)*(Raw_Observations!$B$2:$B$250=B72)),Raw_Observations!$E$2:$E$250),"")</f>
        <v>0</v>
      </c>
      <c r="D72" s="8">
        <f ca="1">IFERROR(MAX(0,LOOKUP(2,1/((Raw_Observations!$A$2:$A$250=A72)*(Raw_Observations!$B$2:$B$250=B72)),Raw_Observations!$F$2:$F$250)-TODAY()),"")</f>
        <v>0</v>
      </c>
      <c r="E72" s="10" t="str">
        <f ca="1">IF(OR(A72="",B72=""),"",IFERROR(SUMIFS(Bank_Rates!$C$2:$C$100,Bank_Rates!$A$2:$A$100,LOOKUP(2,1/((Raw_Observations!$A$2:$A$250=A72)*(Raw_Observations!$B$2:$B$250=B72)),Raw_Observations!$H$2:$H$250),Bank_Rates!$B$2:$B$100,MAXIFS(Bank_Rates!$B$2:$B$100,Bank_Rates!$A$2:$A$100,LOOKUP(2,1/((Raw_Observations!$A$2:$A$250=A72)*(Raw_Observations!$B$2:$B$250=B72)),Raw_Observations!$H$2:$H$250),Bank_Rates!$B$2:$B$100,"&lt;="&amp;TODAY()),Bank_Rates!$D$2:$D$100,MAXIFS(Bank_Rates!$D$2:$D$100,Bank_Rates!$A$2:$A$100,LOOKUP(2,1/((Raw_Observations!$A$2:$A$250=A72)*(Raw_Observations!$B$2:$B$250=B72)),Raw_Observations!$H$2:$H$250),Bank_Rates!$B$2:$B$100,MAXIFS(Bank_Rates!$B$2:$B$100,Bank_Rates!$A$2:$A$100,LOOKUP(2,1/((Raw_Observations!$A$2:$A$250=A72)*(Raw_Observations!$B$2:$B$250=B72)),Raw_Observations!$H$2:$H$250),Bank_Rates!$B$2:$B$100,"&lt;="&amp;TODAY()),Bank_Rates!$D$2:$D$100,"&lt;="&amp;D72)),"No Match"))</f>
        <v/>
      </c>
      <c r="F72" s="10" t="str">
        <f>IFERROR(LOOKUP(2,1/((Raw_Observations!$A$2:$A$250=A72)*(Raw_Observations!$B$2:$B$250=B72)),Raw_Observations!$K$2:$K$250),"")</f>
        <v/>
      </c>
      <c r="G72" s="10"/>
      <c r="H72" s="10" t="str">
        <f t="shared" ca="1" si="4"/>
        <v/>
      </c>
      <c r="I72" s="9" t="str">
        <f t="shared" ca="1" si="5"/>
        <v/>
      </c>
      <c r="J72" s="10" t="str">
        <f ca="1">IFERROR((I72/LOOKUP(2,1/((Raw_Observations!$A$2:$A$999=A72)*(Raw_Observations!$B$2:$B$999=B72)),Raw_Observations!$D$2:$D$999))^365-1,"")</f>
        <v/>
      </c>
    </row>
    <row r="73" spans="1:10">
      <c r="A73" s="2"/>
      <c r="B73" s="2"/>
      <c r="C73" s="9">
        <f>IFERROR(LOOKUP(2,1/((Raw_Observations!$A$2:$A$250=A73)*(Raw_Observations!$B$2:$B$250=B73)),Raw_Observations!$E$2:$E$250),"")</f>
        <v>0</v>
      </c>
      <c r="D73" s="8">
        <f ca="1">IFERROR(MAX(0,LOOKUP(2,1/((Raw_Observations!$A$2:$A$250=A73)*(Raw_Observations!$B$2:$B$250=B73)),Raw_Observations!$F$2:$F$250)-TODAY()),"")</f>
        <v>0</v>
      </c>
      <c r="E73" s="10" t="str">
        <f ca="1">IF(OR(A73="",B73=""),"",IFERROR(SUMIFS(Bank_Rates!$C$2:$C$100,Bank_Rates!$A$2:$A$100,LOOKUP(2,1/((Raw_Observations!$A$2:$A$250=A73)*(Raw_Observations!$B$2:$B$250=B73)),Raw_Observations!$H$2:$H$250),Bank_Rates!$B$2:$B$100,MAXIFS(Bank_Rates!$B$2:$B$100,Bank_Rates!$A$2:$A$100,LOOKUP(2,1/((Raw_Observations!$A$2:$A$250=A73)*(Raw_Observations!$B$2:$B$250=B73)),Raw_Observations!$H$2:$H$250),Bank_Rates!$B$2:$B$100,"&lt;="&amp;TODAY()),Bank_Rates!$D$2:$D$100,MAXIFS(Bank_Rates!$D$2:$D$100,Bank_Rates!$A$2:$A$100,LOOKUP(2,1/((Raw_Observations!$A$2:$A$250=A73)*(Raw_Observations!$B$2:$B$250=B73)),Raw_Observations!$H$2:$H$250),Bank_Rates!$B$2:$B$100,MAXIFS(Bank_Rates!$B$2:$B$100,Bank_Rates!$A$2:$A$100,LOOKUP(2,1/((Raw_Observations!$A$2:$A$250=A73)*(Raw_Observations!$B$2:$B$250=B73)),Raw_Observations!$H$2:$H$250),Bank_Rates!$B$2:$B$100,"&lt;="&amp;TODAY()),Bank_Rates!$D$2:$D$100,"&lt;="&amp;D73)),"No Match"))</f>
        <v/>
      </c>
      <c r="F73" s="10" t="str">
        <f>IFERROR(LOOKUP(2,1/((Raw_Observations!$A$2:$A$250=A73)*(Raw_Observations!$B$2:$B$250=B73)),Raw_Observations!$K$2:$K$250),"")</f>
        <v/>
      </c>
      <c r="G73" s="10"/>
      <c r="H73" s="10" t="str">
        <f t="shared" ca="1" si="4"/>
        <v/>
      </c>
      <c r="I73" s="9" t="str">
        <f t="shared" ca="1" si="5"/>
        <v/>
      </c>
      <c r="J73" s="10" t="str">
        <f ca="1">IFERROR((I73/LOOKUP(2,1/((Raw_Observations!$A$2:$A$999=A73)*(Raw_Observations!$B$2:$B$999=B73)),Raw_Observations!$D$2:$D$999))^365-1,"")</f>
        <v/>
      </c>
    </row>
    <row r="74" spans="1:10">
      <c r="A74" s="2"/>
      <c r="B74" s="2"/>
      <c r="C74" s="9">
        <f>IFERROR(LOOKUP(2,1/((Raw_Observations!$A$2:$A$250=A74)*(Raw_Observations!$B$2:$B$250=B74)),Raw_Observations!$E$2:$E$250),"")</f>
        <v>0</v>
      </c>
      <c r="D74" s="8">
        <f ca="1">IFERROR(MAX(0,LOOKUP(2,1/((Raw_Observations!$A$2:$A$250=A74)*(Raw_Observations!$B$2:$B$250=B74)),Raw_Observations!$F$2:$F$250)-TODAY()),"")</f>
        <v>0</v>
      </c>
      <c r="E74" s="10" t="str">
        <f ca="1">IF(OR(A74="",B74=""),"",IFERROR(SUMIFS(Bank_Rates!$C$2:$C$100,Bank_Rates!$A$2:$A$100,LOOKUP(2,1/((Raw_Observations!$A$2:$A$250=A74)*(Raw_Observations!$B$2:$B$250=B74)),Raw_Observations!$H$2:$H$250),Bank_Rates!$B$2:$B$100,MAXIFS(Bank_Rates!$B$2:$B$100,Bank_Rates!$A$2:$A$100,LOOKUP(2,1/((Raw_Observations!$A$2:$A$250=A74)*(Raw_Observations!$B$2:$B$250=B74)),Raw_Observations!$H$2:$H$250),Bank_Rates!$B$2:$B$100,"&lt;="&amp;TODAY()),Bank_Rates!$D$2:$D$100,MAXIFS(Bank_Rates!$D$2:$D$100,Bank_Rates!$A$2:$A$100,LOOKUP(2,1/((Raw_Observations!$A$2:$A$250=A74)*(Raw_Observations!$B$2:$B$250=B74)),Raw_Observations!$H$2:$H$250),Bank_Rates!$B$2:$B$100,MAXIFS(Bank_Rates!$B$2:$B$100,Bank_Rates!$A$2:$A$100,LOOKUP(2,1/((Raw_Observations!$A$2:$A$250=A74)*(Raw_Observations!$B$2:$B$250=B74)),Raw_Observations!$H$2:$H$250),Bank_Rates!$B$2:$B$100,"&lt;="&amp;TODAY()),Bank_Rates!$D$2:$D$100,"&lt;="&amp;D74)),"No Match"))</f>
        <v/>
      </c>
      <c r="F74" s="10" t="str">
        <f>IFERROR(LOOKUP(2,1/((Raw_Observations!$A$2:$A$250=A74)*(Raw_Observations!$B$2:$B$250=B74)),Raw_Observations!$K$2:$K$250),"")</f>
        <v/>
      </c>
      <c r="G74" s="10"/>
      <c r="H74" s="10" t="str">
        <f t="shared" ca="1" si="4"/>
        <v/>
      </c>
      <c r="I74" s="9" t="str">
        <f t="shared" ca="1" si="5"/>
        <v/>
      </c>
      <c r="J74" s="10" t="str">
        <f ca="1">IFERROR((I74/LOOKUP(2,1/((Raw_Observations!$A$2:$A$999=A74)*(Raw_Observations!$B$2:$B$999=B74)),Raw_Observations!$D$2:$D$999))^365-1,"")</f>
        <v/>
      </c>
    </row>
    <row r="75" spans="1:10">
      <c r="A75" s="2"/>
      <c r="B75" s="2"/>
      <c r="C75" s="9">
        <f>IFERROR(LOOKUP(2,1/((Raw_Observations!$A$2:$A$250=A75)*(Raw_Observations!$B$2:$B$250=B75)),Raw_Observations!$E$2:$E$250),"")</f>
        <v>0</v>
      </c>
      <c r="D75" s="8">
        <f ca="1">IFERROR(MAX(0,LOOKUP(2,1/((Raw_Observations!$A$2:$A$250=A75)*(Raw_Observations!$B$2:$B$250=B75)),Raw_Observations!$F$2:$F$250)-TODAY()),"")</f>
        <v>0</v>
      </c>
      <c r="E75" s="10" t="str">
        <f ca="1">IF(OR(A75="",B75=""),"",IFERROR(SUMIFS(Bank_Rates!$C$2:$C$100,Bank_Rates!$A$2:$A$100,LOOKUP(2,1/((Raw_Observations!$A$2:$A$250=A75)*(Raw_Observations!$B$2:$B$250=B75)),Raw_Observations!$H$2:$H$250),Bank_Rates!$B$2:$B$100,MAXIFS(Bank_Rates!$B$2:$B$100,Bank_Rates!$A$2:$A$100,LOOKUP(2,1/((Raw_Observations!$A$2:$A$250=A75)*(Raw_Observations!$B$2:$B$250=B75)),Raw_Observations!$H$2:$H$250),Bank_Rates!$B$2:$B$100,"&lt;="&amp;TODAY()),Bank_Rates!$D$2:$D$100,MAXIFS(Bank_Rates!$D$2:$D$100,Bank_Rates!$A$2:$A$100,LOOKUP(2,1/((Raw_Observations!$A$2:$A$250=A75)*(Raw_Observations!$B$2:$B$250=B75)),Raw_Observations!$H$2:$H$250),Bank_Rates!$B$2:$B$100,MAXIFS(Bank_Rates!$B$2:$B$100,Bank_Rates!$A$2:$A$100,LOOKUP(2,1/((Raw_Observations!$A$2:$A$250=A75)*(Raw_Observations!$B$2:$B$250=B75)),Raw_Observations!$H$2:$H$250),Bank_Rates!$B$2:$B$100,"&lt;="&amp;TODAY()),Bank_Rates!$D$2:$D$100,"&lt;="&amp;D75)),"No Match"))</f>
        <v/>
      </c>
      <c r="F75" s="10" t="str">
        <f>IFERROR(LOOKUP(2,1/((Raw_Observations!$A$2:$A$250=A75)*(Raw_Observations!$B$2:$B$250=B75)),Raw_Observations!$K$2:$K$250),"")</f>
        <v/>
      </c>
      <c r="G75" s="10"/>
      <c r="H75" s="10" t="str">
        <f t="shared" ca="1" si="4"/>
        <v/>
      </c>
      <c r="I75" s="9" t="str">
        <f t="shared" ca="1" si="5"/>
        <v/>
      </c>
      <c r="J75" s="10" t="str">
        <f ca="1">IFERROR((I75/LOOKUP(2,1/((Raw_Observations!$A$2:$A$999=A75)*(Raw_Observations!$B$2:$B$999=B75)),Raw_Observations!$D$2:$D$999))^365-1,"")</f>
        <v/>
      </c>
    </row>
    <row r="76" spans="1:10">
      <c r="A76" s="2"/>
      <c r="B76" s="2"/>
      <c r="C76" s="9">
        <f>IFERROR(LOOKUP(2,1/((Raw_Observations!$A$2:$A$250=A76)*(Raw_Observations!$B$2:$B$250=B76)),Raw_Observations!$E$2:$E$250),"")</f>
        <v>0</v>
      </c>
      <c r="D76" s="8">
        <f ca="1">IFERROR(MAX(0,LOOKUP(2,1/((Raw_Observations!$A$2:$A$250=A76)*(Raw_Observations!$B$2:$B$250=B76)),Raw_Observations!$F$2:$F$250)-TODAY()),"")</f>
        <v>0</v>
      </c>
      <c r="E76" s="10" t="str">
        <f ca="1">IF(OR(A76="",B76=""),"",IFERROR(SUMIFS(Bank_Rates!$C$2:$C$100,Bank_Rates!$A$2:$A$100,LOOKUP(2,1/((Raw_Observations!$A$2:$A$250=A76)*(Raw_Observations!$B$2:$B$250=B76)),Raw_Observations!$H$2:$H$250),Bank_Rates!$B$2:$B$100,MAXIFS(Bank_Rates!$B$2:$B$100,Bank_Rates!$A$2:$A$100,LOOKUP(2,1/((Raw_Observations!$A$2:$A$250=A76)*(Raw_Observations!$B$2:$B$250=B76)),Raw_Observations!$H$2:$H$250),Bank_Rates!$B$2:$B$100,"&lt;="&amp;TODAY()),Bank_Rates!$D$2:$D$100,MAXIFS(Bank_Rates!$D$2:$D$100,Bank_Rates!$A$2:$A$100,LOOKUP(2,1/((Raw_Observations!$A$2:$A$250=A76)*(Raw_Observations!$B$2:$B$250=B76)),Raw_Observations!$H$2:$H$250),Bank_Rates!$B$2:$B$100,MAXIFS(Bank_Rates!$B$2:$B$100,Bank_Rates!$A$2:$A$100,LOOKUP(2,1/((Raw_Observations!$A$2:$A$250=A76)*(Raw_Observations!$B$2:$B$250=B76)),Raw_Observations!$H$2:$H$250),Bank_Rates!$B$2:$B$100,"&lt;="&amp;TODAY()),Bank_Rates!$D$2:$D$100,"&lt;="&amp;D76)),"No Match"))</f>
        <v/>
      </c>
      <c r="F76" s="10" t="str">
        <f>IFERROR(LOOKUP(2,1/((Raw_Observations!$A$2:$A$250=A76)*(Raw_Observations!$B$2:$B$250=B76)),Raw_Observations!$K$2:$K$250),"")</f>
        <v/>
      </c>
      <c r="G76" s="10"/>
      <c r="H76" s="10" t="str">
        <f t="shared" ca="1" si="4"/>
        <v/>
      </c>
      <c r="I76" s="9" t="str">
        <f t="shared" ca="1" si="5"/>
        <v/>
      </c>
      <c r="J76" s="10" t="str">
        <f ca="1">IFERROR((I76/LOOKUP(2,1/((Raw_Observations!$A$2:$A$999=A76)*(Raw_Observations!$B$2:$B$999=B76)),Raw_Observations!$D$2:$D$999))^365-1,"")</f>
        <v/>
      </c>
    </row>
    <row r="77" spans="1:10">
      <c r="A77" s="2"/>
      <c r="B77" s="2"/>
      <c r="C77" s="9">
        <f>IFERROR(LOOKUP(2,1/((Raw_Observations!$A$2:$A$250=A77)*(Raw_Observations!$B$2:$B$250=B77)),Raw_Observations!$E$2:$E$250),"")</f>
        <v>0</v>
      </c>
      <c r="D77" s="8">
        <f ca="1">IFERROR(MAX(0,LOOKUP(2,1/((Raw_Observations!$A$2:$A$250=A77)*(Raw_Observations!$B$2:$B$250=B77)),Raw_Observations!$F$2:$F$250)-TODAY()),"")</f>
        <v>0</v>
      </c>
      <c r="E77" s="10" t="str">
        <f ca="1">IF(OR(A77="",B77=""),"",IFERROR(SUMIFS(Bank_Rates!$C$2:$C$100,Bank_Rates!$A$2:$A$100,LOOKUP(2,1/((Raw_Observations!$A$2:$A$250=A77)*(Raw_Observations!$B$2:$B$250=B77)),Raw_Observations!$H$2:$H$250),Bank_Rates!$B$2:$B$100,MAXIFS(Bank_Rates!$B$2:$B$100,Bank_Rates!$A$2:$A$100,LOOKUP(2,1/((Raw_Observations!$A$2:$A$250=A77)*(Raw_Observations!$B$2:$B$250=B77)),Raw_Observations!$H$2:$H$250),Bank_Rates!$B$2:$B$100,"&lt;="&amp;TODAY()),Bank_Rates!$D$2:$D$100,MAXIFS(Bank_Rates!$D$2:$D$100,Bank_Rates!$A$2:$A$100,LOOKUP(2,1/((Raw_Observations!$A$2:$A$250=A77)*(Raw_Observations!$B$2:$B$250=B77)),Raw_Observations!$H$2:$H$250),Bank_Rates!$B$2:$B$100,MAXIFS(Bank_Rates!$B$2:$B$100,Bank_Rates!$A$2:$A$100,LOOKUP(2,1/((Raw_Observations!$A$2:$A$250=A77)*(Raw_Observations!$B$2:$B$250=B77)),Raw_Observations!$H$2:$H$250),Bank_Rates!$B$2:$B$100,"&lt;="&amp;TODAY()),Bank_Rates!$D$2:$D$100,"&lt;="&amp;D77)),"No Match"))</f>
        <v/>
      </c>
      <c r="F77" s="10" t="str">
        <f>IFERROR(LOOKUP(2,1/((Raw_Observations!$A$2:$A$250=A77)*(Raw_Observations!$B$2:$B$250=B77)),Raw_Observations!$K$2:$K$250),"")</f>
        <v/>
      </c>
      <c r="G77" s="10"/>
      <c r="H77" s="10" t="str">
        <f t="shared" ca="1" si="4"/>
        <v/>
      </c>
      <c r="I77" s="9" t="str">
        <f t="shared" ca="1" si="5"/>
        <v/>
      </c>
      <c r="J77" s="10" t="str">
        <f ca="1">IFERROR((I77/LOOKUP(2,1/((Raw_Observations!$A$2:$A$999=A77)*(Raw_Observations!$B$2:$B$999=B77)),Raw_Observations!$D$2:$D$999))^365-1,"")</f>
        <v/>
      </c>
    </row>
    <row r="78" spans="1:10">
      <c r="A78" s="2"/>
      <c r="B78" s="2"/>
      <c r="C78" s="9">
        <f>IFERROR(LOOKUP(2,1/((Raw_Observations!$A$2:$A$250=A78)*(Raw_Observations!$B$2:$B$250=B78)),Raw_Observations!$E$2:$E$250),"")</f>
        <v>0</v>
      </c>
      <c r="D78" s="8">
        <f ca="1">IFERROR(MAX(0,LOOKUP(2,1/((Raw_Observations!$A$2:$A$250=A78)*(Raw_Observations!$B$2:$B$250=B78)),Raw_Observations!$F$2:$F$250)-TODAY()),"")</f>
        <v>0</v>
      </c>
      <c r="E78" s="10" t="str">
        <f ca="1">IF(OR(A78="",B78=""),"",IFERROR(SUMIFS(Bank_Rates!$C$2:$C$100,Bank_Rates!$A$2:$A$100,LOOKUP(2,1/((Raw_Observations!$A$2:$A$250=A78)*(Raw_Observations!$B$2:$B$250=B78)),Raw_Observations!$H$2:$H$250),Bank_Rates!$B$2:$B$100,MAXIFS(Bank_Rates!$B$2:$B$100,Bank_Rates!$A$2:$A$100,LOOKUP(2,1/((Raw_Observations!$A$2:$A$250=A78)*(Raw_Observations!$B$2:$B$250=B78)),Raw_Observations!$H$2:$H$250),Bank_Rates!$B$2:$B$100,"&lt;="&amp;TODAY()),Bank_Rates!$D$2:$D$100,MAXIFS(Bank_Rates!$D$2:$D$100,Bank_Rates!$A$2:$A$100,LOOKUP(2,1/((Raw_Observations!$A$2:$A$250=A78)*(Raw_Observations!$B$2:$B$250=B78)),Raw_Observations!$H$2:$H$250),Bank_Rates!$B$2:$B$100,MAXIFS(Bank_Rates!$B$2:$B$100,Bank_Rates!$A$2:$A$100,LOOKUP(2,1/((Raw_Observations!$A$2:$A$250=A78)*(Raw_Observations!$B$2:$B$250=B78)),Raw_Observations!$H$2:$H$250),Bank_Rates!$B$2:$B$100,"&lt;="&amp;TODAY()),Bank_Rates!$D$2:$D$100,"&lt;="&amp;D78)),"No Match"))</f>
        <v/>
      </c>
      <c r="F78" s="10" t="str">
        <f>IFERROR(LOOKUP(2,1/((Raw_Observations!$A$2:$A$250=A78)*(Raw_Observations!$B$2:$B$250=B78)),Raw_Observations!$K$2:$K$250),"")</f>
        <v/>
      </c>
      <c r="G78" s="10"/>
      <c r="H78" s="10" t="str">
        <f t="shared" ca="1" si="4"/>
        <v/>
      </c>
      <c r="I78" s="9" t="str">
        <f t="shared" ca="1" si="5"/>
        <v/>
      </c>
      <c r="J78" s="10" t="str">
        <f ca="1">IFERROR((I78/LOOKUP(2,1/((Raw_Observations!$A$2:$A$999=A78)*(Raw_Observations!$B$2:$B$999=B78)),Raw_Observations!$D$2:$D$999))^365-1,"")</f>
        <v/>
      </c>
    </row>
    <row r="79" spans="1:10">
      <c r="A79" s="2"/>
      <c r="B79" s="2"/>
      <c r="C79" s="9">
        <f>IFERROR(LOOKUP(2,1/((Raw_Observations!$A$2:$A$250=A79)*(Raw_Observations!$B$2:$B$250=B79)),Raw_Observations!$E$2:$E$250),"")</f>
        <v>0</v>
      </c>
      <c r="D79" s="8">
        <f ca="1">IFERROR(MAX(0,LOOKUP(2,1/((Raw_Observations!$A$2:$A$250=A79)*(Raw_Observations!$B$2:$B$250=B79)),Raw_Observations!$F$2:$F$250)-TODAY()),"")</f>
        <v>0</v>
      </c>
      <c r="E79" s="10" t="str">
        <f ca="1">IF(OR(A79="",B79=""),"",IFERROR(SUMIFS(Bank_Rates!$C$2:$C$100,Bank_Rates!$A$2:$A$100,LOOKUP(2,1/((Raw_Observations!$A$2:$A$250=A79)*(Raw_Observations!$B$2:$B$250=B79)),Raw_Observations!$H$2:$H$250),Bank_Rates!$B$2:$B$100,MAXIFS(Bank_Rates!$B$2:$B$100,Bank_Rates!$A$2:$A$100,LOOKUP(2,1/((Raw_Observations!$A$2:$A$250=A79)*(Raw_Observations!$B$2:$B$250=B79)),Raw_Observations!$H$2:$H$250),Bank_Rates!$B$2:$B$100,"&lt;="&amp;TODAY()),Bank_Rates!$D$2:$D$100,MAXIFS(Bank_Rates!$D$2:$D$100,Bank_Rates!$A$2:$A$100,LOOKUP(2,1/((Raw_Observations!$A$2:$A$250=A79)*(Raw_Observations!$B$2:$B$250=B79)),Raw_Observations!$H$2:$H$250),Bank_Rates!$B$2:$B$100,MAXIFS(Bank_Rates!$B$2:$B$100,Bank_Rates!$A$2:$A$100,LOOKUP(2,1/((Raw_Observations!$A$2:$A$250=A79)*(Raw_Observations!$B$2:$B$250=B79)),Raw_Observations!$H$2:$H$250),Bank_Rates!$B$2:$B$100,"&lt;="&amp;TODAY()),Bank_Rates!$D$2:$D$100,"&lt;="&amp;D79)),"No Match"))</f>
        <v/>
      </c>
      <c r="F79" s="10" t="str">
        <f>IFERROR(LOOKUP(2,1/((Raw_Observations!$A$2:$A$250=A79)*(Raw_Observations!$B$2:$B$250=B79)),Raw_Observations!$K$2:$K$250),"")</f>
        <v/>
      </c>
      <c r="G79" s="10"/>
      <c r="H79" s="10" t="str">
        <f t="shared" ca="1" si="4"/>
        <v/>
      </c>
      <c r="I79" s="9" t="str">
        <f t="shared" ca="1" si="5"/>
        <v/>
      </c>
      <c r="J79" s="10" t="str">
        <f ca="1">IFERROR((I79/LOOKUP(2,1/((Raw_Observations!$A$2:$A$999=A79)*(Raw_Observations!$B$2:$B$999=B79)),Raw_Observations!$D$2:$D$999))^365-1,"")</f>
        <v/>
      </c>
    </row>
    <row r="80" spans="1:10">
      <c r="A80" s="2"/>
      <c r="B80" s="2"/>
      <c r="C80" s="9">
        <f>IFERROR(LOOKUP(2,1/((Raw_Observations!$A$2:$A$250=A80)*(Raw_Observations!$B$2:$B$250=B80)),Raw_Observations!$E$2:$E$250),"")</f>
        <v>0</v>
      </c>
      <c r="D80" s="8">
        <f ca="1">IFERROR(MAX(0,LOOKUP(2,1/((Raw_Observations!$A$2:$A$250=A80)*(Raw_Observations!$B$2:$B$250=B80)),Raw_Observations!$F$2:$F$250)-TODAY()),"")</f>
        <v>0</v>
      </c>
      <c r="E80" s="10" t="str">
        <f ca="1">IF(OR(A80="",B80=""),"",IFERROR(SUMIFS(Bank_Rates!$C$2:$C$100,Bank_Rates!$A$2:$A$100,LOOKUP(2,1/((Raw_Observations!$A$2:$A$250=A80)*(Raw_Observations!$B$2:$B$250=B80)),Raw_Observations!$H$2:$H$250),Bank_Rates!$B$2:$B$100,MAXIFS(Bank_Rates!$B$2:$B$100,Bank_Rates!$A$2:$A$100,LOOKUP(2,1/((Raw_Observations!$A$2:$A$250=A80)*(Raw_Observations!$B$2:$B$250=B80)),Raw_Observations!$H$2:$H$250),Bank_Rates!$B$2:$B$100,"&lt;="&amp;TODAY()),Bank_Rates!$D$2:$D$100,MAXIFS(Bank_Rates!$D$2:$D$100,Bank_Rates!$A$2:$A$100,LOOKUP(2,1/((Raw_Observations!$A$2:$A$250=A80)*(Raw_Observations!$B$2:$B$250=B80)),Raw_Observations!$H$2:$H$250),Bank_Rates!$B$2:$B$100,MAXIFS(Bank_Rates!$B$2:$B$100,Bank_Rates!$A$2:$A$100,LOOKUP(2,1/((Raw_Observations!$A$2:$A$250=A80)*(Raw_Observations!$B$2:$B$250=B80)),Raw_Observations!$H$2:$H$250),Bank_Rates!$B$2:$B$100,"&lt;="&amp;TODAY()),Bank_Rates!$D$2:$D$100,"&lt;="&amp;D80)),"No Match"))</f>
        <v/>
      </c>
      <c r="F80" s="10" t="str">
        <f>IFERROR(LOOKUP(2,1/((Raw_Observations!$A$2:$A$250=A80)*(Raw_Observations!$B$2:$B$250=B80)),Raw_Observations!$K$2:$K$250),"")</f>
        <v/>
      </c>
      <c r="G80" s="10"/>
      <c r="H80" s="10" t="str">
        <f t="shared" ca="1" si="4"/>
        <v/>
      </c>
      <c r="I80" s="9" t="str">
        <f t="shared" ca="1" si="5"/>
        <v/>
      </c>
      <c r="J80" s="10" t="str">
        <f ca="1">IFERROR((I80/LOOKUP(2,1/((Raw_Observations!$A$2:$A$999=A80)*(Raw_Observations!$B$2:$B$999=B80)),Raw_Observations!$D$2:$D$999))^365-1,"")</f>
        <v/>
      </c>
    </row>
    <row r="81" spans="1:10">
      <c r="A81" s="2"/>
      <c r="B81" s="2"/>
      <c r="C81" s="9">
        <f>IFERROR(LOOKUP(2,1/((Raw_Observations!$A$2:$A$250=A81)*(Raw_Observations!$B$2:$B$250=B81)),Raw_Observations!$E$2:$E$250),"")</f>
        <v>0</v>
      </c>
      <c r="D81" s="8">
        <f ca="1">IFERROR(MAX(0,LOOKUP(2,1/((Raw_Observations!$A$2:$A$250=A81)*(Raw_Observations!$B$2:$B$250=B81)),Raw_Observations!$F$2:$F$250)-TODAY()),"")</f>
        <v>0</v>
      </c>
      <c r="E81" s="10" t="str">
        <f ca="1">IF(OR(A81="",B81=""),"",IFERROR(SUMIFS(Bank_Rates!$C$2:$C$100,Bank_Rates!$A$2:$A$100,LOOKUP(2,1/((Raw_Observations!$A$2:$A$250=A81)*(Raw_Observations!$B$2:$B$250=B81)),Raw_Observations!$H$2:$H$250),Bank_Rates!$B$2:$B$100,MAXIFS(Bank_Rates!$B$2:$B$100,Bank_Rates!$A$2:$A$100,LOOKUP(2,1/((Raw_Observations!$A$2:$A$250=A81)*(Raw_Observations!$B$2:$B$250=B81)),Raw_Observations!$H$2:$H$250),Bank_Rates!$B$2:$B$100,"&lt;="&amp;TODAY()),Bank_Rates!$D$2:$D$100,MAXIFS(Bank_Rates!$D$2:$D$100,Bank_Rates!$A$2:$A$100,LOOKUP(2,1/((Raw_Observations!$A$2:$A$250=A81)*(Raw_Observations!$B$2:$B$250=B81)),Raw_Observations!$H$2:$H$250),Bank_Rates!$B$2:$B$100,MAXIFS(Bank_Rates!$B$2:$B$100,Bank_Rates!$A$2:$A$100,LOOKUP(2,1/((Raw_Observations!$A$2:$A$250=A81)*(Raw_Observations!$B$2:$B$250=B81)),Raw_Observations!$H$2:$H$250),Bank_Rates!$B$2:$B$100,"&lt;="&amp;TODAY()),Bank_Rates!$D$2:$D$100,"&lt;="&amp;D81)),"No Match"))</f>
        <v/>
      </c>
      <c r="F81" s="10" t="str">
        <f>IFERROR(LOOKUP(2,1/((Raw_Observations!$A$2:$A$250=A81)*(Raw_Observations!$B$2:$B$250=B81)),Raw_Observations!$K$2:$K$250),"")</f>
        <v/>
      </c>
      <c r="G81" s="10"/>
      <c r="H81" s="10" t="str">
        <f t="shared" ca="1" si="4"/>
        <v/>
      </c>
      <c r="I81" s="9" t="str">
        <f t="shared" ca="1" si="5"/>
        <v/>
      </c>
      <c r="J81" s="10" t="str">
        <f ca="1">IFERROR((I81/LOOKUP(2,1/((Raw_Observations!$A$2:$A$999=A81)*(Raw_Observations!$B$2:$B$999=B81)),Raw_Observations!$D$2:$D$999))^365-1,"")</f>
        <v/>
      </c>
    </row>
    <row r="82" spans="1:10">
      <c r="A82" s="2"/>
      <c r="B82" s="2"/>
      <c r="C82" s="9">
        <f>IFERROR(LOOKUP(2,1/((Raw_Observations!$A$2:$A$250=A82)*(Raw_Observations!$B$2:$B$250=B82)),Raw_Observations!$E$2:$E$250),"")</f>
        <v>0</v>
      </c>
      <c r="D82" s="8">
        <f ca="1">IFERROR(MAX(0,LOOKUP(2,1/((Raw_Observations!$A$2:$A$250=A82)*(Raw_Observations!$B$2:$B$250=B82)),Raw_Observations!$F$2:$F$250)-TODAY()),"")</f>
        <v>0</v>
      </c>
      <c r="E82" s="10" t="str">
        <f ca="1">IF(OR(A82="",B82=""),"",IFERROR(SUMIFS(Bank_Rates!$C$2:$C$100,Bank_Rates!$A$2:$A$100,LOOKUP(2,1/((Raw_Observations!$A$2:$A$250=A82)*(Raw_Observations!$B$2:$B$250=B82)),Raw_Observations!$H$2:$H$250),Bank_Rates!$B$2:$B$100,MAXIFS(Bank_Rates!$B$2:$B$100,Bank_Rates!$A$2:$A$100,LOOKUP(2,1/((Raw_Observations!$A$2:$A$250=A82)*(Raw_Observations!$B$2:$B$250=B82)),Raw_Observations!$H$2:$H$250),Bank_Rates!$B$2:$B$100,"&lt;="&amp;TODAY()),Bank_Rates!$D$2:$D$100,MAXIFS(Bank_Rates!$D$2:$D$100,Bank_Rates!$A$2:$A$100,LOOKUP(2,1/((Raw_Observations!$A$2:$A$250=A82)*(Raw_Observations!$B$2:$B$250=B82)),Raw_Observations!$H$2:$H$250),Bank_Rates!$B$2:$B$100,MAXIFS(Bank_Rates!$B$2:$B$100,Bank_Rates!$A$2:$A$100,LOOKUP(2,1/((Raw_Observations!$A$2:$A$250=A82)*(Raw_Observations!$B$2:$B$250=B82)),Raw_Observations!$H$2:$H$250),Bank_Rates!$B$2:$B$100,"&lt;="&amp;TODAY()),Bank_Rates!$D$2:$D$100,"&lt;="&amp;D82)),"No Match"))</f>
        <v/>
      </c>
      <c r="F82" s="10" t="str">
        <f>IFERROR(LOOKUP(2,1/((Raw_Observations!$A$2:$A$250=A82)*(Raw_Observations!$B$2:$B$250=B82)),Raw_Observations!$K$2:$K$250),"")</f>
        <v/>
      </c>
      <c r="G82" s="10"/>
      <c r="H82" s="10" t="str">
        <f t="shared" ca="1" si="4"/>
        <v/>
      </c>
      <c r="I82" s="9" t="str">
        <f t="shared" ca="1" si="5"/>
        <v/>
      </c>
      <c r="J82" s="10" t="str">
        <f ca="1">IFERROR((I82/LOOKUP(2,1/((Raw_Observations!$A$2:$A$999=A82)*(Raw_Observations!$B$2:$B$999=B82)),Raw_Observations!$D$2:$D$999))^365-1,"")</f>
        <v/>
      </c>
    </row>
    <row r="83" spans="1:10">
      <c r="A83" s="2"/>
      <c r="B83" s="2"/>
      <c r="C83" s="9">
        <f>IFERROR(LOOKUP(2,1/((Raw_Observations!$A$2:$A$250=A83)*(Raw_Observations!$B$2:$B$250=B83)),Raw_Observations!$E$2:$E$250),"")</f>
        <v>0</v>
      </c>
      <c r="D83" s="8">
        <f ca="1">IFERROR(MAX(0,LOOKUP(2,1/((Raw_Observations!$A$2:$A$250=A83)*(Raw_Observations!$B$2:$B$250=B83)),Raw_Observations!$F$2:$F$250)-TODAY()),"")</f>
        <v>0</v>
      </c>
      <c r="E83" s="10" t="str">
        <f ca="1">IF(OR(A83="",B83=""),"",IFERROR(SUMIFS(Bank_Rates!$C$2:$C$100,Bank_Rates!$A$2:$A$100,LOOKUP(2,1/((Raw_Observations!$A$2:$A$250=A83)*(Raw_Observations!$B$2:$B$250=B83)),Raw_Observations!$H$2:$H$250),Bank_Rates!$B$2:$B$100,MAXIFS(Bank_Rates!$B$2:$B$100,Bank_Rates!$A$2:$A$100,LOOKUP(2,1/((Raw_Observations!$A$2:$A$250=A83)*(Raw_Observations!$B$2:$B$250=B83)),Raw_Observations!$H$2:$H$250),Bank_Rates!$B$2:$B$100,"&lt;="&amp;TODAY()),Bank_Rates!$D$2:$D$100,MAXIFS(Bank_Rates!$D$2:$D$100,Bank_Rates!$A$2:$A$100,LOOKUP(2,1/((Raw_Observations!$A$2:$A$250=A83)*(Raw_Observations!$B$2:$B$250=B83)),Raw_Observations!$H$2:$H$250),Bank_Rates!$B$2:$B$100,MAXIFS(Bank_Rates!$B$2:$B$100,Bank_Rates!$A$2:$A$100,LOOKUP(2,1/((Raw_Observations!$A$2:$A$250=A83)*(Raw_Observations!$B$2:$B$250=B83)),Raw_Observations!$H$2:$H$250),Bank_Rates!$B$2:$B$100,"&lt;="&amp;TODAY()),Bank_Rates!$D$2:$D$100,"&lt;="&amp;D83)),"No Match"))</f>
        <v/>
      </c>
      <c r="F83" s="10" t="str">
        <f>IFERROR(LOOKUP(2,1/((Raw_Observations!$A$2:$A$250=A83)*(Raw_Observations!$B$2:$B$250=B83)),Raw_Observations!$K$2:$K$250),"")</f>
        <v/>
      </c>
      <c r="G83" s="10"/>
      <c r="H83" s="10" t="str">
        <f t="shared" ca="1" si="4"/>
        <v/>
      </c>
      <c r="I83" s="9" t="str">
        <f t="shared" ca="1" si="5"/>
        <v/>
      </c>
      <c r="J83" s="10" t="str">
        <f ca="1">IFERROR((I83/LOOKUP(2,1/((Raw_Observations!$A$2:$A$999=A83)*(Raw_Observations!$B$2:$B$999=B83)),Raw_Observations!$D$2:$D$999))^365-1,"")</f>
        <v/>
      </c>
    </row>
    <row r="84" spans="1:10">
      <c r="A84" s="2"/>
      <c r="B84" s="2"/>
      <c r="C84" s="9">
        <f>IFERROR(LOOKUP(2,1/((Raw_Observations!$A$2:$A$250=A84)*(Raw_Observations!$B$2:$B$250=B84)),Raw_Observations!$E$2:$E$250),"")</f>
        <v>0</v>
      </c>
      <c r="D84" s="8">
        <f ca="1">IFERROR(MAX(0,LOOKUP(2,1/((Raw_Observations!$A$2:$A$250=A84)*(Raw_Observations!$B$2:$B$250=B84)),Raw_Observations!$F$2:$F$250)-TODAY()),"")</f>
        <v>0</v>
      </c>
      <c r="E84" s="10" t="str">
        <f ca="1">IF(OR(A84="",B84=""),"",IFERROR(SUMIFS(Bank_Rates!$C$2:$C$100,Bank_Rates!$A$2:$A$100,LOOKUP(2,1/((Raw_Observations!$A$2:$A$250=A84)*(Raw_Observations!$B$2:$B$250=B84)),Raw_Observations!$H$2:$H$250),Bank_Rates!$B$2:$B$100,MAXIFS(Bank_Rates!$B$2:$B$100,Bank_Rates!$A$2:$A$100,LOOKUP(2,1/((Raw_Observations!$A$2:$A$250=A84)*(Raw_Observations!$B$2:$B$250=B84)),Raw_Observations!$H$2:$H$250),Bank_Rates!$B$2:$B$100,"&lt;="&amp;TODAY()),Bank_Rates!$D$2:$D$100,MAXIFS(Bank_Rates!$D$2:$D$100,Bank_Rates!$A$2:$A$100,LOOKUP(2,1/((Raw_Observations!$A$2:$A$250=A84)*(Raw_Observations!$B$2:$B$250=B84)),Raw_Observations!$H$2:$H$250),Bank_Rates!$B$2:$B$100,MAXIFS(Bank_Rates!$B$2:$B$100,Bank_Rates!$A$2:$A$100,LOOKUP(2,1/((Raw_Observations!$A$2:$A$250=A84)*(Raw_Observations!$B$2:$B$250=B84)),Raw_Observations!$H$2:$H$250),Bank_Rates!$B$2:$B$100,"&lt;="&amp;TODAY()),Bank_Rates!$D$2:$D$100,"&lt;="&amp;D84)),"No Match"))</f>
        <v/>
      </c>
      <c r="F84" s="10" t="str">
        <f>IFERROR(LOOKUP(2,1/((Raw_Observations!$A$2:$A$250=A84)*(Raw_Observations!$B$2:$B$250=B84)),Raw_Observations!$K$2:$K$250),"")</f>
        <v/>
      </c>
      <c r="G84" s="10"/>
      <c r="H84" s="10" t="str">
        <f t="shared" ca="1" si="4"/>
        <v/>
      </c>
      <c r="I84" s="9" t="str">
        <f t="shared" ca="1" si="5"/>
        <v/>
      </c>
      <c r="J84" s="10" t="str">
        <f ca="1">IFERROR((I84/LOOKUP(2,1/((Raw_Observations!$A$2:$A$999=A84)*(Raw_Observations!$B$2:$B$999=B84)),Raw_Observations!$D$2:$D$999))^365-1,"")</f>
        <v/>
      </c>
    </row>
    <row r="85" spans="1:10">
      <c r="A85" s="2"/>
      <c r="B85" s="2"/>
      <c r="C85" s="9">
        <f>IFERROR(LOOKUP(2,1/((Raw_Observations!$A$2:$A$250=A85)*(Raw_Observations!$B$2:$B$250=B85)),Raw_Observations!$E$2:$E$250),"")</f>
        <v>0</v>
      </c>
      <c r="D85" s="8">
        <f ca="1">IFERROR(MAX(0,LOOKUP(2,1/((Raw_Observations!$A$2:$A$250=A85)*(Raw_Observations!$B$2:$B$250=B85)),Raw_Observations!$F$2:$F$250)-TODAY()),"")</f>
        <v>0</v>
      </c>
      <c r="E85" s="10" t="str">
        <f ca="1">IF(OR(A85="",B85=""),"",IFERROR(SUMIFS(Bank_Rates!$C$2:$C$100,Bank_Rates!$A$2:$A$100,LOOKUP(2,1/((Raw_Observations!$A$2:$A$250=A85)*(Raw_Observations!$B$2:$B$250=B85)),Raw_Observations!$H$2:$H$250),Bank_Rates!$B$2:$B$100,MAXIFS(Bank_Rates!$B$2:$B$100,Bank_Rates!$A$2:$A$100,LOOKUP(2,1/((Raw_Observations!$A$2:$A$250=A85)*(Raw_Observations!$B$2:$B$250=B85)),Raw_Observations!$H$2:$H$250),Bank_Rates!$B$2:$B$100,"&lt;="&amp;TODAY()),Bank_Rates!$D$2:$D$100,MAXIFS(Bank_Rates!$D$2:$D$100,Bank_Rates!$A$2:$A$100,LOOKUP(2,1/((Raw_Observations!$A$2:$A$250=A85)*(Raw_Observations!$B$2:$B$250=B85)),Raw_Observations!$H$2:$H$250),Bank_Rates!$B$2:$B$100,MAXIFS(Bank_Rates!$B$2:$B$100,Bank_Rates!$A$2:$A$100,LOOKUP(2,1/((Raw_Observations!$A$2:$A$250=A85)*(Raw_Observations!$B$2:$B$250=B85)),Raw_Observations!$H$2:$H$250),Bank_Rates!$B$2:$B$100,"&lt;="&amp;TODAY()),Bank_Rates!$D$2:$D$100,"&lt;="&amp;D85)),"No Match"))</f>
        <v/>
      </c>
      <c r="F85" s="10" t="str">
        <f>IFERROR(LOOKUP(2,1/((Raw_Observations!$A$2:$A$250=A85)*(Raw_Observations!$B$2:$B$250=B85)),Raw_Observations!$K$2:$K$250),"")</f>
        <v/>
      </c>
      <c r="G85" s="10"/>
      <c r="H85" s="10" t="str">
        <f t="shared" ca="1" si="4"/>
        <v/>
      </c>
      <c r="I85" s="9" t="str">
        <f t="shared" ca="1" si="5"/>
        <v/>
      </c>
      <c r="J85" s="10" t="str">
        <f ca="1">IFERROR((I85/LOOKUP(2,1/((Raw_Observations!$A$2:$A$999=A85)*(Raw_Observations!$B$2:$B$999=B85)),Raw_Observations!$D$2:$D$999))^365-1,"")</f>
        <v/>
      </c>
    </row>
    <row r="86" spans="1:10">
      <c r="A86" s="2"/>
      <c r="B86" s="2"/>
      <c r="C86" s="9">
        <f>IFERROR(LOOKUP(2,1/((Raw_Observations!$A$2:$A$250=A86)*(Raw_Observations!$B$2:$B$250=B86)),Raw_Observations!$E$2:$E$250),"")</f>
        <v>0</v>
      </c>
      <c r="D86" s="8">
        <f ca="1">IFERROR(MAX(0,LOOKUP(2,1/((Raw_Observations!$A$2:$A$250=A86)*(Raw_Observations!$B$2:$B$250=B86)),Raw_Observations!$F$2:$F$250)-TODAY()),"")</f>
        <v>0</v>
      </c>
      <c r="E86" s="10" t="str">
        <f ca="1">IF(OR(A86="",B86=""),"",IFERROR(SUMIFS(Bank_Rates!$C$2:$C$100,Bank_Rates!$A$2:$A$100,LOOKUP(2,1/((Raw_Observations!$A$2:$A$250=A86)*(Raw_Observations!$B$2:$B$250=B86)),Raw_Observations!$H$2:$H$250),Bank_Rates!$B$2:$B$100,MAXIFS(Bank_Rates!$B$2:$B$100,Bank_Rates!$A$2:$A$100,LOOKUP(2,1/((Raw_Observations!$A$2:$A$250=A86)*(Raw_Observations!$B$2:$B$250=B86)),Raw_Observations!$H$2:$H$250),Bank_Rates!$B$2:$B$100,"&lt;="&amp;TODAY()),Bank_Rates!$D$2:$D$100,MAXIFS(Bank_Rates!$D$2:$D$100,Bank_Rates!$A$2:$A$100,LOOKUP(2,1/((Raw_Observations!$A$2:$A$250=A86)*(Raw_Observations!$B$2:$B$250=B86)),Raw_Observations!$H$2:$H$250),Bank_Rates!$B$2:$B$100,MAXIFS(Bank_Rates!$B$2:$B$100,Bank_Rates!$A$2:$A$100,LOOKUP(2,1/((Raw_Observations!$A$2:$A$250=A86)*(Raw_Observations!$B$2:$B$250=B86)),Raw_Observations!$H$2:$H$250),Bank_Rates!$B$2:$B$100,"&lt;="&amp;TODAY()),Bank_Rates!$D$2:$D$100,"&lt;="&amp;D86)),"No Match"))</f>
        <v/>
      </c>
      <c r="F86" s="10" t="str">
        <f>IFERROR(LOOKUP(2,1/((Raw_Observations!$A$2:$A$250=A86)*(Raw_Observations!$B$2:$B$250=B86)),Raw_Observations!$K$2:$K$250),"")</f>
        <v/>
      </c>
      <c r="G86" s="10"/>
      <c r="H86" s="10" t="str">
        <f t="shared" ca="1" si="4"/>
        <v/>
      </c>
      <c r="I86" s="9" t="str">
        <f t="shared" ca="1" si="5"/>
        <v/>
      </c>
      <c r="J86" s="10" t="str">
        <f ca="1">IFERROR((I86/LOOKUP(2,1/((Raw_Observations!$A$2:$A$999=A86)*(Raw_Observations!$B$2:$B$999=B86)),Raw_Observations!$D$2:$D$999))^365-1,"")</f>
        <v/>
      </c>
    </row>
    <row r="87" spans="1:10">
      <c r="A87" s="2"/>
      <c r="B87" s="2"/>
      <c r="C87" s="9">
        <f>IFERROR(LOOKUP(2,1/((Raw_Observations!$A$2:$A$250=A87)*(Raw_Observations!$B$2:$B$250=B87)),Raw_Observations!$E$2:$E$250),"")</f>
        <v>0</v>
      </c>
      <c r="D87" s="8">
        <f ca="1">IFERROR(MAX(0,LOOKUP(2,1/((Raw_Observations!$A$2:$A$250=A87)*(Raw_Observations!$B$2:$B$250=B87)),Raw_Observations!$F$2:$F$250)-TODAY()),"")</f>
        <v>0</v>
      </c>
      <c r="E87" s="10" t="str">
        <f ca="1">IF(OR(A87="",B87=""),"",IFERROR(SUMIFS(Bank_Rates!$C$2:$C$100,Bank_Rates!$A$2:$A$100,LOOKUP(2,1/((Raw_Observations!$A$2:$A$250=A87)*(Raw_Observations!$B$2:$B$250=B87)),Raw_Observations!$H$2:$H$250),Bank_Rates!$B$2:$B$100,MAXIFS(Bank_Rates!$B$2:$B$100,Bank_Rates!$A$2:$A$100,LOOKUP(2,1/((Raw_Observations!$A$2:$A$250=A87)*(Raw_Observations!$B$2:$B$250=B87)),Raw_Observations!$H$2:$H$250),Bank_Rates!$B$2:$B$100,"&lt;="&amp;TODAY()),Bank_Rates!$D$2:$D$100,MAXIFS(Bank_Rates!$D$2:$D$100,Bank_Rates!$A$2:$A$100,LOOKUP(2,1/((Raw_Observations!$A$2:$A$250=A87)*(Raw_Observations!$B$2:$B$250=B87)),Raw_Observations!$H$2:$H$250),Bank_Rates!$B$2:$B$100,MAXIFS(Bank_Rates!$B$2:$B$100,Bank_Rates!$A$2:$A$100,LOOKUP(2,1/((Raw_Observations!$A$2:$A$250=A87)*(Raw_Observations!$B$2:$B$250=B87)),Raw_Observations!$H$2:$H$250),Bank_Rates!$B$2:$B$100,"&lt;="&amp;TODAY()),Bank_Rates!$D$2:$D$100,"&lt;="&amp;D87)),"No Match"))</f>
        <v/>
      </c>
      <c r="F87" s="10" t="str">
        <f>IFERROR(LOOKUP(2,1/((Raw_Observations!$A$2:$A$250=A87)*(Raw_Observations!$B$2:$B$250=B87)),Raw_Observations!$K$2:$K$250),"")</f>
        <v/>
      </c>
      <c r="G87" s="10"/>
      <c r="H87" s="10" t="str">
        <f t="shared" ca="1" si="4"/>
        <v/>
      </c>
      <c r="I87" s="9" t="str">
        <f t="shared" ca="1" si="5"/>
        <v/>
      </c>
      <c r="J87" s="10" t="str">
        <f ca="1">IFERROR((I87/LOOKUP(2,1/((Raw_Observations!$A$2:$A$999=A87)*(Raw_Observations!$B$2:$B$999=B87)),Raw_Observations!$D$2:$D$999))^365-1,"")</f>
        <v/>
      </c>
    </row>
    <row r="88" spans="1:10">
      <c r="A88" s="2"/>
      <c r="B88" s="2"/>
      <c r="C88" s="9">
        <f>IFERROR(LOOKUP(2,1/((Raw_Observations!$A$2:$A$250=A88)*(Raw_Observations!$B$2:$B$250=B88)),Raw_Observations!$E$2:$E$250),"")</f>
        <v>0</v>
      </c>
      <c r="D88" s="8">
        <f ca="1">IFERROR(MAX(0,LOOKUP(2,1/((Raw_Observations!$A$2:$A$250=A88)*(Raw_Observations!$B$2:$B$250=B88)),Raw_Observations!$F$2:$F$250)-TODAY()),"")</f>
        <v>0</v>
      </c>
      <c r="E88" s="10" t="str">
        <f ca="1">IF(OR(A88="",B88=""),"",IFERROR(SUMIFS(Bank_Rates!$C$2:$C$100,Bank_Rates!$A$2:$A$100,LOOKUP(2,1/((Raw_Observations!$A$2:$A$250=A88)*(Raw_Observations!$B$2:$B$250=B88)),Raw_Observations!$H$2:$H$250),Bank_Rates!$B$2:$B$100,MAXIFS(Bank_Rates!$B$2:$B$100,Bank_Rates!$A$2:$A$100,LOOKUP(2,1/((Raw_Observations!$A$2:$A$250=A88)*(Raw_Observations!$B$2:$B$250=B88)),Raw_Observations!$H$2:$H$250),Bank_Rates!$B$2:$B$100,"&lt;="&amp;TODAY()),Bank_Rates!$D$2:$D$100,MAXIFS(Bank_Rates!$D$2:$D$100,Bank_Rates!$A$2:$A$100,LOOKUP(2,1/((Raw_Observations!$A$2:$A$250=A88)*(Raw_Observations!$B$2:$B$250=B88)),Raw_Observations!$H$2:$H$250),Bank_Rates!$B$2:$B$100,MAXIFS(Bank_Rates!$B$2:$B$100,Bank_Rates!$A$2:$A$100,LOOKUP(2,1/((Raw_Observations!$A$2:$A$250=A88)*(Raw_Observations!$B$2:$B$250=B88)),Raw_Observations!$H$2:$H$250),Bank_Rates!$B$2:$B$100,"&lt;="&amp;TODAY()),Bank_Rates!$D$2:$D$100,"&lt;="&amp;D88)),"No Match"))</f>
        <v/>
      </c>
      <c r="F88" s="10" t="str">
        <f>IFERROR(LOOKUP(2,1/((Raw_Observations!$A$2:$A$250=A88)*(Raw_Observations!$B$2:$B$250=B88)),Raw_Observations!$K$2:$K$250),"")</f>
        <v/>
      </c>
      <c r="G88" s="10"/>
      <c r="H88" s="10" t="str">
        <f t="shared" ca="1" si="4"/>
        <v/>
      </c>
      <c r="I88" s="9" t="str">
        <f t="shared" ca="1" si="5"/>
        <v/>
      </c>
      <c r="J88" s="10" t="str">
        <f ca="1">IFERROR((I88/LOOKUP(2,1/((Raw_Observations!$A$2:$A$999=A88)*(Raw_Observations!$B$2:$B$999=B88)),Raw_Observations!$D$2:$D$999))^365-1,"")</f>
        <v/>
      </c>
    </row>
    <row r="89" spans="1:10">
      <c r="A89" s="2"/>
      <c r="B89" s="2"/>
      <c r="C89" s="9">
        <f>IFERROR(LOOKUP(2,1/((Raw_Observations!$A$2:$A$250=A89)*(Raw_Observations!$B$2:$B$250=B89)),Raw_Observations!$E$2:$E$250),"")</f>
        <v>0</v>
      </c>
      <c r="D89" s="8">
        <f ca="1">IFERROR(MAX(0,LOOKUP(2,1/((Raw_Observations!$A$2:$A$250=A89)*(Raw_Observations!$B$2:$B$250=B89)),Raw_Observations!$F$2:$F$250)-TODAY()),"")</f>
        <v>0</v>
      </c>
      <c r="E89" s="10" t="str">
        <f ca="1">IF(OR(A89="",B89=""),"",IFERROR(SUMIFS(Bank_Rates!$C$2:$C$100,Bank_Rates!$A$2:$A$100,LOOKUP(2,1/((Raw_Observations!$A$2:$A$250=A89)*(Raw_Observations!$B$2:$B$250=B89)),Raw_Observations!$H$2:$H$250),Bank_Rates!$B$2:$B$100,MAXIFS(Bank_Rates!$B$2:$B$100,Bank_Rates!$A$2:$A$100,LOOKUP(2,1/((Raw_Observations!$A$2:$A$250=A89)*(Raw_Observations!$B$2:$B$250=B89)),Raw_Observations!$H$2:$H$250),Bank_Rates!$B$2:$B$100,"&lt;="&amp;TODAY()),Bank_Rates!$D$2:$D$100,MAXIFS(Bank_Rates!$D$2:$D$100,Bank_Rates!$A$2:$A$100,LOOKUP(2,1/((Raw_Observations!$A$2:$A$250=A89)*(Raw_Observations!$B$2:$B$250=B89)),Raw_Observations!$H$2:$H$250),Bank_Rates!$B$2:$B$100,MAXIFS(Bank_Rates!$B$2:$B$100,Bank_Rates!$A$2:$A$100,LOOKUP(2,1/((Raw_Observations!$A$2:$A$250=A89)*(Raw_Observations!$B$2:$B$250=B89)),Raw_Observations!$H$2:$H$250),Bank_Rates!$B$2:$B$100,"&lt;="&amp;TODAY()),Bank_Rates!$D$2:$D$100,"&lt;="&amp;D89)),"No Match"))</f>
        <v/>
      </c>
      <c r="F89" s="10" t="str">
        <f>IFERROR(LOOKUP(2,1/((Raw_Observations!$A$2:$A$250=A89)*(Raw_Observations!$B$2:$B$250=B89)),Raw_Observations!$K$2:$K$250),"")</f>
        <v/>
      </c>
      <c r="G89" s="10"/>
      <c r="H89" s="10" t="str">
        <f t="shared" ca="1" si="4"/>
        <v/>
      </c>
      <c r="I89" s="9" t="str">
        <f t="shared" ca="1" si="5"/>
        <v/>
      </c>
      <c r="J89" s="10" t="str">
        <f ca="1">IFERROR((I89/LOOKUP(2,1/((Raw_Observations!$A$2:$A$999=A89)*(Raw_Observations!$B$2:$B$999=B89)),Raw_Observations!$D$2:$D$999))^365-1,"")</f>
        <v/>
      </c>
    </row>
    <row r="90" spans="1:10">
      <c r="A90" s="2"/>
      <c r="B90" s="2"/>
      <c r="C90" s="9">
        <f>IFERROR(LOOKUP(2,1/((Raw_Observations!$A$2:$A$250=A90)*(Raw_Observations!$B$2:$B$250=B90)),Raw_Observations!$E$2:$E$250),"")</f>
        <v>0</v>
      </c>
      <c r="D90" s="8">
        <f ca="1">IFERROR(MAX(0,LOOKUP(2,1/((Raw_Observations!$A$2:$A$250=A90)*(Raw_Observations!$B$2:$B$250=B90)),Raw_Observations!$F$2:$F$250)-TODAY()),"")</f>
        <v>0</v>
      </c>
      <c r="E90" s="10" t="str">
        <f ca="1">IF(OR(A90="",B90=""),"",IFERROR(SUMIFS(Bank_Rates!$C$2:$C$100,Bank_Rates!$A$2:$A$100,LOOKUP(2,1/((Raw_Observations!$A$2:$A$250=A90)*(Raw_Observations!$B$2:$B$250=B90)),Raw_Observations!$H$2:$H$250),Bank_Rates!$B$2:$B$100,MAXIFS(Bank_Rates!$B$2:$B$100,Bank_Rates!$A$2:$A$100,LOOKUP(2,1/((Raw_Observations!$A$2:$A$250=A90)*(Raw_Observations!$B$2:$B$250=B90)),Raw_Observations!$H$2:$H$250),Bank_Rates!$B$2:$B$100,"&lt;="&amp;TODAY()),Bank_Rates!$D$2:$D$100,MAXIFS(Bank_Rates!$D$2:$D$100,Bank_Rates!$A$2:$A$100,LOOKUP(2,1/((Raw_Observations!$A$2:$A$250=A90)*(Raw_Observations!$B$2:$B$250=B90)),Raw_Observations!$H$2:$H$250),Bank_Rates!$B$2:$B$100,MAXIFS(Bank_Rates!$B$2:$B$100,Bank_Rates!$A$2:$A$100,LOOKUP(2,1/((Raw_Observations!$A$2:$A$250=A90)*(Raw_Observations!$B$2:$B$250=B90)),Raw_Observations!$H$2:$H$250),Bank_Rates!$B$2:$B$100,"&lt;="&amp;TODAY()),Bank_Rates!$D$2:$D$100,"&lt;="&amp;D90)),"No Match"))</f>
        <v/>
      </c>
      <c r="F90" s="10" t="str">
        <f>IFERROR(LOOKUP(2,1/((Raw_Observations!$A$2:$A$250=A90)*(Raw_Observations!$B$2:$B$250=B90)),Raw_Observations!$K$2:$K$250),"")</f>
        <v/>
      </c>
      <c r="G90" s="10"/>
      <c r="H90" s="10" t="str">
        <f t="shared" ca="1" si="4"/>
        <v/>
      </c>
      <c r="I90" s="9" t="str">
        <f t="shared" ca="1" si="5"/>
        <v/>
      </c>
      <c r="J90" s="10" t="str">
        <f ca="1">IFERROR((I90/LOOKUP(2,1/((Raw_Observations!$A$2:$A$999=A90)*(Raw_Observations!$B$2:$B$999=B90)),Raw_Observations!$D$2:$D$999))^365-1,"")</f>
        <v/>
      </c>
    </row>
    <row r="91" spans="1:10">
      <c r="A91" s="2"/>
      <c r="B91" s="2"/>
      <c r="C91" s="9">
        <f>IFERROR(LOOKUP(2,1/((Raw_Observations!$A$2:$A$250=A91)*(Raw_Observations!$B$2:$B$250=B91)),Raw_Observations!$E$2:$E$250),"")</f>
        <v>0</v>
      </c>
      <c r="D91" s="8">
        <f ca="1">IFERROR(MAX(0,LOOKUP(2,1/((Raw_Observations!$A$2:$A$250=A91)*(Raw_Observations!$B$2:$B$250=B91)),Raw_Observations!$F$2:$F$250)-TODAY()),"")</f>
        <v>0</v>
      </c>
      <c r="E91" s="10" t="str">
        <f ca="1">IF(OR(A91="",B91=""),"",IFERROR(SUMIFS(Bank_Rates!$C$2:$C$100,Bank_Rates!$A$2:$A$100,LOOKUP(2,1/((Raw_Observations!$A$2:$A$250=A91)*(Raw_Observations!$B$2:$B$250=B91)),Raw_Observations!$H$2:$H$250),Bank_Rates!$B$2:$B$100,MAXIFS(Bank_Rates!$B$2:$B$100,Bank_Rates!$A$2:$A$100,LOOKUP(2,1/((Raw_Observations!$A$2:$A$250=A91)*(Raw_Observations!$B$2:$B$250=B91)),Raw_Observations!$H$2:$H$250),Bank_Rates!$B$2:$B$100,"&lt;="&amp;TODAY()),Bank_Rates!$D$2:$D$100,MAXIFS(Bank_Rates!$D$2:$D$100,Bank_Rates!$A$2:$A$100,LOOKUP(2,1/((Raw_Observations!$A$2:$A$250=A91)*(Raw_Observations!$B$2:$B$250=B91)),Raw_Observations!$H$2:$H$250),Bank_Rates!$B$2:$B$100,MAXIFS(Bank_Rates!$B$2:$B$100,Bank_Rates!$A$2:$A$100,LOOKUP(2,1/((Raw_Observations!$A$2:$A$250=A91)*(Raw_Observations!$B$2:$B$250=B91)),Raw_Observations!$H$2:$H$250),Bank_Rates!$B$2:$B$100,"&lt;="&amp;TODAY()),Bank_Rates!$D$2:$D$100,"&lt;="&amp;D91)),"No Match"))</f>
        <v/>
      </c>
      <c r="F91" s="10" t="str">
        <f>IFERROR(LOOKUP(2,1/((Raw_Observations!$A$2:$A$250=A91)*(Raw_Observations!$B$2:$B$250=B91)),Raw_Observations!$K$2:$K$250),"")</f>
        <v/>
      </c>
      <c r="G91" s="10"/>
      <c r="H91" s="10" t="str">
        <f t="shared" ca="1" si="4"/>
        <v/>
      </c>
      <c r="I91" s="9" t="str">
        <f t="shared" ca="1" si="5"/>
        <v/>
      </c>
      <c r="J91" s="10" t="str">
        <f ca="1">IFERROR((I91/LOOKUP(2,1/((Raw_Observations!$A$2:$A$999=A91)*(Raw_Observations!$B$2:$B$999=B91)),Raw_Observations!$D$2:$D$999))^365-1,"")</f>
        <v/>
      </c>
    </row>
    <row r="92" spans="1:10">
      <c r="A92" s="2"/>
      <c r="B92" s="2"/>
      <c r="C92" s="9">
        <f>IFERROR(LOOKUP(2,1/((Raw_Observations!$A$2:$A$250=A92)*(Raw_Observations!$B$2:$B$250=B92)),Raw_Observations!$E$2:$E$250),"")</f>
        <v>0</v>
      </c>
      <c r="D92" s="8">
        <f ca="1">IFERROR(MAX(0,LOOKUP(2,1/((Raw_Observations!$A$2:$A$250=A92)*(Raw_Observations!$B$2:$B$250=B92)),Raw_Observations!$F$2:$F$250)-TODAY()),"")</f>
        <v>0</v>
      </c>
      <c r="E92" s="10" t="str">
        <f ca="1">IF(OR(A92="",B92=""),"",IFERROR(SUMIFS(Bank_Rates!$C$2:$C$100,Bank_Rates!$A$2:$A$100,LOOKUP(2,1/((Raw_Observations!$A$2:$A$250=A92)*(Raw_Observations!$B$2:$B$250=B92)),Raw_Observations!$H$2:$H$250),Bank_Rates!$B$2:$B$100,MAXIFS(Bank_Rates!$B$2:$B$100,Bank_Rates!$A$2:$A$100,LOOKUP(2,1/((Raw_Observations!$A$2:$A$250=A92)*(Raw_Observations!$B$2:$B$250=B92)),Raw_Observations!$H$2:$H$250),Bank_Rates!$B$2:$B$100,"&lt;="&amp;TODAY()),Bank_Rates!$D$2:$D$100,MAXIFS(Bank_Rates!$D$2:$D$100,Bank_Rates!$A$2:$A$100,LOOKUP(2,1/((Raw_Observations!$A$2:$A$250=A92)*(Raw_Observations!$B$2:$B$250=B92)),Raw_Observations!$H$2:$H$250),Bank_Rates!$B$2:$B$100,MAXIFS(Bank_Rates!$B$2:$B$100,Bank_Rates!$A$2:$A$100,LOOKUP(2,1/((Raw_Observations!$A$2:$A$250=A92)*(Raw_Observations!$B$2:$B$250=B92)),Raw_Observations!$H$2:$H$250),Bank_Rates!$B$2:$B$100,"&lt;="&amp;TODAY()),Bank_Rates!$D$2:$D$100,"&lt;="&amp;D92)),"No Match"))</f>
        <v/>
      </c>
      <c r="F92" s="10" t="str">
        <f>IFERROR(LOOKUP(2,1/((Raw_Observations!$A$2:$A$250=A92)*(Raw_Observations!$B$2:$B$250=B92)),Raw_Observations!$K$2:$K$250),"")</f>
        <v/>
      </c>
      <c r="G92" s="10"/>
      <c r="H92" s="10" t="str">
        <f t="shared" ca="1" si="4"/>
        <v/>
      </c>
      <c r="I92" s="9" t="str">
        <f t="shared" ca="1" si="5"/>
        <v/>
      </c>
      <c r="J92" s="10" t="str">
        <f ca="1">IFERROR((I92/LOOKUP(2,1/((Raw_Observations!$A$2:$A$999=A92)*(Raw_Observations!$B$2:$B$999=B92)),Raw_Observations!$D$2:$D$999))^365-1,"")</f>
        <v/>
      </c>
    </row>
    <row r="93" spans="1:10">
      <c r="A93" s="2"/>
      <c r="B93" s="2"/>
      <c r="C93" s="9">
        <f>IFERROR(LOOKUP(2,1/((Raw_Observations!$A$2:$A$250=A93)*(Raw_Observations!$B$2:$B$250=B93)),Raw_Observations!$E$2:$E$250),"")</f>
        <v>0</v>
      </c>
      <c r="D93" s="8">
        <f ca="1">IFERROR(MAX(0,LOOKUP(2,1/((Raw_Observations!$A$2:$A$250=A93)*(Raw_Observations!$B$2:$B$250=B93)),Raw_Observations!$F$2:$F$250)-TODAY()),"")</f>
        <v>0</v>
      </c>
      <c r="E93" s="10" t="str">
        <f ca="1">IF(OR(A93="",B93=""),"",IFERROR(SUMIFS(Bank_Rates!$C$2:$C$100,Bank_Rates!$A$2:$A$100,LOOKUP(2,1/((Raw_Observations!$A$2:$A$250=A93)*(Raw_Observations!$B$2:$B$250=B93)),Raw_Observations!$H$2:$H$250),Bank_Rates!$B$2:$B$100,MAXIFS(Bank_Rates!$B$2:$B$100,Bank_Rates!$A$2:$A$100,LOOKUP(2,1/((Raw_Observations!$A$2:$A$250=A93)*(Raw_Observations!$B$2:$B$250=B93)),Raw_Observations!$H$2:$H$250),Bank_Rates!$B$2:$B$100,"&lt;="&amp;TODAY()),Bank_Rates!$D$2:$D$100,MAXIFS(Bank_Rates!$D$2:$D$100,Bank_Rates!$A$2:$A$100,LOOKUP(2,1/((Raw_Observations!$A$2:$A$250=A93)*(Raw_Observations!$B$2:$B$250=B93)),Raw_Observations!$H$2:$H$250),Bank_Rates!$B$2:$B$100,MAXIFS(Bank_Rates!$B$2:$B$100,Bank_Rates!$A$2:$A$100,LOOKUP(2,1/((Raw_Observations!$A$2:$A$250=A93)*(Raw_Observations!$B$2:$B$250=B93)),Raw_Observations!$H$2:$H$250),Bank_Rates!$B$2:$B$100,"&lt;="&amp;TODAY()),Bank_Rates!$D$2:$D$100,"&lt;="&amp;D93)),"No Match"))</f>
        <v/>
      </c>
      <c r="F93" s="10" t="str">
        <f>IFERROR(LOOKUP(2,1/((Raw_Observations!$A$2:$A$250=A93)*(Raw_Observations!$B$2:$B$250=B93)),Raw_Observations!$K$2:$K$250),"")</f>
        <v/>
      </c>
      <c r="G93" s="10"/>
      <c r="H93" s="10" t="str">
        <f t="shared" ca="1" si="4"/>
        <v/>
      </c>
      <c r="I93" s="9" t="str">
        <f t="shared" ca="1" si="5"/>
        <v/>
      </c>
      <c r="J93" s="10" t="str">
        <f ca="1">IFERROR((I93/LOOKUP(2,1/((Raw_Observations!$A$2:$A$999=A93)*(Raw_Observations!$B$2:$B$999=B93)),Raw_Observations!$D$2:$D$999))^365-1,"")</f>
        <v/>
      </c>
    </row>
    <row r="94" spans="1:10">
      <c r="A94" s="2"/>
      <c r="B94" s="2"/>
      <c r="C94" s="9">
        <f>IFERROR(LOOKUP(2,1/((Raw_Observations!$A$2:$A$250=A94)*(Raw_Observations!$B$2:$B$250=B94)),Raw_Observations!$E$2:$E$250),"")</f>
        <v>0</v>
      </c>
      <c r="D94" s="8">
        <f ca="1">IFERROR(MAX(0,LOOKUP(2,1/((Raw_Observations!$A$2:$A$250=A94)*(Raw_Observations!$B$2:$B$250=B94)),Raw_Observations!$F$2:$F$250)-TODAY()),"")</f>
        <v>0</v>
      </c>
      <c r="E94" s="10" t="str">
        <f ca="1">IF(OR(A94="",B94=""),"",IFERROR(SUMIFS(Bank_Rates!$C$2:$C$100,Bank_Rates!$A$2:$A$100,LOOKUP(2,1/((Raw_Observations!$A$2:$A$250=A94)*(Raw_Observations!$B$2:$B$250=B94)),Raw_Observations!$H$2:$H$250),Bank_Rates!$B$2:$B$100,MAXIFS(Bank_Rates!$B$2:$B$100,Bank_Rates!$A$2:$A$100,LOOKUP(2,1/((Raw_Observations!$A$2:$A$250=A94)*(Raw_Observations!$B$2:$B$250=B94)),Raw_Observations!$H$2:$H$250),Bank_Rates!$B$2:$B$100,"&lt;="&amp;TODAY()),Bank_Rates!$D$2:$D$100,MAXIFS(Bank_Rates!$D$2:$D$100,Bank_Rates!$A$2:$A$100,LOOKUP(2,1/((Raw_Observations!$A$2:$A$250=A94)*(Raw_Observations!$B$2:$B$250=B94)),Raw_Observations!$H$2:$H$250),Bank_Rates!$B$2:$B$100,MAXIFS(Bank_Rates!$B$2:$B$100,Bank_Rates!$A$2:$A$100,LOOKUP(2,1/((Raw_Observations!$A$2:$A$250=A94)*(Raw_Observations!$B$2:$B$250=B94)),Raw_Observations!$H$2:$H$250),Bank_Rates!$B$2:$B$100,"&lt;="&amp;TODAY()),Bank_Rates!$D$2:$D$100,"&lt;="&amp;D94)),"No Match"))</f>
        <v/>
      </c>
      <c r="F94" s="10" t="str">
        <f>IFERROR(LOOKUP(2,1/((Raw_Observations!$A$2:$A$250=A94)*(Raw_Observations!$B$2:$B$250=B94)),Raw_Observations!$K$2:$K$250),"")</f>
        <v/>
      </c>
      <c r="G94" s="10"/>
      <c r="H94" s="10" t="str">
        <f t="shared" ca="1" si="4"/>
        <v/>
      </c>
      <c r="I94" s="9" t="str">
        <f t="shared" ca="1" si="5"/>
        <v/>
      </c>
      <c r="J94" s="10" t="str">
        <f ca="1">IFERROR((I94/LOOKUP(2,1/((Raw_Observations!$A$2:$A$999=A94)*(Raw_Observations!$B$2:$B$999=B94)),Raw_Observations!$D$2:$D$999))^365-1,"")</f>
        <v/>
      </c>
    </row>
    <row r="95" spans="1:10">
      <c r="A95" s="2"/>
      <c r="B95" s="2"/>
      <c r="C95" s="9">
        <f>IFERROR(LOOKUP(2,1/((Raw_Observations!$A$2:$A$250=A95)*(Raw_Observations!$B$2:$B$250=B95)),Raw_Observations!$E$2:$E$250),"")</f>
        <v>0</v>
      </c>
      <c r="D95" s="8">
        <f ca="1">IFERROR(MAX(0,LOOKUP(2,1/((Raw_Observations!$A$2:$A$250=A95)*(Raw_Observations!$B$2:$B$250=B95)),Raw_Observations!$F$2:$F$250)-TODAY()),"")</f>
        <v>0</v>
      </c>
      <c r="E95" s="10" t="str">
        <f ca="1">IF(OR(A95="",B95=""),"",IFERROR(SUMIFS(Bank_Rates!$C$2:$C$100,Bank_Rates!$A$2:$A$100,LOOKUP(2,1/((Raw_Observations!$A$2:$A$250=A95)*(Raw_Observations!$B$2:$B$250=B95)),Raw_Observations!$H$2:$H$250),Bank_Rates!$B$2:$B$100,MAXIFS(Bank_Rates!$B$2:$B$100,Bank_Rates!$A$2:$A$100,LOOKUP(2,1/((Raw_Observations!$A$2:$A$250=A95)*(Raw_Observations!$B$2:$B$250=B95)),Raw_Observations!$H$2:$H$250),Bank_Rates!$B$2:$B$100,"&lt;="&amp;TODAY()),Bank_Rates!$D$2:$D$100,MAXIFS(Bank_Rates!$D$2:$D$100,Bank_Rates!$A$2:$A$100,LOOKUP(2,1/((Raw_Observations!$A$2:$A$250=A95)*(Raw_Observations!$B$2:$B$250=B95)),Raw_Observations!$H$2:$H$250),Bank_Rates!$B$2:$B$100,MAXIFS(Bank_Rates!$B$2:$B$100,Bank_Rates!$A$2:$A$100,LOOKUP(2,1/((Raw_Observations!$A$2:$A$250=A95)*(Raw_Observations!$B$2:$B$250=B95)),Raw_Observations!$H$2:$H$250),Bank_Rates!$B$2:$B$100,"&lt;="&amp;TODAY()),Bank_Rates!$D$2:$D$100,"&lt;="&amp;D95)),"No Match"))</f>
        <v/>
      </c>
      <c r="F95" s="10" t="str">
        <f>IFERROR(LOOKUP(2,1/((Raw_Observations!$A$2:$A$250=A95)*(Raw_Observations!$B$2:$B$250=B95)),Raw_Observations!$K$2:$K$250),"")</f>
        <v/>
      </c>
      <c r="G95" s="10"/>
      <c r="H95" s="10" t="str">
        <f t="shared" ca="1" si="4"/>
        <v/>
      </c>
      <c r="I95" s="9" t="str">
        <f t="shared" ca="1" si="5"/>
        <v/>
      </c>
      <c r="J95" s="10" t="str">
        <f ca="1">IFERROR((I95/LOOKUP(2,1/((Raw_Observations!$A$2:$A$999=A95)*(Raw_Observations!$B$2:$B$999=B95)),Raw_Observations!$D$2:$D$999))^365-1,"")</f>
        <v/>
      </c>
    </row>
    <row r="96" spans="1:10">
      <c r="A96" s="2"/>
      <c r="B96" s="2"/>
      <c r="C96" s="9">
        <f>IFERROR(LOOKUP(2,1/((Raw_Observations!$A$2:$A$250=A96)*(Raw_Observations!$B$2:$B$250=B96)),Raw_Observations!$E$2:$E$250),"")</f>
        <v>0</v>
      </c>
      <c r="D96" s="8">
        <f ca="1">IFERROR(MAX(0,LOOKUP(2,1/((Raw_Observations!$A$2:$A$250=A96)*(Raw_Observations!$B$2:$B$250=B96)),Raw_Observations!$F$2:$F$250)-TODAY()),"")</f>
        <v>0</v>
      </c>
      <c r="E96" s="10" t="str">
        <f ca="1">IF(OR(A96="",B96=""),"",IFERROR(SUMIFS(Bank_Rates!$C$2:$C$100,Bank_Rates!$A$2:$A$100,LOOKUP(2,1/((Raw_Observations!$A$2:$A$250=A96)*(Raw_Observations!$B$2:$B$250=B96)),Raw_Observations!$H$2:$H$250),Bank_Rates!$B$2:$B$100,MAXIFS(Bank_Rates!$B$2:$B$100,Bank_Rates!$A$2:$A$100,LOOKUP(2,1/((Raw_Observations!$A$2:$A$250=A96)*(Raw_Observations!$B$2:$B$250=B96)),Raw_Observations!$H$2:$H$250),Bank_Rates!$B$2:$B$100,"&lt;="&amp;TODAY()),Bank_Rates!$D$2:$D$100,MAXIFS(Bank_Rates!$D$2:$D$100,Bank_Rates!$A$2:$A$100,LOOKUP(2,1/((Raw_Observations!$A$2:$A$250=A96)*(Raw_Observations!$B$2:$B$250=B96)),Raw_Observations!$H$2:$H$250),Bank_Rates!$B$2:$B$100,MAXIFS(Bank_Rates!$B$2:$B$100,Bank_Rates!$A$2:$A$100,LOOKUP(2,1/((Raw_Observations!$A$2:$A$250=A96)*(Raw_Observations!$B$2:$B$250=B96)),Raw_Observations!$H$2:$H$250),Bank_Rates!$B$2:$B$100,"&lt;="&amp;TODAY()),Bank_Rates!$D$2:$D$100,"&lt;="&amp;D96)),"No Match"))</f>
        <v/>
      </c>
      <c r="F96" s="10" t="str">
        <f>IFERROR(LOOKUP(2,1/((Raw_Observations!$A$2:$A$250=A96)*(Raw_Observations!$B$2:$B$250=B96)),Raw_Observations!$K$2:$K$250),"")</f>
        <v/>
      </c>
      <c r="G96" s="10"/>
      <c r="H96" s="10" t="str">
        <f t="shared" ca="1" si="4"/>
        <v/>
      </c>
      <c r="I96" s="9" t="str">
        <f t="shared" ca="1" si="5"/>
        <v/>
      </c>
      <c r="J96" s="10" t="str">
        <f ca="1">IFERROR((I96/LOOKUP(2,1/((Raw_Observations!$A$2:$A$999=A96)*(Raw_Observations!$B$2:$B$999=B96)),Raw_Observations!$D$2:$D$999))^365-1,"")</f>
        <v/>
      </c>
    </row>
    <row r="97" spans="1:10">
      <c r="A97" s="2"/>
      <c r="B97" s="2"/>
      <c r="C97" s="9">
        <f>IFERROR(LOOKUP(2,1/((Raw_Observations!$A$2:$A$250=A97)*(Raw_Observations!$B$2:$B$250=B97)),Raw_Observations!$E$2:$E$250),"")</f>
        <v>0</v>
      </c>
      <c r="D97" s="8">
        <f ca="1">IFERROR(MAX(0,LOOKUP(2,1/((Raw_Observations!$A$2:$A$250=A97)*(Raw_Observations!$B$2:$B$250=B97)),Raw_Observations!$F$2:$F$250)-TODAY()),"")</f>
        <v>0</v>
      </c>
      <c r="E97" s="10" t="str">
        <f ca="1">IF(OR(A97="",B97=""),"",IFERROR(SUMIFS(Bank_Rates!$C$2:$C$100,Bank_Rates!$A$2:$A$100,LOOKUP(2,1/((Raw_Observations!$A$2:$A$250=A97)*(Raw_Observations!$B$2:$B$250=B97)),Raw_Observations!$H$2:$H$250),Bank_Rates!$B$2:$B$100,MAXIFS(Bank_Rates!$B$2:$B$100,Bank_Rates!$A$2:$A$100,LOOKUP(2,1/((Raw_Observations!$A$2:$A$250=A97)*(Raw_Observations!$B$2:$B$250=B97)),Raw_Observations!$H$2:$H$250),Bank_Rates!$B$2:$B$100,"&lt;="&amp;TODAY()),Bank_Rates!$D$2:$D$100,MAXIFS(Bank_Rates!$D$2:$D$100,Bank_Rates!$A$2:$A$100,LOOKUP(2,1/((Raw_Observations!$A$2:$A$250=A97)*(Raw_Observations!$B$2:$B$250=B97)),Raw_Observations!$H$2:$H$250),Bank_Rates!$B$2:$B$100,MAXIFS(Bank_Rates!$B$2:$B$100,Bank_Rates!$A$2:$A$100,LOOKUP(2,1/((Raw_Observations!$A$2:$A$250=A97)*(Raw_Observations!$B$2:$B$250=B97)),Raw_Observations!$H$2:$H$250),Bank_Rates!$B$2:$B$100,"&lt;="&amp;TODAY()),Bank_Rates!$D$2:$D$100,"&lt;="&amp;D97)),"No Match"))</f>
        <v/>
      </c>
      <c r="F97" s="10" t="str">
        <f>IFERROR(LOOKUP(2,1/((Raw_Observations!$A$2:$A$250=A97)*(Raw_Observations!$B$2:$B$250=B97)),Raw_Observations!$K$2:$K$250),"")</f>
        <v/>
      </c>
      <c r="G97" s="10"/>
      <c r="H97" s="10" t="str">
        <f t="shared" ca="1" si="4"/>
        <v/>
      </c>
      <c r="I97" s="9" t="str">
        <f t="shared" ca="1" si="5"/>
        <v/>
      </c>
      <c r="J97" s="10" t="str">
        <f ca="1">IFERROR((I97/LOOKUP(2,1/((Raw_Observations!$A$2:$A$999=A97)*(Raw_Observations!$B$2:$B$999=B97)),Raw_Observations!$D$2:$D$999))^365-1,"")</f>
        <v/>
      </c>
    </row>
    <row r="98" spans="1:10">
      <c r="A98" s="2"/>
      <c r="B98" s="2"/>
      <c r="C98" s="9">
        <f>IFERROR(LOOKUP(2,1/((Raw_Observations!$A$2:$A$250=A98)*(Raw_Observations!$B$2:$B$250=B98)),Raw_Observations!$E$2:$E$250),"")</f>
        <v>0</v>
      </c>
      <c r="D98" s="8">
        <f ca="1">IFERROR(MAX(0,LOOKUP(2,1/((Raw_Observations!$A$2:$A$250=A98)*(Raw_Observations!$B$2:$B$250=B98)),Raw_Observations!$F$2:$F$250)-TODAY()),"")</f>
        <v>0</v>
      </c>
      <c r="E98" s="10" t="str">
        <f ca="1">IF(OR(A98="",B98=""),"",IFERROR(SUMIFS(Bank_Rates!$C$2:$C$100,Bank_Rates!$A$2:$A$100,LOOKUP(2,1/((Raw_Observations!$A$2:$A$250=A98)*(Raw_Observations!$B$2:$B$250=B98)),Raw_Observations!$H$2:$H$250),Bank_Rates!$B$2:$B$100,MAXIFS(Bank_Rates!$B$2:$B$100,Bank_Rates!$A$2:$A$100,LOOKUP(2,1/((Raw_Observations!$A$2:$A$250=A98)*(Raw_Observations!$B$2:$B$250=B98)),Raw_Observations!$H$2:$H$250),Bank_Rates!$B$2:$B$100,"&lt;="&amp;TODAY()),Bank_Rates!$D$2:$D$100,MAXIFS(Bank_Rates!$D$2:$D$100,Bank_Rates!$A$2:$A$100,LOOKUP(2,1/((Raw_Observations!$A$2:$A$250=A98)*(Raw_Observations!$B$2:$B$250=B98)),Raw_Observations!$H$2:$H$250),Bank_Rates!$B$2:$B$100,MAXIFS(Bank_Rates!$B$2:$B$100,Bank_Rates!$A$2:$A$100,LOOKUP(2,1/((Raw_Observations!$A$2:$A$250=A98)*(Raw_Observations!$B$2:$B$250=B98)),Raw_Observations!$H$2:$H$250),Bank_Rates!$B$2:$B$100,"&lt;="&amp;TODAY()),Bank_Rates!$D$2:$D$100,"&lt;="&amp;D98)),"No Match"))</f>
        <v/>
      </c>
      <c r="F98" s="10" t="str">
        <f>IFERROR(LOOKUP(2,1/((Raw_Observations!$A$2:$A$250=A98)*(Raw_Observations!$B$2:$B$250=B98)),Raw_Observations!$K$2:$K$250),"")</f>
        <v/>
      </c>
      <c r="G98" s="10"/>
      <c r="H98" s="10" t="str">
        <f t="shared" ref="H98:H129" ca="1" si="6">IF(OR(E98="",G98="",E98="No Match"),"",E98+G98)</f>
        <v/>
      </c>
      <c r="I98" s="9" t="str">
        <f t="shared" ref="I98:I129" ca="1" si="7">IF(OR(C98="",D98="",H98=""),"",C98/((1+H98)^(D98/365)))</f>
        <v/>
      </c>
      <c r="J98" s="10" t="str">
        <f ca="1">IFERROR((I98/LOOKUP(2,1/((Raw_Observations!$A$2:$A$999=A98)*(Raw_Observations!$B$2:$B$999=B98)),Raw_Observations!$D$2:$D$999))^365-1,"")</f>
        <v/>
      </c>
    </row>
    <row r="99" spans="1:10">
      <c r="A99" s="2"/>
      <c r="B99" s="2"/>
      <c r="C99" s="9">
        <f>IFERROR(LOOKUP(2,1/((Raw_Observations!$A$2:$A$250=A99)*(Raw_Observations!$B$2:$B$250=B99)),Raw_Observations!$E$2:$E$250),"")</f>
        <v>0</v>
      </c>
      <c r="D99" s="8">
        <f ca="1">IFERROR(MAX(0,LOOKUP(2,1/((Raw_Observations!$A$2:$A$250=A99)*(Raw_Observations!$B$2:$B$250=B99)),Raw_Observations!$F$2:$F$250)-TODAY()),"")</f>
        <v>0</v>
      </c>
      <c r="E99" s="10" t="str">
        <f ca="1">IF(OR(A99="",B99=""),"",IFERROR(SUMIFS(Bank_Rates!$C$2:$C$100,Bank_Rates!$A$2:$A$100,LOOKUP(2,1/((Raw_Observations!$A$2:$A$250=A99)*(Raw_Observations!$B$2:$B$250=B99)),Raw_Observations!$H$2:$H$250),Bank_Rates!$B$2:$B$100,MAXIFS(Bank_Rates!$B$2:$B$100,Bank_Rates!$A$2:$A$100,LOOKUP(2,1/((Raw_Observations!$A$2:$A$250=A99)*(Raw_Observations!$B$2:$B$250=B99)),Raw_Observations!$H$2:$H$250),Bank_Rates!$B$2:$B$100,"&lt;="&amp;TODAY()),Bank_Rates!$D$2:$D$100,MAXIFS(Bank_Rates!$D$2:$D$100,Bank_Rates!$A$2:$A$100,LOOKUP(2,1/((Raw_Observations!$A$2:$A$250=A99)*(Raw_Observations!$B$2:$B$250=B99)),Raw_Observations!$H$2:$H$250),Bank_Rates!$B$2:$B$100,MAXIFS(Bank_Rates!$B$2:$B$100,Bank_Rates!$A$2:$A$100,LOOKUP(2,1/((Raw_Observations!$A$2:$A$250=A99)*(Raw_Observations!$B$2:$B$250=B99)),Raw_Observations!$H$2:$H$250),Bank_Rates!$B$2:$B$100,"&lt;="&amp;TODAY()),Bank_Rates!$D$2:$D$100,"&lt;="&amp;D99)),"No Match"))</f>
        <v/>
      </c>
      <c r="F99" s="10" t="str">
        <f>IFERROR(LOOKUP(2,1/((Raw_Observations!$A$2:$A$250=A99)*(Raw_Observations!$B$2:$B$250=B99)),Raw_Observations!$K$2:$K$250),"")</f>
        <v/>
      </c>
      <c r="G99" s="10"/>
      <c r="H99" s="10" t="str">
        <f t="shared" ca="1" si="6"/>
        <v/>
      </c>
      <c r="I99" s="9" t="str">
        <f t="shared" ca="1" si="7"/>
        <v/>
      </c>
      <c r="J99" s="10" t="str">
        <f ca="1">IFERROR((I99/LOOKUP(2,1/((Raw_Observations!$A$2:$A$999=A99)*(Raw_Observations!$B$2:$B$999=B99)),Raw_Observations!$D$2:$D$999))^365-1,"")</f>
        <v/>
      </c>
    </row>
    <row r="100" spans="1:10">
      <c r="A100" s="2"/>
      <c r="B100" s="2"/>
      <c r="C100" s="9">
        <f>IFERROR(LOOKUP(2,1/((Raw_Observations!$A$2:$A$250=A100)*(Raw_Observations!$B$2:$B$250=B100)),Raw_Observations!$E$2:$E$250),"")</f>
        <v>0</v>
      </c>
      <c r="D100" s="8">
        <f ca="1">IFERROR(MAX(0,LOOKUP(2,1/((Raw_Observations!$A$2:$A$250=A100)*(Raw_Observations!$B$2:$B$250=B100)),Raw_Observations!$F$2:$F$250)-TODAY()),"")</f>
        <v>0</v>
      </c>
      <c r="E100" s="10" t="str">
        <f ca="1">IF(OR(A100="",B100=""),"",IFERROR(SUMIFS(Bank_Rates!$C$2:$C$100,Bank_Rates!$A$2:$A$100,LOOKUP(2,1/((Raw_Observations!$A$2:$A$250=A100)*(Raw_Observations!$B$2:$B$250=B100)),Raw_Observations!$H$2:$H$250),Bank_Rates!$B$2:$B$100,MAXIFS(Bank_Rates!$B$2:$B$100,Bank_Rates!$A$2:$A$100,LOOKUP(2,1/((Raw_Observations!$A$2:$A$250=A100)*(Raw_Observations!$B$2:$B$250=B100)),Raw_Observations!$H$2:$H$250),Bank_Rates!$B$2:$B$100,"&lt;="&amp;TODAY()),Bank_Rates!$D$2:$D$100,MAXIFS(Bank_Rates!$D$2:$D$100,Bank_Rates!$A$2:$A$100,LOOKUP(2,1/((Raw_Observations!$A$2:$A$250=A100)*(Raw_Observations!$B$2:$B$250=B100)),Raw_Observations!$H$2:$H$250),Bank_Rates!$B$2:$B$100,MAXIFS(Bank_Rates!$B$2:$B$100,Bank_Rates!$A$2:$A$100,LOOKUP(2,1/((Raw_Observations!$A$2:$A$250=A100)*(Raw_Observations!$B$2:$B$250=B100)),Raw_Observations!$H$2:$H$250),Bank_Rates!$B$2:$B$100,"&lt;="&amp;TODAY()),Bank_Rates!$D$2:$D$100,"&lt;="&amp;D100)),"No Match"))</f>
        <v/>
      </c>
      <c r="F100" s="10" t="str">
        <f>IFERROR(LOOKUP(2,1/((Raw_Observations!$A$2:$A$250=A100)*(Raw_Observations!$B$2:$B$250=B100)),Raw_Observations!$K$2:$K$250),"")</f>
        <v/>
      </c>
      <c r="G100" s="10"/>
      <c r="H100" s="10" t="str">
        <f t="shared" ca="1" si="6"/>
        <v/>
      </c>
      <c r="I100" s="9" t="str">
        <f t="shared" ca="1" si="7"/>
        <v/>
      </c>
      <c r="J100" s="10" t="str">
        <f ca="1">IFERROR((I100/LOOKUP(2,1/((Raw_Observations!$A$2:$A$999=A100)*(Raw_Observations!$B$2:$B$999=B100)),Raw_Observations!$D$2:$D$999))^365-1,"")</f>
        <v/>
      </c>
    </row>
    <row r="101" spans="1:10">
      <c r="A101" s="2"/>
      <c r="B101" s="2"/>
      <c r="C101" s="9">
        <f>IFERROR(LOOKUP(2,1/((Raw_Observations!$A$2:$A$250=A101)*(Raw_Observations!$B$2:$B$250=B101)),Raw_Observations!$E$2:$E$250),"")</f>
        <v>0</v>
      </c>
      <c r="D101" s="8">
        <f ca="1">IFERROR(MAX(0,LOOKUP(2,1/((Raw_Observations!$A$2:$A$250=A101)*(Raw_Observations!$B$2:$B$250=B101)),Raw_Observations!$F$2:$F$250)-TODAY()),"")</f>
        <v>0</v>
      </c>
      <c r="E101" s="10" t="str">
        <f ca="1">IF(OR(A101="",B101=""),"",IFERROR(SUMIFS(Bank_Rates!$C$2:$C$100,Bank_Rates!$A$2:$A$100,LOOKUP(2,1/((Raw_Observations!$A$2:$A$250=A101)*(Raw_Observations!$B$2:$B$250=B101)),Raw_Observations!$H$2:$H$250),Bank_Rates!$B$2:$B$100,MAXIFS(Bank_Rates!$B$2:$B$100,Bank_Rates!$A$2:$A$100,LOOKUP(2,1/((Raw_Observations!$A$2:$A$250=A101)*(Raw_Observations!$B$2:$B$250=B101)),Raw_Observations!$H$2:$H$250),Bank_Rates!$B$2:$B$100,"&lt;="&amp;TODAY()),Bank_Rates!$D$2:$D$100,MAXIFS(Bank_Rates!$D$2:$D$100,Bank_Rates!$A$2:$A$100,LOOKUP(2,1/((Raw_Observations!$A$2:$A$250=A101)*(Raw_Observations!$B$2:$B$250=B101)),Raw_Observations!$H$2:$H$250),Bank_Rates!$B$2:$B$100,MAXIFS(Bank_Rates!$B$2:$B$100,Bank_Rates!$A$2:$A$100,LOOKUP(2,1/((Raw_Observations!$A$2:$A$250=A101)*(Raw_Observations!$B$2:$B$250=B101)),Raw_Observations!$H$2:$H$250),Bank_Rates!$B$2:$B$100,"&lt;="&amp;TODAY()),Bank_Rates!$D$2:$D$100,"&lt;="&amp;D101)),"No Match"))</f>
        <v/>
      </c>
      <c r="F101" s="10" t="str">
        <f>IFERROR(LOOKUP(2,1/((Raw_Observations!$A$2:$A$250=A101)*(Raw_Observations!$B$2:$B$250=B101)),Raw_Observations!$K$2:$K$250),"")</f>
        <v/>
      </c>
      <c r="G101" s="10"/>
      <c r="H101" s="10" t="str">
        <f t="shared" ca="1" si="6"/>
        <v/>
      </c>
      <c r="I101" s="9" t="str">
        <f t="shared" ca="1" si="7"/>
        <v/>
      </c>
      <c r="J101" s="10" t="str">
        <f ca="1">IFERROR((I101/LOOKUP(2,1/((Raw_Observations!$A$2:$A$999=A101)*(Raw_Observations!$B$2:$B$999=B101)),Raw_Observations!$D$2:$D$999))^365-1,"")</f>
        <v/>
      </c>
    </row>
    <row r="102" spans="1:10">
      <c r="A102" s="2"/>
      <c r="B102" s="2"/>
      <c r="C102" s="9">
        <f>IFERROR(LOOKUP(2,1/((Raw_Observations!$A$2:$A$250=A102)*(Raw_Observations!$B$2:$B$250=B102)),Raw_Observations!$E$2:$E$250),"")</f>
        <v>0</v>
      </c>
      <c r="D102" s="8">
        <f ca="1">IFERROR(MAX(0,LOOKUP(2,1/((Raw_Observations!$A$2:$A$250=A102)*(Raw_Observations!$B$2:$B$250=B102)),Raw_Observations!$F$2:$F$250)-TODAY()),"")</f>
        <v>0</v>
      </c>
      <c r="E102" s="10" t="str">
        <f ca="1">IF(OR(A102="",B102=""),"",IFERROR(SUMIFS(Bank_Rates!$C$2:$C$100,Bank_Rates!$A$2:$A$100,LOOKUP(2,1/((Raw_Observations!$A$2:$A$250=A102)*(Raw_Observations!$B$2:$B$250=B102)),Raw_Observations!$H$2:$H$250),Bank_Rates!$B$2:$B$100,MAXIFS(Bank_Rates!$B$2:$B$100,Bank_Rates!$A$2:$A$100,LOOKUP(2,1/((Raw_Observations!$A$2:$A$250=A102)*(Raw_Observations!$B$2:$B$250=B102)),Raw_Observations!$H$2:$H$250),Bank_Rates!$B$2:$B$100,"&lt;="&amp;TODAY()),Bank_Rates!$D$2:$D$100,MAXIFS(Bank_Rates!$D$2:$D$100,Bank_Rates!$A$2:$A$100,LOOKUP(2,1/((Raw_Observations!$A$2:$A$250=A102)*(Raw_Observations!$B$2:$B$250=B102)),Raw_Observations!$H$2:$H$250),Bank_Rates!$B$2:$B$100,MAXIFS(Bank_Rates!$B$2:$B$100,Bank_Rates!$A$2:$A$100,LOOKUP(2,1/((Raw_Observations!$A$2:$A$250=A102)*(Raw_Observations!$B$2:$B$250=B102)),Raw_Observations!$H$2:$H$250),Bank_Rates!$B$2:$B$100,"&lt;="&amp;TODAY()),Bank_Rates!$D$2:$D$100,"&lt;="&amp;D102)),"No Match"))</f>
        <v/>
      </c>
      <c r="F102" s="10" t="str">
        <f>IFERROR(LOOKUP(2,1/((Raw_Observations!$A$2:$A$250=A102)*(Raw_Observations!$B$2:$B$250=B102)),Raw_Observations!$K$2:$K$250),"")</f>
        <v/>
      </c>
      <c r="G102" s="10"/>
      <c r="H102" s="10" t="str">
        <f t="shared" ca="1" si="6"/>
        <v/>
      </c>
      <c r="I102" s="9" t="str">
        <f t="shared" ca="1" si="7"/>
        <v/>
      </c>
      <c r="J102" s="10" t="str">
        <f ca="1">IFERROR((I102/LOOKUP(2,1/((Raw_Observations!$A$2:$A$999=A102)*(Raw_Observations!$B$2:$B$999=B102)),Raw_Observations!$D$2:$D$999))^365-1,"")</f>
        <v/>
      </c>
    </row>
    <row r="103" spans="1:10">
      <c r="A103" s="2"/>
      <c r="B103" s="2"/>
      <c r="C103" s="9">
        <f>IFERROR(LOOKUP(2,1/((Raw_Observations!$A$2:$A$250=A103)*(Raw_Observations!$B$2:$B$250=B103)),Raw_Observations!$E$2:$E$250),"")</f>
        <v>0</v>
      </c>
      <c r="D103" s="8">
        <f ca="1">IFERROR(MAX(0,LOOKUP(2,1/((Raw_Observations!$A$2:$A$250=A103)*(Raw_Observations!$B$2:$B$250=B103)),Raw_Observations!$F$2:$F$250)-TODAY()),"")</f>
        <v>0</v>
      </c>
      <c r="E103" s="10" t="str">
        <f ca="1">IF(OR(A103="",B103=""),"",IFERROR(SUMIFS(Bank_Rates!$C$2:$C$100,Bank_Rates!$A$2:$A$100,LOOKUP(2,1/((Raw_Observations!$A$2:$A$250=A103)*(Raw_Observations!$B$2:$B$250=B103)),Raw_Observations!$H$2:$H$250),Bank_Rates!$B$2:$B$100,MAXIFS(Bank_Rates!$B$2:$B$100,Bank_Rates!$A$2:$A$100,LOOKUP(2,1/((Raw_Observations!$A$2:$A$250=A103)*(Raw_Observations!$B$2:$B$250=B103)),Raw_Observations!$H$2:$H$250),Bank_Rates!$B$2:$B$100,"&lt;="&amp;TODAY()),Bank_Rates!$D$2:$D$100,MAXIFS(Bank_Rates!$D$2:$D$100,Bank_Rates!$A$2:$A$100,LOOKUP(2,1/((Raw_Observations!$A$2:$A$250=A103)*(Raw_Observations!$B$2:$B$250=B103)),Raw_Observations!$H$2:$H$250),Bank_Rates!$B$2:$B$100,MAXIFS(Bank_Rates!$B$2:$B$100,Bank_Rates!$A$2:$A$100,LOOKUP(2,1/((Raw_Observations!$A$2:$A$250=A103)*(Raw_Observations!$B$2:$B$250=B103)),Raw_Observations!$H$2:$H$250),Bank_Rates!$B$2:$B$100,"&lt;="&amp;TODAY()),Bank_Rates!$D$2:$D$100,"&lt;="&amp;D103)),"No Match"))</f>
        <v/>
      </c>
      <c r="F103" s="10" t="str">
        <f>IFERROR(LOOKUP(2,1/((Raw_Observations!$A$2:$A$250=A103)*(Raw_Observations!$B$2:$B$250=B103)),Raw_Observations!$K$2:$K$250),"")</f>
        <v/>
      </c>
      <c r="G103" s="10"/>
      <c r="H103" s="10" t="str">
        <f t="shared" ca="1" si="6"/>
        <v/>
      </c>
      <c r="I103" s="9" t="str">
        <f t="shared" ca="1" si="7"/>
        <v/>
      </c>
      <c r="J103" s="10" t="str">
        <f ca="1">IFERROR((I103/LOOKUP(2,1/((Raw_Observations!$A$2:$A$999=A103)*(Raw_Observations!$B$2:$B$999=B103)),Raw_Observations!$D$2:$D$999))^365-1,"")</f>
        <v/>
      </c>
    </row>
    <row r="104" spans="1:10">
      <c r="A104" s="2"/>
      <c r="B104" s="2"/>
      <c r="C104" s="9">
        <f>IFERROR(LOOKUP(2,1/((Raw_Observations!$A$2:$A$250=A104)*(Raw_Observations!$B$2:$B$250=B104)),Raw_Observations!$E$2:$E$250),"")</f>
        <v>0</v>
      </c>
      <c r="D104" s="8">
        <f ca="1">IFERROR(MAX(0,LOOKUP(2,1/((Raw_Observations!$A$2:$A$250=A104)*(Raw_Observations!$B$2:$B$250=B104)),Raw_Observations!$F$2:$F$250)-TODAY()),"")</f>
        <v>0</v>
      </c>
      <c r="E104" s="10" t="str">
        <f ca="1">IF(OR(A104="",B104=""),"",IFERROR(SUMIFS(Bank_Rates!$C$2:$C$100,Bank_Rates!$A$2:$A$100,LOOKUP(2,1/((Raw_Observations!$A$2:$A$250=A104)*(Raw_Observations!$B$2:$B$250=B104)),Raw_Observations!$H$2:$H$250),Bank_Rates!$B$2:$B$100,MAXIFS(Bank_Rates!$B$2:$B$100,Bank_Rates!$A$2:$A$100,LOOKUP(2,1/((Raw_Observations!$A$2:$A$250=A104)*(Raw_Observations!$B$2:$B$250=B104)),Raw_Observations!$H$2:$H$250),Bank_Rates!$B$2:$B$100,"&lt;="&amp;TODAY()),Bank_Rates!$D$2:$D$100,MAXIFS(Bank_Rates!$D$2:$D$100,Bank_Rates!$A$2:$A$100,LOOKUP(2,1/((Raw_Observations!$A$2:$A$250=A104)*(Raw_Observations!$B$2:$B$250=B104)),Raw_Observations!$H$2:$H$250),Bank_Rates!$B$2:$B$100,MAXIFS(Bank_Rates!$B$2:$B$100,Bank_Rates!$A$2:$A$100,LOOKUP(2,1/((Raw_Observations!$A$2:$A$250=A104)*(Raw_Observations!$B$2:$B$250=B104)),Raw_Observations!$H$2:$H$250),Bank_Rates!$B$2:$B$100,"&lt;="&amp;TODAY()),Bank_Rates!$D$2:$D$100,"&lt;="&amp;D104)),"No Match"))</f>
        <v/>
      </c>
      <c r="F104" s="10" t="str">
        <f>IFERROR(LOOKUP(2,1/((Raw_Observations!$A$2:$A$250=A104)*(Raw_Observations!$B$2:$B$250=B104)),Raw_Observations!$K$2:$K$250),"")</f>
        <v/>
      </c>
      <c r="G104" s="10"/>
      <c r="H104" s="10" t="str">
        <f t="shared" ca="1" si="6"/>
        <v/>
      </c>
      <c r="I104" s="9" t="str">
        <f t="shared" ca="1" si="7"/>
        <v/>
      </c>
      <c r="J104" s="10" t="str">
        <f ca="1">IFERROR((I104/LOOKUP(2,1/((Raw_Observations!$A$2:$A$999=A104)*(Raw_Observations!$B$2:$B$999=B104)),Raw_Observations!$D$2:$D$999))^365-1,"")</f>
        <v/>
      </c>
    </row>
    <row r="105" spans="1:10">
      <c r="A105" s="2"/>
      <c r="B105" s="2"/>
      <c r="C105" s="9">
        <f>IFERROR(LOOKUP(2,1/((Raw_Observations!$A$2:$A$250=A105)*(Raw_Observations!$B$2:$B$250=B105)),Raw_Observations!$E$2:$E$250),"")</f>
        <v>0</v>
      </c>
      <c r="D105" s="8">
        <f ca="1">IFERROR(MAX(0,LOOKUP(2,1/((Raw_Observations!$A$2:$A$250=A105)*(Raw_Observations!$B$2:$B$250=B105)),Raw_Observations!$F$2:$F$250)-TODAY()),"")</f>
        <v>0</v>
      </c>
      <c r="E105" s="10" t="str">
        <f ca="1">IF(OR(A105="",B105=""),"",IFERROR(SUMIFS(Bank_Rates!$C$2:$C$100,Bank_Rates!$A$2:$A$100,LOOKUP(2,1/((Raw_Observations!$A$2:$A$250=A105)*(Raw_Observations!$B$2:$B$250=B105)),Raw_Observations!$H$2:$H$250),Bank_Rates!$B$2:$B$100,MAXIFS(Bank_Rates!$B$2:$B$100,Bank_Rates!$A$2:$A$100,LOOKUP(2,1/((Raw_Observations!$A$2:$A$250=A105)*(Raw_Observations!$B$2:$B$250=B105)),Raw_Observations!$H$2:$H$250),Bank_Rates!$B$2:$B$100,"&lt;="&amp;TODAY()),Bank_Rates!$D$2:$D$100,MAXIFS(Bank_Rates!$D$2:$D$100,Bank_Rates!$A$2:$A$100,LOOKUP(2,1/((Raw_Observations!$A$2:$A$250=A105)*(Raw_Observations!$B$2:$B$250=B105)),Raw_Observations!$H$2:$H$250),Bank_Rates!$B$2:$B$100,MAXIFS(Bank_Rates!$B$2:$B$100,Bank_Rates!$A$2:$A$100,LOOKUP(2,1/((Raw_Observations!$A$2:$A$250=A105)*(Raw_Observations!$B$2:$B$250=B105)),Raw_Observations!$H$2:$H$250),Bank_Rates!$B$2:$B$100,"&lt;="&amp;TODAY()),Bank_Rates!$D$2:$D$100,"&lt;="&amp;D105)),"No Match"))</f>
        <v/>
      </c>
      <c r="F105" s="10" t="str">
        <f>IFERROR(LOOKUP(2,1/((Raw_Observations!$A$2:$A$250=A105)*(Raw_Observations!$B$2:$B$250=B105)),Raw_Observations!$K$2:$K$250),"")</f>
        <v/>
      </c>
      <c r="G105" s="10"/>
      <c r="H105" s="10" t="str">
        <f t="shared" ca="1" si="6"/>
        <v/>
      </c>
      <c r="I105" s="9" t="str">
        <f t="shared" ca="1" si="7"/>
        <v/>
      </c>
      <c r="J105" s="10" t="str">
        <f ca="1">IFERROR((I105/LOOKUP(2,1/((Raw_Observations!$A$2:$A$999=A105)*(Raw_Observations!$B$2:$B$999=B105)),Raw_Observations!$D$2:$D$999))^365-1,"")</f>
        <v/>
      </c>
    </row>
    <row r="106" spans="1:10">
      <c r="A106" s="2"/>
      <c r="B106" s="2"/>
      <c r="C106" s="9">
        <f>IFERROR(LOOKUP(2,1/((Raw_Observations!$A$2:$A$250=A106)*(Raw_Observations!$B$2:$B$250=B106)),Raw_Observations!$E$2:$E$250),"")</f>
        <v>0</v>
      </c>
      <c r="D106" s="8">
        <f ca="1">IFERROR(MAX(0,LOOKUP(2,1/((Raw_Observations!$A$2:$A$250=A106)*(Raw_Observations!$B$2:$B$250=B106)),Raw_Observations!$F$2:$F$250)-TODAY()),"")</f>
        <v>0</v>
      </c>
      <c r="E106" s="10" t="str">
        <f ca="1">IF(OR(A106="",B106=""),"",IFERROR(SUMIFS(Bank_Rates!$C$2:$C$100,Bank_Rates!$A$2:$A$100,LOOKUP(2,1/((Raw_Observations!$A$2:$A$250=A106)*(Raw_Observations!$B$2:$B$250=B106)),Raw_Observations!$H$2:$H$250),Bank_Rates!$B$2:$B$100,MAXIFS(Bank_Rates!$B$2:$B$100,Bank_Rates!$A$2:$A$100,LOOKUP(2,1/((Raw_Observations!$A$2:$A$250=A106)*(Raw_Observations!$B$2:$B$250=B106)),Raw_Observations!$H$2:$H$250),Bank_Rates!$B$2:$B$100,"&lt;="&amp;TODAY()),Bank_Rates!$D$2:$D$100,MAXIFS(Bank_Rates!$D$2:$D$100,Bank_Rates!$A$2:$A$100,LOOKUP(2,1/((Raw_Observations!$A$2:$A$250=A106)*(Raw_Observations!$B$2:$B$250=B106)),Raw_Observations!$H$2:$H$250),Bank_Rates!$B$2:$B$100,MAXIFS(Bank_Rates!$B$2:$B$100,Bank_Rates!$A$2:$A$100,LOOKUP(2,1/((Raw_Observations!$A$2:$A$250=A106)*(Raw_Observations!$B$2:$B$250=B106)),Raw_Observations!$H$2:$H$250),Bank_Rates!$B$2:$B$100,"&lt;="&amp;TODAY()),Bank_Rates!$D$2:$D$100,"&lt;="&amp;D106)),"No Match"))</f>
        <v/>
      </c>
      <c r="F106" s="10" t="str">
        <f>IFERROR(LOOKUP(2,1/((Raw_Observations!$A$2:$A$250=A106)*(Raw_Observations!$B$2:$B$250=B106)),Raw_Observations!$K$2:$K$250),"")</f>
        <v/>
      </c>
      <c r="G106" s="10"/>
      <c r="H106" s="10" t="str">
        <f t="shared" ca="1" si="6"/>
        <v/>
      </c>
      <c r="I106" s="9" t="str">
        <f t="shared" ca="1" si="7"/>
        <v/>
      </c>
      <c r="J106" s="10" t="str">
        <f ca="1">IFERROR((I106/LOOKUP(2,1/((Raw_Observations!$A$2:$A$999=A106)*(Raw_Observations!$B$2:$B$999=B106)),Raw_Observations!$D$2:$D$999))^365-1,"")</f>
        <v/>
      </c>
    </row>
    <row r="107" spans="1:10">
      <c r="A107" s="2"/>
      <c r="B107" s="2"/>
      <c r="C107" s="9">
        <f>IFERROR(LOOKUP(2,1/((Raw_Observations!$A$2:$A$250=A107)*(Raw_Observations!$B$2:$B$250=B107)),Raw_Observations!$E$2:$E$250),"")</f>
        <v>0</v>
      </c>
      <c r="D107" s="8">
        <f ca="1">IFERROR(MAX(0,LOOKUP(2,1/((Raw_Observations!$A$2:$A$250=A107)*(Raw_Observations!$B$2:$B$250=B107)),Raw_Observations!$F$2:$F$250)-TODAY()),"")</f>
        <v>0</v>
      </c>
      <c r="E107" s="10" t="str">
        <f ca="1">IF(OR(A107="",B107=""),"",IFERROR(SUMIFS(Bank_Rates!$C$2:$C$100,Bank_Rates!$A$2:$A$100,LOOKUP(2,1/((Raw_Observations!$A$2:$A$250=A107)*(Raw_Observations!$B$2:$B$250=B107)),Raw_Observations!$H$2:$H$250),Bank_Rates!$B$2:$B$100,MAXIFS(Bank_Rates!$B$2:$B$100,Bank_Rates!$A$2:$A$100,LOOKUP(2,1/((Raw_Observations!$A$2:$A$250=A107)*(Raw_Observations!$B$2:$B$250=B107)),Raw_Observations!$H$2:$H$250),Bank_Rates!$B$2:$B$100,"&lt;="&amp;TODAY()),Bank_Rates!$D$2:$D$100,MAXIFS(Bank_Rates!$D$2:$D$100,Bank_Rates!$A$2:$A$100,LOOKUP(2,1/((Raw_Observations!$A$2:$A$250=A107)*(Raw_Observations!$B$2:$B$250=B107)),Raw_Observations!$H$2:$H$250),Bank_Rates!$B$2:$B$100,MAXIFS(Bank_Rates!$B$2:$B$100,Bank_Rates!$A$2:$A$100,LOOKUP(2,1/((Raw_Observations!$A$2:$A$250=A107)*(Raw_Observations!$B$2:$B$250=B107)),Raw_Observations!$H$2:$H$250),Bank_Rates!$B$2:$B$100,"&lt;="&amp;TODAY()),Bank_Rates!$D$2:$D$100,"&lt;="&amp;D107)),"No Match"))</f>
        <v/>
      </c>
      <c r="F107" s="10" t="str">
        <f>IFERROR(LOOKUP(2,1/((Raw_Observations!$A$2:$A$250=A107)*(Raw_Observations!$B$2:$B$250=B107)),Raw_Observations!$K$2:$K$250),"")</f>
        <v/>
      </c>
      <c r="G107" s="10"/>
      <c r="H107" s="10" t="str">
        <f t="shared" ca="1" si="6"/>
        <v/>
      </c>
      <c r="I107" s="9" t="str">
        <f t="shared" ca="1" si="7"/>
        <v/>
      </c>
      <c r="J107" s="10" t="str">
        <f ca="1">IFERROR((I107/LOOKUP(2,1/((Raw_Observations!$A$2:$A$999=A107)*(Raw_Observations!$B$2:$B$999=B107)),Raw_Observations!$D$2:$D$999))^365-1,"")</f>
        <v/>
      </c>
    </row>
    <row r="108" spans="1:10">
      <c r="A108" s="2"/>
      <c r="B108" s="2"/>
      <c r="C108" s="9">
        <f>IFERROR(LOOKUP(2,1/((Raw_Observations!$A$2:$A$250=A108)*(Raw_Observations!$B$2:$B$250=B108)),Raw_Observations!$E$2:$E$250),"")</f>
        <v>0</v>
      </c>
      <c r="D108" s="8">
        <f ca="1">IFERROR(MAX(0,LOOKUP(2,1/((Raw_Observations!$A$2:$A$250=A108)*(Raw_Observations!$B$2:$B$250=B108)),Raw_Observations!$F$2:$F$250)-TODAY()),"")</f>
        <v>0</v>
      </c>
      <c r="E108" s="10" t="str">
        <f ca="1">IF(OR(A108="",B108=""),"",IFERROR(SUMIFS(Bank_Rates!$C$2:$C$100,Bank_Rates!$A$2:$A$100,LOOKUP(2,1/((Raw_Observations!$A$2:$A$250=A108)*(Raw_Observations!$B$2:$B$250=B108)),Raw_Observations!$H$2:$H$250),Bank_Rates!$B$2:$B$100,MAXIFS(Bank_Rates!$B$2:$B$100,Bank_Rates!$A$2:$A$100,LOOKUP(2,1/((Raw_Observations!$A$2:$A$250=A108)*(Raw_Observations!$B$2:$B$250=B108)),Raw_Observations!$H$2:$H$250),Bank_Rates!$B$2:$B$100,"&lt;="&amp;TODAY()),Bank_Rates!$D$2:$D$100,MAXIFS(Bank_Rates!$D$2:$D$100,Bank_Rates!$A$2:$A$100,LOOKUP(2,1/((Raw_Observations!$A$2:$A$250=A108)*(Raw_Observations!$B$2:$B$250=B108)),Raw_Observations!$H$2:$H$250),Bank_Rates!$B$2:$B$100,MAXIFS(Bank_Rates!$B$2:$B$100,Bank_Rates!$A$2:$A$100,LOOKUP(2,1/((Raw_Observations!$A$2:$A$250=A108)*(Raw_Observations!$B$2:$B$250=B108)),Raw_Observations!$H$2:$H$250),Bank_Rates!$B$2:$B$100,"&lt;="&amp;TODAY()),Bank_Rates!$D$2:$D$100,"&lt;="&amp;D108)),"No Match"))</f>
        <v/>
      </c>
      <c r="F108" s="10" t="str">
        <f>IFERROR(LOOKUP(2,1/((Raw_Observations!$A$2:$A$250=A108)*(Raw_Observations!$B$2:$B$250=B108)),Raw_Observations!$K$2:$K$250),"")</f>
        <v/>
      </c>
      <c r="G108" s="10"/>
      <c r="H108" s="10" t="str">
        <f t="shared" ca="1" si="6"/>
        <v/>
      </c>
      <c r="I108" s="9" t="str">
        <f t="shared" ca="1" si="7"/>
        <v/>
      </c>
      <c r="J108" s="10" t="str">
        <f ca="1">IFERROR((I108/LOOKUP(2,1/((Raw_Observations!$A$2:$A$999=A108)*(Raw_Observations!$B$2:$B$999=B108)),Raw_Observations!$D$2:$D$999))^365-1,"")</f>
        <v/>
      </c>
    </row>
    <row r="109" spans="1:10">
      <c r="A109" s="2"/>
      <c r="B109" s="2"/>
      <c r="C109" s="9">
        <f>IFERROR(LOOKUP(2,1/((Raw_Observations!$A$2:$A$250=A109)*(Raw_Observations!$B$2:$B$250=B109)),Raw_Observations!$E$2:$E$250),"")</f>
        <v>0</v>
      </c>
      <c r="D109" s="8">
        <f ca="1">IFERROR(MAX(0,LOOKUP(2,1/((Raw_Observations!$A$2:$A$250=A109)*(Raw_Observations!$B$2:$B$250=B109)),Raw_Observations!$F$2:$F$250)-TODAY()),"")</f>
        <v>0</v>
      </c>
      <c r="E109" s="10" t="str">
        <f ca="1">IF(OR(A109="",B109=""),"",IFERROR(SUMIFS(Bank_Rates!$C$2:$C$100,Bank_Rates!$A$2:$A$100,LOOKUP(2,1/((Raw_Observations!$A$2:$A$250=A109)*(Raw_Observations!$B$2:$B$250=B109)),Raw_Observations!$H$2:$H$250),Bank_Rates!$B$2:$B$100,MAXIFS(Bank_Rates!$B$2:$B$100,Bank_Rates!$A$2:$A$100,LOOKUP(2,1/((Raw_Observations!$A$2:$A$250=A109)*(Raw_Observations!$B$2:$B$250=B109)),Raw_Observations!$H$2:$H$250),Bank_Rates!$B$2:$B$100,"&lt;="&amp;TODAY()),Bank_Rates!$D$2:$D$100,MAXIFS(Bank_Rates!$D$2:$D$100,Bank_Rates!$A$2:$A$100,LOOKUP(2,1/((Raw_Observations!$A$2:$A$250=A109)*(Raw_Observations!$B$2:$B$250=B109)),Raw_Observations!$H$2:$H$250),Bank_Rates!$B$2:$B$100,MAXIFS(Bank_Rates!$B$2:$B$100,Bank_Rates!$A$2:$A$100,LOOKUP(2,1/((Raw_Observations!$A$2:$A$250=A109)*(Raw_Observations!$B$2:$B$250=B109)),Raw_Observations!$H$2:$H$250),Bank_Rates!$B$2:$B$100,"&lt;="&amp;TODAY()),Bank_Rates!$D$2:$D$100,"&lt;="&amp;D109)),"No Match"))</f>
        <v/>
      </c>
      <c r="F109" s="10" t="str">
        <f>IFERROR(LOOKUP(2,1/((Raw_Observations!$A$2:$A$250=A109)*(Raw_Observations!$B$2:$B$250=B109)),Raw_Observations!$K$2:$K$250),"")</f>
        <v/>
      </c>
      <c r="G109" s="10"/>
      <c r="H109" s="10" t="str">
        <f t="shared" ca="1" si="6"/>
        <v/>
      </c>
      <c r="I109" s="9" t="str">
        <f t="shared" ca="1" si="7"/>
        <v/>
      </c>
      <c r="J109" s="10" t="str">
        <f ca="1">IFERROR((I109/LOOKUP(2,1/((Raw_Observations!$A$2:$A$999=A109)*(Raw_Observations!$B$2:$B$999=B109)),Raw_Observations!$D$2:$D$999))^365-1,"")</f>
        <v/>
      </c>
    </row>
    <row r="110" spans="1:10">
      <c r="A110" s="2"/>
      <c r="B110" s="2"/>
      <c r="C110" s="9">
        <f>IFERROR(LOOKUP(2,1/((Raw_Observations!$A$2:$A$250=A110)*(Raw_Observations!$B$2:$B$250=B110)),Raw_Observations!$E$2:$E$250),"")</f>
        <v>0</v>
      </c>
      <c r="D110" s="8">
        <f ca="1">IFERROR(MAX(0,LOOKUP(2,1/((Raw_Observations!$A$2:$A$250=A110)*(Raw_Observations!$B$2:$B$250=B110)),Raw_Observations!$F$2:$F$250)-TODAY()),"")</f>
        <v>0</v>
      </c>
      <c r="E110" s="10" t="str">
        <f ca="1">IF(OR(A110="",B110=""),"",IFERROR(SUMIFS(Bank_Rates!$C$2:$C$100,Bank_Rates!$A$2:$A$100,LOOKUP(2,1/((Raw_Observations!$A$2:$A$250=A110)*(Raw_Observations!$B$2:$B$250=B110)),Raw_Observations!$H$2:$H$250),Bank_Rates!$B$2:$B$100,MAXIFS(Bank_Rates!$B$2:$B$100,Bank_Rates!$A$2:$A$100,LOOKUP(2,1/((Raw_Observations!$A$2:$A$250=A110)*(Raw_Observations!$B$2:$B$250=B110)),Raw_Observations!$H$2:$H$250),Bank_Rates!$B$2:$B$100,"&lt;="&amp;TODAY()),Bank_Rates!$D$2:$D$100,MAXIFS(Bank_Rates!$D$2:$D$100,Bank_Rates!$A$2:$A$100,LOOKUP(2,1/((Raw_Observations!$A$2:$A$250=A110)*(Raw_Observations!$B$2:$B$250=B110)),Raw_Observations!$H$2:$H$250),Bank_Rates!$B$2:$B$100,MAXIFS(Bank_Rates!$B$2:$B$100,Bank_Rates!$A$2:$A$100,LOOKUP(2,1/((Raw_Observations!$A$2:$A$250=A110)*(Raw_Observations!$B$2:$B$250=B110)),Raw_Observations!$H$2:$H$250),Bank_Rates!$B$2:$B$100,"&lt;="&amp;TODAY()),Bank_Rates!$D$2:$D$100,"&lt;="&amp;D110)),"No Match"))</f>
        <v/>
      </c>
      <c r="F110" s="10" t="str">
        <f>IFERROR(LOOKUP(2,1/((Raw_Observations!$A$2:$A$250=A110)*(Raw_Observations!$B$2:$B$250=B110)),Raw_Observations!$K$2:$K$250),"")</f>
        <v/>
      </c>
      <c r="G110" s="10"/>
      <c r="H110" s="10" t="str">
        <f t="shared" ca="1" si="6"/>
        <v/>
      </c>
      <c r="I110" s="9" t="str">
        <f t="shared" ca="1" si="7"/>
        <v/>
      </c>
      <c r="J110" s="10" t="str">
        <f ca="1">IFERROR((I110/LOOKUP(2,1/((Raw_Observations!$A$2:$A$999=A110)*(Raw_Observations!$B$2:$B$999=B110)),Raw_Observations!$D$2:$D$999))^365-1,"")</f>
        <v/>
      </c>
    </row>
    <row r="111" spans="1:10">
      <c r="A111" s="2"/>
      <c r="B111" s="2"/>
      <c r="C111" s="9">
        <f>IFERROR(LOOKUP(2,1/((Raw_Observations!$A$2:$A$250=A111)*(Raw_Observations!$B$2:$B$250=B111)),Raw_Observations!$E$2:$E$250),"")</f>
        <v>0</v>
      </c>
      <c r="D111" s="8">
        <f ca="1">IFERROR(MAX(0,LOOKUP(2,1/((Raw_Observations!$A$2:$A$250=A111)*(Raw_Observations!$B$2:$B$250=B111)),Raw_Observations!$F$2:$F$250)-TODAY()),"")</f>
        <v>0</v>
      </c>
      <c r="E111" s="10" t="str">
        <f ca="1">IF(OR(A111="",B111=""),"",IFERROR(SUMIFS(Bank_Rates!$C$2:$C$100,Bank_Rates!$A$2:$A$100,LOOKUP(2,1/((Raw_Observations!$A$2:$A$250=A111)*(Raw_Observations!$B$2:$B$250=B111)),Raw_Observations!$H$2:$H$250),Bank_Rates!$B$2:$B$100,MAXIFS(Bank_Rates!$B$2:$B$100,Bank_Rates!$A$2:$A$100,LOOKUP(2,1/((Raw_Observations!$A$2:$A$250=A111)*(Raw_Observations!$B$2:$B$250=B111)),Raw_Observations!$H$2:$H$250),Bank_Rates!$B$2:$B$100,"&lt;="&amp;TODAY()),Bank_Rates!$D$2:$D$100,MAXIFS(Bank_Rates!$D$2:$D$100,Bank_Rates!$A$2:$A$100,LOOKUP(2,1/((Raw_Observations!$A$2:$A$250=A111)*(Raw_Observations!$B$2:$B$250=B111)),Raw_Observations!$H$2:$H$250),Bank_Rates!$B$2:$B$100,MAXIFS(Bank_Rates!$B$2:$B$100,Bank_Rates!$A$2:$A$100,LOOKUP(2,1/((Raw_Observations!$A$2:$A$250=A111)*(Raw_Observations!$B$2:$B$250=B111)),Raw_Observations!$H$2:$H$250),Bank_Rates!$B$2:$B$100,"&lt;="&amp;TODAY()),Bank_Rates!$D$2:$D$100,"&lt;="&amp;D111)),"No Match"))</f>
        <v/>
      </c>
      <c r="F111" s="10" t="str">
        <f>IFERROR(LOOKUP(2,1/((Raw_Observations!$A$2:$A$250=A111)*(Raw_Observations!$B$2:$B$250=B111)),Raw_Observations!$K$2:$K$250),"")</f>
        <v/>
      </c>
      <c r="G111" s="10"/>
      <c r="H111" s="10" t="str">
        <f t="shared" ca="1" si="6"/>
        <v/>
      </c>
      <c r="I111" s="9" t="str">
        <f t="shared" ca="1" si="7"/>
        <v/>
      </c>
      <c r="J111" s="10" t="str">
        <f ca="1">IFERROR((I111/LOOKUP(2,1/((Raw_Observations!$A$2:$A$999=A111)*(Raw_Observations!$B$2:$B$999=B111)),Raw_Observations!$D$2:$D$999))^365-1,"")</f>
        <v/>
      </c>
    </row>
    <row r="112" spans="1:10">
      <c r="A112" s="2"/>
      <c r="B112" s="2"/>
      <c r="C112" s="9">
        <f>IFERROR(LOOKUP(2,1/((Raw_Observations!$A$2:$A$250=A112)*(Raw_Observations!$B$2:$B$250=B112)),Raw_Observations!$E$2:$E$250),"")</f>
        <v>0</v>
      </c>
      <c r="D112" s="8">
        <f ca="1">IFERROR(MAX(0,LOOKUP(2,1/((Raw_Observations!$A$2:$A$250=A112)*(Raw_Observations!$B$2:$B$250=B112)),Raw_Observations!$F$2:$F$250)-TODAY()),"")</f>
        <v>0</v>
      </c>
      <c r="E112" s="10" t="str">
        <f ca="1">IF(OR(A112="",B112=""),"",IFERROR(SUMIFS(Bank_Rates!$C$2:$C$100,Bank_Rates!$A$2:$A$100,LOOKUP(2,1/((Raw_Observations!$A$2:$A$250=A112)*(Raw_Observations!$B$2:$B$250=B112)),Raw_Observations!$H$2:$H$250),Bank_Rates!$B$2:$B$100,MAXIFS(Bank_Rates!$B$2:$B$100,Bank_Rates!$A$2:$A$100,LOOKUP(2,1/((Raw_Observations!$A$2:$A$250=A112)*(Raw_Observations!$B$2:$B$250=B112)),Raw_Observations!$H$2:$H$250),Bank_Rates!$B$2:$B$100,"&lt;="&amp;TODAY()),Bank_Rates!$D$2:$D$100,MAXIFS(Bank_Rates!$D$2:$D$100,Bank_Rates!$A$2:$A$100,LOOKUP(2,1/((Raw_Observations!$A$2:$A$250=A112)*(Raw_Observations!$B$2:$B$250=B112)),Raw_Observations!$H$2:$H$250),Bank_Rates!$B$2:$B$100,MAXIFS(Bank_Rates!$B$2:$B$100,Bank_Rates!$A$2:$A$100,LOOKUP(2,1/((Raw_Observations!$A$2:$A$250=A112)*(Raw_Observations!$B$2:$B$250=B112)),Raw_Observations!$H$2:$H$250),Bank_Rates!$B$2:$B$100,"&lt;="&amp;TODAY()),Bank_Rates!$D$2:$D$100,"&lt;="&amp;D112)),"No Match"))</f>
        <v/>
      </c>
      <c r="F112" s="10" t="str">
        <f>IFERROR(LOOKUP(2,1/((Raw_Observations!$A$2:$A$250=A112)*(Raw_Observations!$B$2:$B$250=B112)),Raw_Observations!$K$2:$K$250),"")</f>
        <v/>
      </c>
      <c r="G112" s="10"/>
      <c r="H112" s="10" t="str">
        <f t="shared" ca="1" si="6"/>
        <v/>
      </c>
      <c r="I112" s="9" t="str">
        <f t="shared" ca="1" si="7"/>
        <v/>
      </c>
      <c r="J112" s="10" t="str">
        <f ca="1">IFERROR((I112/LOOKUP(2,1/((Raw_Observations!$A$2:$A$999=A112)*(Raw_Observations!$B$2:$B$999=B112)),Raw_Observations!$D$2:$D$999))^365-1,"")</f>
        <v/>
      </c>
    </row>
    <row r="113" spans="1:10">
      <c r="A113" s="2"/>
      <c r="B113" s="2"/>
      <c r="C113" s="9">
        <f>IFERROR(LOOKUP(2,1/((Raw_Observations!$A$2:$A$250=A113)*(Raw_Observations!$B$2:$B$250=B113)),Raw_Observations!$E$2:$E$250),"")</f>
        <v>0</v>
      </c>
      <c r="D113" s="8">
        <f ca="1">IFERROR(MAX(0,LOOKUP(2,1/((Raw_Observations!$A$2:$A$250=A113)*(Raw_Observations!$B$2:$B$250=B113)),Raw_Observations!$F$2:$F$250)-TODAY()),"")</f>
        <v>0</v>
      </c>
      <c r="E113" s="10" t="str">
        <f ca="1">IF(OR(A113="",B113=""),"",IFERROR(SUMIFS(Bank_Rates!$C$2:$C$100,Bank_Rates!$A$2:$A$100,LOOKUP(2,1/((Raw_Observations!$A$2:$A$250=A113)*(Raw_Observations!$B$2:$B$250=B113)),Raw_Observations!$H$2:$H$250),Bank_Rates!$B$2:$B$100,MAXIFS(Bank_Rates!$B$2:$B$100,Bank_Rates!$A$2:$A$100,LOOKUP(2,1/((Raw_Observations!$A$2:$A$250=A113)*(Raw_Observations!$B$2:$B$250=B113)),Raw_Observations!$H$2:$H$250),Bank_Rates!$B$2:$B$100,"&lt;="&amp;TODAY()),Bank_Rates!$D$2:$D$100,MAXIFS(Bank_Rates!$D$2:$D$100,Bank_Rates!$A$2:$A$100,LOOKUP(2,1/((Raw_Observations!$A$2:$A$250=A113)*(Raw_Observations!$B$2:$B$250=B113)),Raw_Observations!$H$2:$H$250),Bank_Rates!$B$2:$B$100,MAXIFS(Bank_Rates!$B$2:$B$100,Bank_Rates!$A$2:$A$100,LOOKUP(2,1/((Raw_Observations!$A$2:$A$250=A113)*(Raw_Observations!$B$2:$B$250=B113)),Raw_Observations!$H$2:$H$250),Bank_Rates!$B$2:$B$100,"&lt;="&amp;TODAY()),Bank_Rates!$D$2:$D$100,"&lt;="&amp;D113)),"No Match"))</f>
        <v/>
      </c>
      <c r="F113" s="10" t="str">
        <f>IFERROR(LOOKUP(2,1/((Raw_Observations!$A$2:$A$250=A113)*(Raw_Observations!$B$2:$B$250=B113)),Raw_Observations!$K$2:$K$250),"")</f>
        <v/>
      </c>
      <c r="G113" s="10"/>
      <c r="H113" s="10" t="str">
        <f t="shared" ca="1" si="6"/>
        <v/>
      </c>
      <c r="I113" s="9" t="str">
        <f t="shared" ca="1" si="7"/>
        <v/>
      </c>
      <c r="J113" s="10" t="str">
        <f ca="1">IFERROR((I113/LOOKUP(2,1/((Raw_Observations!$A$2:$A$999=A113)*(Raw_Observations!$B$2:$B$999=B113)),Raw_Observations!$D$2:$D$999))^365-1,"")</f>
        <v/>
      </c>
    </row>
    <row r="114" spans="1:10">
      <c r="A114" s="2"/>
      <c r="B114" s="2"/>
      <c r="C114" s="9">
        <f>IFERROR(LOOKUP(2,1/((Raw_Observations!$A$2:$A$250=A114)*(Raw_Observations!$B$2:$B$250=B114)),Raw_Observations!$E$2:$E$250),"")</f>
        <v>0</v>
      </c>
      <c r="D114" s="8">
        <f ca="1">IFERROR(MAX(0,LOOKUP(2,1/((Raw_Observations!$A$2:$A$250=A114)*(Raw_Observations!$B$2:$B$250=B114)),Raw_Observations!$F$2:$F$250)-TODAY()),"")</f>
        <v>0</v>
      </c>
      <c r="E114" s="10" t="str">
        <f ca="1">IF(OR(A114="",B114=""),"",IFERROR(SUMIFS(Bank_Rates!$C$2:$C$100,Bank_Rates!$A$2:$A$100,LOOKUP(2,1/((Raw_Observations!$A$2:$A$250=A114)*(Raw_Observations!$B$2:$B$250=B114)),Raw_Observations!$H$2:$H$250),Bank_Rates!$B$2:$B$100,MAXIFS(Bank_Rates!$B$2:$B$100,Bank_Rates!$A$2:$A$100,LOOKUP(2,1/((Raw_Observations!$A$2:$A$250=A114)*(Raw_Observations!$B$2:$B$250=B114)),Raw_Observations!$H$2:$H$250),Bank_Rates!$B$2:$B$100,"&lt;="&amp;TODAY()),Bank_Rates!$D$2:$D$100,MAXIFS(Bank_Rates!$D$2:$D$100,Bank_Rates!$A$2:$A$100,LOOKUP(2,1/((Raw_Observations!$A$2:$A$250=A114)*(Raw_Observations!$B$2:$B$250=B114)),Raw_Observations!$H$2:$H$250),Bank_Rates!$B$2:$B$100,MAXIFS(Bank_Rates!$B$2:$B$100,Bank_Rates!$A$2:$A$100,LOOKUP(2,1/((Raw_Observations!$A$2:$A$250=A114)*(Raw_Observations!$B$2:$B$250=B114)),Raw_Observations!$H$2:$H$250),Bank_Rates!$B$2:$B$100,"&lt;="&amp;TODAY()),Bank_Rates!$D$2:$D$100,"&lt;="&amp;D114)),"No Match"))</f>
        <v/>
      </c>
      <c r="F114" s="10" t="str">
        <f>IFERROR(LOOKUP(2,1/((Raw_Observations!$A$2:$A$250=A114)*(Raw_Observations!$B$2:$B$250=B114)),Raw_Observations!$K$2:$K$250),"")</f>
        <v/>
      </c>
      <c r="G114" s="10"/>
      <c r="H114" s="10" t="str">
        <f t="shared" ca="1" si="6"/>
        <v/>
      </c>
      <c r="I114" s="9" t="str">
        <f t="shared" ca="1" si="7"/>
        <v/>
      </c>
      <c r="J114" s="10" t="str">
        <f ca="1">IFERROR((I114/LOOKUP(2,1/((Raw_Observations!$A$2:$A$999=A114)*(Raw_Observations!$B$2:$B$999=B114)),Raw_Observations!$D$2:$D$999))^365-1,"")</f>
        <v/>
      </c>
    </row>
    <row r="115" spans="1:10">
      <c r="A115" s="2"/>
      <c r="B115" s="2"/>
      <c r="C115" s="9">
        <f>IFERROR(LOOKUP(2,1/((Raw_Observations!$A$2:$A$250=A115)*(Raw_Observations!$B$2:$B$250=B115)),Raw_Observations!$E$2:$E$250),"")</f>
        <v>0</v>
      </c>
      <c r="D115" s="8">
        <f ca="1">IFERROR(MAX(0,LOOKUP(2,1/((Raw_Observations!$A$2:$A$250=A115)*(Raw_Observations!$B$2:$B$250=B115)),Raw_Observations!$F$2:$F$250)-TODAY()),"")</f>
        <v>0</v>
      </c>
      <c r="E115" s="10" t="str">
        <f ca="1">IF(OR(A115="",B115=""),"",IFERROR(SUMIFS(Bank_Rates!$C$2:$C$100,Bank_Rates!$A$2:$A$100,LOOKUP(2,1/((Raw_Observations!$A$2:$A$250=A115)*(Raw_Observations!$B$2:$B$250=B115)),Raw_Observations!$H$2:$H$250),Bank_Rates!$B$2:$B$100,MAXIFS(Bank_Rates!$B$2:$B$100,Bank_Rates!$A$2:$A$100,LOOKUP(2,1/((Raw_Observations!$A$2:$A$250=A115)*(Raw_Observations!$B$2:$B$250=B115)),Raw_Observations!$H$2:$H$250),Bank_Rates!$B$2:$B$100,"&lt;="&amp;TODAY()),Bank_Rates!$D$2:$D$100,MAXIFS(Bank_Rates!$D$2:$D$100,Bank_Rates!$A$2:$A$100,LOOKUP(2,1/((Raw_Observations!$A$2:$A$250=A115)*(Raw_Observations!$B$2:$B$250=B115)),Raw_Observations!$H$2:$H$250),Bank_Rates!$B$2:$B$100,MAXIFS(Bank_Rates!$B$2:$B$100,Bank_Rates!$A$2:$A$100,LOOKUP(2,1/((Raw_Observations!$A$2:$A$250=A115)*(Raw_Observations!$B$2:$B$250=B115)),Raw_Observations!$H$2:$H$250),Bank_Rates!$B$2:$B$100,"&lt;="&amp;TODAY()),Bank_Rates!$D$2:$D$100,"&lt;="&amp;D115)),"No Match"))</f>
        <v/>
      </c>
      <c r="F115" s="10" t="str">
        <f>IFERROR(LOOKUP(2,1/((Raw_Observations!$A$2:$A$250=A115)*(Raw_Observations!$B$2:$B$250=B115)),Raw_Observations!$K$2:$K$250),"")</f>
        <v/>
      </c>
      <c r="G115" s="10"/>
      <c r="H115" s="10" t="str">
        <f t="shared" ca="1" si="6"/>
        <v/>
      </c>
      <c r="I115" s="9" t="str">
        <f t="shared" ca="1" si="7"/>
        <v/>
      </c>
      <c r="J115" s="10" t="str">
        <f ca="1">IFERROR((I115/LOOKUP(2,1/((Raw_Observations!$A$2:$A$999=A115)*(Raw_Observations!$B$2:$B$999=B115)),Raw_Observations!$D$2:$D$999))^365-1,"")</f>
        <v/>
      </c>
    </row>
    <row r="116" spans="1:10">
      <c r="A116" s="2"/>
      <c r="B116" s="2"/>
      <c r="C116" s="9">
        <f>IFERROR(LOOKUP(2,1/((Raw_Observations!$A$2:$A$250=A116)*(Raw_Observations!$B$2:$B$250=B116)),Raw_Observations!$E$2:$E$250),"")</f>
        <v>0</v>
      </c>
      <c r="D116" s="8">
        <f ca="1">IFERROR(MAX(0,LOOKUP(2,1/((Raw_Observations!$A$2:$A$250=A116)*(Raw_Observations!$B$2:$B$250=B116)),Raw_Observations!$F$2:$F$250)-TODAY()),"")</f>
        <v>0</v>
      </c>
      <c r="E116" s="10" t="str">
        <f ca="1">IF(OR(A116="",B116=""),"",IFERROR(SUMIFS(Bank_Rates!$C$2:$C$100,Bank_Rates!$A$2:$A$100,LOOKUP(2,1/((Raw_Observations!$A$2:$A$250=A116)*(Raw_Observations!$B$2:$B$250=B116)),Raw_Observations!$H$2:$H$250),Bank_Rates!$B$2:$B$100,MAXIFS(Bank_Rates!$B$2:$B$100,Bank_Rates!$A$2:$A$100,LOOKUP(2,1/((Raw_Observations!$A$2:$A$250=A116)*(Raw_Observations!$B$2:$B$250=B116)),Raw_Observations!$H$2:$H$250),Bank_Rates!$B$2:$B$100,"&lt;="&amp;TODAY()),Bank_Rates!$D$2:$D$100,MAXIFS(Bank_Rates!$D$2:$D$100,Bank_Rates!$A$2:$A$100,LOOKUP(2,1/((Raw_Observations!$A$2:$A$250=A116)*(Raw_Observations!$B$2:$B$250=B116)),Raw_Observations!$H$2:$H$250),Bank_Rates!$B$2:$B$100,MAXIFS(Bank_Rates!$B$2:$B$100,Bank_Rates!$A$2:$A$100,LOOKUP(2,1/((Raw_Observations!$A$2:$A$250=A116)*(Raw_Observations!$B$2:$B$250=B116)),Raw_Observations!$H$2:$H$250),Bank_Rates!$B$2:$B$100,"&lt;="&amp;TODAY()),Bank_Rates!$D$2:$D$100,"&lt;="&amp;D116)),"No Match"))</f>
        <v/>
      </c>
      <c r="F116" s="10" t="str">
        <f>IFERROR(LOOKUP(2,1/((Raw_Observations!$A$2:$A$250=A116)*(Raw_Observations!$B$2:$B$250=B116)),Raw_Observations!$K$2:$K$250),"")</f>
        <v/>
      </c>
      <c r="G116" s="10"/>
      <c r="H116" s="10" t="str">
        <f t="shared" ca="1" si="6"/>
        <v/>
      </c>
      <c r="I116" s="9" t="str">
        <f t="shared" ca="1" si="7"/>
        <v/>
      </c>
      <c r="J116" s="10" t="str">
        <f ca="1">IFERROR((I116/LOOKUP(2,1/((Raw_Observations!$A$2:$A$999=A116)*(Raw_Observations!$B$2:$B$999=B116)),Raw_Observations!$D$2:$D$999))^365-1,"")</f>
        <v/>
      </c>
    </row>
    <row r="117" spans="1:10">
      <c r="A117" s="2"/>
      <c r="B117" s="2"/>
      <c r="C117" s="9">
        <f>IFERROR(LOOKUP(2,1/((Raw_Observations!$A$2:$A$250=A117)*(Raw_Observations!$B$2:$B$250=B117)),Raw_Observations!$E$2:$E$250),"")</f>
        <v>0</v>
      </c>
      <c r="D117" s="8">
        <f ca="1">IFERROR(MAX(0,LOOKUP(2,1/((Raw_Observations!$A$2:$A$250=A117)*(Raw_Observations!$B$2:$B$250=B117)),Raw_Observations!$F$2:$F$250)-TODAY()),"")</f>
        <v>0</v>
      </c>
      <c r="E117" s="10" t="str">
        <f ca="1">IF(OR(A117="",B117=""),"",IFERROR(SUMIFS(Bank_Rates!$C$2:$C$100,Bank_Rates!$A$2:$A$100,LOOKUP(2,1/((Raw_Observations!$A$2:$A$250=A117)*(Raw_Observations!$B$2:$B$250=B117)),Raw_Observations!$H$2:$H$250),Bank_Rates!$B$2:$B$100,MAXIFS(Bank_Rates!$B$2:$B$100,Bank_Rates!$A$2:$A$100,LOOKUP(2,1/((Raw_Observations!$A$2:$A$250=A117)*(Raw_Observations!$B$2:$B$250=B117)),Raw_Observations!$H$2:$H$250),Bank_Rates!$B$2:$B$100,"&lt;="&amp;TODAY()),Bank_Rates!$D$2:$D$100,MAXIFS(Bank_Rates!$D$2:$D$100,Bank_Rates!$A$2:$A$100,LOOKUP(2,1/((Raw_Observations!$A$2:$A$250=A117)*(Raw_Observations!$B$2:$B$250=B117)),Raw_Observations!$H$2:$H$250),Bank_Rates!$B$2:$B$100,MAXIFS(Bank_Rates!$B$2:$B$100,Bank_Rates!$A$2:$A$100,LOOKUP(2,1/((Raw_Observations!$A$2:$A$250=A117)*(Raw_Observations!$B$2:$B$250=B117)),Raw_Observations!$H$2:$H$250),Bank_Rates!$B$2:$B$100,"&lt;="&amp;TODAY()),Bank_Rates!$D$2:$D$100,"&lt;="&amp;D117)),"No Match"))</f>
        <v/>
      </c>
      <c r="F117" s="10" t="str">
        <f>IFERROR(LOOKUP(2,1/((Raw_Observations!$A$2:$A$250=A117)*(Raw_Observations!$B$2:$B$250=B117)),Raw_Observations!$K$2:$K$250),"")</f>
        <v/>
      </c>
      <c r="G117" s="10"/>
      <c r="H117" s="10" t="str">
        <f t="shared" ca="1" si="6"/>
        <v/>
      </c>
      <c r="I117" s="9" t="str">
        <f t="shared" ca="1" si="7"/>
        <v/>
      </c>
      <c r="J117" s="10" t="str">
        <f ca="1">IFERROR((I117/LOOKUP(2,1/((Raw_Observations!$A$2:$A$999=A117)*(Raw_Observations!$B$2:$B$999=B117)),Raw_Observations!$D$2:$D$999))^365-1,"")</f>
        <v/>
      </c>
    </row>
    <row r="118" spans="1:10">
      <c r="A118" s="2"/>
      <c r="B118" s="2"/>
      <c r="C118" s="9">
        <f>IFERROR(LOOKUP(2,1/((Raw_Observations!$A$2:$A$250=A118)*(Raw_Observations!$B$2:$B$250=B118)),Raw_Observations!$E$2:$E$250),"")</f>
        <v>0</v>
      </c>
      <c r="D118" s="8">
        <f ca="1">IFERROR(MAX(0,LOOKUP(2,1/((Raw_Observations!$A$2:$A$250=A118)*(Raw_Observations!$B$2:$B$250=B118)),Raw_Observations!$F$2:$F$250)-TODAY()),"")</f>
        <v>0</v>
      </c>
      <c r="E118" s="10" t="str">
        <f ca="1">IF(OR(A118="",B118=""),"",IFERROR(SUMIFS(Bank_Rates!$C$2:$C$100,Bank_Rates!$A$2:$A$100,LOOKUP(2,1/((Raw_Observations!$A$2:$A$250=A118)*(Raw_Observations!$B$2:$B$250=B118)),Raw_Observations!$H$2:$H$250),Bank_Rates!$B$2:$B$100,MAXIFS(Bank_Rates!$B$2:$B$100,Bank_Rates!$A$2:$A$100,LOOKUP(2,1/((Raw_Observations!$A$2:$A$250=A118)*(Raw_Observations!$B$2:$B$250=B118)),Raw_Observations!$H$2:$H$250),Bank_Rates!$B$2:$B$100,"&lt;="&amp;TODAY()),Bank_Rates!$D$2:$D$100,MAXIFS(Bank_Rates!$D$2:$D$100,Bank_Rates!$A$2:$A$100,LOOKUP(2,1/((Raw_Observations!$A$2:$A$250=A118)*(Raw_Observations!$B$2:$B$250=B118)),Raw_Observations!$H$2:$H$250),Bank_Rates!$B$2:$B$100,MAXIFS(Bank_Rates!$B$2:$B$100,Bank_Rates!$A$2:$A$100,LOOKUP(2,1/((Raw_Observations!$A$2:$A$250=A118)*(Raw_Observations!$B$2:$B$250=B118)),Raw_Observations!$H$2:$H$250),Bank_Rates!$B$2:$B$100,"&lt;="&amp;TODAY()),Bank_Rates!$D$2:$D$100,"&lt;="&amp;D118)),"No Match"))</f>
        <v/>
      </c>
      <c r="F118" s="10" t="str">
        <f>IFERROR(LOOKUP(2,1/((Raw_Observations!$A$2:$A$250=A118)*(Raw_Observations!$B$2:$B$250=B118)),Raw_Observations!$K$2:$K$250),"")</f>
        <v/>
      </c>
      <c r="G118" s="10"/>
      <c r="H118" s="10" t="str">
        <f t="shared" ca="1" si="6"/>
        <v/>
      </c>
      <c r="I118" s="9" t="str">
        <f t="shared" ca="1" si="7"/>
        <v/>
      </c>
      <c r="J118" s="10" t="str">
        <f ca="1">IFERROR((I118/LOOKUP(2,1/((Raw_Observations!$A$2:$A$999=A118)*(Raw_Observations!$B$2:$B$999=B118)),Raw_Observations!$D$2:$D$999))^365-1,"")</f>
        <v/>
      </c>
    </row>
    <row r="119" spans="1:10">
      <c r="A119" s="2"/>
      <c r="B119" s="2"/>
      <c r="C119" s="9">
        <f>IFERROR(LOOKUP(2,1/((Raw_Observations!$A$2:$A$250=A119)*(Raw_Observations!$B$2:$B$250=B119)),Raw_Observations!$E$2:$E$250),"")</f>
        <v>0</v>
      </c>
      <c r="D119" s="8">
        <f ca="1">IFERROR(MAX(0,LOOKUP(2,1/((Raw_Observations!$A$2:$A$250=A119)*(Raw_Observations!$B$2:$B$250=B119)),Raw_Observations!$F$2:$F$250)-TODAY()),"")</f>
        <v>0</v>
      </c>
      <c r="E119" s="10" t="str">
        <f ca="1">IF(OR(A119="",B119=""),"",IFERROR(SUMIFS(Bank_Rates!$C$2:$C$100,Bank_Rates!$A$2:$A$100,LOOKUP(2,1/((Raw_Observations!$A$2:$A$250=A119)*(Raw_Observations!$B$2:$B$250=B119)),Raw_Observations!$H$2:$H$250),Bank_Rates!$B$2:$B$100,MAXIFS(Bank_Rates!$B$2:$B$100,Bank_Rates!$A$2:$A$100,LOOKUP(2,1/((Raw_Observations!$A$2:$A$250=A119)*(Raw_Observations!$B$2:$B$250=B119)),Raw_Observations!$H$2:$H$250),Bank_Rates!$B$2:$B$100,"&lt;="&amp;TODAY()),Bank_Rates!$D$2:$D$100,MAXIFS(Bank_Rates!$D$2:$D$100,Bank_Rates!$A$2:$A$100,LOOKUP(2,1/((Raw_Observations!$A$2:$A$250=A119)*(Raw_Observations!$B$2:$B$250=B119)),Raw_Observations!$H$2:$H$250),Bank_Rates!$B$2:$B$100,MAXIFS(Bank_Rates!$B$2:$B$100,Bank_Rates!$A$2:$A$100,LOOKUP(2,1/((Raw_Observations!$A$2:$A$250=A119)*(Raw_Observations!$B$2:$B$250=B119)),Raw_Observations!$H$2:$H$250),Bank_Rates!$B$2:$B$100,"&lt;="&amp;TODAY()),Bank_Rates!$D$2:$D$100,"&lt;="&amp;D119)),"No Match"))</f>
        <v/>
      </c>
      <c r="F119" s="10" t="str">
        <f>IFERROR(LOOKUP(2,1/((Raw_Observations!$A$2:$A$250=A119)*(Raw_Observations!$B$2:$B$250=B119)),Raw_Observations!$K$2:$K$250),"")</f>
        <v/>
      </c>
      <c r="G119" s="10"/>
      <c r="H119" s="10" t="str">
        <f t="shared" ca="1" si="6"/>
        <v/>
      </c>
      <c r="I119" s="9" t="str">
        <f t="shared" ca="1" si="7"/>
        <v/>
      </c>
      <c r="J119" s="10" t="str">
        <f ca="1">IFERROR((I119/LOOKUP(2,1/((Raw_Observations!$A$2:$A$999=A119)*(Raw_Observations!$B$2:$B$999=B119)),Raw_Observations!$D$2:$D$999))^365-1,"")</f>
        <v/>
      </c>
    </row>
    <row r="120" spans="1:10">
      <c r="A120" s="2"/>
      <c r="B120" s="2"/>
      <c r="C120" s="9">
        <f>IFERROR(LOOKUP(2,1/((Raw_Observations!$A$2:$A$250=A120)*(Raw_Observations!$B$2:$B$250=B120)),Raw_Observations!$E$2:$E$250),"")</f>
        <v>0</v>
      </c>
      <c r="D120" s="8">
        <f ca="1">IFERROR(MAX(0,LOOKUP(2,1/((Raw_Observations!$A$2:$A$250=A120)*(Raw_Observations!$B$2:$B$250=B120)),Raw_Observations!$F$2:$F$250)-TODAY()),"")</f>
        <v>0</v>
      </c>
      <c r="E120" s="10" t="str">
        <f ca="1">IF(OR(A120="",B120=""),"",IFERROR(SUMIFS(Bank_Rates!$C$2:$C$100,Bank_Rates!$A$2:$A$100,LOOKUP(2,1/((Raw_Observations!$A$2:$A$250=A120)*(Raw_Observations!$B$2:$B$250=B120)),Raw_Observations!$H$2:$H$250),Bank_Rates!$B$2:$B$100,MAXIFS(Bank_Rates!$B$2:$B$100,Bank_Rates!$A$2:$A$100,LOOKUP(2,1/((Raw_Observations!$A$2:$A$250=A120)*(Raw_Observations!$B$2:$B$250=B120)),Raw_Observations!$H$2:$H$250),Bank_Rates!$B$2:$B$100,"&lt;="&amp;TODAY()),Bank_Rates!$D$2:$D$100,MAXIFS(Bank_Rates!$D$2:$D$100,Bank_Rates!$A$2:$A$100,LOOKUP(2,1/((Raw_Observations!$A$2:$A$250=A120)*(Raw_Observations!$B$2:$B$250=B120)),Raw_Observations!$H$2:$H$250),Bank_Rates!$B$2:$B$100,MAXIFS(Bank_Rates!$B$2:$B$100,Bank_Rates!$A$2:$A$100,LOOKUP(2,1/((Raw_Observations!$A$2:$A$250=A120)*(Raw_Observations!$B$2:$B$250=B120)),Raw_Observations!$H$2:$H$250),Bank_Rates!$B$2:$B$100,"&lt;="&amp;TODAY()),Bank_Rates!$D$2:$D$100,"&lt;="&amp;D120)),"No Match"))</f>
        <v/>
      </c>
      <c r="F120" s="10" t="str">
        <f>IFERROR(LOOKUP(2,1/((Raw_Observations!$A$2:$A$250=A120)*(Raw_Observations!$B$2:$B$250=B120)),Raw_Observations!$K$2:$K$250),"")</f>
        <v/>
      </c>
      <c r="G120" s="10"/>
      <c r="H120" s="10" t="str">
        <f t="shared" ca="1" si="6"/>
        <v/>
      </c>
      <c r="I120" s="9" t="str">
        <f t="shared" ca="1" si="7"/>
        <v/>
      </c>
      <c r="J120" s="10" t="str">
        <f ca="1">IFERROR((I120/LOOKUP(2,1/((Raw_Observations!$A$2:$A$999=A120)*(Raw_Observations!$B$2:$B$999=B120)),Raw_Observations!$D$2:$D$999))^365-1,"")</f>
        <v/>
      </c>
    </row>
    <row r="121" spans="1:10">
      <c r="A121" s="2"/>
      <c r="B121" s="2"/>
      <c r="C121" s="9">
        <f>IFERROR(LOOKUP(2,1/((Raw_Observations!$A$2:$A$250=A121)*(Raw_Observations!$B$2:$B$250=B121)),Raw_Observations!$E$2:$E$250),"")</f>
        <v>0</v>
      </c>
      <c r="D121" s="8">
        <f ca="1">IFERROR(MAX(0,LOOKUP(2,1/((Raw_Observations!$A$2:$A$250=A121)*(Raw_Observations!$B$2:$B$250=B121)),Raw_Observations!$F$2:$F$250)-TODAY()),"")</f>
        <v>0</v>
      </c>
      <c r="E121" s="10" t="str">
        <f ca="1">IF(OR(A121="",B121=""),"",IFERROR(SUMIFS(Bank_Rates!$C$2:$C$100,Bank_Rates!$A$2:$A$100,LOOKUP(2,1/((Raw_Observations!$A$2:$A$250=A121)*(Raw_Observations!$B$2:$B$250=B121)),Raw_Observations!$H$2:$H$250),Bank_Rates!$B$2:$B$100,MAXIFS(Bank_Rates!$B$2:$B$100,Bank_Rates!$A$2:$A$100,LOOKUP(2,1/((Raw_Observations!$A$2:$A$250=A121)*(Raw_Observations!$B$2:$B$250=B121)),Raw_Observations!$H$2:$H$250),Bank_Rates!$B$2:$B$100,"&lt;="&amp;TODAY()),Bank_Rates!$D$2:$D$100,MAXIFS(Bank_Rates!$D$2:$D$100,Bank_Rates!$A$2:$A$100,LOOKUP(2,1/((Raw_Observations!$A$2:$A$250=A121)*(Raw_Observations!$B$2:$B$250=B121)),Raw_Observations!$H$2:$H$250),Bank_Rates!$B$2:$B$100,MAXIFS(Bank_Rates!$B$2:$B$100,Bank_Rates!$A$2:$A$100,LOOKUP(2,1/((Raw_Observations!$A$2:$A$250=A121)*(Raw_Observations!$B$2:$B$250=B121)),Raw_Observations!$H$2:$H$250),Bank_Rates!$B$2:$B$100,"&lt;="&amp;TODAY()),Bank_Rates!$D$2:$D$100,"&lt;="&amp;D121)),"No Match"))</f>
        <v/>
      </c>
      <c r="F121" s="10" t="str">
        <f>IFERROR(LOOKUP(2,1/((Raw_Observations!$A$2:$A$250=A121)*(Raw_Observations!$B$2:$B$250=B121)),Raw_Observations!$K$2:$K$250),"")</f>
        <v/>
      </c>
      <c r="G121" s="10"/>
      <c r="H121" s="10" t="str">
        <f t="shared" ca="1" si="6"/>
        <v/>
      </c>
      <c r="I121" s="9" t="str">
        <f t="shared" ca="1" si="7"/>
        <v/>
      </c>
      <c r="J121" s="10" t="str">
        <f ca="1">IFERROR((I121/LOOKUP(2,1/((Raw_Observations!$A$2:$A$999=A121)*(Raw_Observations!$B$2:$B$999=B121)),Raw_Observations!$D$2:$D$999))^365-1,"")</f>
        <v/>
      </c>
    </row>
    <row r="122" spans="1:10">
      <c r="A122" s="2"/>
      <c r="B122" s="2"/>
      <c r="C122" s="9">
        <f>IFERROR(LOOKUP(2,1/((Raw_Observations!$A$2:$A$250=A122)*(Raw_Observations!$B$2:$B$250=B122)),Raw_Observations!$E$2:$E$250),"")</f>
        <v>0</v>
      </c>
      <c r="D122" s="8">
        <f ca="1">IFERROR(MAX(0,LOOKUP(2,1/((Raw_Observations!$A$2:$A$250=A122)*(Raw_Observations!$B$2:$B$250=B122)),Raw_Observations!$F$2:$F$250)-TODAY()),"")</f>
        <v>0</v>
      </c>
      <c r="E122" s="10" t="str">
        <f ca="1">IF(OR(A122="",B122=""),"",IFERROR(SUMIFS(Bank_Rates!$C$2:$C$100,Bank_Rates!$A$2:$A$100,LOOKUP(2,1/((Raw_Observations!$A$2:$A$250=A122)*(Raw_Observations!$B$2:$B$250=B122)),Raw_Observations!$H$2:$H$250),Bank_Rates!$B$2:$B$100,MAXIFS(Bank_Rates!$B$2:$B$100,Bank_Rates!$A$2:$A$100,LOOKUP(2,1/((Raw_Observations!$A$2:$A$250=A122)*(Raw_Observations!$B$2:$B$250=B122)),Raw_Observations!$H$2:$H$250),Bank_Rates!$B$2:$B$100,"&lt;="&amp;TODAY()),Bank_Rates!$D$2:$D$100,MAXIFS(Bank_Rates!$D$2:$D$100,Bank_Rates!$A$2:$A$100,LOOKUP(2,1/((Raw_Observations!$A$2:$A$250=A122)*(Raw_Observations!$B$2:$B$250=B122)),Raw_Observations!$H$2:$H$250),Bank_Rates!$B$2:$B$100,MAXIFS(Bank_Rates!$B$2:$B$100,Bank_Rates!$A$2:$A$100,LOOKUP(2,1/((Raw_Observations!$A$2:$A$250=A122)*(Raw_Observations!$B$2:$B$250=B122)),Raw_Observations!$H$2:$H$250),Bank_Rates!$B$2:$B$100,"&lt;="&amp;TODAY()),Bank_Rates!$D$2:$D$100,"&lt;="&amp;D122)),"No Match"))</f>
        <v/>
      </c>
      <c r="F122" s="10" t="str">
        <f>IFERROR(LOOKUP(2,1/((Raw_Observations!$A$2:$A$250=A122)*(Raw_Observations!$B$2:$B$250=B122)),Raw_Observations!$K$2:$K$250),"")</f>
        <v/>
      </c>
      <c r="G122" s="10"/>
      <c r="H122" s="10" t="str">
        <f t="shared" ca="1" si="6"/>
        <v/>
      </c>
      <c r="I122" s="9" t="str">
        <f t="shared" ca="1" si="7"/>
        <v/>
      </c>
      <c r="J122" s="10" t="str">
        <f ca="1">IFERROR((I122/LOOKUP(2,1/((Raw_Observations!$A$2:$A$999=A122)*(Raw_Observations!$B$2:$B$999=B122)),Raw_Observations!$D$2:$D$999))^365-1,"")</f>
        <v/>
      </c>
    </row>
    <row r="123" spans="1:10">
      <c r="A123" s="2"/>
      <c r="B123" s="2"/>
      <c r="C123" s="9">
        <f>IFERROR(LOOKUP(2,1/((Raw_Observations!$A$2:$A$250=A123)*(Raw_Observations!$B$2:$B$250=B123)),Raw_Observations!$E$2:$E$250),"")</f>
        <v>0</v>
      </c>
      <c r="D123" s="8">
        <f ca="1">IFERROR(MAX(0,LOOKUP(2,1/((Raw_Observations!$A$2:$A$250=A123)*(Raw_Observations!$B$2:$B$250=B123)),Raw_Observations!$F$2:$F$250)-TODAY()),"")</f>
        <v>0</v>
      </c>
      <c r="E123" s="10" t="str">
        <f ca="1">IF(OR(A123="",B123=""),"",IFERROR(SUMIFS(Bank_Rates!$C$2:$C$100,Bank_Rates!$A$2:$A$100,LOOKUP(2,1/((Raw_Observations!$A$2:$A$250=A123)*(Raw_Observations!$B$2:$B$250=B123)),Raw_Observations!$H$2:$H$250),Bank_Rates!$B$2:$B$100,MAXIFS(Bank_Rates!$B$2:$B$100,Bank_Rates!$A$2:$A$100,LOOKUP(2,1/((Raw_Observations!$A$2:$A$250=A123)*(Raw_Observations!$B$2:$B$250=B123)),Raw_Observations!$H$2:$H$250),Bank_Rates!$B$2:$B$100,"&lt;="&amp;TODAY()),Bank_Rates!$D$2:$D$100,MAXIFS(Bank_Rates!$D$2:$D$100,Bank_Rates!$A$2:$A$100,LOOKUP(2,1/((Raw_Observations!$A$2:$A$250=A123)*(Raw_Observations!$B$2:$B$250=B123)),Raw_Observations!$H$2:$H$250),Bank_Rates!$B$2:$B$100,MAXIFS(Bank_Rates!$B$2:$B$100,Bank_Rates!$A$2:$A$100,LOOKUP(2,1/((Raw_Observations!$A$2:$A$250=A123)*(Raw_Observations!$B$2:$B$250=B123)),Raw_Observations!$H$2:$H$250),Bank_Rates!$B$2:$B$100,"&lt;="&amp;TODAY()),Bank_Rates!$D$2:$D$100,"&lt;="&amp;D123)),"No Match"))</f>
        <v/>
      </c>
      <c r="F123" s="10" t="str">
        <f>IFERROR(LOOKUP(2,1/((Raw_Observations!$A$2:$A$250=A123)*(Raw_Observations!$B$2:$B$250=B123)),Raw_Observations!$K$2:$K$250),"")</f>
        <v/>
      </c>
      <c r="G123" s="10"/>
      <c r="H123" s="10" t="str">
        <f t="shared" ca="1" si="6"/>
        <v/>
      </c>
      <c r="I123" s="9" t="str">
        <f t="shared" ca="1" si="7"/>
        <v/>
      </c>
      <c r="J123" s="10" t="str">
        <f ca="1">IFERROR((I123/LOOKUP(2,1/((Raw_Observations!$A$2:$A$999=A123)*(Raw_Observations!$B$2:$B$999=B123)),Raw_Observations!$D$2:$D$999))^365-1,"")</f>
        <v/>
      </c>
    </row>
    <row r="124" spans="1:10">
      <c r="A124" s="2"/>
      <c r="B124" s="2"/>
      <c r="C124" s="9">
        <f>IFERROR(LOOKUP(2,1/((Raw_Observations!$A$2:$A$250=A124)*(Raw_Observations!$B$2:$B$250=B124)),Raw_Observations!$E$2:$E$250),"")</f>
        <v>0</v>
      </c>
      <c r="D124" s="8">
        <f ca="1">IFERROR(MAX(0,LOOKUP(2,1/((Raw_Observations!$A$2:$A$250=A124)*(Raw_Observations!$B$2:$B$250=B124)),Raw_Observations!$F$2:$F$250)-TODAY()),"")</f>
        <v>0</v>
      </c>
      <c r="E124" s="10" t="str">
        <f ca="1">IF(OR(A124="",B124=""),"",IFERROR(SUMIFS(Bank_Rates!$C$2:$C$100,Bank_Rates!$A$2:$A$100,LOOKUP(2,1/((Raw_Observations!$A$2:$A$250=A124)*(Raw_Observations!$B$2:$B$250=B124)),Raw_Observations!$H$2:$H$250),Bank_Rates!$B$2:$B$100,MAXIFS(Bank_Rates!$B$2:$B$100,Bank_Rates!$A$2:$A$100,LOOKUP(2,1/((Raw_Observations!$A$2:$A$250=A124)*(Raw_Observations!$B$2:$B$250=B124)),Raw_Observations!$H$2:$H$250),Bank_Rates!$B$2:$B$100,"&lt;="&amp;TODAY()),Bank_Rates!$D$2:$D$100,MAXIFS(Bank_Rates!$D$2:$D$100,Bank_Rates!$A$2:$A$100,LOOKUP(2,1/((Raw_Observations!$A$2:$A$250=A124)*(Raw_Observations!$B$2:$B$250=B124)),Raw_Observations!$H$2:$H$250),Bank_Rates!$B$2:$B$100,MAXIFS(Bank_Rates!$B$2:$B$100,Bank_Rates!$A$2:$A$100,LOOKUP(2,1/((Raw_Observations!$A$2:$A$250=A124)*(Raw_Observations!$B$2:$B$250=B124)),Raw_Observations!$H$2:$H$250),Bank_Rates!$B$2:$B$100,"&lt;="&amp;TODAY()),Bank_Rates!$D$2:$D$100,"&lt;="&amp;D124)),"No Match"))</f>
        <v/>
      </c>
      <c r="F124" s="10" t="str">
        <f>IFERROR(LOOKUP(2,1/((Raw_Observations!$A$2:$A$250=A124)*(Raw_Observations!$B$2:$B$250=B124)),Raw_Observations!$K$2:$K$250),"")</f>
        <v/>
      </c>
      <c r="G124" s="10"/>
      <c r="H124" s="10" t="str">
        <f t="shared" ca="1" si="6"/>
        <v/>
      </c>
      <c r="I124" s="9" t="str">
        <f t="shared" ca="1" si="7"/>
        <v/>
      </c>
      <c r="J124" s="10" t="str">
        <f ca="1">IFERROR((I124/LOOKUP(2,1/((Raw_Observations!$A$2:$A$999=A124)*(Raw_Observations!$B$2:$B$999=B124)),Raw_Observations!$D$2:$D$999))^365-1,"")</f>
        <v/>
      </c>
    </row>
    <row r="125" spans="1:10">
      <c r="A125" s="2"/>
      <c r="B125" s="2"/>
      <c r="C125" s="9">
        <f>IFERROR(LOOKUP(2,1/((Raw_Observations!$A$2:$A$250=A125)*(Raw_Observations!$B$2:$B$250=B125)),Raw_Observations!$E$2:$E$250),"")</f>
        <v>0</v>
      </c>
      <c r="D125" s="8">
        <f ca="1">IFERROR(MAX(0,LOOKUP(2,1/((Raw_Observations!$A$2:$A$250=A125)*(Raw_Observations!$B$2:$B$250=B125)),Raw_Observations!$F$2:$F$250)-TODAY()),"")</f>
        <v>0</v>
      </c>
      <c r="E125" s="10" t="str">
        <f ca="1">IF(OR(A125="",B125=""),"",IFERROR(SUMIFS(Bank_Rates!$C$2:$C$100,Bank_Rates!$A$2:$A$100,LOOKUP(2,1/((Raw_Observations!$A$2:$A$250=A125)*(Raw_Observations!$B$2:$B$250=B125)),Raw_Observations!$H$2:$H$250),Bank_Rates!$B$2:$B$100,MAXIFS(Bank_Rates!$B$2:$B$100,Bank_Rates!$A$2:$A$100,LOOKUP(2,1/((Raw_Observations!$A$2:$A$250=A125)*(Raw_Observations!$B$2:$B$250=B125)),Raw_Observations!$H$2:$H$250),Bank_Rates!$B$2:$B$100,"&lt;="&amp;TODAY()),Bank_Rates!$D$2:$D$100,MAXIFS(Bank_Rates!$D$2:$D$100,Bank_Rates!$A$2:$A$100,LOOKUP(2,1/((Raw_Observations!$A$2:$A$250=A125)*(Raw_Observations!$B$2:$B$250=B125)),Raw_Observations!$H$2:$H$250),Bank_Rates!$B$2:$B$100,MAXIFS(Bank_Rates!$B$2:$B$100,Bank_Rates!$A$2:$A$100,LOOKUP(2,1/((Raw_Observations!$A$2:$A$250=A125)*(Raw_Observations!$B$2:$B$250=B125)),Raw_Observations!$H$2:$H$250),Bank_Rates!$B$2:$B$100,"&lt;="&amp;TODAY()),Bank_Rates!$D$2:$D$100,"&lt;="&amp;D125)),"No Match"))</f>
        <v/>
      </c>
      <c r="F125" s="10" t="str">
        <f>IFERROR(LOOKUP(2,1/((Raw_Observations!$A$2:$A$250=A125)*(Raw_Observations!$B$2:$B$250=B125)),Raw_Observations!$K$2:$K$250),"")</f>
        <v/>
      </c>
      <c r="G125" s="10"/>
      <c r="H125" s="10" t="str">
        <f t="shared" ca="1" si="6"/>
        <v/>
      </c>
      <c r="I125" s="9" t="str">
        <f t="shared" ca="1" si="7"/>
        <v/>
      </c>
      <c r="J125" s="10" t="str">
        <f ca="1">IFERROR((I125/LOOKUP(2,1/((Raw_Observations!$A$2:$A$999=A125)*(Raw_Observations!$B$2:$B$999=B125)),Raw_Observations!$D$2:$D$999))^365-1,"")</f>
        <v/>
      </c>
    </row>
    <row r="126" spans="1:10">
      <c r="A126" s="2"/>
      <c r="B126" s="2"/>
      <c r="C126" s="9">
        <f>IFERROR(LOOKUP(2,1/((Raw_Observations!$A$2:$A$250=A126)*(Raw_Observations!$B$2:$B$250=B126)),Raw_Observations!$E$2:$E$250),"")</f>
        <v>0</v>
      </c>
      <c r="D126" s="8">
        <f ca="1">IFERROR(MAX(0,LOOKUP(2,1/((Raw_Observations!$A$2:$A$250=A126)*(Raw_Observations!$B$2:$B$250=B126)),Raw_Observations!$F$2:$F$250)-TODAY()),"")</f>
        <v>0</v>
      </c>
      <c r="E126" s="10" t="str">
        <f ca="1">IF(OR(A126="",B126=""),"",IFERROR(SUMIFS(Bank_Rates!$C$2:$C$100,Bank_Rates!$A$2:$A$100,LOOKUP(2,1/((Raw_Observations!$A$2:$A$250=A126)*(Raw_Observations!$B$2:$B$250=B126)),Raw_Observations!$H$2:$H$250),Bank_Rates!$B$2:$B$100,MAXIFS(Bank_Rates!$B$2:$B$100,Bank_Rates!$A$2:$A$100,LOOKUP(2,1/((Raw_Observations!$A$2:$A$250=A126)*(Raw_Observations!$B$2:$B$250=B126)),Raw_Observations!$H$2:$H$250),Bank_Rates!$B$2:$B$100,"&lt;="&amp;TODAY()),Bank_Rates!$D$2:$D$100,MAXIFS(Bank_Rates!$D$2:$D$100,Bank_Rates!$A$2:$A$100,LOOKUP(2,1/((Raw_Observations!$A$2:$A$250=A126)*(Raw_Observations!$B$2:$B$250=B126)),Raw_Observations!$H$2:$H$250),Bank_Rates!$B$2:$B$100,MAXIFS(Bank_Rates!$B$2:$B$100,Bank_Rates!$A$2:$A$100,LOOKUP(2,1/((Raw_Observations!$A$2:$A$250=A126)*(Raw_Observations!$B$2:$B$250=B126)),Raw_Observations!$H$2:$H$250),Bank_Rates!$B$2:$B$100,"&lt;="&amp;TODAY()),Bank_Rates!$D$2:$D$100,"&lt;="&amp;D126)),"No Match"))</f>
        <v/>
      </c>
      <c r="F126" s="10" t="str">
        <f>IFERROR(LOOKUP(2,1/((Raw_Observations!$A$2:$A$250=A126)*(Raw_Observations!$B$2:$B$250=B126)),Raw_Observations!$K$2:$K$250),"")</f>
        <v/>
      </c>
      <c r="G126" s="10"/>
      <c r="H126" s="10" t="str">
        <f t="shared" ca="1" si="6"/>
        <v/>
      </c>
      <c r="I126" s="9" t="str">
        <f t="shared" ca="1" si="7"/>
        <v/>
      </c>
      <c r="J126" s="10" t="str">
        <f ca="1">IFERROR((I126/LOOKUP(2,1/((Raw_Observations!$A$2:$A$999=A126)*(Raw_Observations!$B$2:$B$999=B126)),Raw_Observations!$D$2:$D$999))^365-1,"")</f>
        <v/>
      </c>
    </row>
    <row r="127" spans="1:10">
      <c r="A127" s="2"/>
      <c r="B127" s="2"/>
      <c r="C127" s="9">
        <f>IFERROR(LOOKUP(2,1/((Raw_Observations!$A$2:$A$250=A127)*(Raw_Observations!$B$2:$B$250=B127)),Raw_Observations!$E$2:$E$250),"")</f>
        <v>0</v>
      </c>
      <c r="D127" s="8">
        <f ca="1">IFERROR(MAX(0,LOOKUP(2,1/((Raw_Observations!$A$2:$A$250=A127)*(Raw_Observations!$B$2:$B$250=B127)),Raw_Observations!$F$2:$F$250)-TODAY()),"")</f>
        <v>0</v>
      </c>
      <c r="E127" s="10" t="str">
        <f ca="1">IF(OR(A127="",B127=""),"",IFERROR(SUMIFS(Bank_Rates!$C$2:$C$100,Bank_Rates!$A$2:$A$100,LOOKUP(2,1/((Raw_Observations!$A$2:$A$250=A127)*(Raw_Observations!$B$2:$B$250=B127)),Raw_Observations!$H$2:$H$250),Bank_Rates!$B$2:$B$100,MAXIFS(Bank_Rates!$B$2:$B$100,Bank_Rates!$A$2:$A$100,LOOKUP(2,1/((Raw_Observations!$A$2:$A$250=A127)*(Raw_Observations!$B$2:$B$250=B127)),Raw_Observations!$H$2:$H$250),Bank_Rates!$B$2:$B$100,"&lt;="&amp;TODAY()),Bank_Rates!$D$2:$D$100,MAXIFS(Bank_Rates!$D$2:$D$100,Bank_Rates!$A$2:$A$100,LOOKUP(2,1/((Raw_Observations!$A$2:$A$250=A127)*(Raw_Observations!$B$2:$B$250=B127)),Raw_Observations!$H$2:$H$250),Bank_Rates!$B$2:$B$100,MAXIFS(Bank_Rates!$B$2:$B$100,Bank_Rates!$A$2:$A$100,LOOKUP(2,1/((Raw_Observations!$A$2:$A$250=A127)*(Raw_Observations!$B$2:$B$250=B127)),Raw_Observations!$H$2:$H$250),Bank_Rates!$B$2:$B$100,"&lt;="&amp;TODAY()),Bank_Rates!$D$2:$D$100,"&lt;="&amp;D127)),"No Match"))</f>
        <v/>
      </c>
      <c r="F127" s="10" t="str">
        <f>IFERROR(LOOKUP(2,1/((Raw_Observations!$A$2:$A$250=A127)*(Raw_Observations!$B$2:$B$250=B127)),Raw_Observations!$K$2:$K$250),"")</f>
        <v/>
      </c>
      <c r="G127" s="10"/>
      <c r="H127" s="10" t="str">
        <f t="shared" ca="1" si="6"/>
        <v/>
      </c>
      <c r="I127" s="9" t="str">
        <f t="shared" ca="1" si="7"/>
        <v/>
      </c>
      <c r="J127" s="10" t="str">
        <f ca="1">IFERROR((I127/LOOKUP(2,1/((Raw_Observations!$A$2:$A$999=A127)*(Raw_Observations!$B$2:$B$999=B127)),Raw_Observations!$D$2:$D$999))^365-1,"")</f>
        <v/>
      </c>
    </row>
    <row r="128" spans="1:10">
      <c r="A128" s="2"/>
      <c r="B128" s="2"/>
      <c r="C128" s="9">
        <f>IFERROR(LOOKUP(2,1/((Raw_Observations!$A$2:$A$250=A128)*(Raw_Observations!$B$2:$B$250=B128)),Raw_Observations!$E$2:$E$250),"")</f>
        <v>0</v>
      </c>
      <c r="D128" s="8">
        <f ca="1">IFERROR(MAX(0,LOOKUP(2,1/((Raw_Observations!$A$2:$A$250=A128)*(Raw_Observations!$B$2:$B$250=B128)),Raw_Observations!$F$2:$F$250)-TODAY()),"")</f>
        <v>0</v>
      </c>
      <c r="E128" s="10" t="str">
        <f ca="1">IF(OR(A128="",B128=""),"",IFERROR(SUMIFS(Bank_Rates!$C$2:$C$100,Bank_Rates!$A$2:$A$100,LOOKUP(2,1/((Raw_Observations!$A$2:$A$250=A128)*(Raw_Observations!$B$2:$B$250=B128)),Raw_Observations!$H$2:$H$250),Bank_Rates!$B$2:$B$100,MAXIFS(Bank_Rates!$B$2:$B$100,Bank_Rates!$A$2:$A$100,LOOKUP(2,1/((Raw_Observations!$A$2:$A$250=A128)*(Raw_Observations!$B$2:$B$250=B128)),Raw_Observations!$H$2:$H$250),Bank_Rates!$B$2:$B$100,"&lt;="&amp;TODAY()),Bank_Rates!$D$2:$D$100,MAXIFS(Bank_Rates!$D$2:$D$100,Bank_Rates!$A$2:$A$100,LOOKUP(2,1/((Raw_Observations!$A$2:$A$250=A128)*(Raw_Observations!$B$2:$B$250=B128)),Raw_Observations!$H$2:$H$250),Bank_Rates!$B$2:$B$100,MAXIFS(Bank_Rates!$B$2:$B$100,Bank_Rates!$A$2:$A$100,LOOKUP(2,1/((Raw_Observations!$A$2:$A$250=A128)*(Raw_Observations!$B$2:$B$250=B128)),Raw_Observations!$H$2:$H$250),Bank_Rates!$B$2:$B$100,"&lt;="&amp;TODAY()),Bank_Rates!$D$2:$D$100,"&lt;="&amp;D128)),"No Match"))</f>
        <v/>
      </c>
      <c r="F128" s="10" t="str">
        <f>IFERROR(LOOKUP(2,1/((Raw_Observations!$A$2:$A$250=A128)*(Raw_Observations!$B$2:$B$250=B128)),Raw_Observations!$K$2:$K$250),"")</f>
        <v/>
      </c>
      <c r="G128" s="10"/>
      <c r="H128" s="10" t="str">
        <f t="shared" ca="1" si="6"/>
        <v/>
      </c>
      <c r="I128" s="9" t="str">
        <f t="shared" ca="1" si="7"/>
        <v/>
      </c>
      <c r="J128" s="10" t="str">
        <f ca="1">IFERROR((I128/LOOKUP(2,1/((Raw_Observations!$A$2:$A$999=A128)*(Raw_Observations!$B$2:$B$999=B128)),Raw_Observations!$D$2:$D$999))^365-1,"")</f>
        <v/>
      </c>
    </row>
    <row r="129" spans="1:10">
      <c r="A129" s="2"/>
      <c r="B129" s="2"/>
      <c r="C129" s="9">
        <f>IFERROR(LOOKUP(2,1/((Raw_Observations!$A$2:$A$250=A129)*(Raw_Observations!$B$2:$B$250=B129)),Raw_Observations!$E$2:$E$250),"")</f>
        <v>0</v>
      </c>
      <c r="D129" s="8">
        <f ca="1">IFERROR(MAX(0,LOOKUP(2,1/((Raw_Observations!$A$2:$A$250=A129)*(Raw_Observations!$B$2:$B$250=B129)),Raw_Observations!$F$2:$F$250)-TODAY()),"")</f>
        <v>0</v>
      </c>
      <c r="E129" s="10" t="str">
        <f ca="1">IF(OR(A129="",B129=""),"",IFERROR(SUMIFS(Bank_Rates!$C$2:$C$100,Bank_Rates!$A$2:$A$100,LOOKUP(2,1/((Raw_Observations!$A$2:$A$250=A129)*(Raw_Observations!$B$2:$B$250=B129)),Raw_Observations!$H$2:$H$250),Bank_Rates!$B$2:$B$100,MAXIFS(Bank_Rates!$B$2:$B$100,Bank_Rates!$A$2:$A$100,LOOKUP(2,1/((Raw_Observations!$A$2:$A$250=A129)*(Raw_Observations!$B$2:$B$250=B129)),Raw_Observations!$H$2:$H$250),Bank_Rates!$B$2:$B$100,"&lt;="&amp;TODAY()),Bank_Rates!$D$2:$D$100,MAXIFS(Bank_Rates!$D$2:$D$100,Bank_Rates!$A$2:$A$100,LOOKUP(2,1/((Raw_Observations!$A$2:$A$250=A129)*(Raw_Observations!$B$2:$B$250=B129)),Raw_Observations!$H$2:$H$250),Bank_Rates!$B$2:$B$100,MAXIFS(Bank_Rates!$B$2:$B$100,Bank_Rates!$A$2:$A$100,LOOKUP(2,1/((Raw_Observations!$A$2:$A$250=A129)*(Raw_Observations!$B$2:$B$250=B129)),Raw_Observations!$H$2:$H$250),Bank_Rates!$B$2:$B$100,"&lt;="&amp;TODAY()),Bank_Rates!$D$2:$D$100,"&lt;="&amp;D129)),"No Match"))</f>
        <v/>
      </c>
      <c r="F129" s="10" t="str">
        <f>IFERROR(LOOKUP(2,1/((Raw_Observations!$A$2:$A$250=A129)*(Raw_Observations!$B$2:$B$250=B129)),Raw_Observations!$K$2:$K$250),"")</f>
        <v/>
      </c>
      <c r="G129" s="10"/>
      <c r="H129" s="10" t="str">
        <f t="shared" ca="1" si="6"/>
        <v/>
      </c>
      <c r="I129" s="9" t="str">
        <f t="shared" ca="1" si="7"/>
        <v/>
      </c>
      <c r="J129" s="10" t="str">
        <f ca="1">IFERROR((I129/LOOKUP(2,1/((Raw_Observations!$A$2:$A$999=A129)*(Raw_Observations!$B$2:$B$999=B129)),Raw_Observations!$D$2:$D$999))^365-1,"")</f>
        <v/>
      </c>
    </row>
    <row r="130" spans="1:10">
      <c r="A130" s="2"/>
      <c r="B130" s="2"/>
      <c r="C130" s="9">
        <f>IFERROR(LOOKUP(2,1/((Raw_Observations!$A$2:$A$250=A130)*(Raw_Observations!$B$2:$B$250=B130)),Raw_Observations!$E$2:$E$250),"")</f>
        <v>0</v>
      </c>
      <c r="D130" s="8">
        <f ca="1">IFERROR(MAX(0,LOOKUP(2,1/((Raw_Observations!$A$2:$A$250=A130)*(Raw_Observations!$B$2:$B$250=B130)),Raw_Observations!$F$2:$F$250)-TODAY()),"")</f>
        <v>0</v>
      </c>
      <c r="E130" s="10" t="str">
        <f ca="1">IF(OR(A130="",B130=""),"",IFERROR(SUMIFS(Bank_Rates!$C$2:$C$100,Bank_Rates!$A$2:$A$100,LOOKUP(2,1/((Raw_Observations!$A$2:$A$250=A130)*(Raw_Observations!$B$2:$B$250=B130)),Raw_Observations!$H$2:$H$250),Bank_Rates!$B$2:$B$100,MAXIFS(Bank_Rates!$B$2:$B$100,Bank_Rates!$A$2:$A$100,LOOKUP(2,1/((Raw_Observations!$A$2:$A$250=A130)*(Raw_Observations!$B$2:$B$250=B130)),Raw_Observations!$H$2:$H$250),Bank_Rates!$B$2:$B$100,"&lt;="&amp;TODAY()),Bank_Rates!$D$2:$D$100,MAXIFS(Bank_Rates!$D$2:$D$100,Bank_Rates!$A$2:$A$100,LOOKUP(2,1/((Raw_Observations!$A$2:$A$250=A130)*(Raw_Observations!$B$2:$B$250=B130)),Raw_Observations!$H$2:$H$250),Bank_Rates!$B$2:$B$100,MAXIFS(Bank_Rates!$B$2:$B$100,Bank_Rates!$A$2:$A$100,LOOKUP(2,1/((Raw_Observations!$A$2:$A$250=A130)*(Raw_Observations!$B$2:$B$250=B130)),Raw_Observations!$H$2:$H$250),Bank_Rates!$B$2:$B$100,"&lt;="&amp;TODAY()),Bank_Rates!$D$2:$D$100,"&lt;="&amp;D130)),"No Match"))</f>
        <v/>
      </c>
      <c r="F130" s="10" t="str">
        <f>IFERROR(LOOKUP(2,1/((Raw_Observations!$A$2:$A$250=A130)*(Raw_Observations!$B$2:$B$250=B130)),Raw_Observations!$K$2:$K$250),"")</f>
        <v/>
      </c>
      <c r="G130" s="10"/>
      <c r="H130" s="10" t="str">
        <f t="shared" ref="H130:H161" ca="1" si="8">IF(OR(E130="",G130="",E130="No Match"),"",E130+G130)</f>
        <v/>
      </c>
      <c r="I130" s="9" t="str">
        <f t="shared" ref="I130:I161" ca="1" si="9">IF(OR(C130="",D130="",H130=""),"",C130/((1+H130)^(D130/365)))</f>
        <v/>
      </c>
      <c r="J130" s="10" t="str">
        <f ca="1">IFERROR((I130/LOOKUP(2,1/((Raw_Observations!$A$2:$A$999=A130)*(Raw_Observations!$B$2:$B$999=B130)),Raw_Observations!$D$2:$D$999))^365-1,"")</f>
        <v/>
      </c>
    </row>
    <row r="131" spans="1:10">
      <c r="A131" s="2"/>
      <c r="B131" s="2"/>
      <c r="C131" s="9">
        <f>IFERROR(LOOKUP(2,1/((Raw_Observations!$A$2:$A$250=A131)*(Raw_Observations!$B$2:$B$250=B131)),Raw_Observations!$E$2:$E$250),"")</f>
        <v>0</v>
      </c>
      <c r="D131" s="8">
        <f ca="1">IFERROR(MAX(0,LOOKUP(2,1/((Raw_Observations!$A$2:$A$250=A131)*(Raw_Observations!$B$2:$B$250=B131)),Raw_Observations!$F$2:$F$250)-TODAY()),"")</f>
        <v>0</v>
      </c>
      <c r="E131" s="10" t="str">
        <f ca="1">IF(OR(A131="",B131=""),"",IFERROR(SUMIFS(Bank_Rates!$C$2:$C$100,Bank_Rates!$A$2:$A$100,LOOKUP(2,1/((Raw_Observations!$A$2:$A$250=A131)*(Raw_Observations!$B$2:$B$250=B131)),Raw_Observations!$H$2:$H$250),Bank_Rates!$B$2:$B$100,MAXIFS(Bank_Rates!$B$2:$B$100,Bank_Rates!$A$2:$A$100,LOOKUP(2,1/((Raw_Observations!$A$2:$A$250=A131)*(Raw_Observations!$B$2:$B$250=B131)),Raw_Observations!$H$2:$H$250),Bank_Rates!$B$2:$B$100,"&lt;="&amp;TODAY()),Bank_Rates!$D$2:$D$100,MAXIFS(Bank_Rates!$D$2:$D$100,Bank_Rates!$A$2:$A$100,LOOKUP(2,1/((Raw_Observations!$A$2:$A$250=A131)*(Raw_Observations!$B$2:$B$250=B131)),Raw_Observations!$H$2:$H$250),Bank_Rates!$B$2:$B$100,MAXIFS(Bank_Rates!$B$2:$B$100,Bank_Rates!$A$2:$A$100,LOOKUP(2,1/((Raw_Observations!$A$2:$A$250=A131)*(Raw_Observations!$B$2:$B$250=B131)),Raw_Observations!$H$2:$H$250),Bank_Rates!$B$2:$B$100,"&lt;="&amp;TODAY()),Bank_Rates!$D$2:$D$100,"&lt;="&amp;D131)),"No Match"))</f>
        <v/>
      </c>
      <c r="F131" s="10" t="str">
        <f>IFERROR(LOOKUP(2,1/((Raw_Observations!$A$2:$A$250=A131)*(Raw_Observations!$B$2:$B$250=B131)),Raw_Observations!$K$2:$K$250),"")</f>
        <v/>
      </c>
      <c r="G131" s="10"/>
      <c r="H131" s="10" t="str">
        <f t="shared" ca="1" si="8"/>
        <v/>
      </c>
      <c r="I131" s="9" t="str">
        <f t="shared" ca="1" si="9"/>
        <v/>
      </c>
      <c r="J131" s="10" t="str">
        <f ca="1">IFERROR((I131/LOOKUP(2,1/((Raw_Observations!$A$2:$A$999=A131)*(Raw_Observations!$B$2:$B$999=B131)),Raw_Observations!$D$2:$D$999))^365-1,"")</f>
        <v/>
      </c>
    </row>
    <row r="132" spans="1:10">
      <c r="A132" s="2"/>
      <c r="B132" s="2"/>
      <c r="C132" s="9">
        <f>IFERROR(LOOKUP(2,1/((Raw_Observations!$A$2:$A$250=A132)*(Raw_Observations!$B$2:$B$250=B132)),Raw_Observations!$E$2:$E$250),"")</f>
        <v>0</v>
      </c>
      <c r="D132" s="8">
        <f ca="1">IFERROR(MAX(0,LOOKUP(2,1/((Raw_Observations!$A$2:$A$250=A132)*(Raw_Observations!$B$2:$B$250=B132)),Raw_Observations!$F$2:$F$250)-TODAY()),"")</f>
        <v>0</v>
      </c>
      <c r="E132" s="10" t="str">
        <f ca="1">IF(OR(A132="",B132=""),"",IFERROR(SUMIFS(Bank_Rates!$C$2:$C$100,Bank_Rates!$A$2:$A$100,LOOKUP(2,1/((Raw_Observations!$A$2:$A$250=A132)*(Raw_Observations!$B$2:$B$250=B132)),Raw_Observations!$H$2:$H$250),Bank_Rates!$B$2:$B$100,MAXIFS(Bank_Rates!$B$2:$B$100,Bank_Rates!$A$2:$A$100,LOOKUP(2,1/((Raw_Observations!$A$2:$A$250=A132)*(Raw_Observations!$B$2:$B$250=B132)),Raw_Observations!$H$2:$H$250),Bank_Rates!$B$2:$B$100,"&lt;="&amp;TODAY()),Bank_Rates!$D$2:$D$100,MAXIFS(Bank_Rates!$D$2:$D$100,Bank_Rates!$A$2:$A$100,LOOKUP(2,1/((Raw_Observations!$A$2:$A$250=A132)*(Raw_Observations!$B$2:$B$250=B132)),Raw_Observations!$H$2:$H$250),Bank_Rates!$B$2:$B$100,MAXIFS(Bank_Rates!$B$2:$B$100,Bank_Rates!$A$2:$A$100,LOOKUP(2,1/((Raw_Observations!$A$2:$A$250=A132)*(Raw_Observations!$B$2:$B$250=B132)),Raw_Observations!$H$2:$H$250),Bank_Rates!$B$2:$B$100,"&lt;="&amp;TODAY()),Bank_Rates!$D$2:$D$100,"&lt;="&amp;D132)),"No Match"))</f>
        <v/>
      </c>
      <c r="F132" s="10" t="str">
        <f>IFERROR(LOOKUP(2,1/((Raw_Observations!$A$2:$A$250=A132)*(Raw_Observations!$B$2:$B$250=B132)),Raw_Observations!$K$2:$K$250),"")</f>
        <v/>
      </c>
      <c r="G132" s="10"/>
      <c r="H132" s="10" t="str">
        <f t="shared" ca="1" si="8"/>
        <v/>
      </c>
      <c r="I132" s="9" t="str">
        <f t="shared" ca="1" si="9"/>
        <v/>
      </c>
      <c r="J132" s="10" t="str">
        <f ca="1">IFERROR((I132/LOOKUP(2,1/((Raw_Observations!$A$2:$A$999=A132)*(Raw_Observations!$B$2:$B$999=B132)),Raw_Observations!$D$2:$D$999))^365-1,"")</f>
        <v/>
      </c>
    </row>
    <row r="133" spans="1:10">
      <c r="A133" s="2"/>
      <c r="B133" s="2"/>
      <c r="C133" s="9">
        <f>IFERROR(LOOKUP(2,1/((Raw_Observations!$A$2:$A$250=A133)*(Raw_Observations!$B$2:$B$250=B133)),Raw_Observations!$E$2:$E$250),"")</f>
        <v>0</v>
      </c>
      <c r="D133" s="8">
        <f ca="1">IFERROR(MAX(0,LOOKUP(2,1/((Raw_Observations!$A$2:$A$250=A133)*(Raw_Observations!$B$2:$B$250=B133)),Raw_Observations!$F$2:$F$250)-TODAY()),"")</f>
        <v>0</v>
      </c>
      <c r="E133" s="10" t="str">
        <f ca="1">IF(OR(A133="",B133=""),"",IFERROR(SUMIFS(Bank_Rates!$C$2:$C$100,Bank_Rates!$A$2:$A$100,LOOKUP(2,1/((Raw_Observations!$A$2:$A$250=A133)*(Raw_Observations!$B$2:$B$250=B133)),Raw_Observations!$H$2:$H$250),Bank_Rates!$B$2:$B$100,MAXIFS(Bank_Rates!$B$2:$B$100,Bank_Rates!$A$2:$A$100,LOOKUP(2,1/((Raw_Observations!$A$2:$A$250=A133)*(Raw_Observations!$B$2:$B$250=B133)),Raw_Observations!$H$2:$H$250),Bank_Rates!$B$2:$B$100,"&lt;="&amp;TODAY()),Bank_Rates!$D$2:$D$100,MAXIFS(Bank_Rates!$D$2:$D$100,Bank_Rates!$A$2:$A$100,LOOKUP(2,1/((Raw_Observations!$A$2:$A$250=A133)*(Raw_Observations!$B$2:$B$250=B133)),Raw_Observations!$H$2:$H$250),Bank_Rates!$B$2:$B$100,MAXIFS(Bank_Rates!$B$2:$B$100,Bank_Rates!$A$2:$A$100,LOOKUP(2,1/((Raw_Observations!$A$2:$A$250=A133)*(Raw_Observations!$B$2:$B$250=B133)),Raw_Observations!$H$2:$H$250),Bank_Rates!$B$2:$B$100,"&lt;="&amp;TODAY()),Bank_Rates!$D$2:$D$100,"&lt;="&amp;D133)),"No Match"))</f>
        <v/>
      </c>
      <c r="F133" s="10" t="str">
        <f>IFERROR(LOOKUP(2,1/((Raw_Observations!$A$2:$A$250=A133)*(Raw_Observations!$B$2:$B$250=B133)),Raw_Observations!$K$2:$K$250),"")</f>
        <v/>
      </c>
      <c r="G133" s="10"/>
      <c r="H133" s="10" t="str">
        <f t="shared" ca="1" si="8"/>
        <v/>
      </c>
      <c r="I133" s="9" t="str">
        <f t="shared" ca="1" si="9"/>
        <v/>
      </c>
      <c r="J133" s="10" t="str">
        <f ca="1">IFERROR((I133/LOOKUP(2,1/((Raw_Observations!$A$2:$A$999=A133)*(Raw_Observations!$B$2:$B$999=B133)),Raw_Observations!$D$2:$D$999))^365-1,"")</f>
        <v/>
      </c>
    </row>
    <row r="134" spans="1:10">
      <c r="A134" s="2"/>
      <c r="B134" s="2"/>
      <c r="C134" s="9">
        <f>IFERROR(LOOKUP(2,1/((Raw_Observations!$A$2:$A$250=A134)*(Raw_Observations!$B$2:$B$250=B134)),Raw_Observations!$E$2:$E$250),"")</f>
        <v>0</v>
      </c>
      <c r="D134" s="8">
        <f ca="1">IFERROR(MAX(0,LOOKUP(2,1/((Raw_Observations!$A$2:$A$250=A134)*(Raw_Observations!$B$2:$B$250=B134)),Raw_Observations!$F$2:$F$250)-TODAY()),"")</f>
        <v>0</v>
      </c>
      <c r="E134" s="10" t="str">
        <f ca="1">IF(OR(A134="",B134=""),"",IFERROR(SUMIFS(Bank_Rates!$C$2:$C$100,Bank_Rates!$A$2:$A$100,LOOKUP(2,1/((Raw_Observations!$A$2:$A$250=A134)*(Raw_Observations!$B$2:$B$250=B134)),Raw_Observations!$H$2:$H$250),Bank_Rates!$B$2:$B$100,MAXIFS(Bank_Rates!$B$2:$B$100,Bank_Rates!$A$2:$A$100,LOOKUP(2,1/((Raw_Observations!$A$2:$A$250=A134)*(Raw_Observations!$B$2:$B$250=B134)),Raw_Observations!$H$2:$H$250),Bank_Rates!$B$2:$B$100,"&lt;="&amp;TODAY()),Bank_Rates!$D$2:$D$100,MAXIFS(Bank_Rates!$D$2:$D$100,Bank_Rates!$A$2:$A$100,LOOKUP(2,1/((Raw_Observations!$A$2:$A$250=A134)*(Raw_Observations!$B$2:$B$250=B134)),Raw_Observations!$H$2:$H$250),Bank_Rates!$B$2:$B$100,MAXIFS(Bank_Rates!$B$2:$B$100,Bank_Rates!$A$2:$A$100,LOOKUP(2,1/((Raw_Observations!$A$2:$A$250=A134)*(Raw_Observations!$B$2:$B$250=B134)),Raw_Observations!$H$2:$H$250),Bank_Rates!$B$2:$B$100,"&lt;="&amp;TODAY()),Bank_Rates!$D$2:$D$100,"&lt;="&amp;D134)),"No Match"))</f>
        <v/>
      </c>
      <c r="F134" s="10" t="str">
        <f>IFERROR(LOOKUP(2,1/((Raw_Observations!$A$2:$A$250=A134)*(Raw_Observations!$B$2:$B$250=B134)),Raw_Observations!$K$2:$K$250),"")</f>
        <v/>
      </c>
      <c r="G134" s="10"/>
      <c r="H134" s="10" t="str">
        <f t="shared" ca="1" si="8"/>
        <v/>
      </c>
      <c r="I134" s="9" t="str">
        <f t="shared" ca="1" si="9"/>
        <v/>
      </c>
      <c r="J134" s="10" t="str">
        <f ca="1">IFERROR((I134/LOOKUP(2,1/((Raw_Observations!$A$2:$A$999=A134)*(Raw_Observations!$B$2:$B$999=B134)),Raw_Observations!$D$2:$D$999))^365-1,"")</f>
        <v/>
      </c>
    </row>
    <row r="135" spans="1:10">
      <c r="A135" s="2"/>
      <c r="B135" s="2"/>
      <c r="C135" s="9">
        <f>IFERROR(LOOKUP(2,1/((Raw_Observations!$A$2:$A$250=A135)*(Raw_Observations!$B$2:$B$250=B135)),Raw_Observations!$E$2:$E$250),"")</f>
        <v>0</v>
      </c>
      <c r="D135" s="8">
        <f ca="1">IFERROR(MAX(0,LOOKUP(2,1/((Raw_Observations!$A$2:$A$250=A135)*(Raw_Observations!$B$2:$B$250=B135)),Raw_Observations!$F$2:$F$250)-TODAY()),"")</f>
        <v>0</v>
      </c>
      <c r="E135" s="10" t="str">
        <f ca="1">IF(OR(A135="",B135=""),"",IFERROR(SUMIFS(Bank_Rates!$C$2:$C$100,Bank_Rates!$A$2:$A$100,LOOKUP(2,1/((Raw_Observations!$A$2:$A$250=A135)*(Raw_Observations!$B$2:$B$250=B135)),Raw_Observations!$H$2:$H$250),Bank_Rates!$B$2:$B$100,MAXIFS(Bank_Rates!$B$2:$B$100,Bank_Rates!$A$2:$A$100,LOOKUP(2,1/((Raw_Observations!$A$2:$A$250=A135)*(Raw_Observations!$B$2:$B$250=B135)),Raw_Observations!$H$2:$H$250),Bank_Rates!$B$2:$B$100,"&lt;="&amp;TODAY()),Bank_Rates!$D$2:$D$100,MAXIFS(Bank_Rates!$D$2:$D$100,Bank_Rates!$A$2:$A$100,LOOKUP(2,1/((Raw_Observations!$A$2:$A$250=A135)*(Raw_Observations!$B$2:$B$250=B135)),Raw_Observations!$H$2:$H$250),Bank_Rates!$B$2:$B$100,MAXIFS(Bank_Rates!$B$2:$B$100,Bank_Rates!$A$2:$A$100,LOOKUP(2,1/((Raw_Observations!$A$2:$A$250=A135)*(Raw_Observations!$B$2:$B$250=B135)),Raw_Observations!$H$2:$H$250),Bank_Rates!$B$2:$B$100,"&lt;="&amp;TODAY()),Bank_Rates!$D$2:$D$100,"&lt;="&amp;D135)),"No Match"))</f>
        <v/>
      </c>
      <c r="F135" s="10" t="str">
        <f>IFERROR(LOOKUP(2,1/((Raw_Observations!$A$2:$A$250=A135)*(Raw_Observations!$B$2:$B$250=B135)),Raw_Observations!$K$2:$K$250),"")</f>
        <v/>
      </c>
      <c r="G135" s="10"/>
      <c r="H135" s="10" t="str">
        <f t="shared" ca="1" si="8"/>
        <v/>
      </c>
      <c r="I135" s="9" t="str">
        <f t="shared" ca="1" si="9"/>
        <v/>
      </c>
      <c r="J135" s="10" t="str">
        <f ca="1">IFERROR((I135/LOOKUP(2,1/((Raw_Observations!$A$2:$A$999=A135)*(Raw_Observations!$B$2:$B$999=B135)),Raw_Observations!$D$2:$D$999))^365-1,"")</f>
        <v/>
      </c>
    </row>
    <row r="136" spans="1:10">
      <c r="A136" s="2"/>
      <c r="B136" s="2"/>
      <c r="C136" s="9">
        <f>IFERROR(LOOKUP(2,1/((Raw_Observations!$A$2:$A$250=A136)*(Raw_Observations!$B$2:$B$250=B136)),Raw_Observations!$E$2:$E$250),"")</f>
        <v>0</v>
      </c>
      <c r="D136" s="8">
        <f ca="1">IFERROR(MAX(0,LOOKUP(2,1/((Raw_Observations!$A$2:$A$250=A136)*(Raw_Observations!$B$2:$B$250=B136)),Raw_Observations!$F$2:$F$250)-TODAY()),"")</f>
        <v>0</v>
      </c>
      <c r="E136" s="10" t="str">
        <f ca="1">IF(OR(A136="",B136=""),"",IFERROR(SUMIFS(Bank_Rates!$C$2:$C$100,Bank_Rates!$A$2:$A$100,LOOKUP(2,1/((Raw_Observations!$A$2:$A$250=A136)*(Raw_Observations!$B$2:$B$250=B136)),Raw_Observations!$H$2:$H$250),Bank_Rates!$B$2:$B$100,MAXIFS(Bank_Rates!$B$2:$B$100,Bank_Rates!$A$2:$A$100,LOOKUP(2,1/((Raw_Observations!$A$2:$A$250=A136)*(Raw_Observations!$B$2:$B$250=B136)),Raw_Observations!$H$2:$H$250),Bank_Rates!$B$2:$B$100,"&lt;="&amp;TODAY()),Bank_Rates!$D$2:$D$100,MAXIFS(Bank_Rates!$D$2:$D$100,Bank_Rates!$A$2:$A$100,LOOKUP(2,1/((Raw_Observations!$A$2:$A$250=A136)*(Raw_Observations!$B$2:$B$250=B136)),Raw_Observations!$H$2:$H$250),Bank_Rates!$B$2:$B$100,MAXIFS(Bank_Rates!$B$2:$B$100,Bank_Rates!$A$2:$A$100,LOOKUP(2,1/((Raw_Observations!$A$2:$A$250=A136)*(Raw_Observations!$B$2:$B$250=B136)),Raw_Observations!$H$2:$H$250),Bank_Rates!$B$2:$B$100,"&lt;="&amp;TODAY()),Bank_Rates!$D$2:$D$100,"&lt;="&amp;D136)),"No Match"))</f>
        <v/>
      </c>
      <c r="F136" s="10" t="str">
        <f>IFERROR(LOOKUP(2,1/((Raw_Observations!$A$2:$A$250=A136)*(Raw_Observations!$B$2:$B$250=B136)),Raw_Observations!$K$2:$K$250),"")</f>
        <v/>
      </c>
      <c r="G136" s="10"/>
      <c r="H136" s="10" t="str">
        <f t="shared" ca="1" si="8"/>
        <v/>
      </c>
      <c r="I136" s="9" t="str">
        <f t="shared" ca="1" si="9"/>
        <v/>
      </c>
      <c r="J136" s="10" t="str">
        <f ca="1">IFERROR((I136/LOOKUP(2,1/((Raw_Observations!$A$2:$A$999=A136)*(Raw_Observations!$B$2:$B$999=B136)),Raw_Observations!$D$2:$D$999))^365-1,"")</f>
        <v/>
      </c>
    </row>
    <row r="137" spans="1:10">
      <c r="A137" s="2"/>
      <c r="B137" s="2"/>
      <c r="C137" s="9">
        <f>IFERROR(LOOKUP(2,1/((Raw_Observations!$A$2:$A$250=A137)*(Raw_Observations!$B$2:$B$250=B137)),Raw_Observations!$E$2:$E$250),"")</f>
        <v>0</v>
      </c>
      <c r="D137" s="8">
        <f ca="1">IFERROR(MAX(0,LOOKUP(2,1/((Raw_Observations!$A$2:$A$250=A137)*(Raw_Observations!$B$2:$B$250=B137)),Raw_Observations!$F$2:$F$250)-TODAY()),"")</f>
        <v>0</v>
      </c>
      <c r="E137" s="10" t="str">
        <f ca="1">IF(OR(A137="",B137=""),"",IFERROR(SUMIFS(Bank_Rates!$C$2:$C$100,Bank_Rates!$A$2:$A$100,LOOKUP(2,1/((Raw_Observations!$A$2:$A$250=A137)*(Raw_Observations!$B$2:$B$250=B137)),Raw_Observations!$H$2:$H$250),Bank_Rates!$B$2:$B$100,MAXIFS(Bank_Rates!$B$2:$B$100,Bank_Rates!$A$2:$A$100,LOOKUP(2,1/((Raw_Observations!$A$2:$A$250=A137)*(Raw_Observations!$B$2:$B$250=B137)),Raw_Observations!$H$2:$H$250),Bank_Rates!$B$2:$B$100,"&lt;="&amp;TODAY()),Bank_Rates!$D$2:$D$100,MAXIFS(Bank_Rates!$D$2:$D$100,Bank_Rates!$A$2:$A$100,LOOKUP(2,1/((Raw_Observations!$A$2:$A$250=A137)*(Raw_Observations!$B$2:$B$250=B137)),Raw_Observations!$H$2:$H$250),Bank_Rates!$B$2:$B$100,MAXIFS(Bank_Rates!$B$2:$B$100,Bank_Rates!$A$2:$A$100,LOOKUP(2,1/((Raw_Observations!$A$2:$A$250=A137)*(Raw_Observations!$B$2:$B$250=B137)),Raw_Observations!$H$2:$H$250),Bank_Rates!$B$2:$B$100,"&lt;="&amp;TODAY()),Bank_Rates!$D$2:$D$100,"&lt;="&amp;D137)),"No Match"))</f>
        <v/>
      </c>
      <c r="F137" s="10" t="str">
        <f>IFERROR(LOOKUP(2,1/((Raw_Observations!$A$2:$A$250=A137)*(Raw_Observations!$B$2:$B$250=B137)),Raw_Observations!$K$2:$K$250),"")</f>
        <v/>
      </c>
      <c r="G137" s="10"/>
      <c r="H137" s="10" t="str">
        <f t="shared" ca="1" si="8"/>
        <v/>
      </c>
      <c r="I137" s="9" t="str">
        <f t="shared" ca="1" si="9"/>
        <v/>
      </c>
      <c r="J137" s="10" t="str">
        <f ca="1">IFERROR((I137/LOOKUP(2,1/((Raw_Observations!$A$2:$A$999=A137)*(Raw_Observations!$B$2:$B$999=B137)),Raw_Observations!$D$2:$D$999))^365-1,"")</f>
        <v/>
      </c>
    </row>
    <row r="138" spans="1:10">
      <c r="A138" s="2"/>
      <c r="B138" s="2"/>
      <c r="C138" s="9">
        <f>IFERROR(LOOKUP(2,1/((Raw_Observations!$A$2:$A$250=A138)*(Raw_Observations!$B$2:$B$250=B138)),Raw_Observations!$E$2:$E$250),"")</f>
        <v>0</v>
      </c>
      <c r="D138" s="8">
        <f ca="1">IFERROR(MAX(0,LOOKUP(2,1/((Raw_Observations!$A$2:$A$250=A138)*(Raw_Observations!$B$2:$B$250=B138)),Raw_Observations!$F$2:$F$250)-TODAY()),"")</f>
        <v>0</v>
      </c>
      <c r="E138" s="10" t="str">
        <f ca="1">IF(OR(A138="",B138=""),"",IFERROR(SUMIFS(Bank_Rates!$C$2:$C$100,Bank_Rates!$A$2:$A$100,LOOKUP(2,1/((Raw_Observations!$A$2:$A$250=A138)*(Raw_Observations!$B$2:$B$250=B138)),Raw_Observations!$H$2:$H$250),Bank_Rates!$B$2:$B$100,MAXIFS(Bank_Rates!$B$2:$B$100,Bank_Rates!$A$2:$A$100,LOOKUP(2,1/((Raw_Observations!$A$2:$A$250=A138)*(Raw_Observations!$B$2:$B$250=B138)),Raw_Observations!$H$2:$H$250),Bank_Rates!$B$2:$B$100,"&lt;="&amp;TODAY()),Bank_Rates!$D$2:$D$100,MAXIFS(Bank_Rates!$D$2:$D$100,Bank_Rates!$A$2:$A$100,LOOKUP(2,1/((Raw_Observations!$A$2:$A$250=A138)*(Raw_Observations!$B$2:$B$250=B138)),Raw_Observations!$H$2:$H$250),Bank_Rates!$B$2:$B$100,MAXIFS(Bank_Rates!$B$2:$B$100,Bank_Rates!$A$2:$A$100,LOOKUP(2,1/((Raw_Observations!$A$2:$A$250=A138)*(Raw_Observations!$B$2:$B$250=B138)),Raw_Observations!$H$2:$H$250),Bank_Rates!$B$2:$B$100,"&lt;="&amp;TODAY()),Bank_Rates!$D$2:$D$100,"&lt;="&amp;D138)),"No Match"))</f>
        <v/>
      </c>
      <c r="F138" s="10" t="str">
        <f>IFERROR(LOOKUP(2,1/((Raw_Observations!$A$2:$A$250=A138)*(Raw_Observations!$B$2:$B$250=B138)),Raw_Observations!$K$2:$K$250),"")</f>
        <v/>
      </c>
      <c r="G138" s="10"/>
      <c r="H138" s="10" t="str">
        <f t="shared" ca="1" si="8"/>
        <v/>
      </c>
      <c r="I138" s="9" t="str">
        <f t="shared" ca="1" si="9"/>
        <v/>
      </c>
      <c r="J138" s="10" t="str">
        <f ca="1">IFERROR((I138/LOOKUP(2,1/((Raw_Observations!$A$2:$A$999=A138)*(Raw_Observations!$B$2:$B$999=B138)),Raw_Observations!$D$2:$D$999))^365-1,"")</f>
        <v/>
      </c>
    </row>
    <row r="139" spans="1:10">
      <c r="A139" s="2"/>
      <c r="B139" s="2"/>
      <c r="C139" s="9">
        <f>IFERROR(LOOKUP(2,1/((Raw_Observations!$A$2:$A$250=A139)*(Raw_Observations!$B$2:$B$250=B139)),Raw_Observations!$E$2:$E$250),"")</f>
        <v>0</v>
      </c>
      <c r="D139" s="8">
        <f ca="1">IFERROR(MAX(0,LOOKUP(2,1/((Raw_Observations!$A$2:$A$250=A139)*(Raw_Observations!$B$2:$B$250=B139)),Raw_Observations!$F$2:$F$250)-TODAY()),"")</f>
        <v>0</v>
      </c>
      <c r="E139" s="10" t="str">
        <f ca="1">IF(OR(A139="",B139=""),"",IFERROR(SUMIFS(Bank_Rates!$C$2:$C$100,Bank_Rates!$A$2:$A$100,LOOKUP(2,1/((Raw_Observations!$A$2:$A$250=A139)*(Raw_Observations!$B$2:$B$250=B139)),Raw_Observations!$H$2:$H$250),Bank_Rates!$B$2:$B$100,MAXIFS(Bank_Rates!$B$2:$B$100,Bank_Rates!$A$2:$A$100,LOOKUP(2,1/((Raw_Observations!$A$2:$A$250=A139)*(Raw_Observations!$B$2:$B$250=B139)),Raw_Observations!$H$2:$H$250),Bank_Rates!$B$2:$B$100,"&lt;="&amp;TODAY()),Bank_Rates!$D$2:$D$100,MAXIFS(Bank_Rates!$D$2:$D$100,Bank_Rates!$A$2:$A$100,LOOKUP(2,1/((Raw_Observations!$A$2:$A$250=A139)*(Raw_Observations!$B$2:$B$250=B139)),Raw_Observations!$H$2:$H$250),Bank_Rates!$B$2:$B$100,MAXIFS(Bank_Rates!$B$2:$B$100,Bank_Rates!$A$2:$A$100,LOOKUP(2,1/((Raw_Observations!$A$2:$A$250=A139)*(Raw_Observations!$B$2:$B$250=B139)),Raw_Observations!$H$2:$H$250),Bank_Rates!$B$2:$B$100,"&lt;="&amp;TODAY()),Bank_Rates!$D$2:$D$100,"&lt;="&amp;D139)),"No Match"))</f>
        <v/>
      </c>
      <c r="F139" s="10" t="str">
        <f>IFERROR(LOOKUP(2,1/((Raw_Observations!$A$2:$A$250=A139)*(Raw_Observations!$B$2:$B$250=B139)),Raw_Observations!$K$2:$K$250),"")</f>
        <v/>
      </c>
      <c r="G139" s="10"/>
      <c r="H139" s="10" t="str">
        <f t="shared" ca="1" si="8"/>
        <v/>
      </c>
      <c r="I139" s="9" t="str">
        <f t="shared" ca="1" si="9"/>
        <v/>
      </c>
      <c r="J139" s="10" t="str">
        <f ca="1">IFERROR((I139/LOOKUP(2,1/((Raw_Observations!$A$2:$A$999=A139)*(Raw_Observations!$B$2:$B$999=B139)),Raw_Observations!$D$2:$D$999))^365-1,"")</f>
        <v/>
      </c>
    </row>
    <row r="140" spans="1:10">
      <c r="A140" s="2"/>
      <c r="B140" s="2"/>
      <c r="C140" s="9">
        <f>IFERROR(LOOKUP(2,1/((Raw_Observations!$A$2:$A$250=A140)*(Raw_Observations!$B$2:$B$250=B140)),Raw_Observations!$E$2:$E$250),"")</f>
        <v>0</v>
      </c>
      <c r="D140" s="8">
        <f ca="1">IFERROR(MAX(0,LOOKUP(2,1/((Raw_Observations!$A$2:$A$250=A140)*(Raw_Observations!$B$2:$B$250=B140)),Raw_Observations!$F$2:$F$250)-TODAY()),"")</f>
        <v>0</v>
      </c>
      <c r="E140" s="10" t="str">
        <f ca="1">IF(OR(A140="",B140=""),"",IFERROR(SUMIFS(Bank_Rates!$C$2:$C$100,Bank_Rates!$A$2:$A$100,LOOKUP(2,1/((Raw_Observations!$A$2:$A$250=A140)*(Raw_Observations!$B$2:$B$250=B140)),Raw_Observations!$H$2:$H$250),Bank_Rates!$B$2:$B$100,MAXIFS(Bank_Rates!$B$2:$B$100,Bank_Rates!$A$2:$A$100,LOOKUP(2,1/((Raw_Observations!$A$2:$A$250=A140)*(Raw_Observations!$B$2:$B$250=B140)),Raw_Observations!$H$2:$H$250),Bank_Rates!$B$2:$B$100,"&lt;="&amp;TODAY()),Bank_Rates!$D$2:$D$100,MAXIFS(Bank_Rates!$D$2:$D$100,Bank_Rates!$A$2:$A$100,LOOKUP(2,1/((Raw_Observations!$A$2:$A$250=A140)*(Raw_Observations!$B$2:$B$250=B140)),Raw_Observations!$H$2:$H$250),Bank_Rates!$B$2:$B$100,MAXIFS(Bank_Rates!$B$2:$B$100,Bank_Rates!$A$2:$A$100,LOOKUP(2,1/((Raw_Observations!$A$2:$A$250=A140)*(Raw_Observations!$B$2:$B$250=B140)),Raw_Observations!$H$2:$H$250),Bank_Rates!$B$2:$B$100,"&lt;="&amp;TODAY()),Bank_Rates!$D$2:$D$100,"&lt;="&amp;D140)),"No Match"))</f>
        <v/>
      </c>
      <c r="F140" s="10" t="str">
        <f>IFERROR(LOOKUP(2,1/((Raw_Observations!$A$2:$A$250=A140)*(Raw_Observations!$B$2:$B$250=B140)),Raw_Observations!$K$2:$K$250),"")</f>
        <v/>
      </c>
      <c r="G140" s="10"/>
      <c r="H140" s="10" t="str">
        <f t="shared" ca="1" si="8"/>
        <v/>
      </c>
      <c r="I140" s="9" t="str">
        <f t="shared" ca="1" si="9"/>
        <v/>
      </c>
      <c r="J140" s="10" t="str">
        <f ca="1">IFERROR((I140/LOOKUP(2,1/((Raw_Observations!$A$2:$A$999=A140)*(Raw_Observations!$B$2:$B$999=B140)),Raw_Observations!$D$2:$D$999))^365-1,"")</f>
        <v/>
      </c>
    </row>
    <row r="141" spans="1:10">
      <c r="A141" s="2"/>
      <c r="B141" s="2"/>
      <c r="C141" s="9">
        <f>IFERROR(LOOKUP(2,1/((Raw_Observations!$A$2:$A$250=A141)*(Raw_Observations!$B$2:$B$250=B141)),Raw_Observations!$E$2:$E$250),"")</f>
        <v>0</v>
      </c>
      <c r="D141" s="8">
        <f ca="1">IFERROR(MAX(0,LOOKUP(2,1/((Raw_Observations!$A$2:$A$250=A141)*(Raw_Observations!$B$2:$B$250=B141)),Raw_Observations!$F$2:$F$250)-TODAY()),"")</f>
        <v>0</v>
      </c>
      <c r="E141" s="10" t="str">
        <f ca="1">IF(OR(A141="",B141=""),"",IFERROR(SUMIFS(Bank_Rates!$C$2:$C$100,Bank_Rates!$A$2:$A$100,LOOKUP(2,1/((Raw_Observations!$A$2:$A$250=A141)*(Raw_Observations!$B$2:$B$250=B141)),Raw_Observations!$H$2:$H$250),Bank_Rates!$B$2:$B$100,MAXIFS(Bank_Rates!$B$2:$B$100,Bank_Rates!$A$2:$A$100,LOOKUP(2,1/((Raw_Observations!$A$2:$A$250=A141)*(Raw_Observations!$B$2:$B$250=B141)),Raw_Observations!$H$2:$H$250),Bank_Rates!$B$2:$B$100,"&lt;="&amp;TODAY()),Bank_Rates!$D$2:$D$100,MAXIFS(Bank_Rates!$D$2:$D$100,Bank_Rates!$A$2:$A$100,LOOKUP(2,1/((Raw_Observations!$A$2:$A$250=A141)*(Raw_Observations!$B$2:$B$250=B141)),Raw_Observations!$H$2:$H$250),Bank_Rates!$B$2:$B$100,MAXIFS(Bank_Rates!$B$2:$B$100,Bank_Rates!$A$2:$A$100,LOOKUP(2,1/((Raw_Observations!$A$2:$A$250=A141)*(Raw_Observations!$B$2:$B$250=B141)),Raw_Observations!$H$2:$H$250),Bank_Rates!$B$2:$B$100,"&lt;="&amp;TODAY()),Bank_Rates!$D$2:$D$100,"&lt;="&amp;D141)),"No Match"))</f>
        <v/>
      </c>
      <c r="F141" s="10" t="str">
        <f>IFERROR(LOOKUP(2,1/((Raw_Observations!$A$2:$A$250=A141)*(Raw_Observations!$B$2:$B$250=B141)),Raw_Observations!$K$2:$K$250),"")</f>
        <v/>
      </c>
      <c r="G141" s="10"/>
      <c r="H141" s="10" t="str">
        <f t="shared" ca="1" si="8"/>
        <v/>
      </c>
      <c r="I141" s="9" t="str">
        <f t="shared" ca="1" si="9"/>
        <v/>
      </c>
      <c r="J141" s="10" t="str">
        <f ca="1">IFERROR((I141/LOOKUP(2,1/((Raw_Observations!$A$2:$A$999=A141)*(Raw_Observations!$B$2:$B$999=B141)),Raw_Observations!$D$2:$D$999))^365-1,"")</f>
        <v/>
      </c>
    </row>
    <row r="142" spans="1:10">
      <c r="A142" s="2"/>
      <c r="B142" s="2"/>
      <c r="C142" s="9">
        <f>IFERROR(LOOKUP(2,1/((Raw_Observations!$A$2:$A$250=A142)*(Raw_Observations!$B$2:$B$250=B142)),Raw_Observations!$E$2:$E$250),"")</f>
        <v>0</v>
      </c>
      <c r="D142" s="8">
        <f ca="1">IFERROR(MAX(0,LOOKUP(2,1/((Raw_Observations!$A$2:$A$250=A142)*(Raw_Observations!$B$2:$B$250=B142)),Raw_Observations!$F$2:$F$250)-TODAY()),"")</f>
        <v>0</v>
      </c>
      <c r="E142" s="10" t="str">
        <f ca="1">IF(OR(A142="",B142=""),"",IFERROR(SUMIFS(Bank_Rates!$C$2:$C$100,Bank_Rates!$A$2:$A$100,LOOKUP(2,1/((Raw_Observations!$A$2:$A$250=A142)*(Raw_Observations!$B$2:$B$250=B142)),Raw_Observations!$H$2:$H$250),Bank_Rates!$B$2:$B$100,MAXIFS(Bank_Rates!$B$2:$B$100,Bank_Rates!$A$2:$A$100,LOOKUP(2,1/((Raw_Observations!$A$2:$A$250=A142)*(Raw_Observations!$B$2:$B$250=B142)),Raw_Observations!$H$2:$H$250),Bank_Rates!$B$2:$B$100,"&lt;="&amp;TODAY()),Bank_Rates!$D$2:$D$100,MAXIFS(Bank_Rates!$D$2:$D$100,Bank_Rates!$A$2:$A$100,LOOKUP(2,1/((Raw_Observations!$A$2:$A$250=A142)*(Raw_Observations!$B$2:$B$250=B142)),Raw_Observations!$H$2:$H$250),Bank_Rates!$B$2:$B$100,MAXIFS(Bank_Rates!$B$2:$B$100,Bank_Rates!$A$2:$A$100,LOOKUP(2,1/((Raw_Observations!$A$2:$A$250=A142)*(Raw_Observations!$B$2:$B$250=B142)),Raw_Observations!$H$2:$H$250),Bank_Rates!$B$2:$B$100,"&lt;="&amp;TODAY()),Bank_Rates!$D$2:$D$100,"&lt;="&amp;D142)),"No Match"))</f>
        <v/>
      </c>
      <c r="F142" s="10" t="str">
        <f>IFERROR(LOOKUP(2,1/((Raw_Observations!$A$2:$A$250=A142)*(Raw_Observations!$B$2:$B$250=B142)),Raw_Observations!$K$2:$K$250),"")</f>
        <v/>
      </c>
      <c r="G142" s="10"/>
      <c r="H142" s="10" t="str">
        <f t="shared" ca="1" si="8"/>
        <v/>
      </c>
      <c r="I142" s="9" t="str">
        <f t="shared" ca="1" si="9"/>
        <v/>
      </c>
      <c r="J142" s="10" t="str">
        <f ca="1">IFERROR((I142/LOOKUP(2,1/((Raw_Observations!$A$2:$A$999=A142)*(Raw_Observations!$B$2:$B$999=B142)),Raw_Observations!$D$2:$D$999))^365-1,"")</f>
        <v/>
      </c>
    </row>
    <row r="143" spans="1:10">
      <c r="A143" s="2"/>
      <c r="B143" s="2"/>
      <c r="C143" s="9">
        <f>IFERROR(LOOKUP(2,1/((Raw_Observations!$A$2:$A$250=A143)*(Raw_Observations!$B$2:$B$250=B143)),Raw_Observations!$E$2:$E$250),"")</f>
        <v>0</v>
      </c>
      <c r="D143" s="8">
        <f ca="1">IFERROR(MAX(0,LOOKUP(2,1/((Raw_Observations!$A$2:$A$250=A143)*(Raw_Observations!$B$2:$B$250=B143)),Raw_Observations!$F$2:$F$250)-TODAY()),"")</f>
        <v>0</v>
      </c>
      <c r="E143" s="10" t="str">
        <f ca="1">IF(OR(A143="",B143=""),"",IFERROR(SUMIFS(Bank_Rates!$C$2:$C$100,Bank_Rates!$A$2:$A$100,LOOKUP(2,1/((Raw_Observations!$A$2:$A$250=A143)*(Raw_Observations!$B$2:$B$250=B143)),Raw_Observations!$H$2:$H$250),Bank_Rates!$B$2:$B$100,MAXIFS(Bank_Rates!$B$2:$B$100,Bank_Rates!$A$2:$A$100,LOOKUP(2,1/((Raw_Observations!$A$2:$A$250=A143)*(Raw_Observations!$B$2:$B$250=B143)),Raw_Observations!$H$2:$H$250),Bank_Rates!$B$2:$B$100,"&lt;="&amp;TODAY()),Bank_Rates!$D$2:$D$100,MAXIFS(Bank_Rates!$D$2:$D$100,Bank_Rates!$A$2:$A$100,LOOKUP(2,1/((Raw_Observations!$A$2:$A$250=A143)*(Raw_Observations!$B$2:$B$250=B143)),Raw_Observations!$H$2:$H$250),Bank_Rates!$B$2:$B$100,MAXIFS(Bank_Rates!$B$2:$B$100,Bank_Rates!$A$2:$A$100,LOOKUP(2,1/((Raw_Observations!$A$2:$A$250=A143)*(Raw_Observations!$B$2:$B$250=B143)),Raw_Observations!$H$2:$H$250),Bank_Rates!$B$2:$B$100,"&lt;="&amp;TODAY()),Bank_Rates!$D$2:$D$100,"&lt;="&amp;D143)),"No Match"))</f>
        <v/>
      </c>
      <c r="F143" s="10" t="str">
        <f>IFERROR(LOOKUP(2,1/((Raw_Observations!$A$2:$A$250=A143)*(Raw_Observations!$B$2:$B$250=B143)),Raw_Observations!$K$2:$K$250),"")</f>
        <v/>
      </c>
      <c r="G143" s="10"/>
      <c r="H143" s="10" t="str">
        <f t="shared" ca="1" si="8"/>
        <v/>
      </c>
      <c r="I143" s="9" t="str">
        <f t="shared" ca="1" si="9"/>
        <v/>
      </c>
      <c r="J143" s="10" t="str">
        <f ca="1">IFERROR((I143/LOOKUP(2,1/((Raw_Observations!$A$2:$A$999=A143)*(Raw_Observations!$B$2:$B$999=B143)),Raw_Observations!$D$2:$D$999))^365-1,"")</f>
        <v/>
      </c>
    </row>
    <row r="144" spans="1:10">
      <c r="A144" s="2"/>
      <c r="B144" s="2"/>
      <c r="C144" s="9">
        <f>IFERROR(LOOKUP(2,1/((Raw_Observations!$A$2:$A$250=A144)*(Raw_Observations!$B$2:$B$250=B144)),Raw_Observations!$E$2:$E$250),"")</f>
        <v>0</v>
      </c>
      <c r="D144" s="8">
        <f ca="1">IFERROR(MAX(0,LOOKUP(2,1/((Raw_Observations!$A$2:$A$250=A144)*(Raw_Observations!$B$2:$B$250=B144)),Raw_Observations!$F$2:$F$250)-TODAY()),"")</f>
        <v>0</v>
      </c>
      <c r="E144" s="10" t="str">
        <f ca="1">IF(OR(A144="",B144=""),"",IFERROR(SUMIFS(Bank_Rates!$C$2:$C$100,Bank_Rates!$A$2:$A$100,LOOKUP(2,1/((Raw_Observations!$A$2:$A$250=A144)*(Raw_Observations!$B$2:$B$250=B144)),Raw_Observations!$H$2:$H$250),Bank_Rates!$B$2:$B$100,MAXIFS(Bank_Rates!$B$2:$B$100,Bank_Rates!$A$2:$A$100,LOOKUP(2,1/((Raw_Observations!$A$2:$A$250=A144)*(Raw_Observations!$B$2:$B$250=B144)),Raw_Observations!$H$2:$H$250),Bank_Rates!$B$2:$B$100,"&lt;="&amp;TODAY()),Bank_Rates!$D$2:$D$100,MAXIFS(Bank_Rates!$D$2:$D$100,Bank_Rates!$A$2:$A$100,LOOKUP(2,1/((Raw_Observations!$A$2:$A$250=A144)*(Raw_Observations!$B$2:$B$250=B144)),Raw_Observations!$H$2:$H$250),Bank_Rates!$B$2:$B$100,MAXIFS(Bank_Rates!$B$2:$B$100,Bank_Rates!$A$2:$A$100,LOOKUP(2,1/((Raw_Observations!$A$2:$A$250=A144)*(Raw_Observations!$B$2:$B$250=B144)),Raw_Observations!$H$2:$H$250),Bank_Rates!$B$2:$B$100,"&lt;="&amp;TODAY()),Bank_Rates!$D$2:$D$100,"&lt;="&amp;D144)),"No Match"))</f>
        <v/>
      </c>
      <c r="F144" s="10" t="str">
        <f>IFERROR(LOOKUP(2,1/((Raw_Observations!$A$2:$A$250=A144)*(Raw_Observations!$B$2:$B$250=B144)),Raw_Observations!$K$2:$K$250),"")</f>
        <v/>
      </c>
      <c r="G144" s="10"/>
      <c r="H144" s="10" t="str">
        <f t="shared" ca="1" si="8"/>
        <v/>
      </c>
      <c r="I144" s="9" t="str">
        <f t="shared" ca="1" si="9"/>
        <v/>
      </c>
      <c r="J144" s="10" t="str">
        <f ca="1">IFERROR((I144/LOOKUP(2,1/((Raw_Observations!$A$2:$A$999=A144)*(Raw_Observations!$B$2:$B$999=B144)),Raw_Observations!$D$2:$D$999))^365-1,"")</f>
        <v/>
      </c>
    </row>
    <row r="145" spans="1:10">
      <c r="A145" s="2"/>
      <c r="B145" s="2"/>
      <c r="C145" s="9">
        <f>IFERROR(LOOKUP(2,1/((Raw_Observations!$A$2:$A$250=A145)*(Raw_Observations!$B$2:$B$250=B145)),Raw_Observations!$E$2:$E$250),"")</f>
        <v>0</v>
      </c>
      <c r="D145" s="8">
        <f ca="1">IFERROR(MAX(0,LOOKUP(2,1/((Raw_Observations!$A$2:$A$250=A145)*(Raw_Observations!$B$2:$B$250=B145)),Raw_Observations!$F$2:$F$250)-TODAY()),"")</f>
        <v>0</v>
      </c>
      <c r="E145" s="10" t="str">
        <f ca="1">IF(OR(A145="",B145=""),"",IFERROR(SUMIFS(Bank_Rates!$C$2:$C$100,Bank_Rates!$A$2:$A$100,LOOKUP(2,1/((Raw_Observations!$A$2:$A$250=A145)*(Raw_Observations!$B$2:$B$250=B145)),Raw_Observations!$H$2:$H$250),Bank_Rates!$B$2:$B$100,MAXIFS(Bank_Rates!$B$2:$B$100,Bank_Rates!$A$2:$A$100,LOOKUP(2,1/((Raw_Observations!$A$2:$A$250=A145)*(Raw_Observations!$B$2:$B$250=B145)),Raw_Observations!$H$2:$H$250),Bank_Rates!$B$2:$B$100,"&lt;="&amp;TODAY()),Bank_Rates!$D$2:$D$100,MAXIFS(Bank_Rates!$D$2:$D$100,Bank_Rates!$A$2:$A$100,LOOKUP(2,1/((Raw_Observations!$A$2:$A$250=A145)*(Raw_Observations!$B$2:$B$250=B145)),Raw_Observations!$H$2:$H$250),Bank_Rates!$B$2:$B$100,MAXIFS(Bank_Rates!$B$2:$B$100,Bank_Rates!$A$2:$A$100,LOOKUP(2,1/((Raw_Observations!$A$2:$A$250=A145)*(Raw_Observations!$B$2:$B$250=B145)),Raw_Observations!$H$2:$H$250),Bank_Rates!$B$2:$B$100,"&lt;="&amp;TODAY()),Bank_Rates!$D$2:$D$100,"&lt;="&amp;D145)),"No Match"))</f>
        <v/>
      </c>
      <c r="F145" s="10" t="str">
        <f>IFERROR(LOOKUP(2,1/((Raw_Observations!$A$2:$A$250=A145)*(Raw_Observations!$B$2:$B$250=B145)),Raw_Observations!$K$2:$K$250),"")</f>
        <v/>
      </c>
      <c r="G145" s="10"/>
      <c r="H145" s="10" t="str">
        <f t="shared" ca="1" si="8"/>
        <v/>
      </c>
      <c r="I145" s="9" t="str">
        <f t="shared" ca="1" si="9"/>
        <v/>
      </c>
      <c r="J145" s="10" t="str">
        <f ca="1">IFERROR((I145/LOOKUP(2,1/((Raw_Observations!$A$2:$A$999=A145)*(Raw_Observations!$B$2:$B$999=B145)),Raw_Observations!$D$2:$D$999))^365-1,"")</f>
        <v/>
      </c>
    </row>
    <row r="146" spans="1:10">
      <c r="A146" s="2"/>
      <c r="B146" s="2"/>
      <c r="C146" s="9">
        <f>IFERROR(LOOKUP(2,1/((Raw_Observations!$A$2:$A$250=A146)*(Raw_Observations!$B$2:$B$250=B146)),Raw_Observations!$E$2:$E$250),"")</f>
        <v>0</v>
      </c>
      <c r="D146" s="8">
        <f ca="1">IFERROR(MAX(0,LOOKUP(2,1/((Raw_Observations!$A$2:$A$250=A146)*(Raw_Observations!$B$2:$B$250=B146)),Raw_Observations!$F$2:$F$250)-TODAY()),"")</f>
        <v>0</v>
      </c>
      <c r="E146" s="10" t="str">
        <f ca="1">IF(OR(A146="",B146=""),"",IFERROR(SUMIFS(Bank_Rates!$C$2:$C$100,Bank_Rates!$A$2:$A$100,LOOKUP(2,1/((Raw_Observations!$A$2:$A$250=A146)*(Raw_Observations!$B$2:$B$250=B146)),Raw_Observations!$H$2:$H$250),Bank_Rates!$B$2:$B$100,MAXIFS(Bank_Rates!$B$2:$B$100,Bank_Rates!$A$2:$A$100,LOOKUP(2,1/((Raw_Observations!$A$2:$A$250=A146)*(Raw_Observations!$B$2:$B$250=B146)),Raw_Observations!$H$2:$H$250),Bank_Rates!$B$2:$B$100,"&lt;="&amp;TODAY()),Bank_Rates!$D$2:$D$100,MAXIFS(Bank_Rates!$D$2:$D$100,Bank_Rates!$A$2:$A$100,LOOKUP(2,1/((Raw_Observations!$A$2:$A$250=A146)*(Raw_Observations!$B$2:$B$250=B146)),Raw_Observations!$H$2:$H$250),Bank_Rates!$B$2:$B$100,MAXIFS(Bank_Rates!$B$2:$B$100,Bank_Rates!$A$2:$A$100,LOOKUP(2,1/((Raw_Observations!$A$2:$A$250=A146)*(Raw_Observations!$B$2:$B$250=B146)),Raw_Observations!$H$2:$H$250),Bank_Rates!$B$2:$B$100,"&lt;="&amp;TODAY()),Bank_Rates!$D$2:$D$100,"&lt;="&amp;D146)),"No Match"))</f>
        <v/>
      </c>
      <c r="F146" s="10" t="str">
        <f>IFERROR(LOOKUP(2,1/((Raw_Observations!$A$2:$A$250=A146)*(Raw_Observations!$B$2:$B$250=B146)),Raw_Observations!$K$2:$K$250),"")</f>
        <v/>
      </c>
      <c r="G146" s="10"/>
      <c r="H146" s="10" t="str">
        <f t="shared" ca="1" si="8"/>
        <v/>
      </c>
      <c r="I146" s="9" t="str">
        <f t="shared" ca="1" si="9"/>
        <v/>
      </c>
      <c r="J146" s="10" t="str">
        <f ca="1">IFERROR((I146/LOOKUP(2,1/((Raw_Observations!$A$2:$A$999=A146)*(Raw_Observations!$B$2:$B$999=B146)),Raw_Observations!$D$2:$D$999))^365-1,"")</f>
        <v/>
      </c>
    </row>
    <row r="147" spans="1:10">
      <c r="A147" s="2"/>
      <c r="B147" s="2"/>
      <c r="C147" s="9">
        <f>IFERROR(LOOKUP(2,1/((Raw_Observations!$A$2:$A$250=A147)*(Raw_Observations!$B$2:$B$250=B147)),Raw_Observations!$E$2:$E$250),"")</f>
        <v>0</v>
      </c>
      <c r="D147" s="8">
        <f ca="1">IFERROR(MAX(0,LOOKUP(2,1/((Raw_Observations!$A$2:$A$250=A147)*(Raw_Observations!$B$2:$B$250=B147)),Raw_Observations!$F$2:$F$250)-TODAY()),"")</f>
        <v>0</v>
      </c>
      <c r="E147" s="10" t="str">
        <f ca="1">IF(OR(A147="",B147=""),"",IFERROR(SUMIFS(Bank_Rates!$C$2:$C$100,Bank_Rates!$A$2:$A$100,LOOKUP(2,1/((Raw_Observations!$A$2:$A$250=A147)*(Raw_Observations!$B$2:$B$250=B147)),Raw_Observations!$H$2:$H$250),Bank_Rates!$B$2:$B$100,MAXIFS(Bank_Rates!$B$2:$B$100,Bank_Rates!$A$2:$A$100,LOOKUP(2,1/((Raw_Observations!$A$2:$A$250=A147)*(Raw_Observations!$B$2:$B$250=B147)),Raw_Observations!$H$2:$H$250),Bank_Rates!$B$2:$B$100,"&lt;="&amp;TODAY()),Bank_Rates!$D$2:$D$100,MAXIFS(Bank_Rates!$D$2:$D$100,Bank_Rates!$A$2:$A$100,LOOKUP(2,1/((Raw_Observations!$A$2:$A$250=A147)*(Raw_Observations!$B$2:$B$250=B147)),Raw_Observations!$H$2:$H$250),Bank_Rates!$B$2:$B$100,MAXIFS(Bank_Rates!$B$2:$B$100,Bank_Rates!$A$2:$A$100,LOOKUP(2,1/((Raw_Observations!$A$2:$A$250=A147)*(Raw_Observations!$B$2:$B$250=B147)),Raw_Observations!$H$2:$H$250),Bank_Rates!$B$2:$B$100,"&lt;="&amp;TODAY()),Bank_Rates!$D$2:$D$100,"&lt;="&amp;D147)),"No Match"))</f>
        <v/>
      </c>
      <c r="F147" s="10" t="str">
        <f>IFERROR(LOOKUP(2,1/((Raw_Observations!$A$2:$A$250=A147)*(Raw_Observations!$B$2:$B$250=B147)),Raw_Observations!$K$2:$K$250),"")</f>
        <v/>
      </c>
      <c r="G147" s="10"/>
      <c r="H147" s="10" t="str">
        <f t="shared" ca="1" si="8"/>
        <v/>
      </c>
      <c r="I147" s="9" t="str">
        <f t="shared" ca="1" si="9"/>
        <v/>
      </c>
      <c r="J147" s="10" t="str">
        <f ca="1">IFERROR((I147/LOOKUP(2,1/((Raw_Observations!$A$2:$A$999=A147)*(Raw_Observations!$B$2:$B$999=B147)),Raw_Observations!$D$2:$D$999))^365-1,"")</f>
        <v/>
      </c>
    </row>
    <row r="148" spans="1:10">
      <c r="A148" s="2"/>
      <c r="B148" s="2"/>
      <c r="C148" s="9">
        <f>IFERROR(LOOKUP(2,1/((Raw_Observations!$A$2:$A$250=A148)*(Raw_Observations!$B$2:$B$250=B148)),Raw_Observations!$E$2:$E$250),"")</f>
        <v>0</v>
      </c>
      <c r="D148" s="8">
        <f ca="1">IFERROR(MAX(0,LOOKUP(2,1/((Raw_Observations!$A$2:$A$250=A148)*(Raw_Observations!$B$2:$B$250=B148)),Raw_Observations!$F$2:$F$250)-TODAY()),"")</f>
        <v>0</v>
      </c>
      <c r="E148" s="10" t="str">
        <f ca="1">IF(OR(A148="",B148=""),"",IFERROR(SUMIFS(Bank_Rates!$C$2:$C$100,Bank_Rates!$A$2:$A$100,LOOKUP(2,1/((Raw_Observations!$A$2:$A$250=A148)*(Raw_Observations!$B$2:$B$250=B148)),Raw_Observations!$H$2:$H$250),Bank_Rates!$B$2:$B$100,MAXIFS(Bank_Rates!$B$2:$B$100,Bank_Rates!$A$2:$A$100,LOOKUP(2,1/((Raw_Observations!$A$2:$A$250=A148)*(Raw_Observations!$B$2:$B$250=B148)),Raw_Observations!$H$2:$H$250),Bank_Rates!$B$2:$B$100,"&lt;="&amp;TODAY()),Bank_Rates!$D$2:$D$100,MAXIFS(Bank_Rates!$D$2:$D$100,Bank_Rates!$A$2:$A$100,LOOKUP(2,1/((Raw_Observations!$A$2:$A$250=A148)*(Raw_Observations!$B$2:$B$250=B148)),Raw_Observations!$H$2:$H$250),Bank_Rates!$B$2:$B$100,MAXIFS(Bank_Rates!$B$2:$B$100,Bank_Rates!$A$2:$A$100,LOOKUP(2,1/((Raw_Observations!$A$2:$A$250=A148)*(Raw_Observations!$B$2:$B$250=B148)),Raw_Observations!$H$2:$H$250),Bank_Rates!$B$2:$B$100,"&lt;="&amp;TODAY()),Bank_Rates!$D$2:$D$100,"&lt;="&amp;D148)),"No Match"))</f>
        <v/>
      </c>
      <c r="F148" s="10" t="str">
        <f>IFERROR(LOOKUP(2,1/((Raw_Observations!$A$2:$A$250=A148)*(Raw_Observations!$B$2:$B$250=B148)),Raw_Observations!$K$2:$K$250),"")</f>
        <v/>
      </c>
      <c r="G148" s="10"/>
      <c r="H148" s="10" t="str">
        <f t="shared" ca="1" si="8"/>
        <v/>
      </c>
      <c r="I148" s="9" t="str">
        <f t="shared" ca="1" si="9"/>
        <v/>
      </c>
      <c r="J148" s="10" t="str">
        <f ca="1">IFERROR((I148/LOOKUP(2,1/((Raw_Observations!$A$2:$A$999=A148)*(Raw_Observations!$B$2:$B$999=B148)),Raw_Observations!$D$2:$D$999))^365-1,"")</f>
        <v/>
      </c>
    </row>
    <row r="149" spans="1:10">
      <c r="A149" s="2"/>
      <c r="B149" s="2"/>
      <c r="C149" s="9">
        <f>IFERROR(LOOKUP(2,1/((Raw_Observations!$A$2:$A$250=A149)*(Raw_Observations!$B$2:$B$250=B149)),Raw_Observations!$E$2:$E$250),"")</f>
        <v>0</v>
      </c>
      <c r="D149" s="8">
        <f ca="1">IFERROR(MAX(0,LOOKUP(2,1/((Raw_Observations!$A$2:$A$250=A149)*(Raw_Observations!$B$2:$B$250=B149)),Raw_Observations!$F$2:$F$250)-TODAY()),"")</f>
        <v>0</v>
      </c>
      <c r="E149" s="10" t="str">
        <f ca="1">IF(OR(A149="",B149=""),"",IFERROR(SUMIFS(Bank_Rates!$C$2:$C$100,Bank_Rates!$A$2:$A$100,LOOKUP(2,1/((Raw_Observations!$A$2:$A$250=A149)*(Raw_Observations!$B$2:$B$250=B149)),Raw_Observations!$H$2:$H$250),Bank_Rates!$B$2:$B$100,MAXIFS(Bank_Rates!$B$2:$B$100,Bank_Rates!$A$2:$A$100,LOOKUP(2,1/((Raw_Observations!$A$2:$A$250=A149)*(Raw_Observations!$B$2:$B$250=B149)),Raw_Observations!$H$2:$H$250),Bank_Rates!$B$2:$B$100,"&lt;="&amp;TODAY()),Bank_Rates!$D$2:$D$100,MAXIFS(Bank_Rates!$D$2:$D$100,Bank_Rates!$A$2:$A$100,LOOKUP(2,1/((Raw_Observations!$A$2:$A$250=A149)*(Raw_Observations!$B$2:$B$250=B149)),Raw_Observations!$H$2:$H$250),Bank_Rates!$B$2:$B$100,MAXIFS(Bank_Rates!$B$2:$B$100,Bank_Rates!$A$2:$A$100,LOOKUP(2,1/((Raw_Observations!$A$2:$A$250=A149)*(Raw_Observations!$B$2:$B$250=B149)),Raw_Observations!$H$2:$H$250),Bank_Rates!$B$2:$B$100,"&lt;="&amp;TODAY()),Bank_Rates!$D$2:$D$100,"&lt;="&amp;D149)),"No Match"))</f>
        <v/>
      </c>
      <c r="F149" s="10" t="str">
        <f>IFERROR(LOOKUP(2,1/((Raw_Observations!$A$2:$A$250=A149)*(Raw_Observations!$B$2:$B$250=B149)),Raw_Observations!$K$2:$K$250),"")</f>
        <v/>
      </c>
      <c r="G149" s="10"/>
      <c r="H149" s="10" t="str">
        <f t="shared" ca="1" si="8"/>
        <v/>
      </c>
      <c r="I149" s="9" t="str">
        <f t="shared" ca="1" si="9"/>
        <v/>
      </c>
      <c r="J149" s="10" t="str">
        <f ca="1">IFERROR((I149/LOOKUP(2,1/((Raw_Observations!$A$2:$A$999=A149)*(Raw_Observations!$B$2:$B$999=B149)),Raw_Observations!$D$2:$D$999))^365-1,"")</f>
        <v/>
      </c>
    </row>
    <row r="150" spans="1:10">
      <c r="A150" s="2"/>
      <c r="B150" s="2"/>
      <c r="C150" s="9">
        <f>IFERROR(LOOKUP(2,1/((Raw_Observations!$A$2:$A$250=A150)*(Raw_Observations!$B$2:$B$250=B150)),Raw_Observations!$E$2:$E$250),"")</f>
        <v>0</v>
      </c>
      <c r="D150" s="8">
        <f ca="1">IFERROR(MAX(0,LOOKUP(2,1/((Raw_Observations!$A$2:$A$250=A150)*(Raw_Observations!$B$2:$B$250=B150)),Raw_Observations!$F$2:$F$250)-TODAY()),"")</f>
        <v>0</v>
      </c>
      <c r="E150" s="10" t="str">
        <f ca="1">IF(OR(A150="",B150=""),"",IFERROR(SUMIFS(Bank_Rates!$C$2:$C$100,Bank_Rates!$A$2:$A$100,LOOKUP(2,1/((Raw_Observations!$A$2:$A$250=A150)*(Raw_Observations!$B$2:$B$250=B150)),Raw_Observations!$H$2:$H$250),Bank_Rates!$B$2:$B$100,MAXIFS(Bank_Rates!$B$2:$B$100,Bank_Rates!$A$2:$A$100,LOOKUP(2,1/((Raw_Observations!$A$2:$A$250=A150)*(Raw_Observations!$B$2:$B$250=B150)),Raw_Observations!$H$2:$H$250),Bank_Rates!$B$2:$B$100,"&lt;="&amp;TODAY()),Bank_Rates!$D$2:$D$100,MAXIFS(Bank_Rates!$D$2:$D$100,Bank_Rates!$A$2:$A$100,LOOKUP(2,1/((Raw_Observations!$A$2:$A$250=A150)*(Raw_Observations!$B$2:$B$250=B150)),Raw_Observations!$H$2:$H$250),Bank_Rates!$B$2:$B$100,MAXIFS(Bank_Rates!$B$2:$B$100,Bank_Rates!$A$2:$A$100,LOOKUP(2,1/((Raw_Observations!$A$2:$A$250=A150)*(Raw_Observations!$B$2:$B$250=B150)),Raw_Observations!$H$2:$H$250),Bank_Rates!$B$2:$B$100,"&lt;="&amp;TODAY()),Bank_Rates!$D$2:$D$100,"&lt;="&amp;D150)),"No Match"))</f>
        <v/>
      </c>
      <c r="F150" s="10" t="str">
        <f>IFERROR(LOOKUP(2,1/((Raw_Observations!$A$2:$A$250=A150)*(Raw_Observations!$B$2:$B$250=B150)),Raw_Observations!$K$2:$K$250),"")</f>
        <v/>
      </c>
      <c r="G150" s="10"/>
      <c r="H150" s="10" t="str">
        <f t="shared" ca="1" si="8"/>
        <v/>
      </c>
      <c r="I150" s="9" t="str">
        <f t="shared" ca="1" si="9"/>
        <v/>
      </c>
      <c r="J150" s="10" t="str">
        <f ca="1">IFERROR((I150/LOOKUP(2,1/((Raw_Observations!$A$2:$A$999=A150)*(Raw_Observations!$B$2:$B$999=B150)),Raw_Observations!$D$2:$D$999))^365-1,"")</f>
        <v/>
      </c>
    </row>
    <row r="151" spans="1:10">
      <c r="A151" s="2"/>
      <c r="B151" s="2"/>
      <c r="C151" s="9">
        <f>IFERROR(LOOKUP(2,1/((Raw_Observations!$A$2:$A$250=A151)*(Raw_Observations!$B$2:$B$250=B151)),Raw_Observations!$E$2:$E$250),"")</f>
        <v>0</v>
      </c>
      <c r="D151" s="8">
        <f ca="1">IFERROR(MAX(0,LOOKUP(2,1/((Raw_Observations!$A$2:$A$250=A151)*(Raw_Observations!$B$2:$B$250=B151)),Raw_Observations!$F$2:$F$250)-TODAY()),"")</f>
        <v>0</v>
      </c>
      <c r="E151" s="10" t="str">
        <f ca="1">IF(OR(A151="",B151=""),"",IFERROR(SUMIFS(Bank_Rates!$C$2:$C$100,Bank_Rates!$A$2:$A$100,LOOKUP(2,1/((Raw_Observations!$A$2:$A$250=A151)*(Raw_Observations!$B$2:$B$250=B151)),Raw_Observations!$H$2:$H$250),Bank_Rates!$B$2:$B$100,MAXIFS(Bank_Rates!$B$2:$B$100,Bank_Rates!$A$2:$A$100,LOOKUP(2,1/((Raw_Observations!$A$2:$A$250=A151)*(Raw_Observations!$B$2:$B$250=B151)),Raw_Observations!$H$2:$H$250),Bank_Rates!$B$2:$B$100,"&lt;="&amp;TODAY()),Bank_Rates!$D$2:$D$100,MAXIFS(Bank_Rates!$D$2:$D$100,Bank_Rates!$A$2:$A$100,LOOKUP(2,1/((Raw_Observations!$A$2:$A$250=A151)*(Raw_Observations!$B$2:$B$250=B151)),Raw_Observations!$H$2:$H$250),Bank_Rates!$B$2:$B$100,MAXIFS(Bank_Rates!$B$2:$B$100,Bank_Rates!$A$2:$A$100,LOOKUP(2,1/((Raw_Observations!$A$2:$A$250=A151)*(Raw_Observations!$B$2:$B$250=B151)),Raw_Observations!$H$2:$H$250),Bank_Rates!$B$2:$B$100,"&lt;="&amp;TODAY()),Bank_Rates!$D$2:$D$100,"&lt;="&amp;D151)),"No Match"))</f>
        <v/>
      </c>
      <c r="F151" s="10" t="str">
        <f>IFERROR(LOOKUP(2,1/((Raw_Observations!$A$2:$A$250=A151)*(Raw_Observations!$B$2:$B$250=B151)),Raw_Observations!$K$2:$K$250),"")</f>
        <v/>
      </c>
      <c r="G151" s="10"/>
      <c r="H151" s="10" t="str">
        <f t="shared" ca="1" si="8"/>
        <v/>
      </c>
      <c r="I151" s="9" t="str">
        <f t="shared" ca="1" si="9"/>
        <v/>
      </c>
      <c r="J151" s="10" t="str">
        <f ca="1">IFERROR((I151/LOOKUP(2,1/((Raw_Observations!$A$2:$A$999=A151)*(Raw_Observations!$B$2:$B$999=B151)),Raw_Observations!$D$2:$D$999))^365-1,"")</f>
        <v/>
      </c>
    </row>
    <row r="152" spans="1:10">
      <c r="A152" s="2"/>
      <c r="B152" s="2"/>
      <c r="C152" s="9">
        <f>IFERROR(LOOKUP(2,1/((Raw_Observations!$A$2:$A$250=A152)*(Raw_Observations!$B$2:$B$250=B152)),Raw_Observations!$E$2:$E$250),"")</f>
        <v>0</v>
      </c>
      <c r="D152" s="8">
        <f ca="1">IFERROR(MAX(0,LOOKUP(2,1/((Raw_Observations!$A$2:$A$250=A152)*(Raw_Observations!$B$2:$B$250=B152)),Raw_Observations!$F$2:$F$250)-TODAY()),"")</f>
        <v>0</v>
      </c>
      <c r="E152" s="10" t="str">
        <f ca="1">IF(OR(A152="",B152=""),"",IFERROR(SUMIFS(Bank_Rates!$C$2:$C$100,Bank_Rates!$A$2:$A$100,LOOKUP(2,1/((Raw_Observations!$A$2:$A$250=A152)*(Raw_Observations!$B$2:$B$250=B152)),Raw_Observations!$H$2:$H$250),Bank_Rates!$B$2:$B$100,MAXIFS(Bank_Rates!$B$2:$B$100,Bank_Rates!$A$2:$A$100,LOOKUP(2,1/((Raw_Observations!$A$2:$A$250=A152)*(Raw_Observations!$B$2:$B$250=B152)),Raw_Observations!$H$2:$H$250),Bank_Rates!$B$2:$B$100,"&lt;="&amp;TODAY()),Bank_Rates!$D$2:$D$100,MAXIFS(Bank_Rates!$D$2:$D$100,Bank_Rates!$A$2:$A$100,LOOKUP(2,1/((Raw_Observations!$A$2:$A$250=A152)*(Raw_Observations!$B$2:$B$250=B152)),Raw_Observations!$H$2:$H$250),Bank_Rates!$B$2:$B$100,MAXIFS(Bank_Rates!$B$2:$B$100,Bank_Rates!$A$2:$A$100,LOOKUP(2,1/((Raw_Observations!$A$2:$A$250=A152)*(Raw_Observations!$B$2:$B$250=B152)),Raw_Observations!$H$2:$H$250),Bank_Rates!$B$2:$B$100,"&lt;="&amp;TODAY()),Bank_Rates!$D$2:$D$100,"&lt;="&amp;D152)),"No Match"))</f>
        <v/>
      </c>
      <c r="F152" s="10" t="str">
        <f>IFERROR(LOOKUP(2,1/((Raw_Observations!$A$2:$A$250=A152)*(Raw_Observations!$B$2:$B$250=B152)),Raw_Observations!$K$2:$K$250),"")</f>
        <v/>
      </c>
      <c r="G152" s="10"/>
      <c r="H152" s="10" t="str">
        <f t="shared" ca="1" si="8"/>
        <v/>
      </c>
      <c r="I152" s="9" t="str">
        <f t="shared" ca="1" si="9"/>
        <v/>
      </c>
      <c r="J152" s="10" t="str">
        <f ca="1">IFERROR((I152/LOOKUP(2,1/((Raw_Observations!$A$2:$A$999=A152)*(Raw_Observations!$B$2:$B$999=B152)),Raw_Observations!$D$2:$D$999))^365-1,"")</f>
        <v/>
      </c>
    </row>
    <row r="153" spans="1:10">
      <c r="A153" s="2"/>
      <c r="B153" s="2"/>
      <c r="C153" s="9">
        <f>IFERROR(LOOKUP(2,1/((Raw_Observations!$A$2:$A$250=A153)*(Raw_Observations!$B$2:$B$250=B153)),Raw_Observations!$E$2:$E$250),"")</f>
        <v>0</v>
      </c>
      <c r="D153" s="8">
        <f ca="1">IFERROR(MAX(0,LOOKUP(2,1/((Raw_Observations!$A$2:$A$250=A153)*(Raw_Observations!$B$2:$B$250=B153)),Raw_Observations!$F$2:$F$250)-TODAY()),"")</f>
        <v>0</v>
      </c>
      <c r="E153" s="10" t="str">
        <f ca="1">IF(OR(A153="",B153=""),"",IFERROR(SUMIFS(Bank_Rates!$C$2:$C$100,Bank_Rates!$A$2:$A$100,LOOKUP(2,1/((Raw_Observations!$A$2:$A$250=A153)*(Raw_Observations!$B$2:$B$250=B153)),Raw_Observations!$H$2:$H$250),Bank_Rates!$B$2:$B$100,MAXIFS(Bank_Rates!$B$2:$B$100,Bank_Rates!$A$2:$A$100,LOOKUP(2,1/((Raw_Observations!$A$2:$A$250=A153)*(Raw_Observations!$B$2:$B$250=B153)),Raw_Observations!$H$2:$H$250),Bank_Rates!$B$2:$B$100,"&lt;="&amp;TODAY()),Bank_Rates!$D$2:$D$100,MAXIFS(Bank_Rates!$D$2:$D$100,Bank_Rates!$A$2:$A$100,LOOKUP(2,1/((Raw_Observations!$A$2:$A$250=A153)*(Raw_Observations!$B$2:$B$250=B153)),Raw_Observations!$H$2:$H$250),Bank_Rates!$B$2:$B$100,MAXIFS(Bank_Rates!$B$2:$B$100,Bank_Rates!$A$2:$A$100,LOOKUP(2,1/((Raw_Observations!$A$2:$A$250=A153)*(Raw_Observations!$B$2:$B$250=B153)),Raw_Observations!$H$2:$H$250),Bank_Rates!$B$2:$B$100,"&lt;="&amp;TODAY()),Bank_Rates!$D$2:$D$100,"&lt;="&amp;D153)),"No Match"))</f>
        <v/>
      </c>
      <c r="F153" s="10" t="str">
        <f>IFERROR(LOOKUP(2,1/((Raw_Observations!$A$2:$A$250=A153)*(Raw_Observations!$B$2:$B$250=B153)),Raw_Observations!$K$2:$K$250),"")</f>
        <v/>
      </c>
      <c r="G153" s="10"/>
      <c r="H153" s="10" t="str">
        <f t="shared" ca="1" si="8"/>
        <v/>
      </c>
      <c r="I153" s="9" t="str">
        <f t="shared" ca="1" si="9"/>
        <v/>
      </c>
      <c r="J153" s="10" t="str">
        <f ca="1">IFERROR((I153/LOOKUP(2,1/((Raw_Observations!$A$2:$A$999=A153)*(Raw_Observations!$B$2:$B$999=B153)),Raw_Observations!$D$2:$D$999))^365-1,"")</f>
        <v/>
      </c>
    </row>
    <row r="154" spans="1:10">
      <c r="A154" s="2"/>
      <c r="B154" s="2"/>
      <c r="C154" s="9">
        <f>IFERROR(LOOKUP(2,1/((Raw_Observations!$A$2:$A$250=A154)*(Raw_Observations!$B$2:$B$250=B154)),Raw_Observations!$E$2:$E$250),"")</f>
        <v>0</v>
      </c>
      <c r="D154" s="8">
        <f ca="1">IFERROR(MAX(0,LOOKUP(2,1/((Raw_Observations!$A$2:$A$250=A154)*(Raw_Observations!$B$2:$B$250=B154)),Raw_Observations!$F$2:$F$250)-TODAY()),"")</f>
        <v>0</v>
      </c>
      <c r="E154" s="10" t="str">
        <f ca="1">IF(OR(A154="",B154=""),"",IFERROR(SUMIFS(Bank_Rates!$C$2:$C$100,Bank_Rates!$A$2:$A$100,LOOKUP(2,1/((Raw_Observations!$A$2:$A$250=A154)*(Raw_Observations!$B$2:$B$250=B154)),Raw_Observations!$H$2:$H$250),Bank_Rates!$B$2:$B$100,MAXIFS(Bank_Rates!$B$2:$B$100,Bank_Rates!$A$2:$A$100,LOOKUP(2,1/((Raw_Observations!$A$2:$A$250=A154)*(Raw_Observations!$B$2:$B$250=B154)),Raw_Observations!$H$2:$H$250),Bank_Rates!$B$2:$B$100,"&lt;="&amp;TODAY()),Bank_Rates!$D$2:$D$100,MAXIFS(Bank_Rates!$D$2:$D$100,Bank_Rates!$A$2:$A$100,LOOKUP(2,1/((Raw_Observations!$A$2:$A$250=A154)*(Raw_Observations!$B$2:$B$250=B154)),Raw_Observations!$H$2:$H$250),Bank_Rates!$B$2:$B$100,MAXIFS(Bank_Rates!$B$2:$B$100,Bank_Rates!$A$2:$A$100,LOOKUP(2,1/((Raw_Observations!$A$2:$A$250=A154)*(Raw_Observations!$B$2:$B$250=B154)),Raw_Observations!$H$2:$H$250),Bank_Rates!$B$2:$B$100,"&lt;="&amp;TODAY()),Bank_Rates!$D$2:$D$100,"&lt;="&amp;D154)),"No Match"))</f>
        <v/>
      </c>
      <c r="F154" s="10" t="str">
        <f>IFERROR(LOOKUP(2,1/((Raw_Observations!$A$2:$A$250=A154)*(Raw_Observations!$B$2:$B$250=B154)),Raw_Observations!$K$2:$K$250),"")</f>
        <v/>
      </c>
      <c r="G154" s="10"/>
      <c r="H154" s="10" t="str">
        <f t="shared" ca="1" si="8"/>
        <v/>
      </c>
      <c r="I154" s="9" t="str">
        <f t="shared" ca="1" si="9"/>
        <v/>
      </c>
      <c r="J154" s="10" t="str">
        <f ca="1">IFERROR((I154/LOOKUP(2,1/((Raw_Observations!$A$2:$A$999=A154)*(Raw_Observations!$B$2:$B$999=B154)),Raw_Observations!$D$2:$D$999))^365-1,"")</f>
        <v/>
      </c>
    </row>
    <row r="155" spans="1:10">
      <c r="A155" s="2"/>
      <c r="B155" s="2"/>
      <c r="C155" s="9">
        <f>IFERROR(LOOKUP(2,1/((Raw_Observations!$A$2:$A$250=A155)*(Raw_Observations!$B$2:$B$250=B155)),Raw_Observations!$E$2:$E$250),"")</f>
        <v>0</v>
      </c>
      <c r="D155" s="8">
        <f ca="1">IFERROR(MAX(0,LOOKUP(2,1/((Raw_Observations!$A$2:$A$250=A155)*(Raw_Observations!$B$2:$B$250=B155)),Raw_Observations!$F$2:$F$250)-TODAY()),"")</f>
        <v>0</v>
      </c>
      <c r="E155" s="10" t="str">
        <f ca="1">IF(OR(A155="",B155=""),"",IFERROR(SUMIFS(Bank_Rates!$C$2:$C$100,Bank_Rates!$A$2:$A$100,LOOKUP(2,1/((Raw_Observations!$A$2:$A$250=A155)*(Raw_Observations!$B$2:$B$250=B155)),Raw_Observations!$H$2:$H$250),Bank_Rates!$B$2:$B$100,MAXIFS(Bank_Rates!$B$2:$B$100,Bank_Rates!$A$2:$A$100,LOOKUP(2,1/((Raw_Observations!$A$2:$A$250=A155)*(Raw_Observations!$B$2:$B$250=B155)),Raw_Observations!$H$2:$H$250),Bank_Rates!$B$2:$B$100,"&lt;="&amp;TODAY()),Bank_Rates!$D$2:$D$100,MAXIFS(Bank_Rates!$D$2:$D$100,Bank_Rates!$A$2:$A$100,LOOKUP(2,1/((Raw_Observations!$A$2:$A$250=A155)*(Raw_Observations!$B$2:$B$250=B155)),Raw_Observations!$H$2:$H$250),Bank_Rates!$B$2:$B$100,MAXIFS(Bank_Rates!$B$2:$B$100,Bank_Rates!$A$2:$A$100,LOOKUP(2,1/((Raw_Observations!$A$2:$A$250=A155)*(Raw_Observations!$B$2:$B$250=B155)),Raw_Observations!$H$2:$H$250),Bank_Rates!$B$2:$B$100,"&lt;="&amp;TODAY()),Bank_Rates!$D$2:$D$100,"&lt;="&amp;D155)),"No Match"))</f>
        <v/>
      </c>
      <c r="F155" s="10" t="str">
        <f>IFERROR(LOOKUP(2,1/((Raw_Observations!$A$2:$A$250=A155)*(Raw_Observations!$B$2:$B$250=B155)),Raw_Observations!$K$2:$K$250),"")</f>
        <v/>
      </c>
      <c r="G155" s="10"/>
      <c r="H155" s="10" t="str">
        <f t="shared" ca="1" si="8"/>
        <v/>
      </c>
      <c r="I155" s="9" t="str">
        <f t="shared" ca="1" si="9"/>
        <v/>
      </c>
      <c r="J155" s="10" t="str">
        <f ca="1">IFERROR((I155/LOOKUP(2,1/((Raw_Observations!$A$2:$A$999=A155)*(Raw_Observations!$B$2:$B$999=B155)),Raw_Observations!$D$2:$D$999))^365-1,"")</f>
        <v/>
      </c>
    </row>
    <row r="156" spans="1:10">
      <c r="A156" s="2"/>
      <c r="B156" s="2"/>
      <c r="C156" s="9">
        <f>IFERROR(LOOKUP(2,1/((Raw_Observations!$A$2:$A$250=A156)*(Raw_Observations!$B$2:$B$250=B156)),Raw_Observations!$E$2:$E$250),"")</f>
        <v>0</v>
      </c>
      <c r="D156" s="8">
        <f ca="1">IFERROR(MAX(0,LOOKUP(2,1/((Raw_Observations!$A$2:$A$250=A156)*(Raw_Observations!$B$2:$B$250=B156)),Raw_Observations!$F$2:$F$250)-TODAY()),"")</f>
        <v>0</v>
      </c>
      <c r="E156" s="10" t="str">
        <f ca="1">IF(OR(A156="",B156=""),"",IFERROR(SUMIFS(Bank_Rates!$C$2:$C$100,Bank_Rates!$A$2:$A$100,LOOKUP(2,1/((Raw_Observations!$A$2:$A$250=A156)*(Raw_Observations!$B$2:$B$250=B156)),Raw_Observations!$H$2:$H$250),Bank_Rates!$B$2:$B$100,MAXIFS(Bank_Rates!$B$2:$B$100,Bank_Rates!$A$2:$A$100,LOOKUP(2,1/((Raw_Observations!$A$2:$A$250=A156)*(Raw_Observations!$B$2:$B$250=B156)),Raw_Observations!$H$2:$H$250),Bank_Rates!$B$2:$B$100,"&lt;="&amp;TODAY()),Bank_Rates!$D$2:$D$100,MAXIFS(Bank_Rates!$D$2:$D$100,Bank_Rates!$A$2:$A$100,LOOKUP(2,1/((Raw_Observations!$A$2:$A$250=A156)*(Raw_Observations!$B$2:$B$250=B156)),Raw_Observations!$H$2:$H$250),Bank_Rates!$B$2:$B$100,MAXIFS(Bank_Rates!$B$2:$B$100,Bank_Rates!$A$2:$A$100,LOOKUP(2,1/((Raw_Observations!$A$2:$A$250=A156)*(Raw_Observations!$B$2:$B$250=B156)),Raw_Observations!$H$2:$H$250),Bank_Rates!$B$2:$B$100,"&lt;="&amp;TODAY()),Bank_Rates!$D$2:$D$100,"&lt;="&amp;D156)),"No Match"))</f>
        <v/>
      </c>
      <c r="F156" s="10" t="str">
        <f>IFERROR(LOOKUP(2,1/((Raw_Observations!$A$2:$A$250=A156)*(Raw_Observations!$B$2:$B$250=B156)),Raw_Observations!$K$2:$K$250),"")</f>
        <v/>
      </c>
      <c r="G156" s="10"/>
      <c r="H156" s="10" t="str">
        <f t="shared" ca="1" si="8"/>
        <v/>
      </c>
      <c r="I156" s="9" t="str">
        <f t="shared" ca="1" si="9"/>
        <v/>
      </c>
      <c r="J156" s="10" t="str">
        <f ca="1">IFERROR((I156/LOOKUP(2,1/((Raw_Observations!$A$2:$A$999=A156)*(Raw_Observations!$B$2:$B$999=B156)),Raw_Observations!$D$2:$D$999))^365-1,"")</f>
        <v/>
      </c>
    </row>
    <row r="157" spans="1:10">
      <c r="A157" s="2"/>
      <c r="B157" s="2"/>
      <c r="C157" s="9">
        <f>IFERROR(LOOKUP(2,1/((Raw_Observations!$A$2:$A$250=A157)*(Raw_Observations!$B$2:$B$250=B157)),Raw_Observations!$E$2:$E$250),"")</f>
        <v>0</v>
      </c>
      <c r="D157" s="8">
        <f ca="1">IFERROR(MAX(0,LOOKUP(2,1/((Raw_Observations!$A$2:$A$250=A157)*(Raw_Observations!$B$2:$B$250=B157)),Raw_Observations!$F$2:$F$250)-TODAY()),"")</f>
        <v>0</v>
      </c>
      <c r="E157" s="10" t="str">
        <f ca="1">IF(OR(A157="",B157=""),"",IFERROR(SUMIFS(Bank_Rates!$C$2:$C$100,Bank_Rates!$A$2:$A$100,LOOKUP(2,1/((Raw_Observations!$A$2:$A$250=A157)*(Raw_Observations!$B$2:$B$250=B157)),Raw_Observations!$H$2:$H$250),Bank_Rates!$B$2:$B$100,MAXIFS(Bank_Rates!$B$2:$B$100,Bank_Rates!$A$2:$A$100,LOOKUP(2,1/((Raw_Observations!$A$2:$A$250=A157)*(Raw_Observations!$B$2:$B$250=B157)),Raw_Observations!$H$2:$H$250),Bank_Rates!$B$2:$B$100,"&lt;="&amp;TODAY()),Bank_Rates!$D$2:$D$100,MAXIFS(Bank_Rates!$D$2:$D$100,Bank_Rates!$A$2:$A$100,LOOKUP(2,1/((Raw_Observations!$A$2:$A$250=A157)*(Raw_Observations!$B$2:$B$250=B157)),Raw_Observations!$H$2:$H$250),Bank_Rates!$B$2:$B$100,MAXIFS(Bank_Rates!$B$2:$B$100,Bank_Rates!$A$2:$A$100,LOOKUP(2,1/((Raw_Observations!$A$2:$A$250=A157)*(Raw_Observations!$B$2:$B$250=B157)),Raw_Observations!$H$2:$H$250),Bank_Rates!$B$2:$B$100,"&lt;="&amp;TODAY()),Bank_Rates!$D$2:$D$100,"&lt;="&amp;D157)),"No Match"))</f>
        <v/>
      </c>
      <c r="F157" s="10" t="str">
        <f>IFERROR(LOOKUP(2,1/((Raw_Observations!$A$2:$A$250=A157)*(Raw_Observations!$B$2:$B$250=B157)),Raw_Observations!$K$2:$K$250),"")</f>
        <v/>
      </c>
      <c r="G157" s="10"/>
      <c r="H157" s="10" t="str">
        <f t="shared" ca="1" si="8"/>
        <v/>
      </c>
      <c r="I157" s="9" t="str">
        <f t="shared" ca="1" si="9"/>
        <v/>
      </c>
      <c r="J157" s="10" t="str">
        <f ca="1">IFERROR((I157/LOOKUP(2,1/((Raw_Observations!$A$2:$A$999=A157)*(Raw_Observations!$B$2:$B$999=B157)),Raw_Observations!$D$2:$D$999))^365-1,"")</f>
        <v/>
      </c>
    </row>
    <row r="158" spans="1:10">
      <c r="A158" s="2"/>
      <c r="B158" s="2"/>
      <c r="C158" s="9">
        <f>IFERROR(LOOKUP(2,1/((Raw_Observations!$A$2:$A$250=A158)*(Raw_Observations!$B$2:$B$250=B158)),Raw_Observations!$E$2:$E$250),"")</f>
        <v>0</v>
      </c>
      <c r="D158" s="8">
        <f ca="1">IFERROR(MAX(0,LOOKUP(2,1/((Raw_Observations!$A$2:$A$250=A158)*(Raw_Observations!$B$2:$B$250=B158)),Raw_Observations!$F$2:$F$250)-TODAY()),"")</f>
        <v>0</v>
      </c>
      <c r="E158" s="10" t="str">
        <f ca="1">IF(OR(A158="",B158=""),"",IFERROR(SUMIFS(Bank_Rates!$C$2:$C$100,Bank_Rates!$A$2:$A$100,LOOKUP(2,1/((Raw_Observations!$A$2:$A$250=A158)*(Raw_Observations!$B$2:$B$250=B158)),Raw_Observations!$H$2:$H$250),Bank_Rates!$B$2:$B$100,MAXIFS(Bank_Rates!$B$2:$B$100,Bank_Rates!$A$2:$A$100,LOOKUP(2,1/((Raw_Observations!$A$2:$A$250=A158)*(Raw_Observations!$B$2:$B$250=B158)),Raw_Observations!$H$2:$H$250),Bank_Rates!$B$2:$B$100,"&lt;="&amp;TODAY()),Bank_Rates!$D$2:$D$100,MAXIFS(Bank_Rates!$D$2:$D$100,Bank_Rates!$A$2:$A$100,LOOKUP(2,1/((Raw_Observations!$A$2:$A$250=A158)*(Raw_Observations!$B$2:$B$250=B158)),Raw_Observations!$H$2:$H$250),Bank_Rates!$B$2:$B$100,MAXIFS(Bank_Rates!$B$2:$B$100,Bank_Rates!$A$2:$A$100,LOOKUP(2,1/((Raw_Observations!$A$2:$A$250=A158)*(Raw_Observations!$B$2:$B$250=B158)),Raw_Observations!$H$2:$H$250),Bank_Rates!$B$2:$B$100,"&lt;="&amp;TODAY()),Bank_Rates!$D$2:$D$100,"&lt;="&amp;D158)),"No Match"))</f>
        <v/>
      </c>
      <c r="F158" s="10" t="str">
        <f>IFERROR(LOOKUP(2,1/((Raw_Observations!$A$2:$A$250=A158)*(Raw_Observations!$B$2:$B$250=B158)),Raw_Observations!$K$2:$K$250),"")</f>
        <v/>
      </c>
      <c r="G158" s="10"/>
      <c r="H158" s="10" t="str">
        <f t="shared" ca="1" si="8"/>
        <v/>
      </c>
      <c r="I158" s="9" t="str">
        <f t="shared" ca="1" si="9"/>
        <v/>
      </c>
      <c r="J158" s="10" t="str">
        <f ca="1">IFERROR((I158/LOOKUP(2,1/((Raw_Observations!$A$2:$A$999=A158)*(Raw_Observations!$B$2:$B$999=B158)),Raw_Observations!$D$2:$D$999))^365-1,"")</f>
        <v/>
      </c>
    </row>
    <row r="159" spans="1:10">
      <c r="A159" s="2"/>
      <c r="B159" s="2"/>
      <c r="C159" s="9">
        <f>IFERROR(LOOKUP(2,1/((Raw_Observations!$A$2:$A$250=A159)*(Raw_Observations!$B$2:$B$250=B159)),Raw_Observations!$E$2:$E$250),"")</f>
        <v>0</v>
      </c>
      <c r="D159" s="8">
        <f ca="1">IFERROR(MAX(0,LOOKUP(2,1/((Raw_Observations!$A$2:$A$250=A159)*(Raw_Observations!$B$2:$B$250=B159)),Raw_Observations!$F$2:$F$250)-TODAY()),"")</f>
        <v>0</v>
      </c>
      <c r="E159" s="10" t="str">
        <f ca="1">IF(OR(A159="",B159=""),"",IFERROR(SUMIFS(Bank_Rates!$C$2:$C$100,Bank_Rates!$A$2:$A$100,LOOKUP(2,1/((Raw_Observations!$A$2:$A$250=A159)*(Raw_Observations!$B$2:$B$250=B159)),Raw_Observations!$H$2:$H$250),Bank_Rates!$B$2:$B$100,MAXIFS(Bank_Rates!$B$2:$B$100,Bank_Rates!$A$2:$A$100,LOOKUP(2,1/((Raw_Observations!$A$2:$A$250=A159)*(Raw_Observations!$B$2:$B$250=B159)),Raw_Observations!$H$2:$H$250),Bank_Rates!$B$2:$B$100,"&lt;="&amp;TODAY()),Bank_Rates!$D$2:$D$100,MAXIFS(Bank_Rates!$D$2:$D$100,Bank_Rates!$A$2:$A$100,LOOKUP(2,1/((Raw_Observations!$A$2:$A$250=A159)*(Raw_Observations!$B$2:$B$250=B159)),Raw_Observations!$H$2:$H$250),Bank_Rates!$B$2:$B$100,MAXIFS(Bank_Rates!$B$2:$B$100,Bank_Rates!$A$2:$A$100,LOOKUP(2,1/((Raw_Observations!$A$2:$A$250=A159)*(Raw_Observations!$B$2:$B$250=B159)),Raw_Observations!$H$2:$H$250),Bank_Rates!$B$2:$B$100,"&lt;="&amp;TODAY()),Bank_Rates!$D$2:$D$100,"&lt;="&amp;D159)),"No Match"))</f>
        <v/>
      </c>
      <c r="F159" s="10" t="str">
        <f>IFERROR(LOOKUP(2,1/((Raw_Observations!$A$2:$A$250=A159)*(Raw_Observations!$B$2:$B$250=B159)),Raw_Observations!$K$2:$K$250),"")</f>
        <v/>
      </c>
      <c r="G159" s="10"/>
      <c r="H159" s="10" t="str">
        <f t="shared" ca="1" si="8"/>
        <v/>
      </c>
      <c r="I159" s="9" t="str">
        <f t="shared" ca="1" si="9"/>
        <v/>
      </c>
      <c r="J159" s="10" t="str">
        <f ca="1">IFERROR((I159/LOOKUP(2,1/((Raw_Observations!$A$2:$A$999=A159)*(Raw_Observations!$B$2:$B$999=B159)),Raw_Observations!$D$2:$D$999))^365-1,"")</f>
        <v/>
      </c>
    </row>
    <row r="160" spans="1:10">
      <c r="A160" s="2"/>
      <c r="B160" s="2"/>
      <c r="C160" s="9">
        <f>IFERROR(LOOKUP(2,1/((Raw_Observations!$A$2:$A$250=A160)*(Raw_Observations!$B$2:$B$250=B160)),Raw_Observations!$E$2:$E$250),"")</f>
        <v>0</v>
      </c>
      <c r="D160" s="8">
        <f ca="1">IFERROR(MAX(0,LOOKUP(2,1/((Raw_Observations!$A$2:$A$250=A160)*(Raw_Observations!$B$2:$B$250=B160)),Raw_Observations!$F$2:$F$250)-TODAY()),"")</f>
        <v>0</v>
      </c>
      <c r="E160" s="10" t="str">
        <f ca="1">IF(OR(A160="",B160=""),"",IFERROR(SUMIFS(Bank_Rates!$C$2:$C$100,Bank_Rates!$A$2:$A$100,LOOKUP(2,1/((Raw_Observations!$A$2:$A$250=A160)*(Raw_Observations!$B$2:$B$250=B160)),Raw_Observations!$H$2:$H$250),Bank_Rates!$B$2:$B$100,MAXIFS(Bank_Rates!$B$2:$B$100,Bank_Rates!$A$2:$A$100,LOOKUP(2,1/((Raw_Observations!$A$2:$A$250=A160)*(Raw_Observations!$B$2:$B$250=B160)),Raw_Observations!$H$2:$H$250),Bank_Rates!$B$2:$B$100,"&lt;="&amp;TODAY()),Bank_Rates!$D$2:$D$100,MAXIFS(Bank_Rates!$D$2:$D$100,Bank_Rates!$A$2:$A$100,LOOKUP(2,1/((Raw_Observations!$A$2:$A$250=A160)*(Raw_Observations!$B$2:$B$250=B160)),Raw_Observations!$H$2:$H$250),Bank_Rates!$B$2:$B$100,MAXIFS(Bank_Rates!$B$2:$B$100,Bank_Rates!$A$2:$A$100,LOOKUP(2,1/((Raw_Observations!$A$2:$A$250=A160)*(Raw_Observations!$B$2:$B$250=B160)),Raw_Observations!$H$2:$H$250),Bank_Rates!$B$2:$B$100,"&lt;="&amp;TODAY()),Bank_Rates!$D$2:$D$100,"&lt;="&amp;D160)),"No Match"))</f>
        <v/>
      </c>
      <c r="F160" s="10" t="str">
        <f>IFERROR(LOOKUP(2,1/((Raw_Observations!$A$2:$A$250=A160)*(Raw_Observations!$B$2:$B$250=B160)),Raw_Observations!$K$2:$K$250),"")</f>
        <v/>
      </c>
      <c r="G160" s="10"/>
      <c r="H160" s="10" t="str">
        <f t="shared" ca="1" si="8"/>
        <v/>
      </c>
      <c r="I160" s="9" t="str">
        <f t="shared" ca="1" si="9"/>
        <v/>
      </c>
      <c r="J160" s="10" t="str">
        <f ca="1">IFERROR((I160/LOOKUP(2,1/((Raw_Observations!$A$2:$A$999=A160)*(Raw_Observations!$B$2:$B$999=B160)),Raw_Observations!$D$2:$D$999))^365-1,"")</f>
        <v/>
      </c>
    </row>
    <row r="161" spans="1:10">
      <c r="A161" s="2"/>
      <c r="B161" s="2"/>
      <c r="C161" s="9">
        <f>IFERROR(LOOKUP(2,1/((Raw_Observations!$A$2:$A$250=A161)*(Raw_Observations!$B$2:$B$250=B161)),Raw_Observations!$E$2:$E$250),"")</f>
        <v>0</v>
      </c>
      <c r="D161" s="8">
        <f ca="1">IFERROR(MAX(0,LOOKUP(2,1/((Raw_Observations!$A$2:$A$250=A161)*(Raw_Observations!$B$2:$B$250=B161)),Raw_Observations!$F$2:$F$250)-TODAY()),"")</f>
        <v>0</v>
      </c>
      <c r="E161" s="10" t="str">
        <f ca="1">IF(OR(A161="",B161=""),"",IFERROR(SUMIFS(Bank_Rates!$C$2:$C$100,Bank_Rates!$A$2:$A$100,LOOKUP(2,1/((Raw_Observations!$A$2:$A$250=A161)*(Raw_Observations!$B$2:$B$250=B161)),Raw_Observations!$H$2:$H$250),Bank_Rates!$B$2:$B$100,MAXIFS(Bank_Rates!$B$2:$B$100,Bank_Rates!$A$2:$A$100,LOOKUP(2,1/((Raw_Observations!$A$2:$A$250=A161)*(Raw_Observations!$B$2:$B$250=B161)),Raw_Observations!$H$2:$H$250),Bank_Rates!$B$2:$B$100,"&lt;="&amp;TODAY()),Bank_Rates!$D$2:$D$100,MAXIFS(Bank_Rates!$D$2:$D$100,Bank_Rates!$A$2:$A$100,LOOKUP(2,1/((Raw_Observations!$A$2:$A$250=A161)*(Raw_Observations!$B$2:$B$250=B161)),Raw_Observations!$H$2:$H$250),Bank_Rates!$B$2:$B$100,MAXIFS(Bank_Rates!$B$2:$B$100,Bank_Rates!$A$2:$A$100,LOOKUP(2,1/((Raw_Observations!$A$2:$A$250=A161)*(Raw_Observations!$B$2:$B$250=B161)),Raw_Observations!$H$2:$H$250),Bank_Rates!$B$2:$B$100,"&lt;="&amp;TODAY()),Bank_Rates!$D$2:$D$100,"&lt;="&amp;D161)),"No Match"))</f>
        <v/>
      </c>
      <c r="F161" s="10" t="str">
        <f>IFERROR(LOOKUP(2,1/((Raw_Observations!$A$2:$A$250=A161)*(Raw_Observations!$B$2:$B$250=B161)),Raw_Observations!$K$2:$K$250),"")</f>
        <v/>
      </c>
      <c r="G161" s="10"/>
      <c r="H161" s="10" t="str">
        <f t="shared" ca="1" si="8"/>
        <v/>
      </c>
      <c r="I161" s="9" t="str">
        <f t="shared" ca="1" si="9"/>
        <v/>
      </c>
      <c r="J161" s="10" t="str">
        <f ca="1">IFERROR((I161/LOOKUP(2,1/((Raw_Observations!$A$2:$A$999=A161)*(Raw_Observations!$B$2:$B$999=B161)),Raw_Observations!$D$2:$D$999))^365-1,"")</f>
        <v/>
      </c>
    </row>
    <row r="162" spans="1:10">
      <c r="A162" s="2"/>
      <c r="B162" s="2"/>
      <c r="C162" s="9">
        <f>IFERROR(LOOKUP(2,1/((Raw_Observations!$A$2:$A$250=A162)*(Raw_Observations!$B$2:$B$250=B162)),Raw_Observations!$E$2:$E$250),"")</f>
        <v>0</v>
      </c>
      <c r="D162" s="8">
        <f ca="1">IFERROR(MAX(0,LOOKUP(2,1/((Raw_Observations!$A$2:$A$250=A162)*(Raw_Observations!$B$2:$B$250=B162)),Raw_Observations!$F$2:$F$250)-TODAY()),"")</f>
        <v>0</v>
      </c>
      <c r="E162" s="10" t="str">
        <f ca="1">IF(OR(A162="",B162=""),"",IFERROR(SUMIFS(Bank_Rates!$C$2:$C$100,Bank_Rates!$A$2:$A$100,LOOKUP(2,1/((Raw_Observations!$A$2:$A$250=A162)*(Raw_Observations!$B$2:$B$250=B162)),Raw_Observations!$H$2:$H$250),Bank_Rates!$B$2:$B$100,MAXIFS(Bank_Rates!$B$2:$B$100,Bank_Rates!$A$2:$A$100,LOOKUP(2,1/((Raw_Observations!$A$2:$A$250=A162)*(Raw_Observations!$B$2:$B$250=B162)),Raw_Observations!$H$2:$H$250),Bank_Rates!$B$2:$B$100,"&lt;="&amp;TODAY()),Bank_Rates!$D$2:$D$100,MAXIFS(Bank_Rates!$D$2:$D$100,Bank_Rates!$A$2:$A$100,LOOKUP(2,1/((Raw_Observations!$A$2:$A$250=A162)*(Raw_Observations!$B$2:$B$250=B162)),Raw_Observations!$H$2:$H$250),Bank_Rates!$B$2:$B$100,MAXIFS(Bank_Rates!$B$2:$B$100,Bank_Rates!$A$2:$A$100,LOOKUP(2,1/((Raw_Observations!$A$2:$A$250=A162)*(Raw_Observations!$B$2:$B$250=B162)),Raw_Observations!$H$2:$H$250),Bank_Rates!$B$2:$B$100,"&lt;="&amp;TODAY()),Bank_Rates!$D$2:$D$100,"&lt;="&amp;D162)),"No Match"))</f>
        <v/>
      </c>
      <c r="F162" s="10" t="str">
        <f>IFERROR(LOOKUP(2,1/((Raw_Observations!$A$2:$A$250=A162)*(Raw_Observations!$B$2:$B$250=B162)),Raw_Observations!$K$2:$K$250),"")</f>
        <v/>
      </c>
      <c r="G162" s="10"/>
      <c r="H162" s="10" t="str">
        <f t="shared" ref="H162:H193" ca="1" si="10">IF(OR(E162="",G162="",E162="No Match"),"",E162+G162)</f>
        <v/>
      </c>
      <c r="I162" s="9" t="str">
        <f t="shared" ref="I162:I193" ca="1" si="11">IF(OR(C162="",D162="",H162=""),"",C162/((1+H162)^(D162/365)))</f>
        <v/>
      </c>
      <c r="J162" s="10" t="str">
        <f ca="1">IFERROR((I162/LOOKUP(2,1/((Raw_Observations!$A$2:$A$999=A162)*(Raw_Observations!$B$2:$B$999=B162)),Raw_Observations!$D$2:$D$999))^365-1,"")</f>
        <v/>
      </c>
    </row>
    <row r="163" spans="1:10">
      <c r="A163" s="2"/>
      <c r="B163" s="2"/>
      <c r="C163" s="9">
        <f>IFERROR(LOOKUP(2,1/((Raw_Observations!$A$2:$A$250=A163)*(Raw_Observations!$B$2:$B$250=B163)),Raw_Observations!$E$2:$E$250),"")</f>
        <v>0</v>
      </c>
      <c r="D163" s="8">
        <f ca="1">IFERROR(MAX(0,LOOKUP(2,1/((Raw_Observations!$A$2:$A$250=A163)*(Raw_Observations!$B$2:$B$250=B163)),Raw_Observations!$F$2:$F$250)-TODAY()),"")</f>
        <v>0</v>
      </c>
      <c r="E163" s="10" t="str">
        <f ca="1">IF(OR(A163="",B163=""),"",IFERROR(SUMIFS(Bank_Rates!$C$2:$C$100,Bank_Rates!$A$2:$A$100,LOOKUP(2,1/((Raw_Observations!$A$2:$A$250=A163)*(Raw_Observations!$B$2:$B$250=B163)),Raw_Observations!$H$2:$H$250),Bank_Rates!$B$2:$B$100,MAXIFS(Bank_Rates!$B$2:$B$100,Bank_Rates!$A$2:$A$100,LOOKUP(2,1/((Raw_Observations!$A$2:$A$250=A163)*(Raw_Observations!$B$2:$B$250=B163)),Raw_Observations!$H$2:$H$250),Bank_Rates!$B$2:$B$100,"&lt;="&amp;TODAY()),Bank_Rates!$D$2:$D$100,MAXIFS(Bank_Rates!$D$2:$D$100,Bank_Rates!$A$2:$A$100,LOOKUP(2,1/((Raw_Observations!$A$2:$A$250=A163)*(Raw_Observations!$B$2:$B$250=B163)),Raw_Observations!$H$2:$H$250),Bank_Rates!$B$2:$B$100,MAXIFS(Bank_Rates!$B$2:$B$100,Bank_Rates!$A$2:$A$100,LOOKUP(2,1/((Raw_Observations!$A$2:$A$250=A163)*(Raw_Observations!$B$2:$B$250=B163)),Raw_Observations!$H$2:$H$250),Bank_Rates!$B$2:$B$100,"&lt;="&amp;TODAY()),Bank_Rates!$D$2:$D$100,"&lt;="&amp;D163)),"No Match"))</f>
        <v/>
      </c>
      <c r="F163" s="10" t="str">
        <f>IFERROR(LOOKUP(2,1/((Raw_Observations!$A$2:$A$250=A163)*(Raw_Observations!$B$2:$B$250=B163)),Raw_Observations!$K$2:$K$250),"")</f>
        <v/>
      </c>
      <c r="G163" s="10"/>
      <c r="H163" s="10" t="str">
        <f t="shared" ca="1" si="10"/>
        <v/>
      </c>
      <c r="I163" s="9" t="str">
        <f t="shared" ca="1" si="11"/>
        <v/>
      </c>
      <c r="J163" s="10" t="str">
        <f ca="1">IFERROR((I163/LOOKUP(2,1/((Raw_Observations!$A$2:$A$999=A163)*(Raw_Observations!$B$2:$B$999=B163)),Raw_Observations!$D$2:$D$999))^365-1,"")</f>
        <v/>
      </c>
    </row>
    <row r="164" spans="1:10">
      <c r="A164" s="2"/>
      <c r="B164" s="2"/>
      <c r="C164" s="9">
        <f>IFERROR(LOOKUP(2,1/((Raw_Observations!$A$2:$A$250=A164)*(Raw_Observations!$B$2:$B$250=B164)),Raw_Observations!$E$2:$E$250),"")</f>
        <v>0</v>
      </c>
      <c r="D164" s="8">
        <f ca="1">IFERROR(MAX(0,LOOKUP(2,1/((Raw_Observations!$A$2:$A$250=A164)*(Raw_Observations!$B$2:$B$250=B164)),Raw_Observations!$F$2:$F$250)-TODAY()),"")</f>
        <v>0</v>
      </c>
      <c r="E164" s="10" t="str">
        <f ca="1">IF(OR(A164="",B164=""),"",IFERROR(SUMIFS(Bank_Rates!$C$2:$C$100,Bank_Rates!$A$2:$A$100,LOOKUP(2,1/((Raw_Observations!$A$2:$A$250=A164)*(Raw_Observations!$B$2:$B$250=B164)),Raw_Observations!$H$2:$H$250),Bank_Rates!$B$2:$B$100,MAXIFS(Bank_Rates!$B$2:$B$100,Bank_Rates!$A$2:$A$100,LOOKUP(2,1/((Raw_Observations!$A$2:$A$250=A164)*(Raw_Observations!$B$2:$B$250=B164)),Raw_Observations!$H$2:$H$250),Bank_Rates!$B$2:$B$100,"&lt;="&amp;TODAY()),Bank_Rates!$D$2:$D$100,MAXIFS(Bank_Rates!$D$2:$D$100,Bank_Rates!$A$2:$A$100,LOOKUP(2,1/((Raw_Observations!$A$2:$A$250=A164)*(Raw_Observations!$B$2:$B$250=B164)),Raw_Observations!$H$2:$H$250),Bank_Rates!$B$2:$B$100,MAXIFS(Bank_Rates!$B$2:$B$100,Bank_Rates!$A$2:$A$100,LOOKUP(2,1/((Raw_Observations!$A$2:$A$250=A164)*(Raw_Observations!$B$2:$B$250=B164)),Raw_Observations!$H$2:$H$250),Bank_Rates!$B$2:$B$100,"&lt;="&amp;TODAY()),Bank_Rates!$D$2:$D$100,"&lt;="&amp;D164)),"No Match"))</f>
        <v/>
      </c>
      <c r="F164" s="10" t="str">
        <f>IFERROR(LOOKUP(2,1/((Raw_Observations!$A$2:$A$250=A164)*(Raw_Observations!$B$2:$B$250=B164)),Raw_Observations!$K$2:$K$250),"")</f>
        <v/>
      </c>
      <c r="G164" s="10"/>
      <c r="H164" s="10" t="str">
        <f t="shared" ca="1" si="10"/>
        <v/>
      </c>
      <c r="I164" s="9" t="str">
        <f t="shared" ca="1" si="11"/>
        <v/>
      </c>
      <c r="J164" s="10" t="str">
        <f ca="1">IFERROR((I164/LOOKUP(2,1/((Raw_Observations!$A$2:$A$999=A164)*(Raw_Observations!$B$2:$B$999=B164)),Raw_Observations!$D$2:$D$999))^365-1,"")</f>
        <v/>
      </c>
    </row>
    <row r="165" spans="1:10">
      <c r="A165" s="2"/>
      <c r="B165" s="2"/>
      <c r="C165" s="9">
        <f>IFERROR(LOOKUP(2,1/((Raw_Observations!$A$2:$A$250=A165)*(Raw_Observations!$B$2:$B$250=B165)),Raw_Observations!$E$2:$E$250),"")</f>
        <v>0</v>
      </c>
      <c r="D165" s="8">
        <f ca="1">IFERROR(MAX(0,LOOKUP(2,1/((Raw_Observations!$A$2:$A$250=A165)*(Raw_Observations!$B$2:$B$250=B165)),Raw_Observations!$F$2:$F$250)-TODAY()),"")</f>
        <v>0</v>
      </c>
      <c r="E165" s="10" t="str">
        <f ca="1">IF(OR(A165="",B165=""),"",IFERROR(SUMIFS(Bank_Rates!$C$2:$C$100,Bank_Rates!$A$2:$A$100,LOOKUP(2,1/((Raw_Observations!$A$2:$A$250=A165)*(Raw_Observations!$B$2:$B$250=B165)),Raw_Observations!$H$2:$H$250),Bank_Rates!$B$2:$B$100,MAXIFS(Bank_Rates!$B$2:$B$100,Bank_Rates!$A$2:$A$100,LOOKUP(2,1/((Raw_Observations!$A$2:$A$250=A165)*(Raw_Observations!$B$2:$B$250=B165)),Raw_Observations!$H$2:$H$250),Bank_Rates!$B$2:$B$100,"&lt;="&amp;TODAY()),Bank_Rates!$D$2:$D$100,MAXIFS(Bank_Rates!$D$2:$D$100,Bank_Rates!$A$2:$A$100,LOOKUP(2,1/((Raw_Observations!$A$2:$A$250=A165)*(Raw_Observations!$B$2:$B$250=B165)),Raw_Observations!$H$2:$H$250),Bank_Rates!$B$2:$B$100,MAXIFS(Bank_Rates!$B$2:$B$100,Bank_Rates!$A$2:$A$100,LOOKUP(2,1/((Raw_Observations!$A$2:$A$250=A165)*(Raw_Observations!$B$2:$B$250=B165)),Raw_Observations!$H$2:$H$250),Bank_Rates!$B$2:$B$100,"&lt;="&amp;TODAY()),Bank_Rates!$D$2:$D$100,"&lt;="&amp;D165)),"No Match"))</f>
        <v/>
      </c>
      <c r="F165" s="10" t="str">
        <f>IFERROR(LOOKUP(2,1/((Raw_Observations!$A$2:$A$250=A165)*(Raw_Observations!$B$2:$B$250=B165)),Raw_Observations!$K$2:$K$250),"")</f>
        <v/>
      </c>
      <c r="G165" s="10"/>
      <c r="H165" s="10" t="str">
        <f t="shared" ca="1" si="10"/>
        <v/>
      </c>
      <c r="I165" s="9" t="str">
        <f t="shared" ca="1" si="11"/>
        <v/>
      </c>
      <c r="J165" s="10" t="str">
        <f ca="1">IFERROR((I165/LOOKUP(2,1/((Raw_Observations!$A$2:$A$999=A165)*(Raw_Observations!$B$2:$B$999=B165)),Raw_Observations!$D$2:$D$999))^365-1,"")</f>
        <v/>
      </c>
    </row>
    <row r="166" spans="1:10">
      <c r="A166" s="2"/>
      <c r="B166" s="2"/>
      <c r="C166" s="9">
        <f>IFERROR(LOOKUP(2,1/((Raw_Observations!$A$2:$A$250=A166)*(Raw_Observations!$B$2:$B$250=B166)),Raw_Observations!$E$2:$E$250),"")</f>
        <v>0</v>
      </c>
      <c r="D166" s="8">
        <f ca="1">IFERROR(MAX(0,LOOKUP(2,1/((Raw_Observations!$A$2:$A$250=A166)*(Raw_Observations!$B$2:$B$250=B166)),Raw_Observations!$F$2:$F$250)-TODAY()),"")</f>
        <v>0</v>
      </c>
      <c r="E166" s="10" t="str">
        <f ca="1">IF(OR(A166="",B166=""),"",IFERROR(SUMIFS(Bank_Rates!$C$2:$C$100,Bank_Rates!$A$2:$A$100,LOOKUP(2,1/((Raw_Observations!$A$2:$A$250=A166)*(Raw_Observations!$B$2:$B$250=B166)),Raw_Observations!$H$2:$H$250),Bank_Rates!$B$2:$B$100,MAXIFS(Bank_Rates!$B$2:$B$100,Bank_Rates!$A$2:$A$100,LOOKUP(2,1/((Raw_Observations!$A$2:$A$250=A166)*(Raw_Observations!$B$2:$B$250=B166)),Raw_Observations!$H$2:$H$250),Bank_Rates!$B$2:$B$100,"&lt;="&amp;TODAY()),Bank_Rates!$D$2:$D$100,MAXIFS(Bank_Rates!$D$2:$D$100,Bank_Rates!$A$2:$A$100,LOOKUP(2,1/((Raw_Observations!$A$2:$A$250=A166)*(Raw_Observations!$B$2:$B$250=B166)),Raw_Observations!$H$2:$H$250),Bank_Rates!$B$2:$B$100,MAXIFS(Bank_Rates!$B$2:$B$100,Bank_Rates!$A$2:$A$100,LOOKUP(2,1/((Raw_Observations!$A$2:$A$250=A166)*(Raw_Observations!$B$2:$B$250=B166)),Raw_Observations!$H$2:$H$250),Bank_Rates!$B$2:$B$100,"&lt;="&amp;TODAY()),Bank_Rates!$D$2:$D$100,"&lt;="&amp;D166)),"No Match"))</f>
        <v/>
      </c>
      <c r="F166" s="10" t="str">
        <f>IFERROR(LOOKUP(2,1/((Raw_Observations!$A$2:$A$250=A166)*(Raw_Observations!$B$2:$B$250=B166)),Raw_Observations!$K$2:$K$250),"")</f>
        <v/>
      </c>
      <c r="G166" s="10"/>
      <c r="H166" s="10" t="str">
        <f t="shared" ca="1" si="10"/>
        <v/>
      </c>
      <c r="I166" s="9" t="str">
        <f t="shared" ca="1" si="11"/>
        <v/>
      </c>
      <c r="J166" s="10" t="str">
        <f ca="1">IFERROR((I166/LOOKUP(2,1/((Raw_Observations!$A$2:$A$999=A166)*(Raw_Observations!$B$2:$B$999=B166)),Raw_Observations!$D$2:$D$999))^365-1,"")</f>
        <v/>
      </c>
    </row>
    <row r="167" spans="1:10">
      <c r="A167" s="2"/>
      <c r="B167" s="2"/>
      <c r="C167" s="9">
        <f>IFERROR(LOOKUP(2,1/((Raw_Observations!$A$2:$A$250=A167)*(Raw_Observations!$B$2:$B$250=B167)),Raw_Observations!$E$2:$E$250),"")</f>
        <v>0</v>
      </c>
      <c r="D167" s="8">
        <f ca="1">IFERROR(MAX(0,LOOKUP(2,1/((Raw_Observations!$A$2:$A$250=A167)*(Raw_Observations!$B$2:$B$250=B167)),Raw_Observations!$F$2:$F$250)-TODAY()),"")</f>
        <v>0</v>
      </c>
      <c r="E167" s="10" t="str">
        <f ca="1">IF(OR(A167="",B167=""),"",IFERROR(SUMIFS(Bank_Rates!$C$2:$C$100,Bank_Rates!$A$2:$A$100,LOOKUP(2,1/((Raw_Observations!$A$2:$A$250=A167)*(Raw_Observations!$B$2:$B$250=B167)),Raw_Observations!$H$2:$H$250),Bank_Rates!$B$2:$B$100,MAXIFS(Bank_Rates!$B$2:$B$100,Bank_Rates!$A$2:$A$100,LOOKUP(2,1/((Raw_Observations!$A$2:$A$250=A167)*(Raw_Observations!$B$2:$B$250=B167)),Raw_Observations!$H$2:$H$250),Bank_Rates!$B$2:$B$100,"&lt;="&amp;TODAY()),Bank_Rates!$D$2:$D$100,MAXIFS(Bank_Rates!$D$2:$D$100,Bank_Rates!$A$2:$A$100,LOOKUP(2,1/((Raw_Observations!$A$2:$A$250=A167)*(Raw_Observations!$B$2:$B$250=B167)),Raw_Observations!$H$2:$H$250),Bank_Rates!$B$2:$B$100,MAXIFS(Bank_Rates!$B$2:$B$100,Bank_Rates!$A$2:$A$100,LOOKUP(2,1/((Raw_Observations!$A$2:$A$250=A167)*(Raw_Observations!$B$2:$B$250=B167)),Raw_Observations!$H$2:$H$250),Bank_Rates!$B$2:$B$100,"&lt;="&amp;TODAY()),Bank_Rates!$D$2:$D$100,"&lt;="&amp;D167)),"No Match"))</f>
        <v/>
      </c>
      <c r="F167" s="10" t="str">
        <f>IFERROR(LOOKUP(2,1/((Raw_Observations!$A$2:$A$250=A167)*(Raw_Observations!$B$2:$B$250=B167)),Raw_Observations!$K$2:$K$250),"")</f>
        <v/>
      </c>
      <c r="G167" s="10"/>
      <c r="H167" s="10" t="str">
        <f t="shared" ca="1" si="10"/>
        <v/>
      </c>
      <c r="I167" s="9" t="str">
        <f t="shared" ca="1" si="11"/>
        <v/>
      </c>
      <c r="J167" s="10" t="str">
        <f ca="1">IFERROR((I167/LOOKUP(2,1/((Raw_Observations!$A$2:$A$999=A167)*(Raw_Observations!$B$2:$B$999=B167)),Raw_Observations!$D$2:$D$999))^365-1,"")</f>
        <v/>
      </c>
    </row>
    <row r="168" spans="1:10">
      <c r="A168" s="2"/>
      <c r="B168" s="2"/>
      <c r="C168" s="9">
        <f>IFERROR(LOOKUP(2,1/((Raw_Observations!$A$2:$A$250=A168)*(Raw_Observations!$B$2:$B$250=B168)),Raw_Observations!$E$2:$E$250),"")</f>
        <v>0</v>
      </c>
      <c r="D168" s="8">
        <f ca="1">IFERROR(MAX(0,LOOKUP(2,1/((Raw_Observations!$A$2:$A$250=A168)*(Raw_Observations!$B$2:$B$250=B168)),Raw_Observations!$F$2:$F$250)-TODAY()),"")</f>
        <v>0</v>
      </c>
      <c r="E168" s="10" t="str">
        <f ca="1">IF(OR(A168="",B168=""),"",IFERROR(SUMIFS(Bank_Rates!$C$2:$C$100,Bank_Rates!$A$2:$A$100,LOOKUP(2,1/((Raw_Observations!$A$2:$A$250=A168)*(Raw_Observations!$B$2:$B$250=B168)),Raw_Observations!$H$2:$H$250),Bank_Rates!$B$2:$B$100,MAXIFS(Bank_Rates!$B$2:$B$100,Bank_Rates!$A$2:$A$100,LOOKUP(2,1/((Raw_Observations!$A$2:$A$250=A168)*(Raw_Observations!$B$2:$B$250=B168)),Raw_Observations!$H$2:$H$250),Bank_Rates!$B$2:$B$100,"&lt;="&amp;TODAY()),Bank_Rates!$D$2:$D$100,MAXIFS(Bank_Rates!$D$2:$D$100,Bank_Rates!$A$2:$A$100,LOOKUP(2,1/((Raw_Observations!$A$2:$A$250=A168)*(Raw_Observations!$B$2:$B$250=B168)),Raw_Observations!$H$2:$H$250),Bank_Rates!$B$2:$B$100,MAXIFS(Bank_Rates!$B$2:$B$100,Bank_Rates!$A$2:$A$100,LOOKUP(2,1/((Raw_Observations!$A$2:$A$250=A168)*(Raw_Observations!$B$2:$B$250=B168)),Raw_Observations!$H$2:$H$250),Bank_Rates!$B$2:$B$100,"&lt;="&amp;TODAY()),Bank_Rates!$D$2:$D$100,"&lt;="&amp;D168)),"No Match"))</f>
        <v/>
      </c>
      <c r="F168" s="10" t="str">
        <f>IFERROR(LOOKUP(2,1/((Raw_Observations!$A$2:$A$250=A168)*(Raw_Observations!$B$2:$B$250=B168)),Raw_Observations!$K$2:$K$250),"")</f>
        <v/>
      </c>
      <c r="G168" s="10"/>
      <c r="H168" s="10" t="str">
        <f t="shared" ca="1" si="10"/>
        <v/>
      </c>
      <c r="I168" s="9" t="str">
        <f t="shared" ca="1" si="11"/>
        <v/>
      </c>
      <c r="J168" s="10" t="str">
        <f ca="1">IFERROR((I168/LOOKUP(2,1/((Raw_Observations!$A$2:$A$999=A168)*(Raw_Observations!$B$2:$B$999=B168)),Raw_Observations!$D$2:$D$999))^365-1,"")</f>
        <v/>
      </c>
    </row>
    <row r="169" spans="1:10">
      <c r="A169" s="2"/>
      <c r="B169" s="2"/>
      <c r="C169" s="9">
        <f>IFERROR(LOOKUP(2,1/((Raw_Observations!$A$2:$A$250=A169)*(Raw_Observations!$B$2:$B$250=B169)),Raw_Observations!$E$2:$E$250),"")</f>
        <v>0</v>
      </c>
      <c r="D169" s="8">
        <f ca="1">IFERROR(MAX(0,LOOKUP(2,1/((Raw_Observations!$A$2:$A$250=A169)*(Raw_Observations!$B$2:$B$250=B169)),Raw_Observations!$F$2:$F$250)-TODAY()),"")</f>
        <v>0</v>
      </c>
      <c r="E169" s="10" t="str">
        <f ca="1">IF(OR(A169="",B169=""),"",IFERROR(SUMIFS(Bank_Rates!$C$2:$C$100,Bank_Rates!$A$2:$A$100,LOOKUP(2,1/((Raw_Observations!$A$2:$A$250=A169)*(Raw_Observations!$B$2:$B$250=B169)),Raw_Observations!$H$2:$H$250),Bank_Rates!$B$2:$B$100,MAXIFS(Bank_Rates!$B$2:$B$100,Bank_Rates!$A$2:$A$100,LOOKUP(2,1/((Raw_Observations!$A$2:$A$250=A169)*(Raw_Observations!$B$2:$B$250=B169)),Raw_Observations!$H$2:$H$250),Bank_Rates!$B$2:$B$100,"&lt;="&amp;TODAY()),Bank_Rates!$D$2:$D$100,MAXIFS(Bank_Rates!$D$2:$D$100,Bank_Rates!$A$2:$A$100,LOOKUP(2,1/((Raw_Observations!$A$2:$A$250=A169)*(Raw_Observations!$B$2:$B$250=B169)),Raw_Observations!$H$2:$H$250),Bank_Rates!$B$2:$B$100,MAXIFS(Bank_Rates!$B$2:$B$100,Bank_Rates!$A$2:$A$100,LOOKUP(2,1/((Raw_Observations!$A$2:$A$250=A169)*(Raw_Observations!$B$2:$B$250=B169)),Raw_Observations!$H$2:$H$250),Bank_Rates!$B$2:$B$100,"&lt;="&amp;TODAY()),Bank_Rates!$D$2:$D$100,"&lt;="&amp;D169)),"No Match"))</f>
        <v/>
      </c>
      <c r="F169" s="10" t="str">
        <f>IFERROR(LOOKUP(2,1/((Raw_Observations!$A$2:$A$250=A169)*(Raw_Observations!$B$2:$B$250=B169)),Raw_Observations!$K$2:$K$250),"")</f>
        <v/>
      </c>
      <c r="G169" s="10"/>
      <c r="H169" s="10" t="str">
        <f t="shared" ca="1" si="10"/>
        <v/>
      </c>
      <c r="I169" s="9" t="str">
        <f t="shared" ca="1" si="11"/>
        <v/>
      </c>
      <c r="J169" s="10" t="str">
        <f ca="1">IFERROR((I169/LOOKUP(2,1/((Raw_Observations!$A$2:$A$999=A169)*(Raw_Observations!$B$2:$B$999=B169)),Raw_Observations!$D$2:$D$999))^365-1,"")</f>
        <v/>
      </c>
    </row>
    <row r="170" spans="1:10">
      <c r="A170" s="2"/>
      <c r="B170" s="2"/>
      <c r="C170" s="9">
        <f>IFERROR(LOOKUP(2,1/((Raw_Observations!$A$2:$A$250=A170)*(Raw_Observations!$B$2:$B$250=B170)),Raw_Observations!$E$2:$E$250),"")</f>
        <v>0</v>
      </c>
      <c r="D170" s="8">
        <f ca="1">IFERROR(MAX(0,LOOKUP(2,1/((Raw_Observations!$A$2:$A$250=A170)*(Raw_Observations!$B$2:$B$250=B170)),Raw_Observations!$F$2:$F$250)-TODAY()),"")</f>
        <v>0</v>
      </c>
      <c r="E170" s="10" t="str">
        <f ca="1">IF(OR(A170="",B170=""),"",IFERROR(SUMIFS(Bank_Rates!$C$2:$C$100,Bank_Rates!$A$2:$A$100,LOOKUP(2,1/((Raw_Observations!$A$2:$A$250=A170)*(Raw_Observations!$B$2:$B$250=B170)),Raw_Observations!$H$2:$H$250),Bank_Rates!$B$2:$B$100,MAXIFS(Bank_Rates!$B$2:$B$100,Bank_Rates!$A$2:$A$100,LOOKUP(2,1/((Raw_Observations!$A$2:$A$250=A170)*(Raw_Observations!$B$2:$B$250=B170)),Raw_Observations!$H$2:$H$250),Bank_Rates!$B$2:$B$100,"&lt;="&amp;TODAY()),Bank_Rates!$D$2:$D$100,MAXIFS(Bank_Rates!$D$2:$D$100,Bank_Rates!$A$2:$A$100,LOOKUP(2,1/((Raw_Observations!$A$2:$A$250=A170)*(Raw_Observations!$B$2:$B$250=B170)),Raw_Observations!$H$2:$H$250),Bank_Rates!$B$2:$B$100,MAXIFS(Bank_Rates!$B$2:$B$100,Bank_Rates!$A$2:$A$100,LOOKUP(2,1/((Raw_Observations!$A$2:$A$250=A170)*(Raw_Observations!$B$2:$B$250=B170)),Raw_Observations!$H$2:$H$250),Bank_Rates!$B$2:$B$100,"&lt;="&amp;TODAY()),Bank_Rates!$D$2:$D$100,"&lt;="&amp;D170)),"No Match"))</f>
        <v/>
      </c>
      <c r="F170" s="10" t="str">
        <f>IFERROR(LOOKUP(2,1/((Raw_Observations!$A$2:$A$250=A170)*(Raw_Observations!$B$2:$B$250=B170)),Raw_Observations!$K$2:$K$250),"")</f>
        <v/>
      </c>
      <c r="G170" s="10"/>
      <c r="H170" s="10" t="str">
        <f t="shared" ca="1" si="10"/>
        <v/>
      </c>
      <c r="I170" s="9" t="str">
        <f t="shared" ca="1" si="11"/>
        <v/>
      </c>
      <c r="J170" s="10" t="str">
        <f ca="1">IFERROR((I170/LOOKUP(2,1/((Raw_Observations!$A$2:$A$999=A170)*(Raw_Observations!$B$2:$B$999=B170)),Raw_Observations!$D$2:$D$999))^365-1,"")</f>
        <v/>
      </c>
    </row>
    <row r="171" spans="1:10">
      <c r="A171" s="2"/>
      <c r="B171" s="2"/>
      <c r="C171" s="9">
        <f>IFERROR(LOOKUP(2,1/((Raw_Observations!$A$2:$A$250=A171)*(Raw_Observations!$B$2:$B$250=B171)),Raw_Observations!$E$2:$E$250),"")</f>
        <v>0</v>
      </c>
      <c r="D171" s="8">
        <f ca="1">IFERROR(MAX(0,LOOKUP(2,1/((Raw_Observations!$A$2:$A$250=A171)*(Raw_Observations!$B$2:$B$250=B171)),Raw_Observations!$F$2:$F$250)-TODAY()),"")</f>
        <v>0</v>
      </c>
      <c r="E171" s="10" t="str">
        <f ca="1">IF(OR(A171="",B171=""),"",IFERROR(SUMIFS(Bank_Rates!$C$2:$C$100,Bank_Rates!$A$2:$A$100,LOOKUP(2,1/((Raw_Observations!$A$2:$A$250=A171)*(Raw_Observations!$B$2:$B$250=B171)),Raw_Observations!$H$2:$H$250),Bank_Rates!$B$2:$B$100,MAXIFS(Bank_Rates!$B$2:$B$100,Bank_Rates!$A$2:$A$100,LOOKUP(2,1/((Raw_Observations!$A$2:$A$250=A171)*(Raw_Observations!$B$2:$B$250=B171)),Raw_Observations!$H$2:$H$250),Bank_Rates!$B$2:$B$100,"&lt;="&amp;TODAY()),Bank_Rates!$D$2:$D$100,MAXIFS(Bank_Rates!$D$2:$D$100,Bank_Rates!$A$2:$A$100,LOOKUP(2,1/((Raw_Observations!$A$2:$A$250=A171)*(Raw_Observations!$B$2:$B$250=B171)),Raw_Observations!$H$2:$H$250),Bank_Rates!$B$2:$B$100,MAXIFS(Bank_Rates!$B$2:$B$100,Bank_Rates!$A$2:$A$100,LOOKUP(2,1/((Raw_Observations!$A$2:$A$250=A171)*(Raw_Observations!$B$2:$B$250=B171)),Raw_Observations!$H$2:$H$250),Bank_Rates!$B$2:$B$100,"&lt;="&amp;TODAY()),Bank_Rates!$D$2:$D$100,"&lt;="&amp;D171)),"No Match"))</f>
        <v/>
      </c>
      <c r="F171" s="10" t="str">
        <f>IFERROR(LOOKUP(2,1/((Raw_Observations!$A$2:$A$250=A171)*(Raw_Observations!$B$2:$B$250=B171)),Raw_Observations!$K$2:$K$250),"")</f>
        <v/>
      </c>
      <c r="G171" s="10"/>
      <c r="H171" s="10" t="str">
        <f t="shared" ca="1" si="10"/>
        <v/>
      </c>
      <c r="I171" s="9" t="str">
        <f t="shared" ca="1" si="11"/>
        <v/>
      </c>
      <c r="J171" s="10" t="str">
        <f ca="1">IFERROR((I171/LOOKUP(2,1/((Raw_Observations!$A$2:$A$999=A171)*(Raw_Observations!$B$2:$B$999=B171)),Raw_Observations!$D$2:$D$999))^365-1,"")</f>
        <v/>
      </c>
    </row>
    <row r="172" spans="1:10">
      <c r="A172" s="2"/>
      <c r="B172" s="2"/>
      <c r="C172" s="9">
        <f>IFERROR(LOOKUP(2,1/((Raw_Observations!$A$2:$A$250=A172)*(Raw_Observations!$B$2:$B$250=B172)),Raw_Observations!$E$2:$E$250),"")</f>
        <v>0</v>
      </c>
      <c r="D172" s="8">
        <f ca="1">IFERROR(MAX(0,LOOKUP(2,1/((Raw_Observations!$A$2:$A$250=A172)*(Raw_Observations!$B$2:$B$250=B172)),Raw_Observations!$F$2:$F$250)-TODAY()),"")</f>
        <v>0</v>
      </c>
      <c r="E172" s="10" t="str">
        <f ca="1">IF(OR(A172="",B172=""),"",IFERROR(SUMIFS(Bank_Rates!$C$2:$C$100,Bank_Rates!$A$2:$A$100,LOOKUP(2,1/((Raw_Observations!$A$2:$A$250=A172)*(Raw_Observations!$B$2:$B$250=B172)),Raw_Observations!$H$2:$H$250),Bank_Rates!$B$2:$B$100,MAXIFS(Bank_Rates!$B$2:$B$100,Bank_Rates!$A$2:$A$100,LOOKUP(2,1/((Raw_Observations!$A$2:$A$250=A172)*(Raw_Observations!$B$2:$B$250=B172)),Raw_Observations!$H$2:$H$250),Bank_Rates!$B$2:$B$100,"&lt;="&amp;TODAY()),Bank_Rates!$D$2:$D$100,MAXIFS(Bank_Rates!$D$2:$D$100,Bank_Rates!$A$2:$A$100,LOOKUP(2,1/((Raw_Observations!$A$2:$A$250=A172)*(Raw_Observations!$B$2:$B$250=B172)),Raw_Observations!$H$2:$H$250),Bank_Rates!$B$2:$B$100,MAXIFS(Bank_Rates!$B$2:$B$100,Bank_Rates!$A$2:$A$100,LOOKUP(2,1/((Raw_Observations!$A$2:$A$250=A172)*(Raw_Observations!$B$2:$B$250=B172)),Raw_Observations!$H$2:$H$250),Bank_Rates!$B$2:$B$100,"&lt;="&amp;TODAY()),Bank_Rates!$D$2:$D$100,"&lt;="&amp;D172)),"No Match"))</f>
        <v/>
      </c>
      <c r="F172" s="10" t="str">
        <f>IFERROR(LOOKUP(2,1/((Raw_Observations!$A$2:$A$250=A172)*(Raw_Observations!$B$2:$B$250=B172)),Raw_Observations!$K$2:$K$250),"")</f>
        <v/>
      </c>
      <c r="G172" s="10"/>
      <c r="H172" s="10" t="str">
        <f t="shared" ca="1" si="10"/>
        <v/>
      </c>
      <c r="I172" s="9" t="str">
        <f t="shared" ca="1" si="11"/>
        <v/>
      </c>
      <c r="J172" s="10" t="str">
        <f ca="1">IFERROR((I172/LOOKUP(2,1/((Raw_Observations!$A$2:$A$999=A172)*(Raw_Observations!$B$2:$B$999=B172)),Raw_Observations!$D$2:$D$999))^365-1,"")</f>
        <v/>
      </c>
    </row>
    <row r="173" spans="1:10">
      <c r="A173" s="2"/>
      <c r="B173" s="2"/>
      <c r="C173" s="9">
        <f>IFERROR(LOOKUP(2,1/((Raw_Observations!$A$2:$A$250=A173)*(Raw_Observations!$B$2:$B$250=B173)),Raw_Observations!$E$2:$E$250),"")</f>
        <v>0</v>
      </c>
      <c r="D173" s="8">
        <f ca="1">IFERROR(MAX(0,LOOKUP(2,1/((Raw_Observations!$A$2:$A$250=A173)*(Raw_Observations!$B$2:$B$250=B173)),Raw_Observations!$F$2:$F$250)-TODAY()),"")</f>
        <v>0</v>
      </c>
      <c r="E173" s="10" t="str">
        <f ca="1">IF(OR(A173="",B173=""),"",IFERROR(SUMIFS(Bank_Rates!$C$2:$C$100,Bank_Rates!$A$2:$A$100,LOOKUP(2,1/((Raw_Observations!$A$2:$A$250=A173)*(Raw_Observations!$B$2:$B$250=B173)),Raw_Observations!$H$2:$H$250),Bank_Rates!$B$2:$B$100,MAXIFS(Bank_Rates!$B$2:$B$100,Bank_Rates!$A$2:$A$100,LOOKUP(2,1/((Raw_Observations!$A$2:$A$250=A173)*(Raw_Observations!$B$2:$B$250=B173)),Raw_Observations!$H$2:$H$250),Bank_Rates!$B$2:$B$100,"&lt;="&amp;TODAY()),Bank_Rates!$D$2:$D$100,MAXIFS(Bank_Rates!$D$2:$D$100,Bank_Rates!$A$2:$A$100,LOOKUP(2,1/((Raw_Observations!$A$2:$A$250=A173)*(Raw_Observations!$B$2:$B$250=B173)),Raw_Observations!$H$2:$H$250),Bank_Rates!$B$2:$B$100,MAXIFS(Bank_Rates!$B$2:$B$100,Bank_Rates!$A$2:$A$100,LOOKUP(2,1/((Raw_Observations!$A$2:$A$250=A173)*(Raw_Observations!$B$2:$B$250=B173)),Raw_Observations!$H$2:$H$250),Bank_Rates!$B$2:$B$100,"&lt;="&amp;TODAY()),Bank_Rates!$D$2:$D$100,"&lt;="&amp;D173)),"No Match"))</f>
        <v/>
      </c>
      <c r="F173" s="10" t="str">
        <f>IFERROR(LOOKUP(2,1/((Raw_Observations!$A$2:$A$250=A173)*(Raw_Observations!$B$2:$B$250=B173)),Raw_Observations!$K$2:$K$250),"")</f>
        <v/>
      </c>
      <c r="G173" s="10"/>
      <c r="H173" s="10" t="str">
        <f t="shared" ca="1" si="10"/>
        <v/>
      </c>
      <c r="I173" s="9" t="str">
        <f t="shared" ca="1" si="11"/>
        <v/>
      </c>
      <c r="J173" s="10" t="str">
        <f ca="1">IFERROR((I173/LOOKUP(2,1/((Raw_Observations!$A$2:$A$999=A173)*(Raw_Observations!$B$2:$B$999=B173)),Raw_Observations!$D$2:$D$999))^365-1,"")</f>
        <v/>
      </c>
    </row>
    <row r="174" spans="1:10">
      <c r="A174" s="2"/>
      <c r="B174" s="2"/>
      <c r="C174" s="9">
        <f>IFERROR(LOOKUP(2,1/((Raw_Observations!$A$2:$A$250=A174)*(Raw_Observations!$B$2:$B$250=B174)),Raw_Observations!$E$2:$E$250),"")</f>
        <v>0</v>
      </c>
      <c r="D174" s="8">
        <f ca="1">IFERROR(MAX(0,LOOKUP(2,1/((Raw_Observations!$A$2:$A$250=A174)*(Raw_Observations!$B$2:$B$250=B174)),Raw_Observations!$F$2:$F$250)-TODAY()),"")</f>
        <v>0</v>
      </c>
      <c r="E174" s="10" t="str">
        <f ca="1">IF(OR(A174="",B174=""),"",IFERROR(SUMIFS(Bank_Rates!$C$2:$C$100,Bank_Rates!$A$2:$A$100,LOOKUP(2,1/((Raw_Observations!$A$2:$A$250=A174)*(Raw_Observations!$B$2:$B$250=B174)),Raw_Observations!$H$2:$H$250),Bank_Rates!$B$2:$B$100,MAXIFS(Bank_Rates!$B$2:$B$100,Bank_Rates!$A$2:$A$100,LOOKUP(2,1/((Raw_Observations!$A$2:$A$250=A174)*(Raw_Observations!$B$2:$B$250=B174)),Raw_Observations!$H$2:$H$250),Bank_Rates!$B$2:$B$100,"&lt;="&amp;TODAY()),Bank_Rates!$D$2:$D$100,MAXIFS(Bank_Rates!$D$2:$D$100,Bank_Rates!$A$2:$A$100,LOOKUP(2,1/((Raw_Observations!$A$2:$A$250=A174)*(Raw_Observations!$B$2:$B$250=B174)),Raw_Observations!$H$2:$H$250),Bank_Rates!$B$2:$B$100,MAXIFS(Bank_Rates!$B$2:$B$100,Bank_Rates!$A$2:$A$100,LOOKUP(2,1/((Raw_Observations!$A$2:$A$250=A174)*(Raw_Observations!$B$2:$B$250=B174)),Raw_Observations!$H$2:$H$250),Bank_Rates!$B$2:$B$100,"&lt;="&amp;TODAY()),Bank_Rates!$D$2:$D$100,"&lt;="&amp;D174)),"No Match"))</f>
        <v/>
      </c>
      <c r="F174" s="10" t="str">
        <f>IFERROR(LOOKUP(2,1/((Raw_Observations!$A$2:$A$250=A174)*(Raw_Observations!$B$2:$B$250=B174)),Raw_Observations!$K$2:$K$250),"")</f>
        <v/>
      </c>
      <c r="G174" s="10"/>
      <c r="H174" s="10" t="str">
        <f t="shared" ca="1" si="10"/>
        <v/>
      </c>
      <c r="I174" s="9" t="str">
        <f t="shared" ca="1" si="11"/>
        <v/>
      </c>
      <c r="J174" s="10" t="str">
        <f ca="1">IFERROR((I174/LOOKUP(2,1/((Raw_Observations!$A$2:$A$999=A174)*(Raw_Observations!$B$2:$B$999=B174)),Raw_Observations!$D$2:$D$999))^365-1,"")</f>
        <v/>
      </c>
    </row>
    <row r="175" spans="1:10">
      <c r="A175" s="2"/>
      <c r="B175" s="2"/>
      <c r="C175" s="9">
        <f>IFERROR(LOOKUP(2,1/((Raw_Observations!$A$2:$A$250=A175)*(Raw_Observations!$B$2:$B$250=B175)),Raw_Observations!$E$2:$E$250),"")</f>
        <v>0</v>
      </c>
      <c r="D175" s="8">
        <f ca="1">IFERROR(MAX(0,LOOKUP(2,1/((Raw_Observations!$A$2:$A$250=A175)*(Raw_Observations!$B$2:$B$250=B175)),Raw_Observations!$F$2:$F$250)-TODAY()),"")</f>
        <v>0</v>
      </c>
      <c r="E175" s="10" t="str">
        <f ca="1">IF(OR(A175="",B175=""),"",IFERROR(SUMIFS(Bank_Rates!$C$2:$C$100,Bank_Rates!$A$2:$A$100,LOOKUP(2,1/((Raw_Observations!$A$2:$A$250=A175)*(Raw_Observations!$B$2:$B$250=B175)),Raw_Observations!$H$2:$H$250),Bank_Rates!$B$2:$B$100,MAXIFS(Bank_Rates!$B$2:$B$100,Bank_Rates!$A$2:$A$100,LOOKUP(2,1/((Raw_Observations!$A$2:$A$250=A175)*(Raw_Observations!$B$2:$B$250=B175)),Raw_Observations!$H$2:$H$250),Bank_Rates!$B$2:$B$100,"&lt;="&amp;TODAY()),Bank_Rates!$D$2:$D$100,MAXIFS(Bank_Rates!$D$2:$D$100,Bank_Rates!$A$2:$A$100,LOOKUP(2,1/((Raw_Observations!$A$2:$A$250=A175)*(Raw_Observations!$B$2:$B$250=B175)),Raw_Observations!$H$2:$H$250),Bank_Rates!$B$2:$B$100,MAXIFS(Bank_Rates!$B$2:$B$100,Bank_Rates!$A$2:$A$100,LOOKUP(2,1/((Raw_Observations!$A$2:$A$250=A175)*(Raw_Observations!$B$2:$B$250=B175)),Raw_Observations!$H$2:$H$250),Bank_Rates!$B$2:$B$100,"&lt;="&amp;TODAY()),Bank_Rates!$D$2:$D$100,"&lt;="&amp;D175)),"No Match"))</f>
        <v/>
      </c>
      <c r="F175" s="10" t="str">
        <f>IFERROR(LOOKUP(2,1/((Raw_Observations!$A$2:$A$250=A175)*(Raw_Observations!$B$2:$B$250=B175)),Raw_Observations!$K$2:$K$250),"")</f>
        <v/>
      </c>
      <c r="G175" s="10"/>
      <c r="H175" s="10" t="str">
        <f t="shared" ca="1" si="10"/>
        <v/>
      </c>
      <c r="I175" s="9" t="str">
        <f t="shared" ca="1" si="11"/>
        <v/>
      </c>
      <c r="J175" s="10" t="str">
        <f ca="1">IFERROR((I175/LOOKUP(2,1/((Raw_Observations!$A$2:$A$999=A175)*(Raw_Observations!$B$2:$B$999=B175)),Raw_Observations!$D$2:$D$999))^365-1,"")</f>
        <v/>
      </c>
    </row>
    <row r="176" spans="1:10">
      <c r="A176" s="2"/>
      <c r="B176" s="2"/>
      <c r="C176" s="9">
        <f>IFERROR(LOOKUP(2,1/((Raw_Observations!$A$2:$A$250=A176)*(Raw_Observations!$B$2:$B$250=B176)),Raw_Observations!$E$2:$E$250),"")</f>
        <v>0</v>
      </c>
      <c r="D176" s="8">
        <f ca="1">IFERROR(MAX(0,LOOKUP(2,1/((Raw_Observations!$A$2:$A$250=A176)*(Raw_Observations!$B$2:$B$250=B176)),Raw_Observations!$F$2:$F$250)-TODAY()),"")</f>
        <v>0</v>
      </c>
      <c r="E176" s="10" t="str">
        <f ca="1">IF(OR(A176="",B176=""),"",IFERROR(SUMIFS(Bank_Rates!$C$2:$C$100,Bank_Rates!$A$2:$A$100,LOOKUP(2,1/((Raw_Observations!$A$2:$A$250=A176)*(Raw_Observations!$B$2:$B$250=B176)),Raw_Observations!$H$2:$H$250),Bank_Rates!$B$2:$B$100,MAXIFS(Bank_Rates!$B$2:$B$100,Bank_Rates!$A$2:$A$100,LOOKUP(2,1/((Raw_Observations!$A$2:$A$250=A176)*(Raw_Observations!$B$2:$B$250=B176)),Raw_Observations!$H$2:$H$250),Bank_Rates!$B$2:$B$100,"&lt;="&amp;TODAY()),Bank_Rates!$D$2:$D$100,MAXIFS(Bank_Rates!$D$2:$D$100,Bank_Rates!$A$2:$A$100,LOOKUP(2,1/((Raw_Observations!$A$2:$A$250=A176)*(Raw_Observations!$B$2:$B$250=B176)),Raw_Observations!$H$2:$H$250),Bank_Rates!$B$2:$B$100,MAXIFS(Bank_Rates!$B$2:$B$100,Bank_Rates!$A$2:$A$100,LOOKUP(2,1/((Raw_Observations!$A$2:$A$250=A176)*(Raw_Observations!$B$2:$B$250=B176)),Raw_Observations!$H$2:$H$250),Bank_Rates!$B$2:$B$100,"&lt;="&amp;TODAY()),Bank_Rates!$D$2:$D$100,"&lt;="&amp;D176)),"No Match"))</f>
        <v/>
      </c>
      <c r="F176" s="10" t="str">
        <f>IFERROR(LOOKUP(2,1/((Raw_Observations!$A$2:$A$250=A176)*(Raw_Observations!$B$2:$B$250=B176)),Raw_Observations!$K$2:$K$250),"")</f>
        <v/>
      </c>
      <c r="G176" s="10"/>
      <c r="H176" s="10" t="str">
        <f t="shared" ca="1" si="10"/>
        <v/>
      </c>
      <c r="I176" s="9" t="str">
        <f t="shared" ca="1" si="11"/>
        <v/>
      </c>
      <c r="J176" s="10" t="str">
        <f ca="1">IFERROR((I176/LOOKUP(2,1/((Raw_Observations!$A$2:$A$999=A176)*(Raw_Observations!$B$2:$B$999=B176)),Raw_Observations!$D$2:$D$999))^365-1,"")</f>
        <v/>
      </c>
    </row>
    <row r="177" spans="1:10">
      <c r="A177" s="2"/>
      <c r="B177" s="2"/>
      <c r="C177" s="9">
        <f>IFERROR(LOOKUP(2,1/((Raw_Observations!$A$2:$A$250=A177)*(Raw_Observations!$B$2:$B$250=B177)),Raw_Observations!$E$2:$E$250),"")</f>
        <v>0</v>
      </c>
      <c r="D177" s="8">
        <f ca="1">IFERROR(MAX(0,LOOKUP(2,1/((Raw_Observations!$A$2:$A$250=A177)*(Raw_Observations!$B$2:$B$250=B177)),Raw_Observations!$F$2:$F$250)-TODAY()),"")</f>
        <v>0</v>
      </c>
      <c r="E177" s="10" t="str">
        <f ca="1">IF(OR(A177="",B177=""),"",IFERROR(SUMIFS(Bank_Rates!$C$2:$C$100,Bank_Rates!$A$2:$A$100,LOOKUP(2,1/((Raw_Observations!$A$2:$A$250=A177)*(Raw_Observations!$B$2:$B$250=B177)),Raw_Observations!$H$2:$H$250),Bank_Rates!$B$2:$B$100,MAXIFS(Bank_Rates!$B$2:$B$100,Bank_Rates!$A$2:$A$100,LOOKUP(2,1/((Raw_Observations!$A$2:$A$250=A177)*(Raw_Observations!$B$2:$B$250=B177)),Raw_Observations!$H$2:$H$250),Bank_Rates!$B$2:$B$100,"&lt;="&amp;TODAY()),Bank_Rates!$D$2:$D$100,MAXIFS(Bank_Rates!$D$2:$D$100,Bank_Rates!$A$2:$A$100,LOOKUP(2,1/((Raw_Observations!$A$2:$A$250=A177)*(Raw_Observations!$B$2:$B$250=B177)),Raw_Observations!$H$2:$H$250),Bank_Rates!$B$2:$B$100,MAXIFS(Bank_Rates!$B$2:$B$100,Bank_Rates!$A$2:$A$100,LOOKUP(2,1/((Raw_Observations!$A$2:$A$250=A177)*(Raw_Observations!$B$2:$B$250=B177)),Raw_Observations!$H$2:$H$250),Bank_Rates!$B$2:$B$100,"&lt;="&amp;TODAY()),Bank_Rates!$D$2:$D$100,"&lt;="&amp;D177)),"No Match"))</f>
        <v/>
      </c>
      <c r="F177" s="10" t="str">
        <f>IFERROR(LOOKUP(2,1/((Raw_Observations!$A$2:$A$250=A177)*(Raw_Observations!$B$2:$B$250=B177)),Raw_Observations!$K$2:$K$250),"")</f>
        <v/>
      </c>
      <c r="G177" s="10"/>
      <c r="H177" s="10" t="str">
        <f t="shared" ca="1" si="10"/>
        <v/>
      </c>
      <c r="I177" s="9" t="str">
        <f t="shared" ca="1" si="11"/>
        <v/>
      </c>
      <c r="J177" s="10" t="str">
        <f ca="1">IFERROR((I177/LOOKUP(2,1/((Raw_Observations!$A$2:$A$999=A177)*(Raw_Observations!$B$2:$B$999=B177)),Raw_Observations!$D$2:$D$999))^365-1,"")</f>
        <v/>
      </c>
    </row>
    <row r="178" spans="1:10">
      <c r="A178" s="2"/>
      <c r="B178" s="2"/>
      <c r="C178" s="9">
        <f>IFERROR(LOOKUP(2,1/((Raw_Observations!$A$2:$A$250=A178)*(Raw_Observations!$B$2:$B$250=B178)),Raw_Observations!$E$2:$E$250),"")</f>
        <v>0</v>
      </c>
      <c r="D178" s="8">
        <f ca="1">IFERROR(MAX(0,LOOKUP(2,1/((Raw_Observations!$A$2:$A$250=A178)*(Raw_Observations!$B$2:$B$250=B178)),Raw_Observations!$F$2:$F$250)-TODAY()),"")</f>
        <v>0</v>
      </c>
      <c r="E178" s="10" t="str">
        <f ca="1">IF(OR(A178="",B178=""),"",IFERROR(SUMIFS(Bank_Rates!$C$2:$C$100,Bank_Rates!$A$2:$A$100,LOOKUP(2,1/((Raw_Observations!$A$2:$A$250=A178)*(Raw_Observations!$B$2:$B$250=B178)),Raw_Observations!$H$2:$H$250),Bank_Rates!$B$2:$B$100,MAXIFS(Bank_Rates!$B$2:$B$100,Bank_Rates!$A$2:$A$100,LOOKUP(2,1/((Raw_Observations!$A$2:$A$250=A178)*(Raw_Observations!$B$2:$B$250=B178)),Raw_Observations!$H$2:$H$250),Bank_Rates!$B$2:$B$100,"&lt;="&amp;TODAY()),Bank_Rates!$D$2:$D$100,MAXIFS(Bank_Rates!$D$2:$D$100,Bank_Rates!$A$2:$A$100,LOOKUP(2,1/((Raw_Observations!$A$2:$A$250=A178)*(Raw_Observations!$B$2:$B$250=B178)),Raw_Observations!$H$2:$H$250),Bank_Rates!$B$2:$B$100,MAXIFS(Bank_Rates!$B$2:$B$100,Bank_Rates!$A$2:$A$100,LOOKUP(2,1/((Raw_Observations!$A$2:$A$250=A178)*(Raw_Observations!$B$2:$B$250=B178)),Raw_Observations!$H$2:$H$250),Bank_Rates!$B$2:$B$100,"&lt;="&amp;TODAY()),Bank_Rates!$D$2:$D$100,"&lt;="&amp;D178)),"No Match"))</f>
        <v/>
      </c>
      <c r="F178" s="10" t="str">
        <f>IFERROR(LOOKUP(2,1/((Raw_Observations!$A$2:$A$250=A178)*(Raw_Observations!$B$2:$B$250=B178)),Raw_Observations!$K$2:$K$250),"")</f>
        <v/>
      </c>
      <c r="G178" s="10"/>
      <c r="H178" s="10" t="str">
        <f t="shared" ca="1" si="10"/>
        <v/>
      </c>
      <c r="I178" s="9" t="str">
        <f t="shared" ca="1" si="11"/>
        <v/>
      </c>
      <c r="J178" s="10" t="str">
        <f ca="1">IFERROR((I178/LOOKUP(2,1/((Raw_Observations!$A$2:$A$999=A178)*(Raw_Observations!$B$2:$B$999=B178)),Raw_Observations!$D$2:$D$999))^365-1,"")</f>
        <v/>
      </c>
    </row>
    <row r="179" spans="1:10">
      <c r="A179" s="2"/>
      <c r="B179" s="2"/>
      <c r="C179" s="9">
        <f>IFERROR(LOOKUP(2,1/((Raw_Observations!$A$2:$A$250=A179)*(Raw_Observations!$B$2:$B$250=B179)),Raw_Observations!$E$2:$E$250),"")</f>
        <v>0</v>
      </c>
      <c r="D179" s="8">
        <f ca="1">IFERROR(MAX(0,LOOKUP(2,1/((Raw_Observations!$A$2:$A$250=A179)*(Raw_Observations!$B$2:$B$250=B179)),Raw_Observations!$F$2:$F$250)-TODAY()),"")</f>
        <v>0</v>
      </c>
      <c r="E179" s="10" t="str">
        <f ca="1">IF(OR(A179="",B179=""),"",IFERROR(SUMIFS(Bank_Rates!$C$2:$C$100,Bank_Rates!$A$2:$A$100,LOOKUP(2,1/((Raw_Observations!$A$2:$A$250=A179)*(Raw_Observations!$B$2:$B$250=B179)),Raw_Observations!$H$2:$H$250),Bank_Rates!$B$2:$B$100,MAXIFS(Bank_Rates!$B$2:$B$100,Bank_Rates!$A$2:$A$100,LOOKUP(2,1/((Raw_Observations!$A$2:$A$250=A179)*(Raw_Observations!$B$2:$B$250=B179)),Raw_Observations!$H$2:$H$250),Bank_Rates!$B$2:$B$100,"&lt;="&amp;TODAY()),Bank_Rates!$D$2:$D$100,MAXIFS(Bank_Rates!$D$2:$D$100,Bank_Rates!$A$2:$A$100,LOOKUP(2,1/((Raw_Observations!$A$2:$A$250=A179)*(Raw_Observations!$B$2:$B$250=B179)),Raw_Observations!$H$2:$H$250),Bank_Rates!$B$2:$B$100,MAXIFS(Bank_Rates!$B$2:$B$100,Bank_Rates!$A$2:$A$100,LOOKUP(2,1/((Raw_Observations!$A$2:$A$250=A179)*(Raw_Observations!$B$2:$B$250=B179)),Raw_Observations!$H$2:$H$250),Bank_Rates!$B$2:$B$100,"&lt;="&amp;TODAY()),Bank_Rates!$D$2:$D$100,"&lt;="&amp;D179)),"No Match"))</f>
        <v/>
      </c>
      <c r="F179" s="10" t="str">
        <f>IFERROR(LOOKUP(2,1/((Raw_Observations!$A$2:$A$250=A179)*(Raw_Observations!$B$2:$B$250=B179)),Raw_Observations!$K$2:$K$250),"")</f>
        <v/>
      </c>
      <c r="G179" s="10"/>
      <c r="H179" s="10" t="str">
        <f t="shared" ca="1" si="10"/>
        <v/>
      </c>
      <c r="I179" s="9" t="str">
        <f t="shared" ca="1" si="11"/>
        <v/>
      </c>
      <c r="J179" s="10" t="str">
        <f ca="1">IFERROR((I179/LOOKUP(2,1/((Raw_Observations!$A$2:$A$999=A179)*(Raw_Observations!$B$2:$B$999=B179)),Raw_Observations!$D$2:$D$999))^365-1,"")</f>
        <v/>
      </c>
    </row>
    <row r="180" spans="1:10">
      <c r="A180" s="2"/>
      <c r="B180" s="2"/>
      <c r="C180" s="9">
        <f>IFERROR(LOOKUP(2,1/((Raw_Observations!$A$2:$A$250=A180)*(Raw_Observations!$B$2:$B$250=B180)),Raw_Observations!$E$2:$E$250),"")</f>
        <v>0</v>
      </c>
      <c r="D180" s="8">
        <f ca="1">IFERROR(MAX(0,LOOKUP(2,1/((Raw_Observations!$A$2:$A$250=A180)*(Raw_Observations!$B$2:$B$250=B180)),Raw_Observations!$F$2:$F$250)-TODAY()),"")</f>
        <v>0</v>
      </c>
      <c r="E180" s="10" t="str">
        <f ca="1">IF(OR(A180="",B180=""),"",IFERROR(SUMIFS(Bank_Rates!$C$2:$C$100,Bank_Rates!$A$2:$A$100,LOOKUP(2,1/((Raw_Observations!$A$2:$A$250=A180)*(Raw_Observations!$B$2:$B$250=B180)),Raw_Observations!$H$2:$H$250),Bank_Rates!$B$2:$B$100,MAXIFS(Bank_Rates!$B$2:$B$100,Bank_Rates!$A$2:$A$100,LOOKUP(2,1/((Raw_Observations!$A$2:$A$250=A180)*(Raw_Observations!$B$2:$B$250=B180)),Raw_Observations!$H$2:$H$250),Bank_Rates!$B$2:$B$100,"&lt;="&amp;TODAY()),Bank_Rates!$D$2:$D$100,MAXIFS(Bank_Rates!$D$2:$D$100,Bank_Rates!$A$2:$A$100,LOOKUP(2,1/((Raw_Observations!$A$2:$A$250=A180)*(Raw_Observations!$B$2:$B$250=B180)),Raw_Observations!$H$2:$H$250),Bank_Rates!$B$2:$B$100,MAXIFS(Bank_Rates!$B$2:$B$100,Bank_Rates!$A$2:$A$100,LOOKUP(2,1/((Raw_Observations!$A$2:$A$250=A180)*(Raw_Observations!$B$2:$B$250=B180)),Raw_Observations!$H$2:$H$250),Bank_Rates!$B$2:$B$100,"&lt;="&amp;TODAY()),Bank_Rates!$D$2:$D$100,"&lt;="&amp;D180)),"No Match"))</f>
        <v/>
      </c>
      <c r="F180" s="10" t="str">
        <f>IFERROR(LOOKUP(2,1/((Raw_Observations!$A$2:$A$250=A180)*(Raw_Observations!$B$2:$B$250=B180)),Raw_Observations!$K$2:$K$250),"")</f>
        <v/>
      </c>
      <c r="G180" s="10"/>
      <c r="H180" s="10" t="str">
        <f t="shared" ca="1" si="10"/>
        <v/>
      </c>
      <c r="I180" s="9" t="str">
        <f t="shared" ca="1" si="11"/>
        <v/>
      </c>
      <c r="J180" s="10" t="str">
        <f ca="1">IFERROR((I180/LOOKUP(2,1/((Raw_Observations!$A$2:$A$999=A180)*(Raw_Observations!$B$2:$B$999=B180)),Raw_Observations!$D$2:$D$999))^365-1,"")</f>
        <v/>
      </c>
    </row>
    <row r="181" spans="1:10">
      <c r="A181" s="2"/>
      <c r="B181" s="2"/>
      <c r="C181" s="9">
        <f>IFERROR(LOOKUP(2,1/((Raw_Observations!$A$2:$A$250=A181)*(Raw_Observations!$B$2:$B$250=B181)),Raw_Observations!$E$2:$E$250),"")</f>
        <v>0</v>
      </c>
      <c r="D181" s="8">
        <f ca="1">IFERROR(MAX(0,LOOKUP(2,1/((Raw_Observations!$A$2:$A$250=A181)*(Raw_Observations!$B$2:$B$250=B181)),Raw_Observations!$F$2:$F$250)-TODAY()),"")</f>
        <v>0</v>
      </c>
      <c r="E181" s="10" t="str">
        <f ca="1">IF(OR(A181="",B181=""),"",IFERROR(SUMIFS(Bank_Rates!$C$2:$C$100,Bank_Rates!$A$2:$A$100,LOOKUP(2,1/((Raw_Observations!$A$2:$A$250=A181)*(Raw_Observations!$B$2:$B$250=B181)),Raw_Observations!$H$2:$H$250),Bank_Rates!$B$2:$B$100,MAXIFS(Bank_Rates!$B$2:$B$100,Bank_Rates!$A$2:$A$100,LOOKUP(2,1/((Raw_Observations!$A$2:$A$250=A181)*(Raw_Observations!$B$2:$B$250=B181)),Raw_Observations!$H$2:$H$250),Bank_Rates!$B$2:$B$100,"&lt;="&amp;TODAY()),Bank_Rates!$D$2:$D$100,MAXIFS(Bank_Rates!$D$2:$D$100,Bank_Rates!$A$2:$A$100,LOOKUP(2,1/((Raw_Observations!$A$2:$A$250=A181)*(Raw_Observations!$B$2:$B$250=B181)),Raw_Observations!$H$2:$H$250),Bank_Rates!$B$2:$B$100,MAXIFS(Bank_Rates!$B$2:$B$100,Bank_Rates!$A$2:$A$100,LOOKUP(2,1/((Raw_Observations!$A$2:$A$250=A181)*(Raw_Observations!$B$2:$B$250=B181)),Raw_Observations!$H$2:$H$250),Bank_Rates!$B$2:$B$100,"&lt;="&amp;TODAY()),Bank_Rates!$D$2:$D$100,"&lt;="&amp;D181)),"No Match"))</f>
        <v/>
      </c>
      <c r="F181" s="10" t="str">
        <f>IFERROR(LOOKUP(2,1/((Raw_Observations!$A$2:$A$250=A181)*(Raw_Observations!$B$2:$B$250=B181)),Raw_Observations!$K$2:$K$250),"")</f>
        <v/>
      </c>
      <c r="G181" s="10"/>
      <c r="H181" s="10" t="str">
        <f t="shared" ca="1" si="10"/>
        <v/>
      </c>
      <c r="I181" s="9" t="str">
        <f t="shared" ca="1" si="11"/>
        <v/>
      </c>
      <c r="J181" s="10" t="str">
        <f ca="1">IFERROR((I181/LOOKUP(2,1/((Raw_Observations!$A$2:$A$999=A181)*(Raw_Observations!$B$2:$B$999=B181)),Raw_Observations!$D$2:$D$999))^365-1,"")</f>
        <v/>
      </c>
    </row>
    <row r="182" spans="1:10">
      <c r="A182" s="2"/>
      <c r="B182" s="2"/>
      <c r="C182" s="9">
        <f>IFERROR(LOOKUP(2,1/((Raw_Observations!$A$2:$A$250=A182)*(Raw_Observations!$B$2:$B$250=B182)),Raw_Observations!$E$2:$E$250),"")</f>
        <v>0</v>
      </c>
      <c r="D182" s="8">
        <f ca="1">IFERROR(MAX(0,LOOKUP(2,1/((Raw_Observations!$A$2:$A$250=A182)*(Raw_Observations!$B$2:$B$250=B182)),Raw_Observations!$F$2:$F$250)-TODAY()),"")</f>
        <v>0</v>
      </c>
      <c r="E182" s="10" t="str">
        <f ca="1">IF(OR(A182="",B182=""),"",IFERROR(SUMIFS(Bank_Rates!$C$2:$C$100,Bank_Rates!$A$2:$A$100,LOOKUP(2,1/((Raw_Observations!$A$2:$A$250=A182)*(Raw_Observations!$B$2:$B$250=B182)),Raw_Observations!$H$2:$H$250),Bank_Rates!$B$2:$B$100,MAXIFS(Bank_Rates!$B$2:$B$100,Bank_Rates!$A$2:$A$100,LOOKUP(2,1/((Raw_Observations!$A$2:$A$250=A182)*(Raw_Observations!$B$2:$B$250=B182)),Raw_Observations!$H$2:$H$250),Bank_Rates!$B$2:$B$100,"&lt;="&amp;TODAY()),Bank_Rates!$D$2:$D$100,MAXIFS(Bank_Rates!$D$2:$D$100,Bank_Rates!$A$2:$A$100,LOOKUP(2,1/((Raw_Observations!$A$2:$A$250=A182)*(Raw_Observations!$B$2:$B$250=B182)),Raw_Observations!$H$2:$H$250),Bank_Rates!$B$2:$B$100,MAXIFS(Bank_Rates!$B$2:$B$100,Bank_Rates!$A$2:$A$100,LOOKUP(2,1/((Raw_Observations!$A$2:$A$250=A182)*(Raw_Observations!$B$2:$B$250=B182)),Raw_Observations!$H$2:$H$250),Bank_Rates!$B$2:$B$100,"&lt;="&amp;TODAY()),Bank_Rates!$D$2:$D$100,"&lt;="&amp;D182)),"No Match"))</f>
        <v/>
      </c>
      <c r="F182" s="10" t="str">
        <f>IFERROR(LOOKUP(2,1/((Raw_Observations!$A$2:$A$250=A182)*(Raw_Observations!$B$2:$B$250=B182)),Raw_Observations!$K$2:$K$250),"")</f>
        <v/>
      </c>
      <c r="G182" s="10"/>
      <c r="H182" s="10" t="str">
        <f t="shared" ca="1" si="10"/>
        <v/>
      </c>
      <c r="I182" s="9" t="str">
        <f t="shared" ca="1" si="11"/>
        <v/>
      </c>
      <c r="J182" s="10" t="str">
        <f ca="1">IFERROR((I182/LOOKUP(2,1/((Raw_Observations!$A$2:$A$999=A182)*(Raw_Observations!$B$2:$B$999=B182)),Raw_Observations!$D$2:$D$999))^365-1,"")</f>
        <v/>
      </c>
    </row>
    <row r="183" spans="1:10">
      <c r="A183" s="2"/>
      <c r="B183" s="2"/>
      <c r="C183" s="9">
        <f>IFERROR(LOOKUP(2,1/((Raw_Observations!$A$2:$A$250=A183)*(Raw_Observations!$B$2:$B$250=B183)),Raw_Observations!$E$2:$E$250),"")</f>
        <v>0</v>
      </c>
      <c r="D183" s="8">
        <f ca="1">IFERROR(MAX(0,LOOKUP(2,1/((Raw_Observations!$A$2:$A$250=A183)*(Raw_Observations!$B$2:$B$250=B183)),Raw_Observations!$F$2:$F$250)-TODAY()),"")</f>
        <v>0</v>
      </c>
      <c r="E183" s="10" t="str">
        <f ca="1">IF(OR(A183="",B183=""),"",IFERROR(SUMIFS(Bank_Rates!$C$2:$C$100,Bank_Rates!$A$2:$A$100,LOOKUP(2,1/((Raw_Observations!$A$2:$A$250=A183)*(Raw_Observations!$B$2:$B$250=B183)),Raw_Observations!$H$2:$H$250),Bank_Rates!$B$2:$B$100,MAXIFS(Bank_Rates!$B$2:$B$100,Bank_Rates!$A$2:$A$100,LOOKUP(2,1/((Raw_Observations!$A$2:$A$250=A183)*(Raw_Observations!$B$2:$B$250=B183)),Raw_Observations!$H$2:$H$250),Bank_Rates!$B$2:$B$100,"&lt;="&amp;TODAY()),Bank_Rates!$D$2:$D$100,MAXIFS(Bank_Rates!$D$2:$D$100,Bank_Rates!$A$2:$A$100,LOOKUP(2,1/((Raw_Observations!$A$2:$A$250=A183)*(Raw_Observations!$B$2:$B$250=B183)),Raw_Observations!$H$2:$H$250),Bank_Rates!$B$2:$B$100,MAXIFS(Bank_Rates!$B$2:$B$100,Bank_Rates!$A$2:$A$100,LOOKUP(2,1/((Raw_Observations!$A$2:$A$250=A183)*(Raw_Observations!$B$2:$B$250=B183)),Raw_Observations!$H$2:$H$250),Bank_Rates!$B$2:$B$100,"&lt;="&amp;TODAY()),Bank_Rates!$D$2:$D$100,"&lt;="&amp;D183)),"No Match"))</f>
        <v/>
      </c>
      <c r="F183" s="10" t="str">
        <f>IFERROR(LOOKUP(2,1/((Raw_Observations!$A$2:$A$250=A183)*(Raw_Observations!$B$2:$B$250=B183)),Raw_Observations!$K$2:$K$250),"")</f>
        <v/>
      </c>
      <c r="G183" s="10"/>
      <c r="H183" s="10" t="str">
        <f t="shared" ca="1" si="10"/>
        <v/>
      </c>
      <c r="I183" s="9" t="str">
        <f t="shared" ca="1" si="11"/>
        <v/>
      </c>
      <c r="J183" s="10" t="str">
        <f ca="1">IFERROR((I183/LOOKUP(2,1/((Raw_Observations!$A$2:$A$999=A183)*(Raw_Observations!$B$2:$B$999=B183)),Raw_Observations!$D$2:$D$999))^365-1,"")</f>
        <v/>
      </c>
    </row>
    <row r="184" spans="1:10">
      <c r="A184" s="2"/>
      <c r="B184" s="2"/>
      <c r="C184" s="9">
        <f>IFERROR(LOOKUP(2,1/((Raw_Observations!$A$2:$A$250=A184)*(Raw_Observations!$B$2:$B$250=B184)),Raw_Observations!$E$2:$E$250),"")</f>
        <v>0</v>
      </c>
      <c r="D184" s="8">
        <f ca="1">IFERROR(MAX(0,LOOKUP(2,1/((Raw_Observations!$A$2:$A$250=A184)*(Raw_Observations!$B$2:$B$250=B184)),Raw_Observations!$F$2:$F$250)-TODAY()),"")</f>
        <v>0</v>
      </c>
      <c r="E184" s="10" t="str">
        <f ca="1">IF(OR(A184="",B184=""),"",IFERROR(SUMIFS(Bank_Rates!$C$2:$C$100,Bank_Rates!$A$2:$A$100,LOOKUP(2,1/((Raw_Observations!$A$2:$A$250=A184)*(Raw_Observations!$B$2:$B$250=B184)),Raw_Observations!$H$2:$H$250),Bank_Rates!$B$2:$B$100,MAXIFS(Bank_Rates!$B$2:$B$100,Bank_Rates!$A$2:$A$100,LOOKUP(2,1/((Raw_Observations!$A$2:$A$250=A184)*(Raw_Observations!$B$2:$B$250=B184)),Raw_Observations!$H$2:$H$250),Bank_Rates!$B$2:$B$100,"&lt;="&amp;TODAY()),Bank_Rates!$D$2:$D$100,MAXIFS(Bank_Rates!$D$2:$D$100,Bank_Rates!$A$2:$A$100,LOOKUP(2,1/((Raw_Observations!$A$2:$A$250=A184)*(Raw_Observations!$B$2:$B$250=B184)),Raw_Observations!$H$2:$H$250),Bank_Rates!$B$2:$B$100,MAXIFS(Bank_Rates!$B$2:$B$100,Bank_Rates!$A$2:$A$100,LOOKUP(2,1/((Raw_Observations!$A$2:$A$250=A184)*(Raw_Observations!$B$2:$B$250=B184)),Raw_Observations!$H$2:$H$250),Bank_Rates!$B$2:$B$100,"&lt;="&amp;TODAY()),Bank_Rates!$D$2:$D$100,"&lt;="&amp;D184)),"No Match"))</f>
        <v/>
      </c>
      <c r="F184" s="10" t="str">
        <f>IFERROR(LOOKUP(2,1/((Raw_Observations!$A$2:$A$250=A184)*(Raw_Observations!$B$2:$B$250=B184)),Raw_Observations!$K$2:$K$250),"")</f>
        <v/>
      </c>
      <c r="G184" s="10"/>
      <c r="H184" s="10" t="str">
        <f t="shared" ca="1" si="10"/>
        <v/>
      </c>
      <c r="I184" s="9" t="str">
        <f t="shared" ca="1" si="11"/>
        <v/>
      </c>
      <c r="J184" s="10" t="str">
        <f ca="1">IFERROR((I184/LOOKUP(2,1/((Raw_Observations!$A$2:$A$999=A184)*(Raw_Observations!$B$2:$B$999=B184)),Raw_Observations!$D$2:$D$999))^365-1,"")</f>
        <v/>
      </c>
    </row>
    <row r="185" spans="1:10">
      <c r="A185" s="2"/>
      <c r="B185" s="2"/>
      <c r="C185" s="9">
        <f>IFERROR(LOOKUP(2,1/((Raw_Observations!$A$2:$A$250=A185)*(Raw_Observations!$B$2:$B$250=B185)),Raw_Observations!$E$2:$E$250),"")</f>
        <v>0</v>
      </c>
      <c r="D185" s="8">
        <f ca="1">IFERROR(MAX(0,LOOKUP(2,1/((Raw_Observations!$A$2:$A$250=A185)*(Raw_Observations!$B$2:$B$250=B185)),Raw_Observations!$F$2:$F$250)-TODAY()),"")</f>
        <v>0</v>
      </c>
      <c r="E185" s="10" t="str">
        <f ca="1">IF(OR(A185="",B185=""),"",IFERROR(SUMIFS(Bank_Rates!$C$2:$C$100,Bank_Rates!$A$2:$A$100,LOOKUP(2,1/((Raw_Observations!$A$2:$A$250=A185)*(Raw_Observations!$B$2:$B$250=B185)),Raw_Observations!$H$2:$H$250),Bank_Rates!$B$2:$B$100,MAXIFS(Bank_Rates!$B$2:$B$100,Bank_Rates!$A$2:$A$100,LOOKUP(2,1/((Raw_Observations!$A$2:$A$250=A185)*(Raw_Observations!$B$2:$B$250=B185)),Raw_Observations!$H$2:$H$250),Bank_Rates!$B$2:$B$100,"&lt;="&amp;TODAY()),Bank_Rates!$D$2:$D$100,MAXIFS(Bank_Rates!$D$2:$D$100,Bank_Rates!$A$2:$A$100,LOOKUP(2,1/((Raw_Observations!$A$2:$A$250=A185)*(Raw_Observations!$B$2:$B$250=B185)),Raw_Observations!$H$2:$H$250),Bank_Rates!$B$2:$B$100,MAXIFS(Bank_Rates!$B$2:$B$100,Bank_Rates!$A$2:$A$100,LOOKUP(2,1/((Raw_Observations!$A$2:$A$250=A185)*(Raw_Observations!$B$2:$B$250=B185)),Raw_Observations!$H$2:$H$250),Bank_Rates!$B$2:$B$100,"&lt;="&amp;TODAY()),Bank_Rates!$D$2:$D$100,"&lt;="&amp;D185)),"No Match"))</f>
        <v/>
      </c>
      <c r="F185" s="10" t="str">
        <f>IFERROR(LOOKUP(2,1/((Raw_Observations!$A$2:$A$250=A185)*(Raw_Observations!$B$2:$B$250=B185)),Raw_Observations!$K$2:$K$250),"")</f>
        <v/>
      </c>
      <c r="G185" s="10"/>
      <c r="H185" s="10" t="str">
        <f t="shared" ca="1" si="10"/>
        <v/>
      </c>
      <c r="I185" s="9" t="str">
        <f t="shared" ca="1" si="11"/>
        <v/>
      </c>
      <c r="J185" s="10" t="str">
        <f ca="1">IFERROR((I185/LOOKUP(2,1/((Raw_Observations!$A$2:$A$999=A185)*(Raw_Observations!$B$2:$B$999=B185)),Raw_Observations!$D$2:$D$999))^365-1,"")</f>
        <v/>
      </c>
    </row>
    <row r="186" spans="1:10">
      <c r="A186" s="2"/>
      <c r="B186" s="2"/>
      <c r="C186" s="9">
        <f>IFERROR(LOOKUP(2,1/((Raw_Observations!$A$2:$A$250=A186)*(Raw_Observations!$B$2:$B$250=B186)),Raw_Observations!$E$2:$E$250),"")</f>
        <v>0</v>
      </c>
      <c r="D186" s="8">
        <f ca="1">IFERROR(MAX(0,LOOKUP(2,1/((Raw_Observations!$A$2:$A$250=A186)*(Raw_Observations!$B$2:$B$250=B186)),Raw_Observations!$F$2:$F$250)-TODAY()),"")</f>
        <v>0</v>
      </c>
      <c r="E186" s="10" t="str">
        <f ca="1">IF(OR(A186="",B186=""),"",IFERROR(SUMIFS(Bank_Rates!$C$2:$C$100,Bank_Rates!$A$2:$A$100,LOOKUP(2,1/((Raw_Observations!$A$2:$A$250=A186)*(Raw_Observations!$B$2:$B$250=B186)),Raw_Observations!$H$2:$H$250),Bank_Rates!$B$2:$B$100,MAXIFS(Bank_Rates!$B$2:$B$100,Bank_Rates!$A$2:$A$100,LOOKUP(2,1/((Raw_Observations!$A$2:$A$250=A186)*(Raw_Observations!$B$2:$B$250=B186)),Raw_Observations!$H$2:$H$250),Bank_Rates!$B$2:$B$100,"&lt;="&amp;TODAY()),Bank_Rates!$D$2:$D$100,MAXIFS(Bank_Rates!$D$2:$D$100,Bank_Rates!$A$2:$A$100,LOOKUP(2,1/((Raw_Observations!$A$2:$A$250=A186)*(Raw_Observations!$B$2:$B$250=B186)),Raw_Observations!$H$2:$H$250),Bank_Rates!$B$2:$B$100,MAXIFS(Bank_Rates!$B$2:$B$100,Bank_Rates!$A$2:$A$100,LOOKUP(2,1/((Raw_Observations!$A$2:$A$250=A186)*(Raw_Observations!$B$2:$B$250=B186)),Raw_Observations!$H$2:$H$250),Bank_Rates!$B$2:$B$100,"&lt;="&amp;TODAY()),Bank_Rates!$D$2:$D$100,"&lt;="&amp;D186)),"No Match"))</f>
        <v/>
      </c>
      <c r="F186" s="10" t="str">
        <f>IFERROR(LOOKUP(2,1/((Raw_Observations!$A$2:$A$250=A186)*(Raw_Observations!$B$2:$B$250=B186)),Raw_Observations!$K$2:$K$250),"")</f>
        <v/>
      </c>
      <c r="G186" s="10"/>
      <c r="H186" s="10" t="str">
        <f t="shared" ca="1" si="10"/>
        <v/>
      </c>
      <c r="I186" s="9" t="str">
        <f t="shared" ca="1" si="11"/>
        <v/>
      </c>
      <c r="J186" s="10" t="str">
        <f ca="1">IFERROR((I186/LOOKUP(2,1/((Raw_Observations!$A$2:$A$999=A186)*(Raw_Observations!$B$2:$B$999=B186)),Raw_Observations!$D$2:$D$999))^365-1,"")</f>
        <v/>
      </c>
    </row>
    <row r="187" spans="1:10">
      <c r="A187" s="2"/>
      <c r="B187" s="2"/>
      <c r="C187" s="9">
        <f>IFERROR(LOOKUP(2,1/((Raw_Observations!$A$2:$A$250=A187)*(Raw_Observations!$B$2:$B$250=B187)),Raw_Observations!$E$2:$E$250),"")</f>
        <v>0</v>
      </c>
      <c r="D187" s="8">
        <f ca="1">IFERROR(MAX(0,LOOKUP(2,1/((Raw_Observations!$A$2:$A$250=A187)*(Raw_Observations!$B$2:$B$250=B187)),Raw_Observations!$F$2:$F$250)-TODAY()),"")</f>
        <v>0</v>
      </c>
      <c r="E187" s="10" t="str">
        <f ca="1">IF(OR(A187="",B187=""),"",IFERROR(SUMIFS(Bank_Rates!$C$2:$C$100,Bank_Rates!$A$2:$A$100,LOOKUP(2,1/((Raw_Observations!$A$2:$A$250=A187)*(Raw_Observations!$B$2:$B$250=B187)),Raw_Observations!$H$2:$H$250),Bank_Rates!$B$2:$B$100,MAXIFS(Bank_Rates!$B$2:$B$100,Bank_Rates!$A$2:$A$100,LOOKUP(2,1/((Raw_Observations!$A$2:$A$250=A187)*(Raw_Observations!$B$2:$B$250=B187)),Raw_Observations!$H$2:$H$250),Bank_Rates!$B$2:$B$100,"&lt;="&amp;TODAY()),Bank_Rates!$D$2:$D$100,MAXIFS(Bank_Rates!$D$2:$D$100,Bank_Rates!$A$2:$A$100,LOOKUP(2,1/((Raw_Observations!$A$2:$A$250=A187)*(Raw_Observations!$B$2:$B$250=B187)),Raw_Observations!$H$2:$H$250),Bank_Rates!$B$2:$B$100,MAXIFS(Bank_Rates!$B$2:$B$100,Bank_Rates!$A$2:$A$100,LOOKUP(2,1/((Raw_Observations!$A$2:$A$250=A187)*(Raw_Observations!$B$2:$B$250=B187)),Raw_Observations!$H$2:$H$250),Bank_Rates!$B$2:$B$100,"&lt;="&amp;TODAY()),Bank_Rates!$D$2:$D$100,"&lt;="&amp;D187)),"No Match"))</f>
        <v/>
      </c>
      <c r="F187" s="10" t="str">
        <f>IFERROR(LOOKUP(2,1/((Raw_Observations!$A$2:$A$250=A187)*(Raw_Observations!$B$2:$B$250=B187)),Raw_Observations!$K$2:$K$250),"")</f>
        <v/>
      </c>
      <c r="G187" s="10"/>
      <c r="H187" s="10" t="str">
        <f t="shared" ca="1" si="10"/>
        <v/>
      </c>
      <c r="I187" s="9" t="str">
        <f t="shared" ca="1" si="11"/>
        <v/>
      </c>
      <c r="J187" s="10" t="str">
        <f ca="1">IFERROR((I187/LOOKUP(2,1/((Raw_Observations!$A$2:$A$999=A187)*(Raw_Observations!$B$2:$B$999=B187)),Raw_Observations!$D$2:$D$999))^365-1,"")</f>
        <v/>
      </c>
    </row>
    <row r="188" spans="1:10">
      <c r="A188" s="2"/>
      <c r="B188" s="2"/>
      <c r="C188" s="9">
        <f>IFERROR(LOOKUP(2,1/((Raw_Observations!$A$2:$A$250=A188)*(Raw_Observations!$B$2:$B$250=B188)),Raw_Observations!$E$2:$E$250),"")</f>
        <v>0</v>
      </c>
      <c r="D188" s="8">
        <f ca="1">IFERROR(MAX(0,LOOKUP(2,1/((Raw_Observations!$A$2:$A$250=A188)*(Raw_Observations!$B$2:$B$250=B188)),Raw_Observations!$F$2:$F$250)-TODAY()),"")</f>
        <v>0</v>
      </c>
      <c r="E188" s="10" t="str">
        <f ca="1">IF(OR(A188="",B188=""),"",IFERROR(SUMIFS(Bank_Rates!$C$2:$C$100,Bank_Rates!$A$2:$A$100,LOOKUP(2,1/((Raw_Observations!$A$2:$A$250=A188)*(Raw_Observations!$B$2:$B$250=B188)),Raw_Observations!$H$2:$H$250),Bank_Rates!$B$2:$B$100,MAXIFS(Bank_Rates!$B$2:$B$100,Bank_Rates!$A$2:$A$100,LOOKUP(2,1/((Raw_Observations!$A$2:$A$250=A188)*(Raw_Observations!$B$2:$B$250=B188)),Raw_Observations!$H$2:$H$250),Bank_Rates!$B$2:$B$100,"&lt;="&amp;TODAY()),Bank_Rates!$D$2:$D$100,MAXIFS(Bank_Rates!$D$2:$D$100,Bank_Rates!$A$2:$A$100,LOOKUP(2,1/((Raw_Observations!$A$2:$A$250=A188)*(Raw_Observations!$B$2:$B$250=B188)),Raw_Observations!$H$2:$H$250),Bank_Rates!$B$2:$B$100,MAXIFS(Bank_Rates!$B$2:$B$100,Bank_Rates!$A$2:$A$100,LOOKUP(2,1/((Raw_Observations!$A$2:$A$250=A188)*(Raw_Observations!$B$2:$B$250=B188)),Raw_Observations!$H$2:$H$250),Bank_Rates!$B$2:$B$100,"&lt;="&amp;TODAY()),Bank_Rates!$D$2:$D$100,"&lt;="&amp;D188)),"No Match"))</f>
        <v/>
      </c>
      <c r="F188" s="10" t="str">
        <f>IFERROR(LOOKUP(2,1/((Raw_Observations!$A$2:$A$250=A188)*(Raw_Observations!$B$2:$B$250=B188)),Raw_Observations!$K$2:$K$250),"")</f>
        <v/>
      </c>
      <c r="G188" s="10"/>
      <c r="H188" s="10" t="str">
        <f t="shared" ca="1" si="10"/>
        <v/>
      </c>
      <c r="I188" s="9" t="str">
        <f t="shared" ca="1" si="11"/>
        <v/>
      </c>
      <c r="J188" s="10" t="str">
        <f ca="1">IFERROR((I188/LOOKUP(2,1/((Raw_Observations!$A$2:$A$999=A188)*(Raw_Observations!$B$2:$B$999=B188)),Raw_Observations!$D$2:$D$999))^365-1,"")</f>
        <v/>
      </c>
    </row>
    <row r="189" spans="1:10">
      <c r="A189" s="2"/>
      <c r="B189" s="2"/>
      <c r="C189" s="9">
        <f>IFERROR(LOOKUP(2,1/((Raw_Observations!$A$2:$A$250=A189)*(Raw_Observations!$B$2:$B$250=B189)),Raw_Observations!$E$2:$E$250),"")</f>
        <v>0</v>
      </c>
      <c r="D189" s="8">
        <f ca="1">IFERROR(MAX(0,LOOKUP(2,1/((Raw_Observations!$A$2:$A$250=A189)*(Raw_Observations!$B$2:$B$250=B189)),Raw_Observations!$F$2:$F$250)-TODAY()),"")</f>
        <v>0</v>
      </c>
      <c r="E189" s="10" t="str">
        <f ca="1">IF(OR(A189="",B189=""),"",IFERROR(SUMIFS(Bank_Rates!$C$2:$C$100,Bank_Rates!$A$2:$A$100,LOOKUP(2,1/((Raw_Observations!$A$2:$A$250=A189)*(Raw_Observations!$B$2:$B$250=B189)),Raw_Observations!$H$2:$H$250),Bank_Rates!$B$2:$B$100,MAXIFS(Bank_Rates!$B$2:$B$100,Bank_Rates!$A$2:$A$100,LOOKUP(2,1/((Raw_Observations!$A$2:$A$250=A189)*(Raw_Observations!$B$2:$B$250=B189)),Raw_Observations!$H$2:$H$250),Bank_Rates!$B$2:$B$100,"&lt;="&amp;TODAY()),Bank_Rates!$D$2:$D$100,MAXIFS(Bank_Rates!$D$2:$D$100,Bank_Rates!$A$2:$A$100,LOOKUP(2,1/((Raw_Observations!$A$2:$A$250=A189)*(Raw_Observations!$B$2:$B$250=B189)),Raw_Observations!$H$2:$H$250),Bank_Rates!$B$2:$B$100,MAXIFS(Bank_Rates!$B$2:$B$100,Bank_Rates!$A$2:$A$100,LOOKUP(2,1/((Raw_Observations!$A$2:$A$250=A189)*(Raw_Observations!$B$2:$B$250=B189)),Raw_Observations!$H$2:$H$250),Bank_Rates!$B$2:$B$100,"&lt;="&amp;TODAY()),Bank_Rates!$D$2:$D$100,"&lt;="&amp;D189)),"No Match"))</f>
        <v/>
      </c>
      <c r="F189" s="10" t="str">
        <f>IFERROR(LOOKUP(2,1/((Raw_Observations!$A$2:$A$250=A189)*(Raw_Observations!$B$2:$B$250=B189)),Raw_Observations!$K$2:$K$250),"")</f>
        <v/>
      </c>
      <c r="G189" s="10"/>
      <c r="H189" s="10" t="str">
        <f t="shared" ca="1" si="10"/>
        <v/>
      </c>
      <c r="I189" s="9" t="str">
        <f t="shared" ca="1" si="11"/>
        <v/>
      </c>
      <c r="J189" s="10" t="str">
        <f ca="1">IFERROR((I189/LOOKUP(2,1/((Raw_Observations!$A$2:$A$999=A189)*(Raw_Observations!$B$2:$B$999=B189)),Raw_Observations!$D$2:$D$999))^365-1,"")</f>
        <v/>
      </c>
    </row>
    <row r="190" spans="1:10">
      <c r="A190" s="2"/>
      <c r="B190" s="2"/>
      <c r="C190" s="9">
        <f>IFERROR(LOOKUP(2,1/((Raw_Observations!$A$2:$A$250=A190)*(Raw_Observations!$B$2:$B$250=B190)),Raw_Observations!$E$2:$E$250),"")</f>
        <v>0</v>
      </c>
      <c r="D190" s="8">
        <f ca="1">IFERROR(MAX(0,LOOKUP(2,1/((Raw_Observations!$A$2:$A$250=A190)*(Raw_Observations!$B$2:$B$250=B190)),Raw_Observations!$F$2:$F$250)-TODAY()),"")</f>
        <v>0</v>
      </c>
      <c r="E190" s="10" t="str">
        <f ca="1">IF(OR(A190="",B190=""),"",IFERROR(SUMIFS(Bank_Rates!$C$2:$C$100,Bank_Rates!$A$2:$A$100,LOOKUP(2,1/((Raw_Observations!$A$2:$A$250=A190)*(Raw_Observations!$B$2:$B$250=B190)),Raw_Observations!$H$2:$H$250),Bank_Rates!$B$2:$B$100,MAXIFS(Bank_Rates!$B$2:$B$100,Bank_Rates!$A$2:$A$100,LOOKUP(2,1/((Raw_Observations!$A$2:$A$250=A190)*(Raw_Observations!$B$2:$B$250=B190)),Raw_Observations!$H$2:$H$250),Bank_Rates!$B$2:$B$100,"&lt;="&amp;TODAY()),Bank_Rates!$D$2:$D$100,MAXIFS(Bank_Rates!$D$2:$D$100,Bank_Rates!$A$2:$A$100,LOOKUP(2,1/((Raw_Observations!$A$2:$A$250=A190)*(Raw_Observations!$B$2:$B$250=B190)),Raw_Observations!$H$2:$H$250),Bank_Rates!$B$2:$B$100,MAXIFS(Bank_Rates!$B$2:$B$100,Bank_Rates!$A$2:$A$100,LOOKUP(2,1/((Raw_Observations!$A$2:$A$250=A190)*(Raw_Observations!$B$2:$B$250=B190)),Raw_Observations!$H$2:$H$250),Bank_Rates!$B$2:$B$100,"&lt;="&amp;TODAY()),Bank_Rates!$D$2:$D$100,"&lt;="&amp;D190)),"No Match"))</f>
        <v/>
      </c>
      <c r="F190" s="10" t="str">
        <f>IFERROR(LOOKUP(2,1/((Raw_Observations!$A$2:$A$250=A190)*(Raw_Observations!$B$2:$B$250=B190)),Raw_Observations!$K$2:$K$250),"")</f>
        <v/>
      </c>
      <c r="G190" s="10"/>
      <c r="H190" s="10" t="str">
        <f t="shared" ca="1" si="10"/>
        <v/>
      </c>
      <c r="I190" s="9" t="str">
        <f t="shared" ca="1" si="11"/>
        <v/>
      </c>
      <c r="J190" s="10" t="str">
        <f ca="1">IFERROR((I190/LOOKUP(2,1/((Raw_Observations!$A$2:$A$999=A190)*(Raw_Observations!$B$2:$B$999=B190)),Raw_Observations!$D$2:$D$999))^365-1,"")</f>
        <v/>
      </c>
    </row>
    <row r="191" spans="1:10">
      <c r="A191" s="2"/>
      <c r="B191" s="2"/>
      <c r="C191" s="9">
        <f>IFERROR(LOOKUP(2,1/((Raw_Observations!$A$2:$A$250=A191)*(Raw_Observations!$B$2:$B$250=B191)),Raw_Observations!$E$2:$E$250),"")</f>
        <v>0</v>
      </c>
      <c r="D191" s="8">
        <f ca="1">IFERROR(MAX(0,LOOKUP(2,1/((Raw_Observations!$A$2:$A$250=A191)*(Raw_Observations!$B$2:$B$250=B191)),Raw_Observations!$F$2:$F$250)-TODAY()),"")</f>
        <v>0</v>
      </c>
      <c r="E191" s="10" t="str">
        <f ca="1">IF(OR(A191="",B191=""),"",IFERROR(SUMIFS(Bank_Rates!$C$2:$C$100,Bank_Rates!$A$2:$A$100,LOOKUP(2,1/((Raw_Observations!$A$2:$A$250=A191)*(Raw_Observations!$B$2:$B$250=B191)),Raw_Observations!$H$2:$H$250),Bank_Rates!$B$2:$B$100,MAXIFS(Bank_Rates!$B$2:$B$100,Bank_Rates!$A$2:$A$100,LOOKUP(2,1/((Raw_Observations!$A$2:$A$250=A191)*(Raw_Observations!$B$2:$B$250=B191)),Raw_Observations!$H$2:$H$250),Bank_Rates!$B$2:$B$100,"&lt;="&amp;TODAY()),Bank_Rates!$D$2:$D$100,MAXIFS(Bank_Rates!$D$2:$D$100,Bank_Rates!$A$2:$A$100,LOOKUP(2,1/((Raw_Observations!$A$2:$A$250=A191)*(Raw_Observations!$B$2:$B$250=B191)),Raw_Observations!$H$2:$H$250),Bank_Rates!$B$2:$B$100,MAXIFS(Bank_Rates!$B$2:$B$100,Bank_Rates!$A$2:$A$100,LOOKUP(2,1/((Raw_Observations!$A$2:$A$250=A191)*(Raw_Observations!$B$2:$B$250=B191)),Raw_Observations!$H$2:$H$250),Bank_Rates!$B$2:$B$100,"&lt;="&amp;TODAY()),Bank_Rates!$D$2:$D$100,"&lt;="&amp;D191)),"No Match"))</f>
        <v/>
      </c>
      <c r="F191" s="10" t="str">
        <f>IFERROR(LOOKUP(2,1/((Raw_Observations!$A$2:$A$250=A191)*(Raw_Observations!$B$2:$B$250=B191)),Raw_Observations!$K$2:$K$250),"")</f>
        <v/>
      </c>
      <c r="G191" s="10"/>
      <c r="H191" s="10" t="str">
        <f t="shared" ca="1" si="10"/>
        <v/>
      </c>
      <c r="I191" s="9" t="str">
        <f t="shared" ca="1" si="11"/>
        <v/>
      </c>
      <c r="J191" s="10" t="str">
        <f ca="1">IFERROR((I191/LOOKUP(2,1/((Raw_Observations!$A$2:$A$999=A191)*(Raw_Observations!$B$2:$B$999=B191)),Raw_Observations!$D$2:$D$999))^365-1,"")</f>
        <v/>
      </c>
    </row>
    <row r="192" spans="1:10">
      <c r="A192" s="2"/>
      <c r="B192" s="2"/>
      <c r="C192" s="9">
        <f>IFERROR(LOOKUP(2,1/((Raw_Observations!$A$2:$A$250=A192)*(Raw_Observations!$B$2:$B$250=B192)),Raw_Observations!$E$2:$E$250),"")</f>
        <v>0</v>
      </c>
      <c r="D192" s="8">
        <f ca="1">IFERROR(MAX(0,LOOKUP(2,1/((Raw_Observations!$A$2:$A$250=A192)*(Raw_Observations!$B$2:$B$250=B192)),Raw_Observations!$F$2:$F$250)-TODAY()),"")</f>
        <v>0</v>
      </c>
      <c r="E192" s="10" t="str">
        <f ca="1">IF(OR(A192="",B192=""),"",IFERROR(SUMIFS(Bank_Rates!$C$2:$C$100,Bank_Rates!$A$2:$A$100,LOOKUP(2,1/((Raw_Observations!$A$2:$A$250=A192)*(Raw_Observations!$B$2:$B$250=B192)),Raw_Observations!$H$2:$H$250),Bank_Rates!$B$2:$B$100,MAXIFS(Bank_Rates!$B$2:$B$100,Bank_Rates!$A$2:$A$100,LOOKUP(2,1/((Raw_Observations!$A$2:$A$250=A192)*(Raw_Observations!$B$2:$B$250=B192)),Raw_Observations!$H$2:$H$250),Bank_Rates!$B$2:$B$100,"&lt;="&amp;TODAY()),Bank_Rates!$D$2:$D$100,MAXIFS(Bank_Rates!$D$2:$D$100,Bank_Rates!$A$2:$A$100,LOOKUP(2,1/((Raw_Observations!$A$2:$A$250=A192)*(Raw_Observations!$B$2:$B$250=B192)),Raw_Observations!$H$2:$H$250),Bank_Rates!$B$2:$B$100,MAXIFS(Bank_Rates!$B$2:$B$100,Bank_Rates!$A$2:$A$100,LOOKUP(2,1/((Raw_Observations!$A$2:$A$250=A192)*(Raw_Observations!$B$2:$B$250=B192)),Raw_Observations!$H$2:$H$250),Bank_Rates!$B$2:$B$100,"&lt;="&amp;TODAY()),Bank_Rates!$D$2:$D$100,"&lt;="&amp;D192)),"No Match"))</f>
        <v/>
      </c>
      <c r="F192" s="10" t="str">
        <f>IFERROR(LOOKUP(2,1/((Raw_Observations!$A$2:$A$250=A192)*(Raw_Observations!$B$2:$B$250=B192)),Raw_Observations!$K$2:$K$250),"")</f>
        <v/>
      </c>
      <c r="G192" s="10"/>
      <c r="H192" s="10" t="str">
        <f t="shared" ca="1" si="10"/>
        <v/>
      </c>
      <c r="I192" s="9" t="str">
        <f t="shared" ca="1" si="11"/>
        <v/>
      </c>
      <c r="J192" s="10" t="str">
        <f ca="1">IFERROR((I192/LOOKUP(2,1/((Raw_Observations!$A$2:$A$999=A192)*(Raw_Observations!$B$2:$B$999=B192)),Raw_Observations!$D$2:$D$999))^365-1,"")</f>
        <v/>
      </c>
    </row>
    <row r="193" spans="1:10">
      <c r="A193" s="2"/>
      <c r="B193" s="2"/>
      <c r="C193" s="9">
        <f>IFERROR(LOOKUP(2,1/((Raw_Observations!$A$2:$A$250=A193)*(Raw_Observations!$B$2:$B$250=B193)),Raw_Observations!$E$2:$E$250),"")</f>
        <v>0</v>
      </c>
      <c r="D193" s="8">
        <f ca="1">IFERROR(MAX(0,LOOKUP(2,1/((Raw_Observations!$A$2:$A$250=A193)*(Raw_Observations!$B$2:$B$250=B193)),Raw_Observations!$F$2:$F$250)-TODAY()),"")</f>
        <v>0</v>
      </c>
      <c r="E193" s="10" t="str">
        <f ca="1">IF(OR(A193="",B193=""),"",IFERROR(SUMIFS(Bank_Rates!$C$2:$C$100,Bank_Rates!$A$2:$A$100,LOOKUP(2,1/((Raw_Observations!$A$2:$A$250=A193)*(Raw_Observations!$B$2:$B$250=B193)),Raw_Observations!$H$2:$H$250),Bank_Rates!$B$2:$B$100,MAXIFS(Bank_Rates!$B$2:$B$100,Bank_Rates!$A$2:$A$100,LOOKUP(2,1/((Raw_Observations!$A$2:$A$250=A193)*(Raw_Observations!$B$2:$B$250=B193)),Raw_Observations!$H$2:$H$250),Bank_Rates!$B$2:$B$100,"&lt;="&amp;TODAY()),Bank_Rates!$D$2:$D$100,MAXIFS(Bank_Rates!$D$2:$D$100,Bank_Rates!$A$2:$A$100,LOOKUP(2,1/((Raw_Observations!$A$2:$A$250=A193)*(Raw_Observations!$B$2:$B$250=B193)),Raw_Observations!$H$2:$H$250),Bank_Rates!$B$2:$B$100,MAXIFS(Bank_Rates!$B$2:$B$100,Bank_Rates!$A$2:$A$100,LOOKUP(2,1/((Raw_Observations!$A$2:$A$250=A193)*(Raw_Observations!$B$2:$B$250=B193)),Raw_Observations!$H$2:$H$250),Bank_Rates!$B$2:$B$100,"&lt;="&amp;TODAY()),Bank_Rates!$D$2:$D$100,"&lt;="&amp;D193)),"No Match"))</f>
        <v/>
      </c>
      <c r="F193" s="10" t="str">
        <f>IFERROR(LOOKUP(2,1/((Raw_Observations!$A$2:$A$250=A193)*(Raw_Observations!$B$2:$B$250=B193)),Raw_Observations!$K$2:$K$250),"")</f>
        <v/>
      </c>
      <c r="G193" s="10"/>
      <c r="H193" s="10" t="str">
        <f t="shared" ca="1" si="10"/>
        <v/>
      </c>
      <c r="I193" s="9" t="str">
        <f t="shared" ca="1" si="11"/>
        <v/>
      </c>
      <c r="J193" s="10" t="str">
        <f ca="1">IFERROR((I193/LOOKUP(2,1/((Raw_Observations!$A$2:$A$999=A193)*(Raw_Observations!$B$2:$B$999=B193)),Raw_Observations!$D$2:$D$999))^365-1,"")</f>
        <v/>
      </c>
    </row>
    <row r="194" spans="1:10">
      <c r="A194" s="2"/>
      <c r="B194" s="2"/>
      <c r="C194" s="9">
        <f>IFERROR(LOOKUP(2,1/((Raw_Observations!$A$2:$A$250=A194)*(Raw_Observations!$B$2:$B$250=B194)),Raw_Observations!$E$2:$E$250),"")</f>
        <v>0</v>
      </c>
      <c r="D194" s="8">
        <f ca="1">IFERROR(MAX(0,LOOKUP(2,1/((Raw_Observations!$A$2:$A$250=A194)*(Raw_Observations!$B$2:$B$250=B194)),Raw_Observations!$F$2:$F$250)-TODAY()),"")</f>
        <v>0</v>
      </c>
      <c r="E194" s="10" t="str">
        <f ca="1">IF(OR(A194="",B194=""),"",IFERROR(SUMIFS(Bank_Rates!$C$2:$C$100,Bank_Rates!$A$2:$A$100,LOOKUP(2,1/((Raw_Observations!$A$2:$A$250=A194)*(Raw_Observations!$B$2:$B$250=B194)),Raw_Observations!$H$2:$H$250),Bank_Rates!$B$2:$B$100,MAXIFS(Bank_Rates!$B$2:$B$100,Bank_Rates!$A$2:$A$100,LOOKUP(2,1/((Raw_Observations!$A$2:$A$250=A194)*(Raw_Observations!$B$2:$B$250=B194)),Raw_Observations!$H$2:$H$250),Bank_Rates!$B$2:$B$100,"&lt;="&amp;TODAY()),Bank_Rates!$D$2:$D$100,MAXIFS(Bank_Rates!$D$2:$D$100,Bank_Rates!$A$2:$A$100,LOOKUP(2,1/((Raw_Observations!$A$2:$A$250=A194)*(Raw_Observations!$B$2:$B$250=B194)),Raw_Observations!$H$2:$H$250),Bank_Rates!$B$2:$B$100,MAXIFS(Bank_Rates!$B$2:$B$100,Bank_Rates!$A$2:$A$100,LOOKUP(2,1/((Raw_Observations!$A$2:$A$250=A194)*(Raw_Observations!$B$2:$B$250=B194)),Raw_Observations!$H$2:$H$250),Bank_Rates!$B$2:$B$100,"&lt;="&amp;TODAY()),Bank_Rates!$D$2:$D$100,"&lt;="&amp;D194)),"No Match"))</f>
        <v/>
      </c>
      <c r="F194" s="10" t="str">
        <f>IFERROR(LOOKUP(2,1/((Raw_Observations!$A$2:$A$250=A194)*(Raw_Observations!$B$2:$B$250=B194)),Raw_Observations!$K$2:$K$250),"")</f>
        <v/>
      </c>
      <c r="G194" s="10"/>
      <c r="H194" s="10" t="str">
        <f t="shared" ref="H194:H200" ca="1" si="12">IF(OR(E194="",G194="",E194="No Match"),"",E194+G194)</f>
        <v/>
      </c>
      <c r="I194" s="9" t="str">
        <f t="shared" ref="I194:I200" ca="1" si="13">IF(OR(C194="",D194="",H194=""),"",C194/((1+H194)^(D194/365)))</f>
        <v/>
      </c>
      <c r="J194" s="10" t="str">
        <f ca="1">IFERROR((I194/LOOKUP(2,1/((Raw_Observations!$A$2:$A$999=A194)*(Raw_Observations!$B$2:$B$999=B194)),Raw_Observations!$D$2:$D$999))^365-1,"")</f>
        <v/>
      </c>
    </row>
    <row r="195" spans="1:10">
      <c r="A195" s="2"/>
      <c r="B195" s="2"/>
      <c r="C195" s="9">
        <f>IFERROR(LOOKUP(2,1/((Raw_Observations!$A$2:$A$250=A195)*(Raw_Observations!$B$2:$B$250=B195)),Raw_Observations!$E$2:$E$250),"")</f>
        <v>0</v>
      </c>
      <c r="D195" s="8">
        <f ca="1">IFERROR(MAX(0,LOOKUP(2,1/((Raw_Observations!$A$2:$A$250=A195)*(Raw_Observations!$B$2:$B$250=B195)),Raw_Observations!$F$2:$F$250)-TODAY()),"")</f>
        <v>0</v>
      </c>
      <c r="E195" s="10" t="str">
        <f ca="1">IF(OR(A195="",B195=""),"",IFERROR(SUMIFS(Bank_Rates!$C$2:$C$100,Bank_Rates!$A$2:$A$100,LOOKUP(2,1/((Raw_Observations!$A$2:$A$250=A195)*(Raw_Observations!$B$2:$B$250=B195)),Raw_Observations!$H$2:$H$250),Bank_Rates!$B$2:$B$100,MAXIFS(Bank_Rates!$B$2:$B$100,Bank_Rates!$A$2:$A$100,LOOKUP(2,1/((Raw_Observations!$A$2:$A$250=A195)*(Raw_Observations!$B$2:$B$250=B195)),Raw_Observations!$H$2:$H$250),Bank_Rates!$B$2:$B$100,"&lt;="&amp;TODAY()),Bank_Rates!$D$2:$D$100,MAXIFS(Bank_Rates!$D$2:$D$100,Bank_Rates!$A$2:$A$100,LOOKUP(2,1/((Raw_Observations!$A$2:$A$250=A195)*(Raw_Observations!$B$2:$B$250=B195)),Raw_Observations!$H$2:$H$250),Bank_Rates!$B$2:$B$100,MAXIFS(Bank_Rates!$B$2:$B$100,Bank_Rates!$A$2:$A$100,LOOKUP(2,1/((Raw_Observations!$A$2:$A$250=A195)*(Raw_Observations!$B$2:$B$250=B195)),Raw_Observations!$H$2:$H$250),Bank_Rates!$B$2:$B$100,"&lt;="&amp;TODAY()),Bank_Rates!$D$2:$D$100,"&lt;="&amp;D195)),"No Match"))</f>
        <v/>
      </c>
      <c r="F195" s="10" t="str">
        <f>IFERROR(LOOKUP(2,1/((Raw_Observations!$A$2:$A$250=A195)*(Raw_Observations!$B$2:$B$250=B195)),Raw_Observations!$K$2:$K$250),"")</f>
        <v/>
      </c>
      <c r="G195" s="10"/>
      <c r="H195" s="10" t="str">
        <f t="shared" ca="1" si="12"/>
        <v/>
      </c>
      <c r="I195" s="9" t="str">
        <f t="shared" ca="1" si="13"/>
        <v/>
      </c>
      <c r="J195" s="10" t="str">
        <f ca="1">IFERROR((I195/LOOKUP(2,1/((Raw_Observations!$A$2:$A$999=A195)*(Raw_Observations!$B$2:$B$999=B195)),Raw_Observations!$D$2:$D$999))^365-1,"")</f>
        <v/>
      </c>
    </row>
    <row r="196" spans="1:10">
      <c r="A196" s="2"/>
      <c r="B196" s="2"/>
      <c r="C196" s="9">
        <f>IFERROR(LOOKUP(2,1/((Raw_Observations!$A$2:$A$250=A196)*(Raw_Observations!$B$2:$B$250=B196)),Raw_Observations!$E$2:$E$250),"")</f>
        <v>0</v>
      </c>
      <c r="D196" s="8">
        <f ca="1">IFERROR(MAX(0,LOOKUP(2,1/((Raw_Observations!$A$2:$A$250=A196)*(Raw_Observations!$B$2:$B$250=B196)),Raw_Observations!$F$2:$F$250)-TODAY()),"")</f>
        <v>0</v>
      </c>
      <c r="E196" s="10" t="str">
        <f ca="1">IF(OR(A196="",B196=""),"",IFERROR(SUMIFS(Bank_Rates!$C$2:$C$100,Bank_Rates!$A$2:$A$100,LOOKUP(2,1/((Raw_Observations!$A$2:$A$250=A196)*(Raw_Observations!$B$2:$B$250=B196)),Raw_Observations!$H$2:$H$250),Bank_Rates!$B$2:$B$100,MAXIFS(Bank_Rates!$B$2:$B$100,Bank_Rates!$A$2:$A$100,LOOKUP(2,1/((Raw_Observations!$A$2:$A$250=A196)*(Raw_Observations!$B$2:$B$250=B196)),Raw_Observations!$H$2:$H$250),Bank_Rates!$B$2:$B$100,"&lt;="&amp;TODAY()),Bank_Rates!$D$2:$D$100,MAXIFS(Bank_Rates!$D$2:$D$100,Bank_Rates!$A$2:$A$100,LOOKUP(2,1/((Raw_Observations!$A$2:$A$250=A196)*(Raw_Observations!$B$2:$B$250=B196)),Raw_Observations!$H$2:$H$250),Bank_Rates!$B$2:$B$100,MAXIFS(Bank_Rates!$B$2:$B$100,Bank_Rates!$A$2:$A$100,LOOKUP(2,1/((Raw_Observations!$A$2:$A$250=A196)*(Raw_Observations!$B$2:$B$250=B196)),Raw_Observations!$H$2:$H$250),Bank_Rates!$B$2:$B$100,"&lt;="&amp;TODAY()),Bank_Rates!$D$2:$D$100,"&lt;="&amp;D196)),"No Match"))</f>
        <v/>
      </c>
      <c r="F196" s="10" t="str">
        <f>IFERROR(LOOKUP(2,1/((Raw_Observations!$A$2:$A$250=A196)*(Raw_Observations!$B$2:$B$250=B196)),Raw_Observations!$K$2:$K$250),"")</f>
        <v/>
      </c>
      <c r="G196" s="10"/>
      <c r="H196" s="10" t="str">
        <f t="shared" ca="1" si="12"/>
        <v/>
      </c>
      <c r="I196" s="9" t="str">
        <f t="shared" ca="1" si="13"/>
        <v/>
      </c>
      <c r="J196" s="10" t="str">
        <f ca="1">IFERROR((I196/LOOKUP(2,1/((Raw_Observations!$A$2:$A$999=A196)*(Raw_Observations!$B$2:$B$999=B196)),Raw_Observations!$D$2:$D$999))^365-1,"")</f>
        <v/>
      </c>
    </row>
    <row r="197" spans="1:10">
      <c r="A197" s="2"/>
      <c r="B197" s="2"/>
      <c r="C197" s="9">
        <f>IFERROR(LOOKUP(2,1/((Raw_Observations!$A$2:$A$250=A197)*(Raw_Observations!$B$2:$B$250=B197)),Raw_Observations!$E$2:$E$250),"")</f>
        <v>0</v>
      </c>
      <c r="D197" s="8">
        <f ca="1">IFERROR(MAX(0,LOOKUP(2,1/((Raw_Observations!$A$2:$A$250=A197)*(Raw_Observations!$B$2:$B$250=B197)),Raw_Observations!$F$2:$F$250)-TODAY()),"")</f>
        <v>0</v>
      </c>
      <c r="E197" s="10" t="str">
        <f ca="1">IF(OR(A197="",B197=""),"",IFERROR(SUMIFS(Bank_Rates!$C$2:$C$100,Bank_Rates!$A$2:$A$100,LOOKUP(2,1/((Raw_Observations!$A$2:$A$250=A197)*(Raw_Observations!$B$2:$B$250=B197)),Raw_Observations!$H$2:$H$250),Bank_Rates!$B$2:$B$100,MAXIFS(Bank_Rates!$B$2:$B$100,Bank_Rates!$A$2:$A$100,LOOKUP(2,1/((Raw_Observations!$A$2:$A$250=A197)*(Raw_Observations!$B$2:$B$250=B197)),Raw_Observations!$H$2:$H$250),Bank_Rates!$B$2:$B$100,"&lt;="&amp;TODAY()),Bank_Rates!$D$2:$D$100,MAXIFS(Bank_Rates!$D$2:$D$100,Bank_Rates!$A$2:$A$100,LOOKUP(2,1/((Raw_Observations!$A$2:$A$250=A197)*(Raw_Observations!$B$2:$B$250=B197)),Raw_Observations!$H$2:$H$250),Bank_Rates!$B$2:$B$100,MAXIFS(Bank_Rates!$B$2:$B$100,Bank_Rates!$A$2:$A$100,LOOKUP(2,1/((Raw_Observations!$A$2:$A$250=A197)*(Raw_Observations!$B$2:$B$250=B197)),Raw_Observations!$H$2:$H$250),Bank_Rates!$B$2:$B$100,"&lt;="&amp;TODAY()),Bank_Rates!$D$2:$D$100,"&lt;="&amp;D197)),"No Match"))</f>
        <v/>
      </c>
      <c r="F197" s="10" t="str">
        <f>IFERROR(LOOKUP(2,1/((Raw_Observations!$A$2:$A$250=A197)*(Raw_Observations!$B$2:$B$250=B197)),Raw_Observations!$K$2:$K$250),"")</f>
        <v/>
      </c>
      <c r="G197" s="10"/>
      <c r="H197" s="10" t="str">
        <f t="shared" ca="1" si="12"/>
        <v/>
      </c>
      <c r="I197" s="9" t="str">
        <f t="shared" ca="1" si="13"/>
        <v/>
      </c>
      <c r="J197" s="10" t="str">
        <f ca="1">IFERROR((I197/LOOKUP(2,1/((Raw_Observations!$A$2:$A$999=A197)*(Raw_Observations!$B$2:$B$999=B197)),Raw_Observations!$D$2:$D$999))^365-1,"")</f>
        <v/>
      </c>
    </row>
    <row r="198" spans="1:10">
      <c r="A198" s="2"/>
      <c r="B198" s="2"/>
      <c r="C198" s="9">
        <f>IFERROR(LOOKUP(2,1/((Raw_Observations!$A$2:$A$250=A198)*(Raw_Observations!$B$2:$B$250=B198)),Raw_Observations!$E$2:$E$250),"")</f>
        <v>0</v>
      </c>
      <c r="D198" s="8">
        <f ca="1">IFERROR(MAX(0,LOOKUP(2,1/((Raw_Observations!$A$2:$A$250=A198)*(Raw_Observations!$B$2:$B$250=B198)),Raw_Observations!$F$2:$F$250)-TODAY()),"")</f>
        <v>0</v>
      </c>
      <c r="E198" s="10" t="str">
        <f ca="1">IF(OR(A198="",B198=""),"",IFERROR(SUMIFS(Bank_Rates!$C$2:$C$100,Bank_Rates!$A$2:$A$100,LOOKUP(2,1/((Raw_Observations!$A$2:$A$250=A198)*(Raw_Observations!$B$2:$B$250=B198)),Raw_Observations!$H$2:$H$250),Bank_Rates!$B$2:$B$100,MAXIFS(Bank_Rates!$B$2:$B$100,Bank_Rates!$A$2:$A$100,LOOKUP(2,1/((Raw_Observations!$A$2:$A$250=A198)*(Raw_Observations!$B$2:$B$250=B198)),Raw_Observations!$H$2:$H$250),Bank_Rates!$B$2:$B$100,"&lt;="&amp;TODAY()),Bank_Rates!$D$2:$D$100,MAXIFS(Bank_Rates!$D$2:$D$100,Bank_Rates!$A$2:$A$100,LOOKUP(2,1/((Raw_Observations!$A$2:$A$250=A198)*(Raw_Observations!$B$2:$B$250=B198)),Raw_Observations!$H$2:$H$250),Bank_Rates!$B$2:$B$100,MAXIFS(Bank_Rates!$B$2:$B$100,Bank_Rates!$A$2:$A$100,LOOKUP(2,1/((Raw_Observations!$A$2:$A$250=A198)*(Raw_Observations!$B$2:$B$250=B198)),Raw_Observations!$H$2:$H$250),Bank_Rates!$B$2:$B$100,"&lt;="&amp;TODAY()),Bank_Rates!$D$2:$D$100,"&lt;="&amp;D198)),"No Match"))</f>
        <v/>
      </c>
      <c r="F198" s="10" t="str">
        <f>IFERROR(LOOKUP(2,1/((Raw_Observations!$A$2:$A$250=A198)*(Raw_Observations!$B$2:$B$250=B198)),Raw_Observations!$K$2:$K$250),"")</f>
        <v/>
      </c>
      <c r="G198" s="10"/>
      <c r="H198" s="10" t="str">
        <f t="shared" ca="1" si="12"/>
        <v/>
      </c>
      <c r="I198" s="9" t="str">
        <f t="shared" ca="1" si="13"/>
        <v/>
      </c>
      <c r="J198" s="10" t="str">
        <f ca="1">IFERROR((I198/LOOKUP(2,1/((Raw_Observations!$A$2:$A$999=A198)*(Raw_Observations!$B$2:$B$999=B198)),Raw_Observations!$D$2:$D$999))^365-1,"")</f>
        <v/>
      </c>
    </row>
    <row r="199" spans="1:10">
      <c r="A199" s="2"/>
      <c r="B199" s="2"/>
      <c r="C199" s="9">
        <f>IFERROR(LOOKUP(2,1/((Raw_Observations!$A$2:$A$250=A199)*(Raw_Observations!$B$2:$B$250=B199)),Raw_Observations!$E$2:$E$250),"")</f>
        <v>0</v>
      </c>
      <c r="D199" s="8">
        <f ca="1">IFERROR(MAX(0,LOOKUP(2,1/((Raw_Observations!$A$2:$A$250=A199)*(Raw_Observations!$B$2:$B$250=B199)),Raw_Observations!$F$2:$F$250)-TODAY()),"")</f>
        <v>0</v>
      </c>
      <c r="E199" s="10" t="str">
        <f ca="1">IF(OR(A199="",B199=""),"",IFERROR(SUMIFS(Bank_Rates!$C$2:$C$100,Bank_Rates!$A$2:$A$100,LOOKUP(2,1/((Raw_Observations!$A$2:$A$250=A199)*(Raw_Observations!$B$2:$B$250=B199)),Raw_Observations!$H$2:$H$250),Bank_Rates!$B$2:$B$100,MAXIFS(Bank_Rates!$B$2:$B$100,Bank_Rates!$A$2:$A$100,LOOKUP(2,1/((Raw_Observations!$A$2:$A$250=A199)*(Raw_Observations!$B$2:$B$250=B199)),Raw_Observations!$H$2:$H$250),Bank_Rates!$B$2:$B$100,"&lt;="&amp;TODAY()),Bank_Rates!$D$2:$D$100,MAXIFS(Bank_Rates!$D$2:$D$100,Bank_Rates!$A$2:$A$100,LOOKUP(2,1/((Raw_Observations!$A$2:$A$250=A199)*(Raw_Observations!$B$2:$B$250=B199)),Raw_Observations!$H$2:$H$250),Bank_Rates!$B$2:$B$100,MAXIFS(Bank_Rates!$B$2:$B$100,Bank_Rates!$A$2:$A$100,LOOKUP(2,1/((Raw_Observations!$A$2:$A$250=A199)*(Raw_Observations!$B$2:$B$250=B199)),Raw_Observations!$H$2:$H$250),Bank_Rates!$B$2:$B$100,"&lt;="&amp;TODAY()),Bank_Rates!$D$2:$D$100,"&lt;="&amp;D199)),"No Match"))</f>
        <v/>
      </c>
      <c r="F199" s="10" t="str">
        <f>IFERROR(LOOKUP(2,1/((Raw_Observations!$A$2:$A$250=A199)*(Raw_Observations!$B$2:$B$250=B199)),Raw_Observations!$K$2:$K$250),"")</f>
        <v/>
      </c>
      <c r="G199" s="10"/>
      <c r="H199" s="10" t="str">
        <f t="shared" ca="1" si="12"/>
        <v/>
      </c>
      <c r="I199" s="9" t="str">
        <f t="shared" ca="1" si="13"/>
        <v/>
      </c>
      <c r="J199" s="10" t="str">
        <f ca="1">IFERROR((I199/LOOKUP(2,1/((Raw_Observations!$A$2:$A$999=A199)*(Raw_Observations!$B$2:$B$999=B199)),Raw_Observations!$D$2:$D$999))^365-1,"")</f>
        <v/>
      </c>
    </row>
    <row r="200" spans="1:10">
      <c r="A200" s="2"/>
      <c r="B200" s="2"/>
      <c r="C200" s="9">
        <f>IFERROR(LOOKUP(2,1/((Raw_Observations!$A$2:$A$250=A200)*(Raw_Observations!$B$2:$B$250=B200)),Raw_Observations!$E$2:$E$250),"")</f>
        <v>0</v>
      </c>
      <c r="D200" s="8">
        <f ca="1">IFERROR(MAX(0,LOOKUP(2,1/((Raw_Observations!$A$2:$A$250=A200)*(Raw_Observations!$B$2:$B$250=B200)),Raw_Observations!$F$2:$F$250)-TODAY()),"")</f>
        <v>0</v>
      </c>
      <c r="E200" s="10" t="str">
        <f ca="1">IF(OR(A200="",B200=""),"",IFERROR(SUMIFS(Bank_Rates!$C$2:$C$100,Bank_Rates!$A$2:$A$100,LOOKUP(2,1/((Raw_Observations!$A$2:$A$250=A200)*(Raw_Observations!$B$2:$B$250=B200)),Raw_Observations!$H$2:$H$250),Bank_Rates!$B$2:$B$100,MAXIFS(Bank_Rates!$B$2:$B$100,Bank_Rates!$A$2:$A$100,LOOKUP(2,1/((Raw_Observations!$A$2:$A$250=A200)*(Raw_Observations!$B$2:$B$250=B200)),Raw_Observations!$H$2:$H$250),Bank_Rates!$B$2:$B$100,"&lt;="&amp;TODAY()),Bank_Rates!$D$2:$D$100,MAXIFS(Bank_Rates!$D$2:$D$100,Bank_Rates!$A$2:$A$100,LOOKUP(2,1/((Raw_Observations!$A$2:$A$250=A200)*(Raw_Observations!$B$2:$B$250=B200)),Raw_Observations!$H$2:$H$250),Bank_Rates!$B$2:$B$100,MAXIFS(Bank_Rates!$B$2:$B$100,Bank_Rates!$A$2:$A$100,LOOKUP(2,1/((Raw_Observations!$A$2:$A$250=A200)*(Raw_Observations!$B$2:$B$250=B200)),Raw_Observations!$H$2:$H$250),Bank_Rates!$B$2:$B$100,"&lt;="&amp;TODAY()),Bank_Rates!$D$2:$D$100,"&lt;="&amp;D200)),"No Match"))</f>
        <v/>
      </c>
      <c r="F200" s="10" t="str">
        <f>IFERROR(LOOKUP(2,1/((Raw_Observations!$A$2:$A$250=A200)*(Raw_Observations!$B$2:$B$250=B200)),Raw_Observations!$K$2:$K$250),"")</f>
        <v/>
      </c>
      <c r="G200" s="10"/>
      <c r="H200" s="10" t="str">
        <f t="shared" ca="1" si="12"/>
        <v/>
      </c>
      <c r="I200" s="9" t="str">
        <f t="shared" ca="1" si="13"/>
        <v/>
      </c>
      <c r="J200" s="10" t="str">
        <f ca="1">IFERROR((I200/LOOKUP(2,1/((Raw_Observations!$A$2:$A$999=A200)*(Raw_Observations!$B$2:$B$999=B200)),Raw_Observations!$D$2:$D$999))^365-1,"")</f>
        <v/>
      </c>
    </row>
    <row r="201" spans="1:10">
      <c r="A201" s="2"/>
      <c r="B201" s="2"/>
      <c r="C201" s="9"/>
      <c r="D201" s="8"/>
      <c r="E201" s="10"/>
      <c r="F201" s="10"/>
      <c r="G201" s="10"/>
      <c r="H201" s="10"/>
      <c r="I201" s="9"/>
    </row>
    <row r="202" spans="1:10">
      <c r="A202" s="2"/>
      <c r="B202" s="2"/>
      <c r="C202" s="9"/>
      <c r="D202" s="8"/>
      <c r="E202" s="10"/>
      <c r="F202" s="10"/>
      <c r="G202" s="10"/>
      <c r="H202" s="10"/>
      <c r="I202" s="9"/>
    </row>
    <row r="203" spans="1:10">
      <c r="A203" s="2"/>
      <c r="B203" s="2"/>
      <c r="C203" s="9"/>
      <c r="D203" s="8"/>
      <c r="E203" s="10"/>
      <c r="F203" s="10"/>
      <c r="G203" s="10"/>
      <c r="H203" s="10"/>
      <c r="I203" s="9"/>
    </row>
    <row r="204" spans="1:10">
      <c r="A204" s="2"/>
      <c r="B204" s="2"/>
      <c r="C204" s="9"/>
      <c r="D204" s="8"/>
      <c r="E204" s="10"/>
      <c r="F204" s="10"/>
      <c r="G204" s="10"/>
      <c r="H204" s="10"/>
      <c r="I204" s="9"/>
    </row>
    <row r="205" spans="1:10">
      <c r="A205" s="2"/>
      <c r="B205" s="2"/>
      <c r="C205" s="9"/>
      <c r="D205" s="8"/>
      <c r="E205" s="10"/>
      <c r="F205" s="10"/>
      <c r="G205" s="10"/>
      <c r="H205" s="10"/>
      <c r="I205" s="9"/>
    </row>
    <row r="206" spans="1:10">
      <c r="A206" s="2"/>
      <c r="B206" s="2"/>
      <c r="C206" s="9"/>
      <c r="D206" s="8"/>
      <c r="E206" s="10"/>
      <c r="F206" s="10"/>
      <c r="G206" s="10"/>
      <c r="H206" s="10"/>
      <c r="I206" s="9"/>
    </row>
    <row r="207" spans="1:10">
      <c r="A207" s="2"/>
      <c r="B207" s="2"/>
      <c r="C207" s="9"/>
      <c r="D207" s="8"/>
      <c r="E207" s="10"/>
      <c r="F207" s="10"/>
      <c r="G207" s="10"/>
      <c r="H207" s="10"/>
      <c r="I207" s="9"/>
    </row>
    <row r="208" spans="1:10">
      <c r="A208" s="2"/>
      <c r="B208" s="2"/>
      <c r="C208" s="9"/>
      <c r="D208" s="8"/>
      <c r="E208" s="10"/>
      <c r="F208" s="10"/>
      <c r="G208" s="10"/>
      <c r="H208" s="10"/>
      <c r="I208" s="9"/>
    </row>
    <row r="209" spans="1:9">
      <c r="A209" s="2"/>
      <c r="B209" s="2"/>
      <c r="C209" s="9"/>
      <c r="D209" s="8"/>
      <c r="E209" s="10"/>
      <c r="F209" s="10"/>
      <c r="G209" s="10"/>
      <c r="H209" s="10"/>
      <c r="I209" s="9"/>
    </row>
    <row r="210" spans="1:9">
      <c r="A210" s="2"/>
      <c r="B210" s="2"/>
      <c r="C210" s="9"/>
      <c r="D210" s="8"/>
      <c r="E210" s="10"/>
      <c r="F210" s="10"/>
      <c r="G210" s="10"/>
      <c r="H210" s="10"/>
      <c r="I210" s="9"/>
    </row>
    <row r="211" spans="1:9">
      <c r="A211" s="2"/>
      <c r="B211" s="2"/>
      <c r="C211" s="9"/>
      <c r="D211" s="8"/>
      <c r="E211" s="10"/>
      <c r="F211" s="10"/>
      <c r="G211" s="10"/>
      <c r="H211" s="10"/>
      <c r="I211" s="9"/>
    </row>
    <row r="212" spans="1:9">
      <c r="A212" s="2"/>
      <c r="B212" s="2"/>
      <c r="C212" s="9"/>
      <c r="D212" s="8"/>
      <c r="E212" s="10"/>
      <c r="F212" s="10"/>
      <c r="G212" s="10"/>
      <c r="H212" s="10"/>
      <c r="I212" s="9"/>
    </row>
    <row r="213" spans="1:9">
      <c r="A213" s="2"/>
      <c r="B213" s="2"/>
      <c r="C213" s="9"/>
      <c r="D213" s="8"/>
      <c r="E213" s="10"/>
      <c r="F213" s="10"/>
      <c r="G213" s="10"/>
      <c r="H213" s="10"/>
      <c r="I213" s="9"/>
    </row>
    <row r="214" spans="1:9">
      <c r="A214" s="2"/>
      <c r="B214" s="2"/>
      <c r="C214" s="9"/>
      <c r="D214" s="8"/>
      <c r="E214" s="10"/>
      <c r="F214" s="10"/>
      <c r="G214" s="10"/>
      <c r="H214" s="10"/>
      <c r="I214" s="9"/>
    </row>
    <row r="215" spans="1:9">
      <c r="A215" s="2"/>
      <c r="B215" s="2"/>
      <c r="C215" s="9"/>
      <c r="D215" s="8"/>
      <c r="E215" s="10"/>
      <c r="F215" s="10"/>
      <c r="G215" s="10"/>
      <c r="H215" s="10"/>
      <c r="I215" s="9"/>
    </row>
    <row r="216" spans="1:9">
      <c r="A216" s="2"/>
      <c r="B216" s="2"/>
      <c r="C216" s="9"/>
      <c r="D216" s="8"/>
      <c r="E216" s="10"/>
      <c r="F216" s="10"/>
      <c r="G216" s="10"/>
      <c r="H216" s="10"/>
      <c r="I216" s="9"/>
    </row>
    <row r="217" spans="1:9">
      <c r="A217" s="2"/>
      <c r="B217" s="2"/>
      <c r="C217" s="9"/>
      <c r="D217" s="8"/>
      <c r="E217" s="10"/>
      <c r="F217" s="10"/>
      <c r="G217" s="10"/>
      <c r="H217" s="10"/>
      <c r="I217" s="9"/>
    </row>
    <row r="218" spans="1:9">
      <c r="A218" s="2"/>
      <c r="B218" s="2"/>
      <c r="C218" s="9"/>
      <c r="D218" s="8"/>
      <c r="E218" s="10"/>
      <c r="F218" s="10"/>
      <c r="G218" s="10"/>
      <c r="H218" s="10"/>
      <c r="I218" s="9"/>
    </row>
    <row r="219" spans="1:9">
      <c r="A219" s="2"/>
      <c r="B219" s="2"/>
      <c r="C219" s="9"/>
      <c r="D219" s="8"/>
      <c r="E219" s="10"/>
      <c r="F219" s="10"/>
      <c r="G219" s="10"/>
      <c r="H219" s="10"/>
      <c r="I219" s="9"/>
    </row>
    <row r="220" spans="1:9">
      <c r="A220" s="2"/>
      <c r="B220" s="2"/>
      <c r="C220" s="9"/>
      <c r="D220" s="8"/>
      <c r="E220" s="10"/>
      <c r="F220" s="10"/>
      <c r="G220" s="10"/>
      <c r="H220" s="10"/>
      <c r="I220" s="9"/>
    </row>
    <row r="221" spans="1:9">
      <c r="A221" s="2"/>
      <c r="B221" s="2"/>
      <c r="C221" s="9"/>
      <c r="D221" s="8"/>
      <c r="E221" s="10"/>
      <c r="F221" s="10"/>
      <c r="G221" s="10"/>
      <c r="H221" s="10"/>
      <c r="I221" s="9"/>
    </row>
    <row r="222" spans="1:9">
      <c r="A222" s="2"/>
      <c r="B222" s="2"/>
      <c r="C222" s="9"/>
      <c r="D222" s="8"/>
      <c r="E222" s="10"/>
      <c r="F222" s="10"/>
      <c r="G222" s="10"/>
      <c r="H222" s="10"/>
      <c r="I222" s="9"/>
    </row>
    <row r="223" spans="1:9">
      <c r="A223" s="2"/>
      <c r="B223" s="2"/>
      <c r="C223" s="9"/>
      <c r="D223" s="8"/>
      <c r="E223" s="10"/>
      <c r="F223" s="10"/>
      <c r="G223" s="10"/>
      <c r="H223" s="10"/>
      <c r="I223" s="9"/>
    </row>
    <row r="224" spans="1:9">
      <c r="A224" s="2"/>
      <c r="B224" s="2"/>
      <c r="C224" s="9"/>
      <c r="D224" s="8"/>
      <c r="E224" s="10"/>
      <c r="F224" s="10"/>
      <c r="G224" s="10"/>
      <c r="H224" s="10"/>
      <c r="I224" s="9"/>
    </row>
    <row r="225" spans="1:9">
      <c r="A225" s="2"/>
      <c r="B225" s="2"/>
      <c r="C225" s="9"/>
      <c r="D225" s="8"/>
      <c r="E225" s="10"/>
      <c r="F225" s="10"/>
      <c r="G225" s="10"/>
      <c r="H225" s="10"/>
      <c r="I225" s="9"/>
    </row>
    <row r="226" spans="1:9">
      <c r="A226" s="2"/>
      <c r="B226" s="2"/>
      <c r="C226" s="9"/>
      <c r="D226" s="8"/>
      <c r="E226" s="10"/>
      <c r="F226" s="10"/>
      <c r="G226" s="10"/>
      <c r="H226" s="10"/>
      <c r="I226" s="9"/>
    </row>
    <row r="227" spans="1:9">
      <c r="A227" s="2"/>
      <c r="B227" s="2"/>
      <c r="C227" s="9"/>
      <c r="D227" s="8"/>
      <c r="E227" s="10"/>
      <c r="F227" s="10"/>
      <c r="G227" s="10"/>
      <c r="H227" s="10"/>
      <c r="I227" s="9"/>
    </row>
    <row r="228" spans="1:9">
      <c r="A228" s="2"/>
      <c r="B228" s="2"/>
      <c r="C228" s="9"/>
      <c r="D228" s="8"/>
      <c r="E228" s="10"/>
      <c r="F228" s="10"/>
      <c r="G228" s="10"/>
      <c r="H228" s="10"/>
      <c r="I228" s="9"/>
    </row>
    <row r="229" spans="1:9">
      <c r="A229" s="2"/>
      <c r="B229" s="2"/>
      <c r="C229" s="9"/>
      <c r="D229" s="8"/>
      <c r="E229" s="10"/>
      <c r="F229" s="10"/>
      <c r="G229" s="10"/>
      <c r="H229" s="10"/>
      <c r="I229" s="9"/>
    </row>
    <row r="230" spans="1:9">
      <c r="A230" s="2"/>
      <c r="B230" s="2"/>
      <c r="C230" s="9"/>
      <c r="D230" s="8"/>
      <c r="E230" s="10"/>
      <c r="F230" s="10"/>
      <c r="G230" s="10"/>
      <c r="H230" s="10"/>
      <c r="I230" s="9"/>
    </row>
    <row r="231" spans="1:9">
      <c r="A231" s="2"/>
      <c r="B231" s="2"/>
      <c r="C231" s="9"/>
      <c r="D231" s="8"/>
      <c r="E231" s="10"/>
      <c r="F231" s="10"/>
      <c r="G231" s="10"/>
      <c r="H231" s="10"/>
      <c r="I231" s="9"/>
    </row>
    <row r="232" spans="1:9">
      <c r="A232" s="2"/>
      <c r="B232" s="2"/>
      <c r="C232" s="9"/>
      <c r="D232" s="8"/>
      <c r="E232" s="10"/>
      <c r="F232" s="10"/>
      <c r="G232" s="10"/>
      <c r="H232" s="10"/>
      <c r="I232" s="9"/>
    </row>
    <row r="233" spans="1:9">
      <c r="A233" s="2"/>
      <c r="B233" s="2"/>
      <c r="C233" s="9"/>
      <c r="D233" s="8"/>
      <c r="E233" s="10"/>
      <c r="F233" s="10"/>
      <c r="G233" s="10"/>
      <c r="H233" s="10"/>
      <c r="I233" s="9"/>
    </row>
    <row r="234" spans="1:9">
      <c r="A234" s="2"/>
      <c r="B234" s="2"/>
      <c r="C234" s="9"/>
      <c r="D234" s="8"/>
      <c r="E234" s="10"/>
      <c r="F234" s="10"/>
      <c r="G234" s="10"/>
      <c r="H234" s="10"/>
      <c r="I234" s="9"/>
    </row>
    <row r="235" spans="1:9">
      <c r="A235" s="2"/>
      <c r="B235" s="2"/>
      <c r="C235" s="9"/>
      <c r="D235" s="8"/>
      <c r="E235" s="10"/>
      <c r="F235" s="10"/>
      <c r="G235" s="10"/>
      <c r="H235" s="10"/>
      <c r="I235" s="9"/>
    </row>
    <row r="236" spans="1:9">
      <c r="A236" s="2"/>
      <c r="B236" s="2"/>
      <c r="C236" s="9"/>
      <c r="D236" s="8"/>
      <c r="E236" s="10"/>
      <c r="F236" s="10"/>
      <c r="G236" s="10"/>
      <c r="H236" s="10"/>
      <c r="I236" s="9"/>
    </row>
    <row r="237" spans="1:9">
      <c r="A237" s="2"/>
      <c r="B237" s="2"/>
      <c r="C237" s="9"/>
      <c r="D237" s="8"/>
      <c r="E237" s="10"/>
      <c r="F237" s="10"/>
      <c r="G237" s="10"/>
      <c r="H237" s="10"/>
      <c r="I237" s="9"/>
    </row>
    <row r="238" spans="1:9">
      <c r="A238" s="2"/>
      <c r="B238" s="2"/>
      <c r="C238" s="9"/>
      <c r="D238" s="8"/>
      <c r="E238" s="10"/>
      <c r="F238" s="10"/>
      <c r="G238" s="10"/>
      <c r="H238" s="10"/>
      <c r="I238" s="9"/>
    </row>
    <row r="239" spans="1:9">
      <c r="A239" s="2"/>
      <c r="B239" s="2"/>
      <c r="C239" s="9"/>
      <c r="D239" s="8"/>
      <c r="E239" s="10"/>
      <c r="F239" s="10"/>
      <c r="G239" s="10"/>
      <c r="H239" s="10"/>
      <c r="I239" s="9"/>
    </row>
    <row r="240" spans="1:9">
      <c r="A240" s="2"/>
      <c r="B240" s="2"/>
      <c r="C240" s="9"/>
      <c r="D240" s="8"/>
      <c r="E240" s="10"/>
      <c r="F240" s="10"/>
      <c r="G240" s="10"/>
      <c r="H240" s="10"/>
      <c r="I240" s="9"/>
    </row>
    <row r="241" spans="1:9">
      <c r="A241" s="2"/>
      <c r="B241" s="2"/>
      <c r="C241" s="9"/>
      <c r="D241" s="8"/>
      <c r="E241" s="10"/>
      <c r="F241" s="10"/>
      <c r="G241" s="10"/>
      <c r="H241" s="10"/>
      <c r="I241" s="9"/>
    </row>
    <row r="242" spans="1:9">
      <c r="A242" s="2"/>
      <c r="B242" s="2"/>
      <c r="C242" s="9"/>
      <c r="D242" s="8"/>
      <c r="E242" s="10"/>
      <c r="F242" s="10"/>
      <c r="G242" s="10"/>
      <c r="H242" s="10"/>
      <c r="I242" s="9"/>
    </row>
    <row r="243" spans="1:9">
      <c r="A243" s="2"/>
      <c r="B243" s="2"/>
      <c r="C243" s="9"/>
      <c r="D243" s="8"/>
      <c r="E243" s="10"/>
      <c r="F243" s="10"/>
      <c r="G243" s="10"/>
      <c r="H243" s="10"/>
      <c r="I243" s="9"/>
    </row>
    <row r="244" spans="1:9">
      <c r="A244" s="2"/>
      <c r="B244" s="2"/>
      <c r="C244" s="9"/>
      <c r="D244" s="8"/>
      <c r="E244" s="10"/>
      <c r="F244" s="10"/>
      <c r="G244" s="10"/>
      <c r="H244" s="10"/>
      <c r="I244" s="9"/>
    </row>
    <row r="245" spans="1:9">
      <c r="A245" s="2"/>
      <c r="B245" s="2"/>
      <c r="C245" s="9"/>
      <c r="D245" s="8"/>
      <c r="E245" s="10"/>
      <c r="F245" s="10"/>
      <c r="G245" s="10"/>
      <c r="H245" s="10"/>
      <c r="I245" s="9"/>
    </row>
    <row r="246" spans="1:9">
      <c r="A246" s="2"/>
      <c r="B246" s="2"/>
      <c r="C246" s="9"/>
      <c r="D246" s="8"/>
      <c r="E246" s="10"/>
      <c r="F246" s="10"/>
      <c r="G246" s="10"/>
      <c r="H246" s="10"/>
      <c r="I246" s="9"/>
    </row>
    <row r="247" spans="1:9">
      <c r="A247" s="2"/>
      <c r="B247" s="2"/>
      <c r="C247" s="9"/>
      <c r="D247" s="8"/>
      <c r="E247" s="10"/>
      <c r="F247" s="10"/>
      <c r="G247" s="10"/>
      <c r="H247" s="10"/>
      <c r="I247" s="9"/>
    </row>
    <row r="248" spans="1:9">
      <c r="A248" s="2"/>
      <c r="B248" s="2"/>
      <c r="C248" s="9"/>
      <c r="D248" s="8"/>
      <c r="E248" s="10"/>
      <c r="F248" s="10"/>
      <c r="G248" s="10"/>
      <c r="H248" s="10"/>
      <c r="I248" s="9"/>
    </row>
    <row r="249" spans="1:9">
      <c r="A249" s="2"/>
      <c r="B249" s="2"/>
      <c r="C249" s="9"/>
      <c r="D249" s="8"/>
      <c r="E249" s="10"/>
      <c r="F249" s="10"/>
      <c r="G249" s="10"/>
      <c r="H249" s="10"/>
      <c r="I249" s="9"/>
    </row>
    <row r="250" spans="1:9">
      <c r="A250" s="2"/>
      <c r="B250" s="2"/>
      <c r="C250" s="9"/>
      <c r="D250" s="8"/>
      <c r="E250" s="10"/>
      <c r="F250" s="10"/>
      <c r="G250" s="10"/>
      <c r="H250" s="10"/>
      <c r="I250" s="9"/>
    </row>
    <row r="251" spans="1:9">
      <c r="A251" s="2"/>
      <c r="B251" s="2"/>
      <c r="C251" s="9"/>
      <c r="D251" s="8"/>
      <c r="E251" s="10"/>
      <c r="F251" s="10"/>
      <c r="G251" s="10"/>
      <c r="H251" s="10"/>
      <c r="I251" s="9"/>
    </row>
    <row r="252" spans="1:9">
      <c r="A252" s="2"/>
      <c r="B252" s="2"/>
      <c r="C252" s="9"/>
      <c r="D252" s="8"/>
      <c r="E252" s="10"/>
      <c r="F252" s="10"/>
      <c r="G252" s="10"/>
      <c r="H252" s="10"/>
      <c r="I252" s="9"/>
    </row>
    <row r="253" spans="1:9">
      <c r="A253" s="2"/>
      <c r="B253" s="2"/>
      <c r="C253" s="9"/>
      <c r="D253" s="8"/>
      <c r="E253" s="10"/>
      <c r="F253" s="10"/>
      <c r="G253" s="10"/>
      <c r="H253" s="10"/>
      <c r="I253" s="9"/>
    </row>
    <row r="254" spans="1:9">
      <c r="A254" s="2"/>
      <c r="B254" s="2"/>
      <c r="C254" s="9"/>
      <c r="D254" s="8"/>
      <c r="E254" s="10"/>
      <c r="F254" s="10"/>
      <c r="G254" s="10"/>
      <c r="H254" s="10"/>
      <c r="I254" s="9"/>
    </row>
    <row r="255" spans="1:9">
      <c r="A255" s="2"/>
      <c r="B255" s="2"/>
      <c r="C255" s="9"/>
      <c r="D255" s="8"/>
      <c r="E255" s="10"/>
      <c r="F255" s="10"/>
      <c r="G255" s="10"/>
      <c r="H255" s="10"/>
      <c r="I255" s="9"/>
    </row>
    <row r="256" spans="1:9">
      <c r="A256" s="2"/>
      <c r="B256" s="2"/>
      <c r="C256" s="9"/>
      <c r="D256" s="8"/>
      <c r="E256" s="10"/>
      <c r="F256" s="10"/>
      <c r="G256" s="10"/>
      <c r="H256" s="10"/>
      <c r="I256" s="9"/>
    </row>
    <row r="257" spans="1:9">
      <c r="A257" s="2"/>
      <c r="B257" s="2"/>
      <c r="C257" s="9"/>
      <c r="D257" s="8"/>
      <c r="E257" s="10"/>
      <c r="F257" s="10"/>
      <c r="G257" s="10"/>
      <c r="H257" s="10"/>
      <c r="I257" s="9"/>
    </row>
    <row r="258" spans="1:9">
      <c r="A258" s="2"/>
      <c r="B258" s="2"/>
      <c r="C258" s="9"/>
      <c r="D258" s="8"/>
      <c r="E258" s="10"/>
      <c r="F258" s="10"/>
      <c r="G258" s="10"/>
      <c r="H258" s="10"/>
      <c r="I258" s="9"/>
    </row>
    <row r="259" spans="1:9">
      <c r="A259" s="2"/>
      <c r="B259" s="2"/>
      <c r="C259" s="9"/>
      <c r="D259" s="8"/>
      <c r="E259" s="10"/>
      <c r="F259" s="10"/>
      <c r="G259" s="10"/>
      <c r="H259" s="10"/>
      <c r="I259" s="9"/>
    </row>
    <row r="260" spans="1:9">
      <c r="A260" s="2"/>
      <c r="B260" s="2"/>
      <c r="C260" s="9"/>
      <c r="D260" s="8"/>
      <c r="E260" s="10"/>
      <c r="F260" s="10"/>
      <c r="G260" s="10"/>
      <c r="H260" s="10"/>
      <c r="I260" s="9"/>
    </row>
    <row r="261" spans="1:9">
      <c r="A261" s="2"/>
      <c r="B261" s="2"/>
      <c r="C261" s="9"/>
      <c r="D261" s="8"/>
      <c r="E261" s="10"/>
      <c r="F261" s="10"/>
      <c r="G261" s="10"/>
      <c r="H261" s="10"/>
      <c r="I261" s="9"/>
    </row>
    <row r="262" spans="1:9">
      <c r="A262" s="2"/>
      <c r="B262" s="2"/>
      <c r="C262" s="9"/>
      <c r="D262" s="8"/>
      <c r="E262" s="10"/>
      <c r="F262" s="10"/>
      <c r="G262" s="10"/>
      <c r="H262" s="10"/>
      <c r="I262" s="9"/>
    </row>
    <row r="263" spans="1:9">
      <c r="A263" s="2"/>
      <c r="B263" s="2"/>
      <c r="C263" s="9"/>
      <c r="D263" s="8"/>
      <c r="E263" s="10"/>
      <c r="F263" s="10"/>
      <c r="G263" s="10"/>
      <c r="H263" s="10"/>
      <c r="I263" s="9"/>
    </row>
    <row r="264" spans="1:9">
      <c r="A264" s="2"/>
      <c r="B264" s="2"/>
      <c r="C264" s="9"/>
      <c r="D264" s="8"/>
      <c r="E264" s="10"/>
      <c r="F264" s="10"/>
      <c r="G264" s="10"/>
      <c r="H264" s="10"/>
      <c r="I264" s="9"/>
    </row>
    <row r="265" spans="1:9">
      <c r="A265" s="2"/>
      <c r="B265" s="2"/>
      <c r="C265" s="9"/>
      <c r="D265" s="8"/>
      <c r="E265" s="10"/>
      <c r="F265" s="10"/>
      <c r="G265" s="10"/>
      <c r="H265" s="10"/>
      <c r="I265" s="9"/>
    </row>
    <row r="266" spans="1:9">
      <c r="A266" s="2"/>
      <c r="B266" s="2"/>
      <c r="C266" s="9"/>
      <c r="D266" s="8"/>
      <c r="E266" s="10"/>
      <c r="F266" s="10"/>
      <c r="G266" s="10"/>
      <c r="H266" s="10"/>
      <c r="I266" s="9"/>
    </row>
    <row r="267" spans="1:9">
      <c r="A267" s="2"/>
      <c r="B267" s="2"/>
      <c r="C267" s="9"/>
      <c r="D267" s="8"/>
      <c r="E267" s="10"/>
      <c r="F267" s="10"/>
      <c r="G267" s="10"/>
      <c r="H267" s="10"/>
      <c r="I267" s="9"/>
    </row>
    <row r="268" spans="1:9">
      <c r="A268" s="2"/>
      <c r="B268" s="2"/>
      <c r="C268" s="9"/>
      <c r="D268" s="8"/>
      <c r="E268" s="10"/>
      <c r="F268" s="10"/>
      <c r="G268" s="10"/>
      <c r="H268" s="10"/>
      <c r="I268" s="9"/>
    </row>
    <row r="269" spans="1:9">
      <c r="A269" s="2"/>
      <c r="B269" s="2"/>
      <c r="C269" s="9"/>
      <c r="D269" s="8"/>
      <c r="E269" s="10"/>
      <c r="F269" s="10"/>
      <c r="G269" s="10"/>
      <c r="H269" s="10"/>
      <c r="I269" s="9"/>
    </row>
    <row r="270" spans="1:9">
      <c r="A270" s="2"/>
      <c r="B270" s="2"/>
      <c r="C270" s="9"/>
      <c r="D270" s="8"/>
      <c r="E270" s="10"/>
      <c r="F270" s="10"/>
      <c r="G270" s="10"/>
      <c r="H270" s="10"/>
      <c r="I270" s="9"/>
    </row>
    <row r="271" spans="1:9">
      <c r="A271" s="2"/>
      <c r="B271" s="2"/>
      <c r="C271" s="9"/>
      <c r="D271" s="8"/>
      <c r="E271" s="10"/>
      <c r="F271" s="10"/>
      <c r="G271" s="10"/>
      <c r="H271" s="10"/>
      <c r="I271" s="9"/>
    </row>
    <row r="272" spans="1:9">
      <c r="A272" s="2"/>
      <c r="B272" s="2"/>
      <c r="C272" s="9"/>
      <c r="D272" s="8"/>
      <c r="E272" s="10"/>
      <c r="F272" s="10"/>
      <c r="G272" s="10"/>
      <c r="H272" s="10"/>
      <c r="I272" s="9"/>
    </row>
    <row r="273" spans="1:9">
      <c r="A273" s="2"/>
      <c r="B273" s="2"/>
      <c r="C273" s="9"/>
      <c r="D273" s="8"/>
      <c r="E273" s="10"/>
      <c r="F273" s="10"/>
      <c r="G273" s="10"/>
      <c r="H273" s="10"/>
      <c r="I273" s="9"/>
    </row>
    <row r="274" spans="1:9">
      <c r="A274" s="2"/>
      <c r="B274" s="2"/>
      <c r="C274" s="9"/>
      <c r="D274" s="8"/>
      <c r="E274" s="10"/>
      <c r="F274" s="10"/>
      <c r="G274" s="10"/>
      <c r="H274" s="10"/>
      <c r="I274" s="9"/>
    </row>
    <row r="275" spans="1:9">
      <c r="A275" s="2"/>
      <c r="B275" s="2"/>
      <c r="C275" s="9"/>
      <c r="D275" s="8"/>
      <c r="E275" s="10"/>
      <c r="F275" s="10"/>
      <c r="G275" s="10"/>
      <c r="H275" s="10"/>
      <c r="I275" s="9"/>
    </row>
    <row r="276" spans="1:9">
      <c r="A276" s="2"/>
      <c r="B276" s="2"/>
      <c r="C276" s="9"/>
      <c r="D276" s="8"/>
      <c r="E276" s="10"/>
      <c r="F276" s="10"/>
      <c r="G276" s="10"/>
      <c r="H276" s="10"/>
      <c r="I276" s="9"/>
    </row>
    <row r="277" spans="1:9">
      <c r="A277" s="2"/>
      <c r="B277" s="2"/>
      <c r="C277" s="9"/>
      <c r="D277" s="8"/>
      <c r="E277" s="10"/>
      <c r="F277" s="10"/>
      <c r="G277" s="10"/>
      <c r="H277" s="10"/>
      <c r="I277" s="9"/>
    </row>
    <row r="278" spans="1:9">
      <c r="A278" s="2"/>
      <c r="B278" s="2"/>
      <c r="C278" s="9"/>
      <c r="D278" s="8"/>
      <c r="E278" s="10"/>
      <c r="F278" s="10"/>
      <c r="G278" s="10"/>
      <c r="H278" s="10"/>
      <c r="I278" s="9"/>
    </row>
    <row r="279" spans="1:9">
      <c r="A279" s="2"/>
      <c r="B279" s="2"/>
      <c r="C279" s="9"/>
      <c r="D279" s="8"/>
      <c r="E279" s="10"/>
      <c r="F279" s="10"/>
      <c r="G279" s="10"/>
      <c r="H279" s="10"/>
      <c r="I279" s="9"/>
    </row>
    <row r="280" spans="1:9">
      <c r="A280" s="2"/>
      <c r="B280" s="2"/>
      <c r="C280" s="9"/>
      <c r="D280" s="8"/>
      <c r="E280" s="10"/>
      <c r="F280" s="10"/>
      <c r="G280" s="10"/>
      <c r="H280" s="10"/>
      <c r="I280" s="9"/>
    </row>
    <row r="281" spans="1:9">
      <c r="A281" s="2"/>
      <c r="B281" s="2"/>
      <c r="C281" s="9"/>
      <c r="D281" s="8"/>
      <c r="E281" s="10"/>
      <c r="F281" s="10"/>
      <c r="G281" s="10"/>
      <c r="H281" s="10"/>
      <c r="I281" s="9"/>
    </row>
    <row r="282" spans="1:9">
      <c r="A282" s="2"/>
      <c r="B282" s="2"/>
      <c r="C282" s="9"/>
      <c r="D282" s="8"/>
      <c r="E282" s="10"/>
      <c r="F282" s="10"/>
      <c r="G282" s="10"/>
      <c r="H282" s="10"/>
      <c r="I282" s="9"/>
    </row>
    <row r="283" spans="1:9">
      <c r="A283" s="2"/>
      <c r="B283" s="2"/>
      <c r="C283" s="9"/>
      <c r="D283" s="8"/>
      <c r="E283" s="10"/>
      <c r="F283" s="10"/>
      <c r="G283" s="10"/>
      <c r="H283" s="10"/>
      <c r="I283" s="9"/>
    </row>
    <row r="284" spans="1:9">
      <c r="A284" s="2"/>
      <c r="B284" s="2"/>
      <c r="C284" s="9"/>
      <c r="D284" s="8"/>
      <c r="E284" s="10"/>
      <c r="F284" s="10"/>
      <c r="G284" s="10"/>
      <c r="H284" s="10"/>
      <c r="I284" s="9"/>
    </row>
    <row r="285" spans="1:9">
      <c r="A285" s="2"/>
      <c r="B285" s="2"/>
      <c r="C285" s="9"/>
      <c r="D285" s="8"/>
      <c r="E285" s="10"/>
      <c r="F285" s="10"/>
      <c r="G285" s="10"/>
      <c r="H285" s="10"/>
      <c r="I285" s="9"/>
    </row>
    <row r="286" spans="1:9">
      <c r="A286" s="2"/>
      <c r="B286" s="2"/>
      <c r="C286" s="9"/>
      <c r="D286" s="8"/>
      <c r="E286" s="10"/>
      <c r="F286" s="10"/>
      <c r="G286" s="10"/>
      <c r="H286" s="10"/>
      <c r="I286" s="9"/>
    </row>
    <row r="287" spans="1:9">
      <c r="A287" s="2"/>
      <c r="B287" s="2"/>
      <c r="C287" s="9"/>
      <c r="D287" s="8"/>
      <c r="E287" s="10"/>
      <c r="F287" s="10"/>
      <c r="G287" s="10"/>
      <c r="H287" s="10"/>
      <c r="I287" s="9"/>
    </row>
    <row r="288" spans="1:9">
      <c r="A288" s="2"/>
      <c r="B288" s="2"/>
      <c r="C288" s="9"/>
      <c r="D288" s="8"/>
      <c r="E288" s="10"/>
      <c r="F288" s="10"/>
      <c r="G288" s="10"/>
      <c r="H288" s="10"/>
      <c r="I288" s="9"/>
    </row>
    <row r="289" spans="1:9">
      <c r="A289" s="2"/>
      <c r="B289" s="2"/>
      <c r="C289" s="9"/>
      <c r="D289" s="8"/>
      <c r="E289" s="10"/>
      <c r="F289" s="10"/>
      <c r="G289" s="10"/>
      <c r="H289" s="10"/>
      <c r="I289" s="9"/>
    </row>
    <row r="290" spans="1:9">
      <c r="A290" s="2"/>
      <c r="B290" s="2"/>
      <c r="C290" s="9"/>
      <c r="D290" s="8"/>
      <c r="E290" s="10"/>
      <c r="F290" s="10"/>
      <c r="G290" s="10"/>
      <c r="H290" s="10"/>
      <c r="I290" s="9"/>
    </row>
    <row r="291" spans="1:9">
      <c r="A291" s="2"/>
      <c r="B291" s="2"/>
      <c r="C291" s="9"/>
      <c r="D291" s="8"/>
      <c r="E291" s="10"/>
      <c r="F291" s="10"/>
      <c r="G291" s="10"/>
      <c r="H291" s="10"/>
      <c r="I291" s="9"/>
    </row>
    <row r="292" spans="1:9">
      <c r="A292" s="2"/>
      <c r="B292" s="2"/>
      <c r="C292" s="9"/>
      <c r="D292" s="8"/>
      <c r="E292" s="10"/>
      <c r="F292" s="10"/>
      <c r="G292" s="10"/>
      <c r="H292" s="10"/>
      <c r="I292" s="9"/>
    </row>
    <row r="293" spans="1:9">
      <c r="A293" s="2"/>
      <c r="B293" s="2"/>
      <c r="C293" s="9"/>
      <c r="D293" s="8"/>
      <c r="E293" s="10"/>
      <c r="F293" s="10"/>
      <c r="G293" s="10"/>
      <c r="H293" s="10"/>
      <c r="I293" s="9"/>
    </row>
    <row r="294" spans="1:9">
      <c r="A294" s="2"/>
      <c r="B294" s="2"/>
      <c r="C294" s="9"/>
      <c r="D294" s="8"/>
      <c r="E294" s="10"/>
      <c r="F294" s="10"/>
      <c r="G294" s="10"/>
      <c r="H294" s="10"/>
      <c r="I294" s="9"/>
    </row>
    <row r="295" spans="1:9">
      <c r="A295" s="2"/>
      <c r="B295" s="2"/>
      <c r="C295" s="9"/>
      <c r="D295" s="8"/>
      <c r="E295" s="10"/>
      <c r="F295" s="10"/>
      <c r="G295" s="10"/>
      <c r="H295" s="10"/>
      <c r="I295" s="9"/>
    </row>
    <row r="296" spans="1:9">
      <c r="A296" s="2"/>
      <c r="B296" s="2"/>
      <c r="C296" s="9"/>
      <c r="D296" s="8"/>
      <c r="E296" s="10"/>
      <c r="F296" s="10"/>
      <c r="G296" s="10"/>
      <c r="H296" s="10"/>
      <c r="I296" s="9"/>
    </row>
    <row r="297" spans="1:9">
      <c r="A297" s="2"/>
      <c r="B297" s="2"/>
      <c r="C297" s="9"/>
      <c r="D297" s="8"/>
      <c r="E297" s="10"/>
      <c r="F297" s="10"/>
      <c r="G297" s="10"/>
      <c r="H297" s="10"/>
      <c r="I297" s="9"/>
    </row>
    <row r="298" spans="1:9">
      <c r="A298" s="2"/>
      <c r="B298" s="2"/>
      <c r="C298" s="9"/>
      <c r="D298" s="8"/>
      <c r="E298" s="10"/>
      <c r="F298" s="10"/>
      <c r="G298" s="10"/>
      <c r="H298" s="10"/>
      <c r="I298" s="9"/>
    </row>
    <row r="299" spans="1:9">
      <c r="A299" s="2"/>
      <c r="B299" s="2"/>
      <c r="C299" s="9"/>
      <c r="D299" s="8"/>
      <c r="E299" s="10"/>
      <c r="F299" s="10"/>
      <c r="G299" s="10"/>
      <c r="H299" s="10"/>
      <c r="I299" s="9"/>
    </row>
    <row r="300" spans="1:9">
      <c r="A300" s="2"/>
      <c r="B300" s="2"/>
      <c r="C300" s="9"/>
      <c r="D300" s="8"/>
      <c r="E300" s="10"/>
      <c r="F300" s="10"/>
      <c r="G300" s="10"/>
      <c r="H300" s="10"/>
      <c r="I300" s="9"/>
    </row>
    <row r="301" spans="1:9">
      <c r="A301" s="2"/>
      <c r="B301" s="2"/>
      <c r="C301" s="9"/>
      <c r="D301" s="8"/>
      <c r="E301" s="10"/>
      <c r="F301" s="10"/>
      <c r="G301" s="10"/>
      <c r="H301" s="10"/>
      <c r="I301" s="9"/>
    </row>
    <row r="302" spans="1:9">
      <c r="A302" s="2"/>
      <c r="B302" s="2"/>
      <c r="C302" s="9"/>
      <c r="D302" s="8"/>
      <c r="E302" s="10"/>
      <c r="F302" s="10"/>
      <c r="G302" s="10"/>
      <c r="H302" s="10"/>
      <c r="I302" s="9"/>
    </row>
    <row r="303" spans="1:9">
      <c r="A303" s="2"/>
      <c r="B303" s="2"/>
      <c r="C303" s="9"/>
      <c r="D303" s="8"/>
      <c r="E303" s="10"/>
      <c r="F303" s="10"/>
      <c r="G303" s="10"/>
      <c r="H303" s="10"/>
      <c r="I303" s="9"/>
    </row>
    <row r="304" spans="1:9">
      <c r="A304" s="2"/>
      <c r="B304" s="2"/>
      <c r="C304" s="9"/>
      <c r="D304" s="8"/>
      <c r="E304" s="10"/>
      <c r="F304" s="10"/>
      <c r="G304" s="10"/>
      <c r="H304" s="10"/>
      <c r="I304" s="9"/>
    </row>
    <row r="305" spans="1:9">
      <c r="A305" s="2"/>
      <c r="B305" s="2"/>
      <c r="C305" s="9"/>
      <c r="D305" s="8"/>
      <c r="E305" s="10"/>
      <c r="F305" s="10"/>
      <c r="G305" s="10"/>
      <c r="H305" s="10"/>
      <c r="I305" s="9"/>
    </row>
    <row r="306" spans="1:9">
      <c r="A306" s="2"/>
      <c r="B306" s="2"/>
      <c r="C306" s="9"/>
      <c r="D306" s="8"/>
      <c r="E306" s="10"/>
      <c r="F306" s="10"/>
      <c r="G306" s="10"/>
      <c r="H306" s="10"/>
      <c r="I306" s="9"/>
    </row>
    <row r="307" spans="1:9">
      <c r="A307" s="2"/>
      <c r="B307" s="2"/>
      <c r="C307" s="9"/>
      <c r="D307" s="8"/>
      <c r="E307" s="10"/>
      <c r="F307" s="10"/>
      <c r="G307" s="10"/>
      <c r="H307" s="10"/>
      <c r="I307" s="9"/>
    </row>
    <row r="308" spans="1:9">
      <c r="A308" s="2"/>
      <c r="B308" s="2"/>
      <c r="C308" s="9"/>
      <c r="D308" s="8"/>
      <c r="E308" s="10"/>
      <c r="F308" s="10"/>
      <c r="G308" s="10"/>
      <c r="H308" s="10"/>
      <c r="I308" s="9"/>
    </row>
    <row r="309" spans="1:9">
      <c r="A309" s="2"/>
      <c r="B309" s="2"/>
      <c r="C309" s="9"/>
      <c r="D309" s="8"/>
      <c r="E309" s="10"/>
      <c r="F309" s="10"/>
      <c r="G309" s="10"/>
      <c r="H309" s="10"/>
      <c r="I309" s="9"/>
    </row>
    <row r="310" spans="1:9">
      <c r="A310" s="2"/>
      <c r="B310" s="2"/>
      <c r="C310" s="9"/>
      <c r="D310" s="8"/>
      <c r="E310" s="10"/>
      <c r="F310" s="10"/>
      <c r="G310" s="10"/>
      <c r="H310" s="10"/>
      <c r="I310" s="9"/>
    </row>
    <row r="311" spans="1:9">
      <c r="A311" s="2"/>
      <c r="B311" s="2"/>
      <c r="C311" s="9"/>
      <c r="D311" s="8"/>
      <c r="E311" s="10"/>
      <c r="F311" s="10"/>
      <c r="G311" s="10"/>
      <c r="H311" s="10"/>
      <c r="I311" s="9"/>
    </row>
    <row r="312" spans="1:9">
      <c r="A312" s="2"/>
      <c r="B312" s="2"/>
      <c r="C312" s="9"/>
      <c r="D312" s="8"/>
      <c r="E312" s="10"/>
      <c r="F312" s="10"/>
      <c r="G312" s="10"/>
      <c r="H312" s="10"/>
      <c r="I312" s="9"/>
    </row>
    <row r="313" spans="1:9">
      <c r="A313" s="2"/>
      <c r="B313" s="2"/>
      <c r="C313" s="9"/>
      <c r="D313" s="8"/>
      <c r="E313" s="10"/>
      <c r="F313" s="10"/>
      <c r="G313" s="10"/>
      <c r="H313" s="10"/>
      <c r="I313" s="9"/>
    </row>
    <row r="314" spans="1:9">
      <c r="A314" s="2"/>
      <c r="B314" s="2"/>
      <c r="C314" s="9"/>
      <c r="D314" s="8"/>
      <c r="E314" s="10"/>
      <c r="F314" s="10"/>
      <c r="G314" s="10"/>
      <c r="H314" s="10"/>
      <c r="I314" s="9"/>
    </row>
    <row r="315" spans="1:9">
      <c r="A315" s="2"/>
      <c r="B315" s="2"/>
      <c r="C315" s="9"/>
      <c r="D315" s="8"/>
      <c r="E315" s="10"/>
      <c r="F315" s="10"/>
      <c r="G315" s="10"/>
      <c r="H315" s="10"/>
      <c r="I315" s="9"/>
    </row>
    <row r="316" spans="1:9">
      <c r="A316" s="2"/>
      <c r="B316" s="2"/>
      <c r="C316" s="9"/>
      <c r="D316" s="8"/>
      <c r="E316" s="10"/>
      <c r="F316" s="10"/>
      <c r="G316" s="10"/>
      <c r="H316" s="10"/>
      <c r="I316" s="9"/>
    </row>
    <row r="317" spans="1:9">
      <c r="A317" s="2"/>
      <c r="B317" s="2"/>
      <c r="C317" s="9"/>
      <c r="D317" s="8"/>
      <c r="E317" s="10"/>
      <c r="F317" s="10"/>
      <c r="G317" s="10"/>
      <c r="H317" s="10"/>
      <c r="I317" s="9"/>
    </row>
    <row r="318" spans="1:9">
      <c r="A318" s="2"/>
      <c r="B318" s="2"/>
      <c r="C318" s="9"/>
      <c r="D318" s="8"/>
      <c r="E318" s="10"/>
      <c r="F318" s="10"/>
      <c r="G318" s="10"/>
      <c r="H318" s="10"/>
      <c r="I318" s="9"/>
    </row>
    <row r="319" spans="1:9">
      <c r="A319" s="2"/>
      <c r="B319" s="2"/>
      <c r="C319" s="9"/>
      <c r="D319" s="8"/>
      <c r="E319" s="10"/>
      <c r="F319" s="10"/>
      <c r="G319" s="10"/>
      <c r="H319" s="10"/>
      <c r="I319" s="9"/>
    </row>
    <row r="320" spans="1:9">
      <c r="A320" s="2"/>
      <c r="B320" s="2"/>
      <c r="C320" s="9"/>
      <c r="D320" s="8"/>
      <c r="E320" s="10"/>
      <c r="F320" s="10"/>
      <c r="G320" s="10"/>
      <c r="H320" s="10"/>
      <c r="I320" s="9"/>
    </row>
    <row r="321" spans="1:9">
      <c r="A321" s="2"/>
      <c r="B321" s="2"/>
      <c r="C321" s="9"/>
      <c r="D321" s="8"/>
      <c r="E321" s="10"/>
      <c r="F321" s="10"/>
      <c r="G321" s="10"/>
      <c r="H321" s="10"/>
      <c r="I321" s="9"/>
    </row>
    <row r="322" spans="1:9">
      <c r="A322" s="2"/>
      <c r="B322" s="2"/>
      <c r="C322" s="9"/>
      <c r="D322" s="8"/>
      <c r="E322" s="10"/>
      <c r="F322" s="10"/>
      <c r="G322" s="10"/>
      <c r="H322" s="10"/>
      <c r="I322" s="9"/>
    </row>
    <row r="323" spans="1:9">
      <c r="A323" s="2"/>
      <c r="B323" s="2"/>
      <c r="C323" s="9"/>
      <c r="D323" s="8"/>
      <c r="E323" s="10"/>
      <c r="F323" s="10"/>
      <c r="G323" s="10"/>
      <c r="H323" s="10"/>
      <c r="I323" s="9"/>
    </row>
    <row r="324" spans="1:9">
      <c r="A324" s="2"/>
      <c r="B324" s="2"/>
      <c r="C324" s="9"/>
      <c r="D324" s="8"/>
      <c r="E324" s="10"/>
      <c r="F324" s="10"/>
      <c r="G324" s="10"/>
      <c r="H324" s="10"/>
      <c r="I324" s="9"/>
    </row>
    <row r="325" spans="1:9">
      <c r="A325" s="2"/>
      <c r="B325" s="2"/>
      <c r="C325" s="9"/>
      <c r="D325" s="8"/>
      <c r="E325" s="10"/>
      <c r="F325" s="10"/>
      <c r="G325" s="10"/>
      <c r="H325" s="10"/>
      <c r="I325" s="9"/>
    </row>
    <row r="326" spans="1:9">
      <c r="A326" s="2"/>
      <c r="B326" s="2"/>
      <c r="C326" s="9"/>
      <c r="D326" s="8"/>
      <c r="E326" s="10"/>
      <c r="F326" s="10"/>
      <c r="G326" s="10"/>
      <c r="H326" s="10"/>
      <c r="I326" s="9"/>
    </row>
    <row r="327" spans="1:9">
      <c r="A327" s="2"/>
      <c r="B327" s="2"/>
      <c r="C327" s="9"/>
      <c r="D327" s="8"/>
      <c r="E327" s="10"/>
      <c r="F327" s="10"/>
      <c r="G327" s="10"/>
      <c r="H327" s="10"/>
      <c r="I327" s="9"/>
    </row>
    <row r="328" spans="1:9">
      <c r="A328" s="2"/>
      <c r="B328" s="2"/>
      <c r="C328" s="9"/>
      <c r="D328" s="8"/>
      <c r="E328" s="10"/>
      <c r="F328" s="10"/>
      <c r="G328" s="10"/>
      <c r="H328" s="10"/>
      <c r="I328" s="9"/>
    </row>
    <row r="329" spans="1:9">
      <c r="A329" s="2"/>
      <c r="B329" s="2"/>
      <c r="C329" s="9"/>
      <c r="D329" s="8"/>
      <c r="E329" s="10"/>
      <c r="F329" s="10"/>
      <c r="G329" s="10"/>
      <c r="H329" s="10"/>
      <c r="I329" s="9"/>
    </row>
    <row r="330" spans="1:9">
      <c r="A330" s="2"/>
      <c r="B330" s="2"/>
      <c r="C330" s="9"/>
      <c r="D330" s="8"/>
      <c r="E330" s="10"/>
      <c r="F330" s="10"/>
      <c r="G330" s="10"/>
      <c r="H330" s="10"/>
      <c r="I330" s="9"/>
    </row>
    <row r="331" spans="1:9">
      <c r="A331" s="2"/>
      <c r="B331" s="2"/>
      <c r="C331" s="9"/>
      <c r="D331" s="8"/>
      <c r="E331" s="10"/>
      <c r="F331" s="10"/>
      <c r="G331" s="10"/>
      <c r="H331" s="10"/>
      <c r="I331" s="9"/>
    </row>
    <row r="332" spans="1:9">
      <c r="A332" s="2"/>
      <c r="B332" s="2"/>
      <c r="C332" s="9"/>
      <c r="D332" s="8"/>
      <c r="E332" s="10"/>
      <c r="F332" s="10"/>
      <c r="G332" s="10"/>
      <c r="H332" s="10"/>
      <c r="I332" s="9"/>
    </row>
    <row r="333" spans="1:9">
      <c r="A333" s="2"/>
      <c r="B333" s="2"/>
      <c r="C333" s="9"/>
      <c r="D333" s="8"/>
      <c r="E333" s="10"/>
      <c r="F333" s="10"/>
      <c r="G333" s="10"/>
      <c r="H333" s="10"/>
      <c r="I333" s="9"/>
    </row>
    <row r="334" spans="1:9">
      <c r="A334" s="2"/>
      <c r="B334" s="2"/>
      <c r="C334" s="9"/>
      <c r="D334" s="8"/>
      <c r="E334" s="10"/>
      <c r="F334" s="10"/>
      <c r="G334" s="10"/>
      <c r="H334" s="10"/>
      <c r="I334" s="9"/>
    </row>
    <row r="335" spans="1:9">
      <c r="A335" s="2"/>
      <c r="B335" s="2"/>
      <c r="C335" s="9"/>
      <c r="D335" s="8"/>
      <c r="E335" s="10"/>
      <c r="F335" s="10"/>
      <c r="G335" s="10"/>
      <c r="H335" s="10"/>
      <c r="I335" s="9"/>
    </row>
    <row r="336" spans="1:9">
      <c r="A336" s="2"/>
      <c r="B336" s="2"/>
      <c r="C336" s="9"/>
      <c r="D336" s="8"/>
      <c r="E336" s="10"/>
      <c r="F336" s="10"/>
      <c r="G336" s="10"/>
      <c r="H336" s="10"/>
      <c r="I336" s="9"/>
    </row>
    <row r="337" spans="1:9">
      <c r="A337" s="2"/>
      <c r="B337" s="2"/>
      <c r="C337" s="9"/>
      <c r="D337" s="8"/>
      <c r="E337" s="10"/>
      <c r="F337" s="10"/>
      <c r="G337" s="10"/>
      <c r="H337" s="10"/>
      <c r="I337" s="9"/>
    </row>
    <row r="338" spans="1:9">
      <c r="A338" s="2"/>
      <c r="B338" s="2"/>
      <c r="C338" s="9"/>
      <c r="D338" s="8"/>
      <c r="E338" s="10"/>
      <c r="F338" s="10"/>
      <c r="G338" s="10"/>
      <c r="H338" s="10"/>
      <c r="I338" s="9"/>
    </row>
    <row r="339" spans="1:9">
      <c r="A339" s="2"/>
      <c r="B339" s="2"/>
      <c r="C339" s="9"/>
      <c r="D339" s="8"/>
      <c r="E339" s="10"/>
      <c r="F339" s="10"/>
      <c r="G339" s="10"/>
      <c r="H339" s="10"/>
      <c r="I339" s="9"/>
    </row>
    <row r="340" spans="1:9">
      <c r="A340" s="2"/>
      <c r="B340" s="2"/>
      <c r="C340" s="9"/>
      <c r="D340" s="8"/>
      <c r="E340" s="10"/>
      <c r="F340" s="10"/>
      <c r="G340" s="10"/>
      <c r="H340" s="10"/>
      <c r="I340" s="9"/>
    </row>
    <row r="341" spans="1:9">
      <c r="A341" s="2"/>
      <c r="B341" s="2"/>
      <c r="C341" s="9"/>
      <c r="D341" s="8"/>
      <c r="E341" s="10"/>
      <c r="F341" s="10"/>
      <c r="G341" s="10"/>
      <c r="H341" s="10"/>
      <c r="I341" s="9"/>
    </row>
    <row r="342" spans="1:9">
      <c r="A342" s="2"/>
      <c r="B342" s="2"/>
      <c r="C342" s="9"/>
      <c r="D342" s="8"/>
      <c r="E342" s="10"/>
      <c r="F342" s="10"/>
      <c r="G342" s="10"/>
      <c r="H342" s="10"/>
      <c r="I342" s="9"/>
    </row>
    <row r="343" spans="1:9">
      <c r="A343" s="2"/>
      <c r="B343" s="2"/>
      <c r="C343" s="9"/>
      <c r="D343" s="8"/>
      <c r="E343" s="10"/>
      <c r="F343" s="10"/>
      <c r="G343" s="10"/>
      <c r="H343" s="10"/>
      <c r="I343" s="9"/>
    </row>
    <row r="344" spans="1:9">
      <c r="A344" s="2"/>
      <c r="B344" s="2"/>
      <c r="C344" s="9"/>
      <c r="D344" s="8"/>
      <c r="E344" s="10"/>
      <c r="F344" s="10"/>
      <c r="G344" s="10"/>
      <c r="H344" s="10"/>
      <c r="I344" s="9"/>
    </row>
    <row r="345" spans="1:9">
      <c r="A345" s="2"/>
      <c r="B345" s="2"/>
      <c r="C345" s="9"/>
      <c r="D345" s="8"/>
      <c r="E345" s="10"/>
      <c r="F345" s="10"/>
      <c r="G345" s="10"/>
      <c r="H345" s="10"/>
      <c r="I345" s="9"/>
    </row>
    <row r="346" spans="1:9">
      <c r="A346" s="2"/>
      <c r="B346" s="2"/>
      <c r="C346" s="9"/>
      <c r="D346" s="8"/>
      <c r="E346" s="10"/>
      <c r="F346" s="10"/>
      <c r="G346" s="10"/>
      <c r="H346" s="10"/>
      <c r="I346" s="9"/>
    </row>
    <row r="347" spans="1:9">
      <c r="A347" s="2"/>
      <c r="B347" s="2"/>
      <c r="C347" s="9"/>
      <c r="D347" s="8"/>
      <c r="E347" s="10"/>
      <c r="F347" s="10"/>
      <c r="G347" s="10"/>
      <c r="H347" s="10"/>
      <c r="I347" s="9"/>
    </row>
    <row r="348" spans="1:9">
      <c r="A348" s="2"/>
      <c r="B348" s="2"/>
      <c r="C348" s="9"/>
      <c r="D348" s="8"/>
      <c r="E348" s="10"/>
      <c r="F348" s="10"/>
      <c r="G348" s="10"/>
      <c r="H348" s="10"/>
      <c r="I348" s="9"/>
    </row>
    <row r="349" spans="1:9">
      <c r="A349" s="2"/>
      <c r="B349" s="2"/>
      <c r="C349" s="9"/>
      <c r="D349" s="8"/>
      <c r="E349" s="10"/>
      <c r="F349" s="10"/>
      <c r="G349" s="10"/>
      <c r="H349" s="10"/>
      <c r="I349" s="9"/>
    </row>
    <row r="350" spans="1:9">
      <c r="A350" s="2"/>
      <c r="B350" s="2"/>
      <c r="C350" s="9"/>
      <c r="D350" s="8"/>
      <c r="E350" s="10"/>
      <c r="F350" s="10"/>
      <c r="G350" s="10"/>
      <c r="H350" s="10"/>
      <c r="I350" s="9"/>
    </row>
    <row r="351" spans="1:9">
      <c r="A351" s="2"/>
      <c r="B351" s="2"/>
      <c r="C351" s="9"/>
      <c r="D351" s="8"/>
      <c r="E351" s="10"/>
      <c r="F351" s="10"/>
      <c r="G351" s="10"/>
      <c r="H351" s="10"/>
      <c r="I351" s="9"/>
    </row>
    <row r="352" spans="1:9">
      <c r="A352" s="2"/>
      <c r="B352" s="2"/>
      <c r="C352" s="9"/>
      <c r="D352" s="8"/>
      <c r="E352" s="10"/>
      <c r="F352" s="10"/>
      <c r="G352" s="10"/>
      <c r="H352" s="10"/>
      <c r="I352" s="9"/>
    </row>
    <row r="353" spans="1:9">
      <c r="A353" s="2"/>
      <c r="B353" s="2"/>
      <c r="C353" s="9"/>
      <c r="D353" s="8"/>
      <c r="E353" s="10"/>
      <c r="F353" s="10"/>
      <c r="G353" s="10"/>
      <c r="H353" s="10"/>
      <c r="I353" s="9"/>
    </row>
    <row r="354" spans="1:9">
      <c r="A354" s="2"/>
      <c r="B354" s="2"/>
      <c r="C354" s="9"/>
      <c r="D354" s="8"/>
      <c r="E354" s="10"/>
      <c r="F354" s="10"/>
      <c r="G354" s="10"/>
      <c r="H354" s="10"/>
      <c r="I354" s="9"/>
    </row>
    <row r="355" spans="1:9">
      <c r="A355" s="2"/>
      <c r="B355" s="2"/>
      <c r="C355" s="9"/>
      <c r="D355" s="8"/>
      <c r="E355" s="10"/>
      <c r="F355" s="10"/>
      <c r="G355" s="10"/>
      <c r="H355" s="10"/>
      <c r="I355" s="9"/>
    </row>
    <row r="356" spans="1:9">
      <c r="A356" s="2"/>
      <c r="B356" s="2"/>
      <c r="C356" s="9"/>
      <c r="D356" s="8"/>
      <c r="E356" s="10"/>
      <c r="F356" s="10"/>
      <c r="G356" s="10"/>
      <c r="H356" s="10"/>
      <c r="I356" s="9"/>
    </row>
    <row r="357" spans="1:9">
      <c r="A357" s="2"/>
      <c r="B357" s="2"/>
      <c r="C357" s="9"/>
      <c r="D357" s="8"/>
      <c r="E357" s="10"/>
      <c r="F357" s="10"/>
      <c r="G357" s="10"/>
      <c r="H357" s="10"/>
      <c r="I357" s="9"/>
    </row>
    <row r="358" spans="1:9">
      <c r="A358" s="2"/>
      <c r="B358" s="2"/>
      <c r="C358" s="9"/>
      <c r="D358" s="8"/>
      <c r="E358" s="10"/>
      <c r="F358" s="10"/>
      <c r="G358" s="10"/>
      <c r="H358" s="10"/>
      <c r="I358" s="9"/>
    </row>
    <row r="359" spans="1:9">
      <c r="A359" s="2"/>
      <c r="B359" s="2"/>
      <c r="C359" s="9"/>
      <c r="D359" s="8"/>
      <c r="E359" s="10"/>
      <c r="F359" s="10"/>
      <c r="G359" s="10"/>
      <c r="H359" s="10"/>
      <c r="I359" s="9"/>
    </row>
    <row r="360" spans="1:9">
      <c r="A360" s="2"/>
      <c r="B360" s="2"/>
      <c r="C360" s="9"/>
      <c r="D360" s="8"/>
      <c r="E360" s="10"/>
      <c r="F360" s="10"/>
      <c r="G360" s="10"/>
      <c r="H360" s="10"/>
      <c r="I360" s="9"/>
    </row>
    <row r="361" spans="1:9">
      <c r="A361" s="2"/>
      <c r="B361" s="2"/>
      <c r="C361" s="9"/>
      <c r="D361" s="8"/>
      <c r="E361" s="10"/>
      <c r="F361" s="10"/>
      <c r="G361" s="10"/>
      <c r="H361" s="10"/>
      <c r="I361" s="9"/>
    </row>
    <row r="362" spans="1:9">
      <c r="A362" s="2"/>
      <c r="B362" s="2"/>
      <c r="C362" s="9"/>
      <c r="D362" s="8"/>
      <c r="E362" s="10"/>
      <c r="F362" s="10"/>
      <c r="G362" s="10"/>
      <c r="H362" s="10"/>
      <c r="I362" s="9"/>
    </row>
    <row r="363" spans="1:9">
      <c r="A363" s="2"/>
      <c r="B363" s="2"/>
      <c r="C363" s="9"/>
      <c r="D363" s="8"/>
      <c r="E363" s="10"/>
      <c r="F363" s="10"/>
      <c r="G363" s="10"/>
      <c r="H363" s="10"/>
      <c r="I363" s="9"/>
    </row>
    <row r="364" spans="1:9">
      <c r="A364" s="2"/>
      <c r="B364" s="2"/>
      <c r="C364" s="9"/>
      <c r="D364" s="8"/>
      <c r="E364" s="10"/>
      <c r="F364" s="10"/>
      <c r="G364" s="10"/>
      <c r="H364" s="10"/>
      <c r="I364" s="9"/>
    </row>
    <row r="365" spans="1:9">
      <c r="A365" s="2"/>
      <c r="B365" s="2"/>
      <c r="C365" s="9"/>
      <c r="D365" s="8"/>
      <c r="E365" s="10"/>
      <c r="F365" s="10"/>
      <c r="G365" s="10"/>
      <c r="H365" s="10"/>
      <c r="I365" s="9"/>
    </row>
    <row r="366" spans="1:9">
      <c r="A366" s="2"/>
      <c r="B366" s="2"/>
      <c r="C366" s="9"/>
      <c r="D366" s="8"/>
      <c r="E366" s="10"/>
      <c r="F366" s="10"/>
      <c r="G366" s="10"/>
      <c r="H366" s="10"/>
      <c r="I366" s="9"/>
    </row>
    <row r="367" spans="1:9">
      <c r="A367" s="2"/>
      <c r="B367" s="2"/>
      <c r="C367" s="9"/>
      <c r="D367" s="8"/>
      <c r="E367" s="10"/>
      <c r="F367" s="10"/>
      <c r="G367" s="10"/>
      <c r="H367" s="10"/>
      <c r="I367" s="9"/>
    </row>
    <row r="368" spans="1:9">
      <c r="A368" s="2"/>
      <c r="B368" s="2"/>
      <c r="C368" s="9"/>
      <c r="D368" s="8"/>
      <c r="E368" s="10"/>
      <c r="F368" s="10"/>
      <c r="G368" s="10"/>
      <c r="H368" s="10"/>
      <c r="I368" s="9"/>
    </row>
    <row r="369" spans="1:9">
      <c r="A369" s="2"/>
      <c r="B369" s="2"/>
      <c r="C369" s="9"/>
      <c r="D369" s="8"/>
      <c r="E369" s="10"/>
      <c r="F369" s="10"/>
      <c r="G369" s="10"/>
      <c r="H369" s="10"/>
      <c r="I369" s="9"/>
    </row>
    <row r="370" spans="1:9">
      <c r="A370" s="2"/>
      <c r="B370" s="2"/>
      <c r="C370" s="9"/>
      <c r="D370" s="8"/>
      <c r="E370" s="10"/>
      <c r="F370" s="10"/>
      <c r="G370" s="10"/>
      <c r="H370" s="10"/>
      <c r="I370" s="9"/>
    </row>
    <row r="371" spans="1:9">
      <c r="A371" s="2"/>
      <c r="B371" s="2"/>
      <c r="C371" s="9"/>
      <c r="D371" s="8"/>
      <c r="E371" s="10"/>
      <c r="F371" s="10"/>
      <c r="G371" s="10"/>
      <c r="H371" s="10"/>
      <c r="I371" s="9"/>
    </row>
    <row r="372" spans="1:9">
      <c r="A372" s="2"/>
      <c r="B372" s="2"/>
      <c r="C372" s="9"/>
      <c r="D372" s="8"/>
      <c r="E372" s="10"/>
      <c r="F372" s="10"/>
      <c r="G372" s="10"/>
      <c r="H372" s="10"/>
      <c r="I372" s="9"/>
    </row>
    <row r="373" spans="1:9">
      <c r="A373" s="2"/>
      <c r="B373" s="2"/>
      <c r="C373" s="9"/>
      <c r="D373" s="8"/>
      <c r="E373" s="10"/>
      <c r="F373" s="10"/>
      <c r="G373" s="10"/>
      <c r="H373" s="10"/>
      <c r="I373" s="9"/>
    </row>
    <row r="374" spans="1:9">
      <c r="A374" s="2"/>
      <c r="B374" s="2"/>
      <c r="C374" s="9"/>
      <c r="D374" s="8"/>
      <c r="E374" s="10"/>
      <c r="F374" s="10"/>
      <c r="G374" s="10"/>
      <c r="H374" s="10"/>
      <c r="I374" s="9"/>
    </row>
    <row r="375" spans="1:9">
      <c r="A375" s="2"/>
      <c r="B375" s="2"/>
      <c r="C375" s="9"/>
      <c r="D375" s="8"/>
      <c r="E375" s="10"/>
      <c r="F375" s="10"/>
      <c r="G375" s="10"/>
      <c r="H375" s="10"/>
      <c r="I375" s="9"/>
    </row>
    <row r="376" spans="1:9">
      <c r="A376" s="2"/>
      <c r="B376" s="2"/>
      <c r="C376" s="9"/>
      <c r="D376" s="8"/>
      <c r="E376" s="10"/>
      <c r="F376" s="10"/>
      <c r="G376" s="10"/>
      <c r="H376" s="10"/>
      <c r="I376" s="9"/>
    </row>
    <row r="377" spans="1:9">
      <c r="A377" s="2"/>
      <c r="B377" s="2"/>
      <c r="C377" s="9"/>
      <c r="D377" s="8"/>
      <c r="E377" s="10"/>
      <c r="F377" s="10"/>
      <c r="G377" s="10"/>
      <c r="H377" s="10"/>
      <c r="I377" s="9"/>
    </row>
    <row r="378" spans="1:9">
      <c r="A378" s="2"/>
      <c r="B378" s="2"/>
      <c r="C378" s="9"/>
      <c r="D378" s="8"/>
      <c r="E378" s="10"/>
      <c r="F378" s="10"/>
      <c r="G378" s="10"/>
      <c r="H378" s="10"/>
      <c r="I378" s="9"/>
    </row>
    <row r="379" spans="1:9">
      <c r="A379" s="2"/>
      <c r="B379" s="2"/>
      <c r="C379" s="9"/>
      <c r="D379" s="8"/>
      <c r="E379" s="10"/>
      <c r="F379" s="10"/>
      <c r="G379" s="10"/>
      <c r="H379" s="10"/>
      <c r="I379" s="9"/>
    </row>
    <row r="380" spans="1:9">
      <c r="A380" s="2"/>
      <c r="B380" s="2"/>
      <c r="C380" s="9"/>
      <c r="D380" s="8"/>
      <c r="E380" s="10"/>
      <c r="F380" s="10"/>
      <c r="G380" s="10"/>
      <c r="H380" s="10"/>
      <c r="I380" s="9"/>
    </row>
    <row r="381" spans="1:9">
      <c r="A381" s="2"/>
      <c r="B381" s="2"/>
      <c r="C381" s="9"/>
      <c r="D381" s="8"/>
      <c r="E381" s="10"/>
      <c r="F381" s="10"/>
      <c r="G381" s="10"/>
      <c r="H381" s="10"/>
      <c r="I381" s="9"/>
    </row>
    <row r="382" spans="1:9">
      <c r="A382" s="2"/>
      <c r="B382" s="2"/>
      <c r="C382" s="9"/>
      <c r="D382" s="8"/>
      <c r="E382" s="10"/>
      <c r="F382" s="10"/>
      <c r="G382" s="10"/>
      <c r="H382" s="10"/>
      <c r="I382" s="9"/>
    </row>
    <row r="383" spans="1:9">
      <c r="A383" s="2"/>
      <c r="B383" s="2"/>
      <c r="C383" s="9"/>
      <c r="D383" s="8"/>
      <c r="E383" s="10"/>
      <c r="F383" s="10"/>
      <c r="G383" s="10"/>
      <c r="H383" s="10"/>
      <c r="I383" s="9"/>
    </row>
    <row r="384" spans="1:9">
      <c r="A384" s="2"/>
      <c r="B384" s="2"/>
      <c r="C384" s="9"/>
      <c r="D384" s="8"/>
      <c r="E384" s="10"/>
      <c r="F384" s="10"/>
      <c r="G384" s="10"/>
      <c r="H384" s="10"/>
      <c r="I384" s="9"/>
    </row>
    <row r="385" spans="1:9">
      <c r="A385" s="2"/>
      <c r="B385" s="2"/>
      <c r="C385" s="9"/>
      <c r="D385" s="8"/>
      <c r="E385" s="10"/>
      <c r="F385" s="10"/>
      <c r="G385" s="10"/>
      <c r="H385" s="10"/>
      <c r="I385" s="9"/>
    </row>
    <row r="386" spans="1:9">
      <c r="A386" s="2"/>
      <c r="B386" s="2"/>
      <c r="C386" s="9"/>
      <c r="D386" s="8"/>
      <c r="E386" s="10"/>
      <c r="F386" s="10"/>
      <c r="G386" s="10"/>
      <c r="H386" s="10"/>
      <c r="I386" s="9"/>
    </row>
    <row r="387" spans="1:9">
      <c r="A387" s="2"/>
      <c r="B387" s="2"/>
      <c r="C387" s="9"/>
      <c r="D387" s="8"/>
      <c r="E387" s="10"/>
      <c r="F387" s="10"/>
      <c r="G387" s="10"/>
      <c r="H387" s="10"/>
      <c r="I387" s="9"/>
    </row>
    <row r="388" spans="1:9">
      <c r="A388" s="2"/>
      <c r="B388" s="2"/>
      <c r="C388" s="9"/>
      <c r="D388" s="8"/>
      <c r="E388" s="10"/>
      <c r="F388" s="10"/>
      <c r="G388" s="10"/>
      <c r="H388" s="10"/>
      <c r="I388" s="9"/>
    </row>
    <row r="389" spans="1:9">
      <c r="A389" s="2"/>
      <c r="B389" s="2"/>
      <c r="C389" s="9"/>
      <c r="D389" s="8"/>
      <c r="E389" s="10"/>
      <c r="F389" s="10"/>
      <c r="G389" s="10"/>
      <c r="H389" s="10"/>
      <c r="I389" s="9"/>
    </row>
    <row r="390" spans="1:9">
      <c r="A390" s="2"/>
      <c r="B390" s="2"/>
      <c r="C390" s="9"/>
      <c r="D390" s="8"/>
      <c r="E390" s="10"/>
      <c r="F390" s="10"/>
      <c r="G390" s="10"/>
      <c r="H390" s="10"/>
      <c r="I390" s="9"/>
    </row>
    <row r="391" spans="1:9">
      <c r="A391" s="2"/>
      <c r="B391" s="2"/>
      <c r="C391" s="9"/>
      <c r="D391" s="8"/>
      <c r="E391" s="10"/>
      <c r="F391" s="10"/>
      <c r="G391" s="10"/>
      <c r="H391" s="10"/>
      <c r="I391" s="9"/>
    </row>
    <row r="392" spans="1:9">
      <c r="A392" s="2"/>
      <c r="B392" s="2"/>
      <c r="C392" s="9"/>
      <c r="D392" s="8"/>
      <c r="E392" s="10"/>
      <c r="F392" s="10"/>
      <c r="G392" s="10"/>
      <c r="H392" s="10"/>
      <c r="I392" s="9"/>
    </row>
    <row r="393" spans="1:9">
      <c r="A393" s="2"/>
      <c r="B393" s="2"/>
      <c r="C393" s="9"/>
      <c r="D393" s="8"/>
      <c r="E393" s="10"/>
      <c r="F393" s="10"/>
      <c r="G393" s="10"/>
      <c r="H393" s="10"/>
      <c r="I393" s="9"/>
    </row>
    <row r="394" spans="1:9">
      <c r="A394" s="2"/>
      <c r="B394" s="2"/>
      <c r="C394" s="9"/>
      <c r="D394" s="8"/>
      <c r="E394" s="10"/>
      <c r="F394" s="10"/>
      <c r="G394" s="10"/>
      <c r="H394" s="10"/>
      <c r="I394" s="9"/>
    </row>
    <row r="395" spans="1:9">
      <c r="A395" s="2"/>
      <c r="B395" s="2"/>
      <c r="C395" s="9"/>
      <c r="D395" s="8"/>
      <c r="E395" s="10"/>
      <c r="F395" s="10"/>
      <c r="G395" s="10"/>
      <c r="H395" s="10"/>
      <c r="I395" s="9"/>
    </row>
    <row r="396" spans="1:9">
      <c r="A396" s="2"/>
      <c r="B396" s="2"/>
      <c r="C396" s="9"/>
      <c r="D396" s="8"/>
      <c r="E396" s="10"/>
      <c r="F396" s="10"/>
      <c r="G396" s="10"/>
      <c r="H396" s="10"/>
      <c r="I396" s="9"/>
    </row>
    <row r="397" spans="1:9">
      <c r="A397" s="2"/>
      <c r="B397" s="2"/>
      <c r="C397" s="9"/>
      <c r="D397" s="8"/>
      <c r="E397" s="10"/>
      <c r="F397" s="10"/>
      <c r="G397" s="10"/>
      <c r="H397" s="10"/>
      <c r="I397" s="9"/>
    </row>
    <row r="398" spans="1:9">
      <c r="A398" s="2"/>
      <c r="B398" s="2"/>
      <c r="C398" s="9"/>
      <c r="D398" s="8"/>
      <c r="E398" s="10"/>
      <c r="F398" s="10"/>
      <c r="G398" s="10"/>
      <c r="H398" s="10"/>
      <c r="I398" s="9"/>
    </row>
    <row r="399" spans="1:9">
      <c r="A399" s="2"/>
      <c r="B399" s="2"/>
      <c r="C399" s="9"/>
      <c r="D399" s="8"/>
      <c r="E399" s="10"/>
      <c r="F399" s="10"/>
      <c r="G399" s="10"/>
      <c r="H399" s="10"/>
      <c r="I399" s="9"/>
    </row>
    <row r="400" spans="1:9">
      <c r="A400" s="2"/>
      <c r="B400" s="2"/>
      <c r="C400" s="9"/>
      <c r="D400" s="8"/>
      <c r="E400" s="10"/>
      <c r="F400" s="10"/>
      <c r="G400" s="10"/>
      <c r="H400" s="10"/>
      <c r="I400" s="9"/>
    </row>
    <row r="401" spans="1:9">
      <c r="A401" s="2"/>
      <c r="B401" s="2"/>
      <c r="C401" s="9"/>
      <c r="D401" s="8"/>
      <c r="E401" s="10"/>
      <c r="F401" s="10"/>
      <c r="G401" s="10"/>
      <c r="H401" s="10"/>
      <c r="I401" s="9"/>
    </row>
    <row r="402" spans="1:9">
      <c r="A402" s="2"/>
      <c r="B402" s="2"/>
      <c r="C402" s="9"/>
      <c r="D402" s="8"/>
      <c r="E402" s="10"/>
      <c r="F402" s="10"/>
      <c r="G402" s="10"/>
      <c r="H402" s="10"/>
      <c r="I402" s="9"/>
    </row>
    <row r="403" spans="1:9">
      <c r="A403" s="2"/>
      <c r="B403" s="2"/>
      <c r="C403" s="9"/>
      <c r="D403" s="8"/>
      <c r="E403" s="10"/>
      <c r="F403" s="10"/>
      <c r="G403" s="10"/>
      <c r="H403" s="10"/>
      <c r="I403" s="9"/>
    </row>
    <row r="404" spans="1:9">
      <c r="A404" s="2"/>
      <c r="B404" s="2"/>
      <c r="C404" s="9"/>
      <c r="D404" s="8"/>
      <c r="E404" s="10"/>
      <c r="F404" s="10"/>
      <c r="G404" s="10"/>
      <c r="H404" s="10"/>
      <c r="I404" s="9"/>
    </row>
    <row r="405" spans="1:9">
      <c r="A405" s="2"/>
      <c r="B405" s="2"/>
      <c r="C405" s="9"/>
      <c r="D405" s="8"/>
      <c r="E405" s="10"/>
      <c r="F405" s="10"/>
      <c r="G405" s="10"/>
      <c r="H405" s="10"/>
      <c r="I405" s="9"/>
    </row>
    <row r="406" spans="1:9">
      <c r="A406" s="2"/>
      <c r="B406" s="2"/>
      <c r="C406" s="9"/>
      <c r="D406" s="8"/>
      <c r="E406" s="10"/>
      <c r="F406" s="10"/>
      <c r="G406" s="10"/>
      <c r="H406" s="10"/>
      <c r="I406" s="9"/>
    </row>
    <row r="407" spans="1:9">
      <c r="A407" s="2"/>
      <c r="B407" s="2"/>
      <c r="C407" s="9"/>
      <c r="D407" s="8"/>
      <c r="E407" s="10"/>
      <c r="F407" s="10"/>
      <c r="G407" s="10"/>
      <c r="H407" s="10"/>
      <c r="I407" s="9"/>
    </row>
    <row r="408" spans="1:9">
      <c r="A408" s="2"/>
      <c r="B408" s="2"/>
      <c r="C408" s="9"/>
      <c r="D408" s="8"/>
      <c r="E408" s="10"/>
      <c r="F408" s="10"/>
      <c r="G408" s="10"/>
      <c r="H408" s="10"/>
      <c r="I408" s="9"/>
    </row>
    <row r="409" spans="1:9">
      <c r="A409" s="2"/>
      <c r="B409" s="2"/>
      <c r="C409" s="9"/>
      <c r="D409" s="8"/>
      <c r="E409" s="10"/>
      <c r="F409" s="10"/>
      <c r="G409" s="10"/>
      <c r="H409" s="10"/>
      <c r="I409" s="9"/>
    </row>
    <row r="410" spans="1:9">
      <c r="A410" s="2"/>
      <c r="B410" s="2"/>
      <c r="C410" s="9"/>
      <c r="D410" s="8"/>
      <c r="E410" s="10"/>
      <c r="F410" s="10"/>
      <c r="G410" s="10"/>
      <c r="H410" s="10"/>
      <c r="I410" s="9"/>
    </row>
    <row r="411" spans="1:9">
      <c r="A411" s="2"/>
      <c r="B411" s="2"/>
      <c r="C411" s="9"/>
      <c r="D411" s="8"/>
      <c r="E411" s="10"/>
      <c r="F411" s="10"/>
      <c r="G411" s="10"/>
      <c r="H411" s="10"/>
      <c r="I411" s="9"/>
    </row>
    <row r="412" spans="1:9">
      <c r="A412" s="2"/>
      <c r="B412" s="2"/>
      <c r="C412" s="9"/>
      <c r="D412" s="8"/>
      <c r="E412" s="10"/>
      <c r="F412" s="10"/>
      <c r="G412" s="10"/>
      <c r="H412" s="10"/>
      <c r="I412" s="9"/>
    </row>
    <row r="413" spans="1:9">
      <c r="A413" s="2"/>
      <c r="B413" s="2"/>
      <c r="C413" s="9"/>
      <c r="D413" s="8"/>
      <c r="E413" s="10"/>
      <c r="F413" s="10"/>
      <c r="G413" s="10"/>
      <c r="H413" s="10"/>
      <c r="I413" s="9"/>
    </row>
    <row r="414" spans="1:9">
      <c r="A414" s="2"/>
      <c r="B414" s="2"/>
      <c r="C414" s="9"/>
      <c r="D414" s="8"/>
      <c r="E414" s="10"/>
      <c r="F414" s="10"/>
      <c r="G414" s="10"/>
      <c r="H414" s="10"/>
      <c r="I414" s="9"/>
    </row>
    <row r="415" spans="1:9">
      <c r="A415" s="2"/>
      <c r="B415" s="2"/>
      <c r="C415" s="9"/>
      <c r="D415" s="8"/>
      <c r="E415" s="10"/>
      <c r="F415" s="10"/>
      <c r="G415" s="10"/>
      <c r="H415" s="10"/>
      <c r="I415" s="9"/>
    </row>
    <row r="416" spans="1:9">
      <c r="A416" s="2"/>
      <c r="B416" s="2"/>
      <c r="C416" s="9"/>
      <c r="D416" s="8"/>
      <c r="E416" s="10"/>
      <c r="F416" s="10"/>
      <c r="G416" s="10"/>
      <c r="H416" s="10"/>
      <c r="I416" s="9"/>
    </row>
    <row r="417" spans="1:9">
      <c r="A417" s="2"/>
      <c r="B417" s="2"/>
      <c r="C417" s="9"/>
      <c r="D417" s="8"/>
      <c r="E417" s="10"/>
      <c r="F417" s="10"/>
      <c r="G417" s="10"/>
      <c r="H417" s="10"/>
      <c r="I417" s="9"/>
    </row>
    <row r="418" spans="1:9">
      <c r="A418" s="2"/>
      <c r="B418" s="2"/>
      <c r="C418" s="9"/>
      <c r="D418" s="8"/>
      <c r="E418" s="10"/>
      <c r="F418" s="10"/>
      <c r="G418" s="10"/>
      <c r="H418" s="10"/>
      <c r="I418" s="9"/>
    </row>
    <row r="419" spans="1:9">
      <c r="A419" s="2"/>
      <c r="B419" s="2"/>
      <c r="C419" s="9"/>
      <c r="D419" s="8"/>
      <c r="E419" s="10"/>
      <c r="F419" s="10"/>
      <c r="G419" s="10"/>
      <c r="H419" s="10"/>
      <c r="I419" s="9"/>
    </row>
    <row r="420" spans="1:9">
      <c r="A420" s="2"/>
      <c r="B420" s="2"/>
      <c r="C420" s="9"/>
      <c r="D420" s="8"/>
      <c r="E420" s="10"/>
      <c r="F420" s="10"/>
      <c r="G420" s="10"/>
      <c r="H420" s="10"/>
      <c r="I420" s="9"/>
    </row>
    <row r="421" spans="1:9">
      <c r="A421" s="2"/>
      <c r="B421" s="2"/>
      <c r="C421" s="9"/>
      <c r="D421" s="8"/>
      <c r="E421" s="10"/>
      <c r="F421" s="10"/>
      <c r="G421" s="10"/>
      <c r="H421" s="10"/>
      <c r="I421" s="9"/>
    </row>
    <row r="422" spans="1:9">
      <c r="A422" s="2"/>
      <c r="B422" s="2"/>
      <c r="C422" s="9"/>
      <c r="D422" s="8"/>
      <c r="E422" s="10"/>
      <c r="F422" s="10"/>
      <c r="G422" s="10"/>
      <c r="H422" s="10"/>
      <c r="I422" s="9"/>
    </row>
    <row r="423" spans="1:9">
      <c r="A423" s="2"/>
      <c r="B423" s="2"/>
      <c r="C423" s="9"/>
      <c r="D423" s="8"/>
      <c r="E423" s="10"/>
      <c r="F423" s="10"/>
      <c r="G423" s="10"/>
      <c r="H423" s="10"/>
      <c r="I423" s="9"/>
    </row>
    <row r="424" spans="1:9">
      <c r="A424" s="2"/>
      <c r="B424" s="2"/>
      <c r="C424" s="9"/>
      <c r="D424" s="8"/>
      <c r="E424" s="10"/>
      <c r="F424" s="10"/>
      <c r="G424" s="10"/>
      <c r="H424" s="10"/>
      <c r="I424" s="9"/>
    </row>
    <row r="425" spans="1:9">
      <c r="A425" s="2"/>
      <c r="B425" s="2"/>
      <c r="C425" s="9"/>
      <c r="D425" s="8"/>
      <c r="E425" s="10"/>
      <c r="F425" s="10"/>
      <c r="G425" s="10"/>
      <c r="H425" s="10"/>
      <c r="I425" s="9"/>
    </row>
    <row r="426" spans="1:9">
      <c r="A426" s="2"/>
      <c r="B426" s="2"/>
      <c r="C426" s="9"/>
      <c r="D426" s="8"/>
      <c r="E426" s="10"/>
      <c r="F426" s="10"/>
      <c r="G426" s="10"/>
      <c r="H426" s="10"/>
      <c r="I426" s="9"/>
    </row>
    <row r="427" spans="1:9">
      <c r="A427" s="2"/>
      <c r="B427" s="2"/>
      <c r="C427" s="9"/>
      <c r="D427" s="8"/>
      <c r="E427" s="10"/>
      <c r="F427" s="10"/>
      <c r="G427" s="10"/>
      <c r="H427" s="10"/>
      <c r="I427" s="9"/>
    </row>
    <row r="428" spans="1:9">
      <c r="A428" s="2"/>
      <c r="B428" s="2"/>
      <c r="C428" s="9"/>
      <c r="D428" s="8"/>
      <c r="E428" s="10"/>
      <c r="F428" s="10"/>
      <c r="G428" s="10"/>
      <c r="H428" s="10"/>
      <c r="I428" s="9"/>
    </row>
    <row r="429" spans="1:9">
      <c r="A429" s="2"/>
      <c r="B429" s="2"/>
      <c r="C429" s="9"/>
      <c r="D429" s="8"/>
      <c r="E429" s="10"/>
      <c r="F429" s="10"/>
      <c r="G429" s="10"/>
      <c r="H429" s="10"/>
      <c r="I429" s="9"/>
    </row>
    <row r="430" spans="1:9">
      <c r="A430" s="2"/>
      <c r="B430" s="2"/>
      <c r="C430" s="9"/>
      <c r="D430" s="8"/>
      <c r="E430" s="10"/>
      <c r="F430" s="10"/>
      <c r="G430" s="10"/>
      <c r="H430" s="10"/>
      <c r="I430" s="9"/>
    </row>
    <row r="431" spans="1:9">
      <c r="A431" s="2"/>
      <c r="B431" s="2"/>
      <c r="C431" s="9"/>
      <c r="D431" s="8"/>
      <c r="E431" s="10"/>
      <c r="F431" s="10"/>
      <c r="G431" s="10"/>
      <c r="H431" s="10"/>
      <c r="I431" s="9"/>
    </row>
    <row r="432" spans="1:9">
      <c r="A432" s="2"/>
      <c r="B432" s="2"/>
      <c r="C432" s="9"/>
      <c r="D432" s="8"/>
      <c r="E432" s="10"/>
      <c r="F432" s="10"/>
      <c r="G432" s="10"/>
      <c r="H432" s="10"/>
      <c r="I432" s="9"/>
    </row>
    <row r="433" spans="1:9">
      <c r="A433" s="2"/>
      <c r="B433" s="2"/>
      <c r="C433" s="9"/>
      <c r="D433" s="8"/>
      <c r="E433" s="10"/>
      <c r="F433" s="10"/>
      <c r="G433" s="10"/>
      <c r="H433" s="10"/>
      <c r="I433" s="9"/>
    </row>
    <row r="434" spans="1:9">
      <c r="A434" s="2"/>
      <c r="B434" s="2"/>
      <c r="C434" s="9"/>
      <c r="D434" s="8"/>
      <c r="E434" s="10"/>
      <c r="F434" s="10"/>
      <c r="G434" s="10"/>
      <c r="H434" s="10"/>
      <c r="I434" s="9"/>
    </row>
    <row r="435" spans="1:9">
      <c r="A435" s="2"/>
      <c r="B435" s="2"/>
      <c r="C435" s="9"/>
      <c r="D435" s="8"/>
      <c r="E435" s="10"/>
      <c r="F435" s="10"/>
      <c r="G435" s="10"/>
      <c r="H435" s="10"/>
      <c r="I435" s="9"/>
    </row>
    <row r="436" spans="1:9">
      <c r="A436" s="2"/>
      <c r="B436" s="2"/>
      <c r="C436" s="9"/>
      <c r="D436" s="8"/>
      <c r="E436" s="10"/>
      <c r="F436" s="10"/>
      <c r="G436" s="10"/>
      <c r="H436" s="10"/>
      <c r="I436" s="9"/>
    </row>
    <row r="437" spans="1:9">
      <c r="A437" s="2"/>
      <c r="B437" s="2"/>
      <c r="C437" s="9"/>
      <c r="D437" s="8"/>
      <c r="E437" s="10"/>
      <c r="F437" s="10"/>
      <c r="G437" s="10"/>
      <c r="H437" s="10"/>
      <c r="I437" s="9"/>
    </row>
    <row r="438" spans="1:9">
      <c r="A438" s="2"/>
      <c r="B438" s="2"/>
      <c r="C438" s="9"/>
      <c r="D438" s="8"/>
      <c r="E438" s="10"/>
      <c r="F438" s="10"/>
      <c r="G438" s="10"/>
      <c r="H438" s="10"/>
      <c r="I438" s="9"/>
    </row>
    <row r="439" spans="1:9">
      <c r="A439" s="2"/>
      <c r="B439" s="2"/>
      <c r="C439" s="9"/>
      <c r="D439" s="8"/>
      <c r="E439" s="10"/>
      <c r="F439" s="10"/>
      <c r="G439" s="10"/>
      <c r="H439" s="10"/>
      <c r="I439" s="9"/>
    </row>
    <row r="440" spans="1:9">
      <c r="A440" s="2"/>
      <c r="B440" s="2"/>
      <c r="C440" s="9"/>
      <c r="D440" s="8"/>
      <c r="E440" s="10"/>
      <c r="F440" s="10"/>
      <c r="G440" s="10"/>
      <c r="H440" s="10"/>
      <c r="I440" s="9"/>
    </row>
    <row r="441" spans="1:9">
      <c r="A441" s="2"/>
      <c r="B441" s="2"/>
      <c r="C441" s="9"/>
      <c r="D441" s="8"/>
      <c r="E441" s="10"/>
      <c r="F441" s="10"/>
      <c r="G441" s="10"/>
      <c r="H441" s="10"/>
      <c r="I441" s="9"/>
    </row>
    <row r="442" spans="1:9">
      <c r="A442" s="2"/>
      <c r="B442" s="2"/>
      <c r="C442" s="9"/>
      <c r="D442" s="8"/>
      <c r="E442" s="10"/>
      <c r="F442" s="10"/>
      <c r="G442" s="10"/>
      <c r="H442" s="10"/>
      <c r="I442" s="9"/>
    </row>
    <row r="443" spans="1:9">
      <c r="A443" s="2"/>
      <c r="B443" s="2"/>
      <c r="C443" s="9"/>
      <c r="D443" s="8"/>
      <c r="E443" s="10"/>
      <c r="F443" s="10"/>
      <c r="G443" s="10"/>
      <c r="H443" s="10"/>
      <c r="I443" s="9"/>
    </row>
    <row r="444" spans="1:9">
      <c r="A444" s="2"/>
      <c r="B444" s="2"/>
      <c r="C444" s="9"/>
      <c r="D444" s="8"/>
      <c r="E444" s="10"/>
      <c r="F444" s="10"/>
      <c r="G444" s="10"/>
      <c r="H444" s="10"/>
      <c r="I444" s="9"/>
    </row>
    <row r="445" spans="1:9">
      <c r="A445" s="2"/>
      <c r="B445" s="2"/>
      <c r="C445" s="9"/>
      <c r="D445" s="8"/>
      <c r="E445" s="10"/>
      <c r="F445" s="10"/>
      <c r="G445" s="10"/>
      <c r="H445" s="10"/>
      <c r="I445" s="9"/>
    </row>
    <row r="446" spans="1:9">
      <c r="A446" s="2"/>
      <c r="B446" s="2"/>
      <c r="C446" s="9"/>
      <c r="D446" s="8"/>
      <c r="E446" s="10"/>
      <c r="F446" s="10"/>
      <c r="G446" s="10"/>
      <c r="H446" s="10"/>
      <c r="I446" s="9"/>
    </row>
    <row r="447" spans="1:9">
      <c r="A447" s="2"/>
      <c r="B447" s="2"/>
      <c r="C447" s="9"/>
      <c r="D447" s="8"/>
      <c r="E447" s="10"/>
      <c r="F447" s="10"/>
      <c r="G447" s="10"/>
      <c r="H447" s="10"/>
      <c r="I447" s="9"/>
    </row>
    <row r="448" spans="1:9">
      <c r="A448" s="2"/>
      <c r="B448" s="2"/>
      <c r="C448" s="9"/>
      <c r="D448" s="8"/>
      <c r="E448" s="10"/>
      <c r="F448" s="10"/>
      <c r="G448" s="10"/>
      <c r="H448" s="10"/>
      <c r="I448" s="9"/>
    </row>
    <row r="449" spans="1:9">
      <c r="A449" s="2"/>
      <c r="B449" s="2"/>
      <c r="C449" s="9"/>
      <c r="D449" s="8"/>
      <c r="E449" s="10"/>
      <c r="F449" s="10"/>
      <c r="G449" s="10"/>
      <c r="H449" s="10"/>
      <c r="I449" s="9"/>
    </row>
    <row r="450" spans="1:9">
      <c r="A450" s="2"/>
      <c r="B450" s="2"/>
      <c r="C450" s="9"/>
      <c r="D450" s="8"/>
      <c r="E450" s="10"/>
      <c r="F450" s="10"/>
      <c r="G450" s="10"/>
      <c r="H450" s="10"/>
      <c r="I450" s="9"/>
    </row>
    <row r="451" spans="1:9">
      <c r="A451" s="2"/>
      <c r="B451" s="2"/>
      <c r="C451" s="9"/>
      <c r="D451" s="8"/>
      <c r="E451" s="10"/>
      <c r="F451" s="10"/>
      <c r="G451" s="10"/>
      <c r="H451" s="10"/>
      <c r="I451" s="9"/>
    </row>
    <row r="452" spans="1:9">
      <c r="A452" s="2"/>
      <c r="B452" s="2"/>
      <c r="C452" s="9"/>
      <c r="D452" s="8"/>
      <c r="E452" s="10"/>
      <c r="F452" s="10"/>
      <c r="G452" s="10"/>
      <c r="H452" s="10"/>
      <c r="I452" s="9"/>
    </row>
    <row r="453" spans="1:9">
      <c r="A453" s="2"/>
      <c r="B453" s="2"/>
      <c r="C453" s="9"/>
      <c r="D453" s="8"/>
      <c r="E453" s="10"/>
      <c r="F453" s="10"/>
      <c r="G453" s="10"/>
      <c r="H453" s="10"/>
      <c r="I453" s="9"/>
    </row>
    <row r="454" spans="1:9">
      <c r="A454" s="2"/>
      <c r="B454" s="2"/>
      <c r="C454" s="9"/>
      <c r="D454" s="8"/>
      <c r="E454" s="10"/>
      <c r="F454" s="10"/>
      <c r="G454" s="10"/>
      <c r="H454" s="10"/>
      <c r="I454" s="9"/>
    </row>
    <row r="455" spans="1:9">
      <c r="A455" s="2"/>
      <c r="B455" s="2"/>
      <c r="C455" s="9"/>
      <c r="D455" s="8"/>
      <c r="E455" s="10"/>
      <c r="F455" s="10"/>
      <c r="G455" s="10"/>
      <c r="H455" s="10"/>
      <c r="I455" s="9"/>
    </row>
    <row r="456" spans="1:9">
      <c r="A456" s="2"/>
      <c r="B456" s="2"/>
      <c r="C456" s="9"/>
      <c r="D456" s="8"/>
      <c r="E456" s="10"/>
      <c r="F456" s="10"/>
      <c r="G456" s="10"/>
      <c r="H456" s="10"/>
      <c r="I456" s="9"/>
    </row>
    <row r="457" spans="1:9">
      <c r="A457" s="2"/>
      <c r="B457" s="2"/>
      <c r="C457" s="9"/>
      <c r="D457" s="8"/>
      <c r="E457" s="10"/>
      <c r="F457" s="10"/>
      <c r="G457" s="10"/>
      <c r="H457" s="10"/>
      <c r="I457" s="9"/>
    </row>
    <row r="458" spans="1:9">
      <c r="A458" s="2"/>
      <c r="B458" s="2"/>
      <c r="C458" s="9"/>
      <c r="D458" s="8"/>
      <c r="E458" s="10"/>
      <c r="F458" s="10"/>
      <c r="G458" s="10"/>
      <c r="H458" s="10"/>
      <c r="I458" s="9"/>
    </row>
    <row r="459" spans="1:9">
      <c r="A459" s="2"/>
      <c r="B459" s="2"/>
      <c r="C459" s="9"/>
      <c r="D459" s="8"/>
      <c r="E459" s="10"/>
      <c r="F459" s="10"/>
      <c r="G459" s="10"/>
      <c r="H459" s="10"/>
      <c r="I459" s="9"/>
    </row>
    <row r="460" spans="1:9">
      <c r="A460" s="2"/>
      <c r="B460" s="2"/>
      <c r="C460" s="9"/>
      <c r="D460" s="8"/>
      <c r="E460" s="10"/>
      <c r="F460" s="10"/>
      <c r="G460" s="10"/>
      <c r="H460" s="10"/>
      <c r="I460" s="9"/>
    </row>
    <row r="461" spans="1:9">
      <c r="A461" s="2"/>
      <c r="B461" s="2"/>
      <c r="C461" s="9"/>
      <c r="D461" s="8"/>
      <c r="E461" s="10"/>
      <c r="F461" s="10"/>
      <c r="G461" s="10"/>
      <c r="H461" s="10"/>
      <c r="I461" s="9"/>
    </row>
    <row r="462" spans="1:9">
      <c r="A462" s="2"/>
      <c r="B462" s="2"/>
      <c r="C462" s="9"/>
      <c r="D462" s="8"/>
      <c r="E462" s="10"/>
      <c r="F462" s="10"/>
      <c r="G462" s="10"/>
      <c r="H462" s="10"/>
      <c r="I462" s="9"/>
    </row>
    <row r="463" spans="1:9">
      <c r="A463" s="2"/>
      <c r="B463" s="2"/>
      <c r="C463" s="9"/>
      <c r="D463" s="8"/>
      <c r="E463" s="10"/>
      <c r="F463" s="10"/>
      <c r="G463" s="10"/>
      <c r="H463" s="10"/>
      <c r="I463" s="9"/>
    </row>
    <row r="464" spans="1:9">
      <c r="A464" s="2"/>
      <c r="B464" s="2"/>
      <c r="C464" s="9"/>
      <c r="D464" s="8"/>
      <c r="E464" s="10"/>
      <c r="F464" s="10"/>
      <c r="G464" s="10"/>
      <c r="H464" s="10"/>
      <c r="I464" s="9"/>
    </row>
    <row r="465" spans="1:9">
      <c r="A465" s="2"/>
      <c r="B465" s="2"/>
      <c r="C465" s="9"/>
      <c r="D465" s="8"/>
      <c r="E465" s="10"/>
      <c r="F465" s="10"/>
      <c r="G465" s="10"/>
      <c r="H465" s="10"/>
      <c r="I465" s="9"/>
    </row>
    <row r="466" spans="1:9">
      <c r="A466" s="2"/>
      <c r="B466" s="2"/>
      <c r="C466" s="9"/>
      <c r="D466" s="8"/>
      <c r="E466" s="10"/>
      <c r="F466" s="10"/>
      <c r="G466" s="10"/>
      <c r="H466" s="10"/>
      <c r="I466" s="9"/>
    </row>
    <row r="467" spans="1:9">
      <c r="A467" s="2"/>
      <c r="B467" s="2"/>
      <c r="C467" s="9"/>
      <c r="D467" s="8"/>
      <c r="E467" s="10"/>
      <c r="F467" s="10"/>
      <c r="G467" s="10"/>
      <c r="H467" s="10"/>
      <c r="I467" s="9"/>
    </row>
    <row r="468" spans="1:9">
      <c r="A468" s="2"/>
      <c r="B468" s="2"/>
      <c r="C468" s="9"/>
      <c r="D468" s="8"/>
      <c r="E468" s="10"/>
      <c r="F468" s="10"/>
      <c r="G468" s="10"/>
      <c r="H468" s="10"/>
      <c r="I468" s="9"/>
    </row>
    <row r="469" spans="1:9">
      <c r="A469" s="2"/>
      <c r="B469" s="2"/>
      <c r="C469" s="9"/>
      <c r="D469" s="8"/>
      <c r="E469" s="10"/>
      <c r="F469" s="10"/>
      <c r="G469" s="10"/>
      <c r="H469" s="10"/>
      <c r="I469" s="9"/>
    </row>
    <row r="470" spans="1:9">
      <c r="A470" s="2"/>
      <c r="B470" s="2"/>
      <c r="C470" s="9"/>
      <c r="D470" s="8"/>
      <c r="E470" s="10"/>
      <c r="F470" s="10"/>
      <c r="G470" s="10"/>
      <c r="H470" s="10"/>
      <c r="I470" s="9"/>
    </row>
    <row r="471" spans="1:9">
      <c r="A471" s="2"/>
      <c r="B471" s="2"/>
      <c r="C471" s="9"/>
      <c r="D471" s="8"/>
      <c r="E471" s="10"/>
      <c r="F471" s="10"/>
      <c r="G471" s="10"/>
      <c r="H471" s="10"/>
      <c r="I471" s="9"/>
    </row>
    <row r="472" spans="1:9">
      <c r="A472" s="2"/>
      <c r="B472" s="2"/>
      <c r="C472" s="9"/>
      <c r="D472" s="8"/>
      <c r="E472" s="10"/>
      <c r="F472" s="10"/>
      <c r="G472" s="10"/>
      <c r="H472" s="10"/>
      <c r="I472" s="9"/>
    </row>
    <row r="473" spans="1:9">
      <c r="A473" s="2"/>
      <c r="B473" s="2"/>
      <c r="C473" s="9"/>
      <c r="D473" s="8"/>
      <c r="E473" s="10"/>
      <c r="F473" s="10"/>
      <c r="G473" s="10"/>
      <c r="H473" s="10"/>
      <c r="I473" s="9"/>
    </row>
    <row r="474" spans="1:9">
      <c r="A474" s="2"/>
      <c r="B474" s="2"/>
      <c r="C474" s="9"/>
      <c r="D474" s="8"/>
      <c r="E474" s="10"/>
      <c r="F474" s="10"/>
      <c r="G474" s="10"/>
      <c r="H474" s="10"/>
      <c r="I474" s="9"/>
    </row>
    <row r="475" spans="1:9">
      <c r="A475" s="2"/>
      <c r="B475" s="2"/>
      <c r="C475" s="9"/>
      <c r="D475" s="8"/>
      <c r="E475" s="10"/>
      <c r="F475" s="10"/>
      <c r="G475" s="10"/>
      <c r="H475" s="10"/>
      <c r="I475" s="9"/>
    </row>
    <row r="476" spans="1:9">
      <c r="A476" s="2"/>
      <c r="B476" s="2"/>
      <c r="C476" s="9"/>
      <c r="D476" s="8"/>
      <c r="E476" s="10"/>
      <c r="F476" s="10"/>
      <c r="G476" s="10"/>
      <c r="H476" s="10"/>
      <c r="I476" s="9"/>
    </row>
    <row r="477" spans="1:9">
      <c r="A477" s="2"/>
      <c r="B477" s="2"/>
      <c r="C477" s="9"/>
      <c r="D477" s="8"/>
      <c r="E477" s="10"/>
      <c r="F477" s="10"/>
      <c r="G477" s="10"/>
      <c r="H477" s="10"/>
      <c r="I477" s="9"/>
    </row>
    <row r="478" spans="1:9">
      <c r="A478" s="2"/>
      <c r="B478" s="2"/>
      <c r="C478" s="9"/>
      <c r="D478" s="8"/>
      <c r="E478" s="10"/>
      <c r="F478" s="10"/>
      <c r="G478" s="10"/>
      <c r="H478" s="10"/>
      <c r="I478" s="9"/>
    </row>
    <row r="479" spans="1:9">
      <c r="A479" s="2"/>
      <c r="B479" s="2"/>
      <c r="C479" s="9"/>
      <c r="D479" s="8"/>
      <c r="E479" s="10"/>
      <c r="F479" s="10"/>
      <c r="G479" s="10"/>
      <c r="H479" s="10"/>
      <c r="I479" s="9"/>
    </row>
    <row r="480" spans="1:9">
      <c r="A480" s="2"/>
      <c r="B480" s="2"/>
      <c r="C480" s="9"/>
      <c r="D480" s="8"/>
      <c r="E480" s="10"/>
      <c r="F480" s="10"/>
      <c r="G480" s="10"/>
      <c r="H480" s="10"/>
      <c r="I480" s="9"/>
    </row>
    <row r="481" spans="1:9">
      <c r="A481" s="2"/>
      <c r="B481" s="2"/>
      <c r="C481" s="9"/>
      <c r="D481" s="8"/>
      <c r="E481" s="10"/>
      <c r="F481" s="10"/>
      <c r="G481" s="10"/>
      <c r="H481" s="10"/>
      <c r="I481" s="9"/>
    </row>
    <row r="482" spans="1:9">
      <c r="A482" s="2"/>
      <c r="B482" s="2"/>
      <c r="C482" s="9"/>
      <c r="D482" s="8"/>
      <c r="E482" s="10"/>
      <c r="F482" s="10"/>
      <c r="G482" s="10"/>
      <c r="H482" s="10"/>
      <c r="I482" s="9"/>
    </row>
    <row r="483" spans="1:9">
      <c r="A483" s="2"/>
      <c r="B483" s="2"/>
      <c r="C483" s="9"/>
      <c r="D483" s="8"/>
      <c r="E483" s="10"/>
      <c r="F483" s="10"/>
      <c r="G483" s="10"/>
      <c r="H483" s="10"/>
      <c r="I483" s="9"/>
    </row>
    <row r="484" spans="1:9">
      <c r="A484" s="2"/>
      <c r="B484" s="2"/>
      <c r="C484" s="9"/>
      <c r="D484" s="8"/>
      <c r="E484" s="10"/>
      <c r="F484" s="10"/>
      <c r="G484" s="10"/>
      <c r="H484" s="10"/>
      <c r="I484" s="9"/>
    </row>
    <row r="485" spans="1:9">
      <c r="A485" s="2"/>
      <c r="B485" s="2"/>
      <c r="C485" s="9"/>
      <c r="D485" s="8"/>
      <c r="E485" s="10"/>
      <c r="F485" s="10"/>
      <c r="G485" s="10"/>
      <c r="H485" s="10"/>
      <c r="I485" s="9"/>
    </row>
    <row r="486" spans="1:9">
      <c r="A486" s="2"/>
      <c r="B486" s="2"/>
      <c r="C486" s="9"/>
      <c r="D486" s="8"/>
      <c r="E486" s="10"/>
      <c r="F486" s="10"/>
      <c r="G486" s="10"/>
      <c r="H486" s="10"/>
      <c r="I486" s="9"/>
    </row>
    <row r="487" spans="1:9">
      <c r="A487" s="2"/>
      <c r="B487" s="2"/>
      <c r="C487" s="9"/>
      <c r="D487" s="8"/>
      <c r="E487" s="10"/>
      <c r="F487" s="10"/>
      <c r="G487" s="10"/>
      <c r="H487" s="10"/>
      <c r="I487" s="9"/>
    </row>
    <row r="488" spans="1:9">
      <c r="A488" s="2"/>
      <c r="B488" s="2"/>
      <c r="C488" s="9"/>
      <c r="D488" s="8"/>
      <c r="E488" s="10"/>
      <c r="F488" s="10"/>
      <c r="G488" s="10"/>
      <c r="H488" s="10"/>
      <c r="I488" s="9"/>
    </row>
    <row r="489" spans="1:9">
      <c r="A489" s="2"/>
      <c r="B489" s="2"/>
      <c r="C489" s="9"/>
      <c r="D489" s="8"/>
      <c r="E489" s="10"/>
      <c r="F489" s="10"/>
      <c r="G489" s="10"/>
      <c r="H489" s="10"/>
      <c r="I489" s="9"/>
    </row>
    <row r="490" spans="1:9">
      <c r="A490" s="2"/>
      <c r="B490" s="2"/>
      <c r="C490" s="9"/>
      <c r="D490" s="8"/>
      <c r="E490" s="10"/>
      <c r="F490" s="10"/>
      <c r="G490" s="10"/>
      <c r="H490" s="10"/>
      <c r="I490" s="9"/>
    </row>
    <row r="491" spans="1:9">
      <c r="A491" s="2"/>
      <c r="B491" s="2"/>
      <c r="C491" s="9"/>
      <c r="D491" s="8"/>
      <c r="E491" s="10"/>
      <c r="F491" s="10"/>
      <c r="G491" s="10"/>
      <c r="H491" s="10"/>
      <c r="I491" s="9"/>
    </row>
    <row r="492" spans="1:9">
      <c r="A492" s="2"/>
      <c r="B492" s="2"/>
      <c r="C492" s="9"/>
      <c r="D492" s="8"/>
      <c r="E492" s="10"/>
      <c r="F492" s="10"/>
      <c r="G492" s="10"/>
      <c r="H492" s="10"/>
      <c r="I492" s="9"/>
    </row>
    <row r="493" spans="1:9">
      <c r="A493" s="2"/>
      <c r="B493" s="2"/>
      <c r="C493" s="9"/>
      <c r="D493" s="8"/>
      <c r="E493" s="10"/>
      <c r="F493" s="10"/>
      <c r="G493" s="10"/>
      <c r="H493" s="10"/>
      <c r="I493" s="9"/>
    </row>
    <row r="494" spans="1:9">
      <c r="A494" s="2"/>
      <c r="B494" s="2"/>
      <c r="C494" s="9"/>
      <c r="D494" s="8"/>
      <c r="E494" s="10"/>
      <c r="F494" s="10"/>
      <c r="G494" s="10"/>
      <c r="H494" s="10"/>
      <c r="I494" s="9"/>
    </row>
    <row r="495" spans="1:9">
      <c r="A495" s="2"/>
      <c r="B495" s="2"/>
      <c r="C495" s="9"/>
      <c r="D495" s="8"/>
      <c r="E495" s="10"/>
      <c r="F495" s="10"/>
      <c r="G495" s="10"/>
      <c r="H495" s="10"/>
      <c r="I495" s="9"/>
    </row>
    <row r="496" spans="1:9">
      <c r="A496" s="2"/>
      <c r="B496" s="2"/>
      <c r="C496" s="9"/>
      <c r="D496" s="8"/>
      <c r="E496" s="10"/>
      <c r="F496" s="10"/>
      <c r="G496" s="10"/>
      <c r="H496" s="10"/>
      <c r="I496" s="9"/>
    </row>
    <row r="497" spans="1:9">
      <c r="A497" s="2"/>
      <c r="B497" s="2"/>
      <c r="C497" s="9"/>
      <c r="D497" s="8"/>
      <c r="E497" s="10"/>
      <c r="F497" s="10"/>
      <c r="G497" s="10"/>
      <c r="H497" s="10"/>
      <c r="I497" s="9"/>
    </row>
    <row r="498" spans="1:9">
      <c r="A498" s="2"/>
      <c r="B498" s="2"/>
      <c r="C498" s="9"/>
      <c r="D498" s="8"/>
      <c r="E498" s="10"/>
      <c r="F498" s="10"/>
      <c r="G498" s="10"/>
      <c r="H498" s="10"/>
      <c r="I498" s="9"/>
    </row>
    <row r="499" spans="1:9">
      <c r="A499" s="2"/>
      <c r="B499" s="2"/>
      <c r="C499" s="9"/>
      <c r="D499" s="8"/>
      <c r="E499" s="10"/>
      <c r="F499" s="10"/>
      <c r="G499" s="10"/>
      <c r="H499" s="10"/>
      <c r="I499" s="9"/>
    </row>
    <row r="500" spans="1:9">
      <c r="A500" s="2"/>
      <c r="B500" s="2"/>
      <c r="C500" s="9"/>
      <c r="D500" s="8"/>
      <c r="E500" s="10"/>
      <c r="F500" s="10"/>
      <c r="G500" s="10"/>
      <c r="H500" s="10"/>
      <c r="I500" s="9"/>
    </row>
    <row r="501" spans="1:9">
      <c r="A501" s="2"/>
      <c r="B501" s="2"/>
      <c r="C501" s="9"/>
      <c r="D501" s="8"/>
      <c r="E501" s="10"/>
      <c r="F501" s="10"/>
      <c r="G501" s="10"/>
      <c r="H501" s="10"/>
      <c r="I501" s="9"/>
    </row>
    <row r="502" spans="1:9">
      <c r="A502" s="2"/>
      <c r="B502" s="2"/>
      <c r="C502" s="9"/>
      <c r="D502" s="8"/>
      <c r="E502" s="10"/>
      <c r="F502" s="10"/>
      <c r="G502" s="10"/>
      <c r="H502" s="10"/>
      <c r="I502" s="9"/>
    </row>
    <row r="503" spans="1:9">
      <c r="A503" s="2"/>
      <c r="B503" s="2"/>
      <c r="C503" s="9"/>
      <c r="D503" s="8"/>
      <c r="E503" s="10"/>
      <c r="F503" s="10"/>
      <c r="G503" s="10"/>
      <c r="H503" s="10"/>
      <c r="I503" s="9"/>
    </row>
    <row r="504" spans="1:9">
      <c r="A504" s="2"/>
      <c r="B504" s="2"/>
      <c r="C504" s="9"/>
      <c r="D504" s="8"/>
      <c r="E504" s="10"/>
      <c r="F504" s="10"/>
      <c r="G504" s="10"/>
      <c r="H504" s="10"/>
      <c r="I504" s="9"/>
    </row>
    <row r="505" spans="1:9">
      <c r="A505" s="2"/>
      <c r="B505" s="2"/>
      <c r="C505" s="9"/>
      <c r="D505" s="8"/>
      <c r="E505" s="10"/>
      <c r="F505" s="10"/>
      <c r="G505" s="10"/>
      <c r="H505" s="10"/>
      <c r="I505" s="9"/>
    </row>
    <row r="506" spans="1:9">
      <c r="A506" s="2"/>
      <c r="B506" s="2"/>
      <c r="C506" s="9"/>
      <c r="D506" s="8"/>
      <c r="E506" s="10"/>
      <c r="F506" s="10"/>
      <c r="G506" s="10"/>
      <c r="H506" s="10"/>
      <c r="I506" s="9"/>
    </row>
    <row r="507" spans="1:9">
      <c r="A507" s="2"/>
      <c r="B507" s="2"/>
      <c r="C507" s="9"/>
      <c r="D507" s="8"/>
      <c r="E507" s="10"/>
      <c r="F507" s="10"/>
      <c r="G507" s="10"/>
      <c r="H507" s="10"/>
      <c r="I507" s="9"/>
    </row>
    <row r="508" spans="1:9">
      <c r="A508" s="2"/>
      <c r="B508" s="2"/>
      <c r="C508" s="9"/>
      <c r="D508" s="8"/>
      <c r="E508" s="10"/>
      <c r="F508" s="10"/>
      <c r="G508" s="10"/>
      <c r="H508" s="10"/>
      <c r="I508" s="9"/>
    </row>
    <row r="509" spans="1:9">
      <c r="A509" s="2"/>
      <c r="B509" s="2"/>
      <c r="C509" s="9"/>
      <c r="D509" s="8"/>
      <c r="E509" s="10"/>
      <c r="F509" s="10"/>
      <c r="G509" s="10"/>
      <c r="H509" s="10"/>
      <c r="I509" s="9"/>
    </row>
    <row r="510" spans="1:9">
      <c r="A510" s="2"/>
      <c r="B510" s="2"/>
      <c r="C510" s="9"/>
      <c r="D510" s="8"/>
      <c r="E510" s="10"/>
      <c r="F510" s="10"/>
      <c r="G510" s="10"/>
      <c r="H510" s="10"/>
      <c r="I510" s="9"/>
    </row>
    <row r="511" spans="1:9">
      <c r="A511" s="2"/>
      <c r="B511" s="2"/>
      <c r="C511" s="9"/>
      <c r="D511" s="8"/>
      <c r="E511" s="10"/>
      <c r="F511" s="10"/>
      <c r="G511" s="10"/>
      <c r="H511" s="10"/>
      <c r="I511" s="9"/>
    </row>
    <row r="512" spans="1:9">
      <c r="A512" s="2"/>
      <c r="B512" s="2"/>
      <c r="C512" s="9"/>
      <c r="D512" s="8"/>
      <c r="E512" s="10"/>
      <c r="F512" s="10"/>
      <c r="G512" s="10"/>
      <c r="H512" s="10"/>
      <c r="I512" s="9"/>
    </row>
    <row r="513" spans="1:9">
      <c r="A513" s="2"/>
      <c r="B513" s="2"/>
      <c r="C513" s="9"/>
      <c r="D513" s="8"/>
      <c r="E513" s="10"/>
      <c r="F513" s="10"/>
      <c r="G513" s="10"/>
      <c r="H513" s="10"/>
      <c r="I513" s="9"/>
    </row>
    <row r="514" spans="1:9">
      <c r="A514" s="2"/>
      <c r="B514" s="2"/>
      <c r="C514" s="9"/>
      <c r="D514" s="8"/>
      <c r="E514" s="10"/>
      <c r="F514" s="10"/>
      <c r="G514" s="10"/>
      <c r="H514" s="10"/>
      <c r="I514" s="9"/>
    </row>
    <row r="515" spans="1:9">
      <c r="A515" s="2"/>
      <c r="B515" s="2"/>
      <c r="C515" s="9"/>
      <c r="D515" s="8"/>
      <c r="E515" s="10"/>
      <c r="F515" s="10"/>
      <c r="G515" s="10"/>
      <c r="H515" s="10"/>
      <c r="I515" s="9"/>
    </row>
    <row r="516" spans="1:9">
      <c r="A516" s="2"/>
      <c r="B516" s="2"/>
      <c r="C516" s="9"/>
      <c r="D516" s="8"/>
      <c r="E516" s="10"/>
      <c r="F516" s="10"/>
      <c r="G516" s="10"/>
      <c r="H516" s="10"/>
      <c r="I516" s="9"/>
    </row>
    <row r="517" spans="1:9">
      <c r="A517" s="2"/>
      <c r="B517" s="2"/>
      <c r="C517" s="9"/>
      <c r="D517" s="8"/>
      <c r="E517" s="10"/>
      <c r="F517" s="10"/>
      <c r="G517" s="10"/>
      <c r="H517" s="10"/>
      <c r="I517" s="9"/>
    </row>
    <row r="518" spans="1:9">
      <c r="A518" s="2"/>
      <c r="B518" s="2"/>
      <c r="C518" s="9"/>
      <c r="D518" s="8"/>
      <c r="E518" s="10"/>
      <c r="F518" s="10"/>
      <c r="G518" s="10"/>
      <c r="H518" s="10"/>
      <c r="I518" s="9"/>
    </row>
    <row r="519" spans="1:9">
      <c r="A519" s="2"/>
      <c r="B519" s="2"/>
      <c r="C519" s="9"/>
      <c r="D519" s="8"/>
      <c r="E519" s="10"/>
      <c r="F519" s="10"/>
      <c r="G519" s="10"/>
      <c r="H519" s="10"/>
      <c r="I519" s="9"/>
    </row>
    <row r="520" spans="1:9">
      <c r="A520" s="2"/>
      <c r="B520" s="2"/>
      <c r="C520" s="9"/>
      <c r="D520" s="8"/>
      <c r="E520" s="10"/>
      <c r="F520" s="10"/>
      <c r="G520" s="10"/>
      <c r="H520" s="10"/>
      <c r="I520" s="9"/>
    </row>
    <row r="521" spans="1:9">
      <c r="A521" s="2"/>
      <c r="B521" s="2"/>
      <c r="C521" s="9"/>
      <c r="D521" s="8"/>
      <c r="E521" s="10"/>
      <c r="F521" s="10"/>
      <c r="G521" s="10"/>
      <c r="H521" s="10"/>
      <c r="I521" s="9"/>
    </row>
    <row r="522" spans="1:9">
      <c r="A522" s="2"/>
      <c r="B522" s="2"/>
      <c r="C522" s="9"/>
      <c r="D522" s="8"/>
      <c r="E522" s="10"/>
      <c r="F522" s="10"/>
      <c r="G522" s="10"/>
      <c r="H522" s="10"/>
      <c r="I522" s="9"/>
    </row>
    <row r="523" spans="1:9">
      <c r="A523" s="2"/>
      <c r="B523" s="2"/>
      <c r="C523" s="9"/>
      <c r="D523" s="8"/>
      <c r="E523" s="10"/>
      <c r="F523" s="10"/>
      <c r="G523" s="10"/>
      <c r="H523" s="10"/>
      <c r="I523" s="9"/>
    </row>
    <row r="524" spans="1:9">
      <c r="A524" s="2"/>
      <c r="B524" s="2"/>
      <c r="C524" s="9"/>
      <c r="D524" s="8"/>
      <c r="E524" s="10"/>
      <c r="F524" s="10"/>
      <c r="G524" s="10"/>
      <c r="H524" s="10"/>
      <c r="I524" s="9"/>
    </row>
    <row r="525" spans="1:9">
      <c r="A525" s="2"/>
      <c r="B525" s="2"/>
      <c r="C525" s="9"/>
      <c r="D525" s="8"/>
      <c r="E525" s="10"/>
      <c r="F525" s="10"/>
      <c r="G525" s="10"/>
      <c r="H525" s="10"/>
      <c r="I525" s="9"/>
    </row>
    <row r="526" spans="1:9">
      <c r="A526" s="2"/>
      <c r="B526" s="2"/>
      <c r="C526" s="9"/>
      <c r="D526" s="8"/>
      <c r="E526" s="10"/>
      <c r="F526" s="10"/>
      <c r="G526" s="10"/>
      <c r="H526" s="10"/>
      <c r="I526" s="9"/>
    </row>
    <row r="527" spans="1:9">
      <c r="A527" s="2"/>
      <c r="B527" s="2"/>
      <c r="C527" s="9"/>
      <c r="D527" s="8"/>
      <c r="E527" s="10"/>
      <c r="F527" s="10"/>
      <c r="G527" s="10"/>
      <c r="H527" s="10"/>
      <c r="I527" s="9"/>
    </row>
    <row r="528" spans="1:9">
      <c r="A528" s="2"/>
      <c r="B528" s="2"/>
      <c r="C528" s="9"/>
      <c r="D528" s="8"/>
      <c r="E528" s="10"/>
      <c r="F528" s="10"/>
      <c r="G528" s="10"/>
      <c r="H528" s="10"/>
      <c r="I528" s="9"/>
    </row>
    <row r="529" spans="1:9">
      <c r="A529" s="2"/>
      <c r="B529" s="2"/>
      <c r="C529" s="9"/>
      <c r="D529" s="8"/>
      <c r="E529" s="10"/>
      <c r="F529" s="10"/>
      <c r="G529" s="10"/>
      <c r="H529" s="10"/>
      <c r="I529" s="9"/>
    </row>
    <row r="530" spans="1:9">
      <c r="A530" s="2"/>
      <c r="B530" s="2"/>
      <c r="C530" s="9"/>
      <c r="D530" s="8"/>
      <c r="E530" s="10"/>
      <c r="F530" s="10"/>
      <c r="G530" s="10"/>
      <c r="H530" s="10"/>
      <c r="I530" s="9"/>
    </row>
    <row r="531" spans="1:9">
      <c r="A531" s="2"/>
      <c r="B531" s="2"/>
      <c r="C531" s="9"/>
      <c r="D531" s="8"/>
      <c r="E531" s="10"/>
      <c r="F531" s="10"/>
      <c r="G531" s="10"/>
      <c r="H531" s="10"/>
      <c r="I531" s="9"/>
    </row>
    <row r="532" spans="1:9">
      <c r="A532" s="2"/>
      <c r="B532" s="2"/>
      <c r="C532" s="9"/>
      <c r="D532" s="8"/>
      <c r="E532" s="10"/>
      <c r="F532" s="10"/>
      <c r="G532" s="10"/>
      <c r="H532" s="10"/>
      <c r="I532" s="9"/>
    </row>
    <row r="533" spans="1:9">
      <c r="A533" s="2"/>
      <c r="B533" s="2"/>
      <c r="C533" s="9"/>
      <c r="D533" s="8"/>
      <c r="E533" s="10"/>
      <c r="F533" s="10"/>
      <c r="G533" s="10"/>
      <c r="H533" s="10"/>
      <c r="I533" s="9"/>
    </row>
    <row r="534" spans="1:9">
      <c r="A534" s="2"/>
      <c r="B534" s="2"/>
      <c r="C534" s="9"/>
      <c r="D534" s="8"/>
      <c r="E534" s="10"/>
      <c r="F534" s="10"/>
      <c r="G534" s="10"/>
      <c r="H534" s="10"/>
      <c r="I534" s="9"/>
    </row>
    <row r="535" spans="1:9">
      <c r="A535" s="2"/>
      <c r="B535" s="2"/>
      <c r="C535" s="9"/>
      <c r="D535" s="8"/>
      <c r="E535" s="10"/>
      <c r="F535" s="10"/>
      <c r="G535" s="10"/>
      <c r="H535" s="10"/>
      <c r="I535" s="9"/>
    </row>
    <row r="536" spans="1:9">
      <c r="A536" s="2"/>
      <c r="B536" s="2"/>
      <c r="C536" s="9"/>
      <c r="D536" s="8"/>
      <c r="E536" s="10"/>
      <c r="F536" s="10"/>
      <c r="G536" s="10"/>
      <c r="H536" s="10"/>
      <c r="I536" s="9"/>
    </row>
    <row r="537" spans="1:9">
      <c r="A537" s="2"/>
      <c r="B537" s="2"/>
      <c r="C537" s="9"/>
      <c r="D537" s="8"/>
      <c r="E537" s="10"/>
      <c r="F537" s="10"/>
      <c r="G537" s="10"/>
      <c r="H537" s="10"/>
      <c r="I537" s="9"/>
    </row>
    <row r="538" spans="1:9">
      <c r="A538" s="2"/>
      <c r="B538" s="2"/>
      <c r="C538" s="9"/>
      <c r="D538" s="8"/>
      <c r="E538" s="10"/>
      <c r="F538" s="10"/>
      <c r="G538" s="10"/>
      <c r="H538" s="10"/>
      <c r="I538" s="9"/>
    </row>
    <row r="539" spans="1:9">
      <c r="A539" s="2"/>
      <c r="B539" s="2"/>
      <c r="C539" s="9"/>
      <c r="D539" s="8"/>
      <c r="E539" s="10"/>
      <c r="F539" s="10"/>
      <c r="G539" s="10"/>
      <c r="H539" s="10"/>
      <c r="I539" s="9"/>
    </row>
    <row r="540" spans="1:9">
      <c r="A540" s="2"/>
      <c r="B540" s="2"/>
      <c r="C540" s="9"/>
      <c r="D540" s="8"/>
      <c r="E540" s="10"/>
      <c r="F540" s="10"/>
      <c r="G540" s="10"/>
      <c r="H540" s="10"/>
      <c r="I540" s="9"/>
    </row>
    <row r="541" spans="1:9">
      <c r="A541" s="2"/>
      <c r="B541" s="2"/>
      <c r="C541" s="9"/>
      <c r="D541" s="8"/>
      <c r="E541" s="10"/>
      <c r="F541" s="10"/>
      <c r="G541" s="10"/>
      <c r="H541" s="10"/>
      <c r="I541" s="9"/>
    </row>
    <row r="542" spans="1:9">
      <c r="A542" s="2"/>
      <c r="B542" s="2"/>
      <c r="C542" s="9"/>
      <c r="D542" s="8"/>
      <c r="E542" s="10"/>
      <c r="F542" s="10"/>
      <c r="G542" s="10"/>
      <c r="H542" s="10"/>
      <c r="I542" s="9"/>
    </row>
    <row r="543" spans="1:9">
      <c r="A543" s="2"/>
      <c r="B543" s="2"/>
      <c r="C543" s="9"/>
      <c r="D543" s="8"/>
      <c r="E543" s="10"/>
      <c r="F543" s="10"/>
      <c r="G543" s="10"/>
      <c r="H543" s="10"/>
      <c r="I543" s="9"/>
    </row>
    <row r="544" spans="1:9">
      <c r="A544" s="2"/>
      <c r="B544" s="2"/>
      <c r="C544" s="9"/>
      <c r="D544" s="8"/>
      <c r="E544" s="10"/>
      <c r="F544" s="10"/>
      <c r="G544" s="10"/>
      <c r="H544" s="10"/>
      <c r="I544" s="9"/>
    </row>
    <row r="545" spans="1:9">
      <c r="A545" s="2"/>
      <c r="B545" s="2"/>
      <c r="C545" s="9"/>
      <c r="D545" s="8"/>
      <c r="E545" s="10"/>
      <c r="F545" s="10"/>
      <c r="G545" s="10"/>
      <c r="H545" s="10"/>
      <c r="I545" s="9"/>
    </row>
    <row r="546" spans="1:9">
      <c r="A546" s="2"/>
      <c r="B546" s="2"/>
      <c r="C546" s="9"/>
      <c r="D546" s="8"/>
      <c r="E546" s="10"/>
      <c r="F546" s="10"/>
      <c r="G546" s="10"/>
      <c r="H546" s="10"/>
      <c r="I546" s="9"/>
    </row>
    <row r="547" spans="1:9">
      <c r="A547" s="2"/>
      <c r="B547" s="2"/>
      <c r="C547" s="9"/>
      <c r="D547" s="8"/>
      <c r="E547" s="10"/>
      <c r="F547" s="10"/>
      <c r="G547" s="10"/>
      <c r="H547" s="10"/>
      <c r="I547" s="9"/>
    </row>
    <row r="548" spans="1:9">
      <c r="A548" s="2"/>
      <c r="B548" s="2"/>
      <c r="C548" s="9"/>
      <c r="D548" s="8"/>
      <c r="E548" s="10"/>
      <c r="F548" s="10"/>
      <c r="G548" s="10"/>
      <c r="H548" s="10"/>
      <c r="I548" s="9"/>
    </row>
    <row r="549" spans="1:9">
      <c r="A549" s="2"/>
      <c r="B549" s="2"/>
      <c r="C549" s="9"/>
      <c r="D549" s="8"/>
      <c r="E549" s="10"/>
      <c r="F549" s="10"/>
      <c r="G549" s="10"/>
      <c r="H549" s="10"/>
      <c r="I549" s="9"/>
    </row>
    <row r="550" spans="1:9">
      <c r="A550" s="2"/>
      <c r="B550" s="2"/>
      <c r="C550" s="9"/>
      <c r="D550" s="8"/>
      <c r="E550" s="10"/>
      <c r="F550" s="10"/>
      <c r="G550" s="10"/>
      <c r="H550" s="10"/>
      <c r="I550" s="9"/>
    </row>
    <row r="551" spans="1:9">
      <c r="A551" s="2"/>
      <c r="B551" s="2"/>
      <c r="C551" s="9"/>
      <c r="D551" s="8"/>
      <c r="E551" s="10"/>
      <c r="F551" s="10"/>
      <c r="G551" s="10"/>
      <c r="H551" s="10"/>
      <c r="I551" s="9"/>
    </row>
    <row r="552" spans="1:9">
      <c r="A552" s="2"/>
      <c r="B552" s="2"/>
      <c r="C552" s="9"/>
      <c r="D552" s="8"/>
      <c r="E552" s="10"/>
      <c r="F552" s="10"/>
      <c r="G552" s="10"/>
      <c r="H552" s="10"/>
      <c r="I552" s="9"/>
    </row>
    <row r="553" spans="1:9">
      <c r="A553" s="2"/>
      <c r="B553" s="2"/>
      <c r="C553" s="9"/>
      <c r="D553" s="8"/>
      <c r="E553" s="10"/>
      <c r="F553" s="10"/>
      <c r="G553" s="10"/>
      <c r="H553" s="10"/>
      <c r="I553" s="9"/>
    </row>
    <row r="554" spans="1:9">
      <c r="A554" s="2"/>
      <c r="B554" s="2"/>
      <c r="C554" s="9"/>
      <c r="D554" s="8"/>
      <c r="E554" s="10"/>
      <c r="F554" s="10"/>
      <c r="G554" s="10"/>
      <c r="H554" s="10"/>
      <c r="I554" s="9"/>
    </row>
    <row r="555" spans="1:9">
      <c r="A555" s="2"/>
      <c r="B555" s="2"/>
      <c r="C555" s="9"/>
      <c r="D555" s="8"/>
      <c r="E555" s="10"/>
      <c r="F555" s="10"/>
      <c r="G555" s="10"/>
      <c r="H555" s="10"/>
      <c r="I555" s="9"/>
    </row>
    <row r="556" spans="1:9">
      <c r="A556" s="2"/>
      <c r="B556" s="2"/>
      <c r="C556" s="9"/>
      <c r="D556" s="8"/>
      <c r="E556" s="10"/>
      <c r="F556" s="10"/>
      <c r="G556" s="10"/>
      <c r="H556" s="10"/>
      <c r="I556" s="9"/>
    </row>
    <row r="557" spans="1:9">
      <c r="A557" s="2"/>
      <c r="B557" s="2"/>
      <c r="C557" s="9"/>
      <c r="D557" s="8"/>
      <c r="E557" s="10"/>
      <c r="F557" s="10"/>
      <c r="G557" s="10"/>
      <c r="H557" s="10"/>
      <c r="I557" s="9"/>
    </row>
    <row r="558" spans="1:9">
      <c r="A558" s="2"/>
      <c r="B558" s="2"/>
      <c r="C558" s="9"/>
      <c r="D558" s="8"/>
      <c r="E558" s="10"/>
      <c r="F558" s="10"/>
      <c r="G558" s="10"/>
      <c r="H558" s="10"/>
      <c r="I558" s="9"/>
    </row>
    <row r="559" spans="1:9">
      <c r="A559" s="2"/>
      <c r="B559" s="2"/>
      <c r="C559" s="9"/>
      <c r="D559" s="8"/>
      <c r="E559" s="10"/>
      <c r="F559" s="10"/>
      <c r="G559" s="10"/>
      <c r="H559" s="10"/>
      <c r="I559" s="9"/>
    </row>
    <row r="560" spans="1:9">
      <c r="A560" s="2"/>
      <c r="B560" s="2"/>
      <c r="C560" s="9"/>
      <c r="D560" s="8"/>
      <c r="E560" s="10"/>
      <c r="F560" s="10"/>
      <c r="G560" s="10"/>
      <c r="H560" s="10"/>
      <c r="I560" s="9"/>
    </row>
    <row r="561" spans="1:9">
      <c r="A561" s="2"/>
      <c r="B561" s="2"/>
      <c r="C561" s="9"/>
      <c r="D561" s="8"/>
      <c r="E561" s="10"/>
      <c r="F561" s="10"/>
      <c r="G561" s="10"/>
      <c r="H561" s="10"/>
      <c r="I561" s="9"/>
    </row>
    <row r="562" spans="1:9">
      <c r="A562" s="2"/>
      <c r="B562" s="2"/>
      <c r="C562" s="9"/>
      <c r="D562" s="8"/>
      <c r="E562" s="10"/>
      <c r="F562" s="10"/>
      <c r="G562" s="10"/>
      <c r="H562" s="10"/>
      <c r="I562" s="9"/>
    </row>
    <row r="563" spans="1:9">
      <c r="A563" s="2"/>
      <c r="B563" s="2"/>
      <c r="C563" s="9"/>
      <c r="D563" s="8"/>
      <c r="E563" s="10"/>
      <c r="F563" s="10"/>
      <c r="G563" s="10"/>
      <c r="H563" s="10"/>
      <c r="I563" s="9"/>
    </row>
    <row r="564" spans="1:9">
      <c r="A564" s="2"/>
      <c r="B564" s="2"/>
      <c r="C564" s="9"/>
      <c r="D564" s="8"/>
      <c r="E564" s="10"/>
      <c r="F564" s="10"/>
      <c r="G564" s="10"/>
      <c r="H564" s="10"/>
      <c r="I564" s="9"/>
    </row>
    <row r="565" spans="1:9">
      <c r="A565" s="2"/>
      <c r="B565" s="2"/>
      <c r="C565" s="9"/>
      <c r="D565" s="8"/>
      <c r="E565" s="10"/>
      <c r="F565" s="10"/>
      <c r="G565" s="10"/>
      <c r="H565" s="10"/>
      <c r="I565" s="9"/>
    </row>
    <row r="566" spans="1:9">
      <c r="A566" s="2"/>
      <c r="B566" s="2"/>
      <c r="C566" s="9"/>
      <c r="D566" s="8"/>
      <c r="E566" s="10"/>
      <c r="F566" s="10"/>
      <c r="G566" s="10"/>
      <c r="H566" s="10"/>
      <c r="I566" s="9"/>
    </row>
    <row r="567" spans="1:9">
      <c r="A567" s="2"/>
      <c r="B567" s="2"/>
      <c r="C567" s="9"/>
      <c r="D567" s="8"/>
      <c r="E567" s="10"/>
      <c r="F567" s="10"/>
      <c r="G567" s="10"/>
      <c r="H567" s="10"/>
      <c r="I567" s="9"/>
    </row>
    <row r="568" spans="1:9">
      <c r="A568" s="2"/>
      <c r="B568" s="2"/>
      <c r="C568" s="9"/>
      <c r="D568" s="8"/>
      <c r="E568" s="10"/>
      <c r="F568" s="10"/>
      <c r="G568" s="10"/>
      <c r="H568" s="10"/>
      <c r="I568" s="9"/>
    </row>
    <row r="569" spans="1:9">
      <c r="A569" s="2"/>
      <c r="B569" s="2"/>
      <c r="C569" s="9"/>
      <c r="D569" s="8"/>
      <c r="E569" s="10"/>
      <c r="F569" s="10"/>
      <c r="G569" s="10"/>
      <c r="H569" s="10"/>
      <c r="I569" s="9"/>
    </row>
    <row r="570" spans="1:9">
      <c r="A570" s="2"/>
      <c r="B570" s="2"/>
      <c r="C570" s="9"/>
      <c r="D570" s="8"/>
      <c r="E570" s="10"/>
      <c r="F570" s="10"/>
      <c r="G570" s="10"/>
      <c r="H570" s="10"/>
      <c r="I570" s="9"/>
    </row>
    <row r="571" spans="1:9">
      <c r="A571" s="2"/>
      <c r="B571" s="2"/>
      <c r="C571" s="9"/>
      <c r="D571" s="8"/>
      <c r="E571" s="10"/>
      <c r="F571" s="10"/>
      <c r="G571" s="10"/>
      <c r="H571" s="10"/>
      <c r="I571" s="9"/>
    </row>
    <row r="572" spans="1:9">
      <c r="A572" s="2"/>
      <c r="B572" s="2"/>
      <c r="C572" s="9"/>
      <c r="D572" s="8"/>
      <c r="E572" s="10"/>
      <c r="F572" s="10"/>
      <c r="G572" s="10"/>
      <c r="H572" s="10"/>
      <c r="I572" s="9"/>
    </row>
    <row r="573" spans="1:9">
      <c r="A573" s="2"/>
      <c r="B573" s="2"/>
      <c r="C573" s="9"/>
      <c r="D573" s="8"/>
      <c r="E573" s="10"/>
      <c r="F573" s="10"/>
      <c r="G573" s="10"/>
      <c r="H573" s="10"/>
      <c r="I573" s="9"/>
    </row>
    <row r="574" spans="1:9">
      <c r="A574" s="2"/>
      <c r="B574" s="2"/>
      <c r="C574" s="9"/>
      <c r="D574" s="8"/>
      <c r="E574" s="10"/>
      <c r="F574" s="10"/>
      <c r="G574" s="10"/>
      <c r="H574" s="10"/>
      <c r="I574" s="9"/>
    </row>
    <row r="575" spans="1:9">
      <c r="A575" s="2"/>
      <c r="B575" s="2"/>
      <c r="C575" s="9"/>
      <c r="D575" s="8"/>
      <c r="E575" s="10"/>
      <c r="F575" s="10"/>
      <c r="G575" s="10"/>
      <c r="H575" s="10"/>
      <c r="I575" s="9"/>
    </row>
    <row r="576" spans="1:9">
      <c r="A576" s="2"/>
      <c r="B576" s="2"/>
      <c r="C576" s="9"/>
      <c r="D576" s="8"/>
      <c r="E576" s="10"/>
      <c r="F576" s="10"/>
      <c r="G576" s="10"/>
      <c r="H576" s="10"/>
      <c r="I576" s="9"/>
    </row>
    <row r="577" spans="1:9">
      <c r="A577" s="2"/>
      <c r="B577" s="2"/>
      <c r="C577" s="9"/>
      <c r="D577" s="8"/>
      <c r="E577" s="10"/>
      <c r="F577" s="10"/>
      <c r="G577" s="10"/>
      <c r="H577" s="10"/>
      <c r="I577" s="9"/>
    </row>
    <row r="578" spans="1:9">
      <c r="A578" s="2"/>
      <c r="B578" s="2"/>
      <c r="C578" s="9"/>
      <c r="D578" s="8"/>
      <c r="E578" s="10"/>
      <c r="F578" s="10"/>
      <c r="G578" s="10"/>
      <c r="H578" s="10"/>
      <c r="I578" s="9"/>
    </row>
    <row r="579" spans="1:9">
      <c r="A579" s="2"/>
      <c r="B579" s="2"/>
      <c r="C579" s="9"/>
      <c r="D579" s="8"/>
      <c r="E579" s="10"/>
      <c r="F579" s="10"/>
      <c r="G579" s="10"/>
      <c r="H579" s="10"/>
      <c r="I579" s="9"/>
    </row>
    <row r="580" spans="1:9">
      <c r="A580" s="2"/>
      <c r="B580" s="2"/>
      <c r="C580" s="9"/>
      <c r="D580" s="8"/>
      <c r="E580" s="10"/>
      <c r="F580" s="10"/>
      <c r="G580" s="10"/>
      <c r="H580" s="10"/>
      <c r="I580" s="9"/>
    </row>
    <row r="581" spans="1:9">
      <c r="A581" s="2"/>
      <c r="B581" s="2"/>
      <c r="C581" s="9"/>
      <c r="D581" s="8"/>
      <c r="E581" s="10"/>
      <c r="F581" s="10"/>
      <c r="G581" s="10"/>
      <c r="H581" s="10"/>
      <c r="I581" s="9"/>
    </row>
    <row r="582" spans="1:9">
      <c r="A582" s="2"/>
      <c r="B582" s="2"/>
      <c r="C582" s="9"/>
      <c r="D582" s="8"/>
      <c r="E582" s="10"/>
      <c r="F582" s="10"/>
      <c r="G582" s="10"/>
      <c r="H582" s="10"/>
      <c r="I582" s="9"/>
    </row>
    <row r="583" spans="1:9">
      <c r="A583" s="2"/>
      <c r="B583" s="2"/>
      <c r="C583" s="9"/>
      <c r="D583" s="8"/>
      <c r="E583" s="10"/>
      <c r="F583" s="10"/>
      <c r="G583" s="10"/>
      <c r="H583" s="10"/>
      <c r="I583" s="9"/>
    </row>
    <row r="584" spans="1:9">
      <c r="A584" s="2"/>
      <c r="B584" s="2"/>
      <c r="C584" s="9"/>
      <c r="D584" s="8"/>
      <c r="E584" s="10"/>
      <c r="F584" s="10"/>
      <c r="G584" s="10"/>
      <c r="H584" s="10"/>
      <c r="I584" s="9"/>
    </row>
    <row r="585" spans="1:9">
      <c r="A585" s="2"/>
      <c r="B585" s="2"/>
      <c r="C585" s="9"/>
      <c r="D585" s="8"/>
      <c r="E585" s="10"/>
      <c r="F585" s="10"/>
      <c r="G585" s="10"/>
      <c r="H585" s="10"/>
      <c r="I585" s="9"/>
    </row>
    <row r="586" spans="1:9">
      <c r="A586" s="2"/>
      <c r="B586" s="2"/>
      <c r="C586" s="9"/>
      <c r="D586" s="8"/>
      <c r="E586" s="10"/>
      <c r="F586" s="10"/>
      <c r="G586" s="10"/>
      <c r="H586" s="10"/>
      <c r="I586" s="9"/>
    </row>
    <row r="587" spans="1:9">
      <c r="A587" s="2"/>
      <c r="B587" s="2"/>
      <c r="C587" s="9"/>
      <c r="D587" s="8"/>
      <c r="E587" s="10"/>
      <c r="F587" s="10"/>
      <c r="G587" s="10"/>
      <c r="H587" s="10"/>
      <c r="I587" s="9"/>
    </row>
    <row r="588" spans="1:9">
      <c r="A588" s="2"/>
      <c r="B588" s="2"/>
      <c r="C588" s="9"/>
      <c r="D588" s="8"/>
      <c r="E588" s="10"/>
      <c r="F588" s="10"/>
      <c r="G588" s="10"/>
      <c r="H588" s="10"/>
      <c r="I588" s="9"/>
    </row>
    <row r="589" spans="1:9">
      <c r="A589" s="2"/>
      <c r="B589" s="2"/>
      <c r="C589" s="9"/>
      <c r="D589" s="8"/>
      <c r="E589" s="10"/>
      <c r="F589" s="10"/>
      <c r="G589" s="10"/>
      <c r="H589" s="10"/>
      <c r="I589" s="9"/>
    </row>
    <row r="590" spans="1:9">
      <c r="A590" s="2"/>
      <c r="B590" s="2"/>
      <c r="C590" s="9"/>
      <c r="D590" s="8"/>
      <c r="E590" s="10"/>
      <c r="F590" s="10"/>
      <c r="G590" s="10"/>
      <c r="H590" s="10"/>
      <c r="I590" s="9"/>
    </row>
    <row r="591" spans="1:9">
      <c r="A591" s="2"/>
      <c r="B591" s="2"/>
      <c r="C591" s="9"/>
      <c r="D591" s="8"/>
      <c r="E591" s="10"/>
      <c r="F591" s="10"/>
      <c r="G591" s="10"/>
      <c r="H591" s="10"/>
      <c r="I591" s="9"/>
    </row>
    <row r="592" spans="1:9">
      <c r="A592" s="2"/>
      <c r="B592" s="2"/>
      <c r="C592" s="9"/>
      <c r="D592" s="8"/>
      <c r="E592" s="10"/>
      <c r="F592" s="10"/>
      <c r="G592" s="10"/>
      <c r="H592" s="10"/>
      <c r="I592" s="9"/>
    </row>
    <row r="593" spans="1:9">
      <c r="A593" s="2"/>
      <c r="B593" s="2"/>
      <c r="C593" s="9"/>
      <c r="D593" s="8"/>
      <c r="E593" s="10"/>
      <c r="F593" s="10"/>
      <c r="G593" s="10"/>
      <c r="H593" s="10"/>
      <c r="I593" s="9"/>
    </row>
    <row r="594" spans="1:9">
      <c r="A594" s="2"/>
      <c r="B594" s="2"/>
      <c r="C594" s="9"/>
      <c r="D594" s="8"/>
      <c r="E594" s="10"/>
      <c r="F594" s="10"/>
      <c r="G594" s="10"/>
      <c r="H594" s="10"/>
      <c r="I594" s="9"/>
    </row>
    <row r="595" spans="1:9">
      <c r="A595" s="2"/>
      <c r="B595" s="2"/>
      <c r="C595" s="9"/>
      <c r="D595" s="8"/>
      <c r="E595" s="10"/>
      <c r="F595" s="10"/>
      <c r="G595" s="10"/>
      <c r="H595" s="10"/>
      <c r="I595" s="9"/>
    </row>
    <row r="596" spans="1:9">
      <c r="A596" s="2"/>
      <c r="B596" s="2"/>
      <c r="C596" s="9"/>
      <c r="D596" s="8"/>
      <c r="E596" s="10"/>
      <c r="F596" s="10"/>
      <c r="G596" s="10"/>
      <c r="H596" s="10"/>
      <c r="I596" s="9"/>
    </row>
    <row r="597" spans="1:9">
      <c r="A597" s="2"/>
      <c r="B597" s="2"/>
      <c r="C597" s="9"/>
      <c r="D597" s="8"/>
      <c r="E597" s="10"/>
      <c r="F597" s="10"/>
      <c r="G597" s="10"/>
      <c r="H597" s="10"/>
      <c r="I597" s="9"/>
    </row>
    <row r="598" spans="1:9">
      <c r="A598" s="2"/>
      <c r="B598" s="2"/>
      <c r="C598" s="9"/>
      <c r="D598" s="8"/>
      <c r="E598" s="10"/>
      <c r="F598" s="10"/>
      <c r="G598" s="10"/>
      <c r="H598" s="10"/>
      <c r="I598" s="9"/>
    </row>
    <row r="599" spans="1:9">
      <c r="A599" s="2"/>
      <c r="B599" s="2"/>
      <c r="C599" s="9"/>
      <c r="D599" s="8"/>
      <c r="E599" s="10"/>
      <c r="F599" s="10"/>
      <c r="G599" s="10"/>
      <c r="H599" s="10"/>
      <c r="I599" s="9"/>
    </row>
    <row r="600" spans="1:9">
      <c r="A600" s="2"/>
      <c r="B600" s="2"/>
      <c r="C600" s="9"/>
      <c r="D600" s="8"/>
      <c r="E600" s="10"/>
      <c r="F600" s="10"/>
      <c r="G600" s="10"/>
      <c r="H600" s="10"/>
      <c r="I600" s="9"/>
    </row>
    <row r="601" spans="1:9">
      <c r="A601" s="2"/>
      <c r="B601" s="2"/>
      <c r="C601" s="9"/>
      <c r="D601" s="8"/>
      <c r="E601" s="10"/>
      <c r="F601" s="10"/>
      <c r="G601" s="10"/>
      <c r="H601" s="10"/>
      <c r="I601" s="9"/>
    </row>
    <row r="602" spans="1:9">
      <c r="A602" s="2"/>
      <c r="B602" s="2"/>
      <c r="C602" s="9"/>
      <c r="D602" s="8"/>
      <c r="E602" s="10"/>
      <c r="F602" s="10"/>
      <c r="G602" s="10"/>
      <c r="H602" s="10"/>
      <c r="I602" s="9"/>
    </row>
    <row r="603" spans="1:9">
      <c r="A603" s="2"/>
      <c r="B603" s="2"/>
      <c r="C603" s="9"/>
      <c r="D603" s="8"/>
      <c r="E603" s="10"/>
      <c r="F603" s="10"/>
      <c r="G603" s="10"/>
      <c r="H603" s="10"/>
      <c r="I603" s="9"/>
    </row>
    <row r="604" spans="1:9">
      <c r="A604" s="2"/>
      <c r="B604" s="2"/>
      <c r="C604" s="9"/>
      <c r="D604" s="8"/>
      <c r="E604" s="10"/>
      <c r="F604" s="10"/>
      <c r="G604" s="10"/>
      <c r="H604" s="10"/>
      <c r="I604" s="9"/>
    </row>
    <row r="605" spans="1:9">
      <c r="A605" s="2"/>
      <c r="B605" s="2"/>
      <c r="C605" s="9"/>
      <c r="D605" s="8"/>
      <c r="E605" s="10"/>
      <c r="F605" s="10"/>
      <c r="G605" s="10"/>
      <c r="H605" s="10"/>
      <c r="I605" s="9"/>
    </row>
    <row r="606" spans="1:9">
      <c r="A606" s="2"/>
      <c r="B606" s="2"/>
      <c r="C606" s="9"/>
      <c r="D606" s="8"/>
      <c r="E606" s="10"/>
      <c r="F606" s="10"/>
      <c r="G606" s="10"/>
      <c r="H606" s="10"/>
      <c r="I606" s="9"/>
    </row>
    <row r="607" spans="1:9">
      <c r="A607" s="2"/>
      <c r="B607" s="2"/>
      <c r="C607" s="9"/>
      <c r="D607" s="8"/>
      <c r="E607" s="10"/>
      <c r="F607" s="10"/>
      <c r="G607" s="10"/>
      <c r="H607" s="10"/>
      <c r="I607" s="9"/>
    </row>
    <row r="608" spans="1:9">
      <c r="A608" s="2"/>
      <c r="B608" s="2"/>
      <c r="C608" s="9"/>
      <c r="D608" s="8"/>
      <c r="E608" s="10"/>
      <c r="F608" s="10"/>
      <c r="G608" s="10"/>
      <c r="H608" s="10"/>
      <c r="I608" s="9"/>
    </row>
    <row r="609" spans="1:9">
      <c r="A609" s="2"/>
      <c r="B609" s="2"/>
      <c r="C609" s="9"/>
      <c r="D609" s="8"/>
      <c r="E609" s="10"/>
      <c r="F609" s="10"/>
      <c r="G609" s="10"/>
      <c r="H609" s="10"/>
      <c r="I609" s="9"/>
    </row>
    <row r="610" spans="1:9">
      <c r="A610" s="2"/>
      <c r="B610" s="2"/>
      <c r="C610" s="9"/>
      <c r="D610" s="8"/>
      <c r="E610" s="10"/>
      <c r="F610" s="10"/>
      <c r="G610" s="10"/>
      <c r="H610" s="10"/>
      <c r="I610" s="9"/>
    </row>
    <row r="611" spans="1:9">
      <c r="A611" s="2"/>
      <c r="B611" s="2"/>
      <c r="C611" s="9"/>
      <c r="D611" s="8"/>
      <c r="E611" s="10"/>
      <c r="F611" s="10"/>
      <c r="G611" s="10"/>
      <c r="H611" s="10"/>
      <c r="I611" s="9"/>
    </row>
    <row r="612" spans="1:9">
      <c r="A612" s="2"/>
      <c r="B612" s="2"/>
      <c r="C612" s="9"/>
      <c r="D612" s="8"/>
      <c r="E612" s="10"/>
      <c r="F612" s="10"/>
      <c r="G612" s="10"/>
      <c r="H612" s="10"/>
      <c r="I612" s="9"/>
    </row>
    <row r="613" spans="1:9">
      <c r="A613" s="2"/>
      <c r="B613" s="2"/>
      <c r="C613" s="9"/>
      <c r="D613" s="8"/>
      <c r="E613" s="10"/>
      <c r="F613" s="10"/>
      <c r="G613" s="10"/>
      <c r="H613" s="10"/>
      <c r="I613" s="9"/>
    </row>
    <row r="614" spans="1:9">
      <c r="A614" s="2"/>
      <c r="B614" s="2"/>
      <c r="C614" s="9"/>
      <c r="D614" s="8"/>
      <c r="E614" s="10"/>
      <c r="F614" s="10"/>
      <c r="G614" s="10"/>
      <c r="H614" s="10"/>
      <c r="I614" s="9"/>
    </row>
    <row r="615" spans="1:9">
      <c r="A615" s="2"/>
      <c r="B615" s="2"/>
      <c r="C615" s="9"/>
      <c r="D615" s="8"/>
      <c r="E615" s="10"/>
      <c r="F615" s="10"/>
      <c r="G615" s="10"/>
      <c r="H615" s="10"/>
      <c r="I615" s="9"/>
    </row>
    <row r="616" spans="1:9">
      <c r="A616" s="2"/>
      <c r="B616" s="2"/>
      <c r="C616" s="9"/>
      <c r="D616" s="8"/>
      <c r="E616" s="10"/>
      <c r="F616" s="10"/>
      <c r="G616" s="10"/>
      <c r="H616" s="10"/>
      <c r="I616" s="9"/>
    </row>
    <row r="617" spans="1:9">
      <c r="A617" s="2"/>
      <c r="B617" s="2"/>
      <c r="C617" s="9"/>
      <c r="D617" s="8"/>
      <c r="E617" s="10"/>
      <c r="F617" s="10"/>
      <c r="G617" s="10"/>
      <c r="H617" s="10"/>
      <c r="I617" s="9"/>
    </row>
    <row r="618" spans="1:9">
      <c r="A618" s="2"/>
      <c r="B618" s="2"/>
      <c r="C618" s="9"/>
      <c r="D618" s="8"/>
      <c r="E618" s="10"/>
      <c r="F618" s="10"/>
      <c r="G618" s="10"/>
      <c r="H618" s="10"/>
      <c r="I618" s="9"/>
    </row>
    <row r="619" spans="1:9">
      <c r="A619" s="2"/>
      <c r="B619" s="2"/>
      <c r="C619" s="9"/>
      <c r="D619" s="8"/>
      <c r="E619" s="10"/>
      <c r="F619" s="10"/>
      <c r="G619" s="10"/>
      <c r="H619" s="10"/>
      <c r="I619" s="9"/>
    </row>
    <row r="620" spans="1:9">
      <c r="A620" s="2"/>
      <c r="B620" s="2"/>
      <c r="C620" s="9"/>
      <c r="D620" s="8"/>
      <c r="E620" s="10"/>
      <c r="F620" s="10"/>
      <c r="G620" s="10"/>
      <c r="H620" s="10"/>
      <c r="I620" s="9"/>
    </row>
    <row r="621" spans="1:9">
      <c r="A621" s="2"/>
      <c r="B621" s="2"/>
      <c r="C621" s="9"/>
      <c r="D621" s="8"/>
      <c r="E621" s="10"/>
      <c r="F621" s="10"/>
      <c r="G621" s="10"/>
      <c r="H621" s="10"/>
      <c r="I621" s="9"/>
    </row>
    <row r="622" spans="1:9">
      <c r="A622" s="2"/>
      <c r="B622" s="2"/>
      <c r="C622" s="9"/>
      <c r="D622" s="8"/>
      <c r="E622" s="10"/>
      <c r="F622" s="10"/>
      <c r="G622" s="10"/>
      <c r="H622" s="10"/>
      <c r="I622" s="9"/>
    </row>
    <row r="623" spans="1:9">
      <c r="A623" s="2"/>
      <c r="B623" s="2"/>
      <c r="C623" s="9"/>
      <c r="D623" s="8"/>
      <c r="E623" s="10"/>
      <c r="F623" s="10"/>
      <c r="G623" s="10"/>
      <c r="H623" s="10"/>
      <c r="I623" s="9"/>
    </row>
    <row r="624" spans="1:9">
      <c r="A624" s="2"/>
      <c r="B624" s="2"/>
      <c r="C624" s="9"/>
      <c r="D624" s="8"/>
      <c r="E624" s="10"/>
      <c r="F624" s="10"/>
      <c r="G624" s="10"/>
      <c r="H624" s="10"/>
      <c r="I624" s="9"/>
    </row>
    <row r="625" spans="1:9">
      <c r="A625" s="2"/>
      <c r="B625" s="2"/>
      <c r="C625" s="9"/>
      <c r="D625" s="8"/>
      <c r="E625" s="10"/>
      <c r="F625" s="10"/>
      <c r="G625" s="10"/>
      <c r="H625" s="10"/>
      <c r="I625" s="9"/>
    </row>
    <row r="626" spans="1:9">
      <c r="A626" s="2"/>
      <c r="B626" s="2"/>
      <c r="C626" s="9"/>
      <c r="D626" s="8"/>
      <c r="E626" s="10"/>
      <c r="F626" s="10"/>
      <c r="G626" s="10"/>
      <c r="H626" s="10"/>
      <c r="I626" s="9"/>
    </row>
    <row r="627" spans="1:9">
      <c r="A627" s="2"/>
      <c r="B627" s="2"/>
      <c r="C627" s="9"/>
      <c r="D627" s="8"/>
      <c r="E627" s="10"/>
      <c r="F627" s="10"/>
      <c r="G627" s="10"/>
      <c r="H627" s="10"/>
      <c r="I627" s="9"/>
    </row>
    <row r="628" spans="1:9">
      <c r="A628" s="2"/>
      <c r="B628" s="2"/>
      <c r="C628" s="9"/>
      <c r="D628" s="8"/>
      <c r="E628" s="10"/>
      <c r="F628" s="10"/>
      <c r="G628" s="10"/>
      <c r="H628" s="10"/>
      <c r="I628" s="9"/>
    </row>
    <row r="629" spans="1:9">
      <c r="A629" s="2"/>
      <c r="B629" s="2"/>
      <c r="C629" s="9"/>
      <c r="D629" s="8"/>
      <c r="E629" s="10"/>
      <c r="F629" s="10"/>
      <c r="G629" s="10"/>
      <c r="H629" s="10"/>
      <c r="I629" s="9"/>
    </row>
    <row r="630" spans="1:9">
      <c r="A630" s="2"/>
      <c r="B630" s="2"/>
      <c r="C630" s="9"/>
      <c r="D630" s="8"/>
      <c r="E630" s="10"/>
      <c r="F630" s="10"/>
      <c r="G630" s="10"/>
      <c r="H630" s="10"/>
      <c r="I630" s="9"/>
    </row>
    <row r="631" spans="1:9">
      <c r="A631" s="2"/>
      <c r="B631" s="2"/>
      <c r="C631" s="9"/>
      <c r="D631" s="8"/>
      <c r="E631" s="10"/>
      <c r="F631" s="10"/>
      <c r="G631" s="10"/>
      <c r="H631" s="10"/>
      <c r="I631" s="9"/>
    </row>
    <row r="632" spans="1:9">
      <c r="A632" s="2"/>
      <c r="B632" s="2"/>
      <c r="C632" s="9"/>
      <c r="D632" s="8"/>
      <c r="E632" s="10"/>
      <c r="F632" s="10"/>
      <c r="G632" s="10"/>
      <c r="H632" s="10"/>
      <c r="I632" s="9"/>
    </row>
    <row r="633" spans="1:9">
      <c r="A633" s="2"/>
      <c r="B633" s="2"/>
      <c r="C633" s="9"/>
      <c r="D633" s="8"/>
      <c r="E633" s="10"/>
      <c r="F633" s="10"/>
      <c r="G633" s="10"/>
      <c r="H633" s="10"/>
      <c r="I633" s="9"/>
    </row>
    <row r="634" spans="1:9">
      <c r="A634" s="2"/>
      <c r="B634" s="2"/>
      <c r="C634" s="9"/>
      <c r="D634" s="8"/>
      <c r="E634" s="10"/>
      <c r="F634" s="10"/>
      <c r="G634" s="10"/>
      <c r="H634" s="10"/>
      <c r="I634" s="9"/>
    </row>
    <row r="635" spans="1:9">
      <c r="A635" s="2"/>
      <c r="B635" s="2"/>
      <c r="C635" s="9"/>
      <c r="D635" s="8"/>
      <c r="E635" s="10"/>
      <c r="F635" s="10"/>
      <c r="G635" s="10"/>
      <c r="H635" s="10"/>
      <c r="I635" s="9"/>
    </row>
    <row r="636" spans="1:9">
      <c r="A636" s="2"/>
      <c r="B636" s="2"/>
      <c r="C636" s="9"/>
      <c r="D636" s="8"/>
      <c r="E636" s="10"/>
      <c r="F636" s="10"/>
      <c r="G636" s="10"/>
      <c r="H636" s="10"/>
      <c r="I636" s="9"/>
    </row>
    <row r="637" spans="1:9">
      <c r="A637" s="2"/>
      <c r="B637" s="2"/>
      <c r="C637" s="9"/>
      <c r="D637" s="8"/>
      <c r="E637" s="10"/>
      <c r="F637" s="10"/>
      <c r="G637" s="10"/>
      <c r="H637" s="10"/>
      <c r="I637" s="9"/>
    </row>
    <row r="638" spans="1:9">
      <c r="A638" s="2"/>
      <c r="B638" s="2"/>
      <c r="C638" s="9"/>
      <c r="D638" s="8"/>
      <c r="E638" s="10"/>
      <c r="F638" s="10"/>
      <c r="G638" s="10"/>
      <c r="H638" s="10"/>
      <c r="I638" s="9"/>
    </row>
    <row r="639" spans="1:9">
      <c r="A639" s="2"/>
      <c r="B639" s="2"/>
      <c r="C639" s="9"/>
      <c r="D639" s="8"/>
      <c r="E639" s="10"/>
      <c r="F639" s="10"/>
      <c r="G639" s="10"/>
      <c r="H639" s="10"/>
      <c r="I639" s="9"/>
    </row>
    <row r="640" spans="1:9">
      <c r="A640" s="2"/>
      <c r="B640" s="2"/>
      <c r="C640" s="9"/>
      <c r="D640" s="8"/>
      <c r="E640" s="10"/>
      <c r="F640" s="10"/>
      <c r="G640" s="10"/>
      <c r="H640" s="10"/>
      <c r="I640" s="9"/>
    </row>
    <row r="641" spans="1:9">
      <c r="A641" s="2"/>
      <c r="B641" s="2"/>
      <c r="C641" s="9"/>
      <c r="D641" s="8"/>
      <c r="E641" s="10"/>
      <c r="F641" s="10"/>
      <c r="G641" s="10"/>
      <c r="H641" s="10"/>
      <c r="I641" s="9"/>
    </row>
    <row r="642" spans="1:9">
      <c r="A642" s="2"/>
      <c r="B642" s="2"/>
      <c r="C642" s="9"/>
      <c r="D642" s="8"/>
      <c r="E642" s="10"/>
      <c r="F642" s="10"/>
      <c r="G642" s="10"/>
      <c r="H642" s="10"/>
      <c r="I642" s="9"/>
    </row>
    <row r="643" spans="1:9">
      <c r="A643" s="2"/>
      <c r="B643" s="2"/>
      <c r="C643" s="9"/>
      <c r="D643" s="8"/>
      <c r="E643" s="10"/>
      <c r="F643" s="10"/>
      <c r="G643" s="10"/>
      <c r="H643" s="10"/>
      <c r="I643" s="9"/>
    </row>
    <row r="644" spans="1:9">
      <c r="A644" s="2"/>
      <c r="B644" s="2"/>
      <c r="C644" s="9"/>
      <c r="D644" s="8"/>
      <c r="E644" s="10"/>
      <c r="F644" s="10"/>
      <c r="G644" s="10"/>
      <c r="H644" s="10"/>
      <c r="I644" s="9"/>
    </row>
    <row r="645" spans="1:9">
      <c r="A645" s="2"/>
      <c r="B645" s="2"/>
      <c r="C645" s="9"/>
      <c r="D645" s="8"/>
      <c r="E645" s="10"/>
      <c r="F645" s="10"/>
      <c r="G645" s="10"/>
      <c r="H645" s="10"/>
      <c r="I645" s="9"/>
    </row>
    <row r="646" spans="1:9">
      <c r="A646" s="2"/>
      <c r="B646" s="2"/>
      <c r="C646" s="9"/>
      <c r="D646" s="8"/>
      <c r="E646" s="10"/>
      <c r="F646" s="10"/>
      <c r="G646" s="10"/>
      <c r="H646" s="10"/>
      <c r="I646" s="9"/>
    </row>
    <row r="647" spans="1:9">
      <c r="A647" s="2"/>
      <c r="B647" s="2"/>
      <c r="C647" s="9"/>
      <c r="D647" s="8"/>
      <c r="E647" s="10"/>
      <c r="F647" s="10"/>
      <c r="G647" s="10"/>
      <c r="H647" s="10"/>
      <c r="I647" s="9"/>
    </row>
    <row r="648" spans="1:9">
      <c r="A648" s="2"/>
      <c r="B648" s="2"/>
      <c r="C648" s="9"/>
      <c r="D648" s="8"/>
      <c r="E648" s="10"/>
      <c r="F648" s="10"/>
      <c r="G648" s="10"/>
      <c r="H648" s="10"/>
      <c r="I648" s="9"/>
    </row>
    <row r="649" spans="1:9">
      <c r="A649" s="2"/>
      <c r="B649" s="2"/>
      <c r="C649" s="9"/>
      <c r="D649" s="8"/>
      <c r="E649" s="10"/>
      <c r="F649" s="10"/>
      <c r="G649" s="10"/>
      <c r="H649" s="10"/>
      <c r="I649" s="9"/>
    </row>
    <row r="650" spans="1:9">
      <c r="A650" s="2"/>
      <c r="B650" s="2"/>
      <c r="C650" s="9"/>
      <c r="D650" s="8"/>
      <c r="E650" s="10"/>
      <c r="F650" s="10"/>
      <c r="G650" s="10"/>
      <c r="H650" s="10"/>
      <c r="I650" s="9"/>
    </row>
    <row r="651" spans="1:9">
      <c r="A651" s="2"/>
      <c r="B651" s="2"/>
      <c r="C651" s="9"/>
      <c r="D651" s="8"/>
      <c r="E651" s="10"/>
      <c r="F651" s="10"/>
      <c r="G651" s="10"/>
      <c r="H651" s="10"/>
      <c r="I651" s="9"/>
    </row>
    <row r="652" spans="1:9">
      <c r="A652" s="2"/>
      <c r="B652" s="2"/>
      <c r="C652" s="9"/>
      <c r="D652" s="8"/>
      <c r="E652" s="10"/>
      <c r="F652" s="10"/>
      <c r="G652" s="10"/>
      <c r="H652" s="10"/>
      <c r="I652" s="9"/>
    </row>
    <row r="653" spans="1:9">
      <c r="A653" s="2"/>
      <c r="B653" s="2"/>
      <c r="C653" s="9"/>
      <c r="D653" s="8"/>
      <c r="E653" s="10"/>
      <c r="F653" s="10"/>
      <c r="G653" s="10"/>
      <c r="H653" s="10"/>
      <c r="I653" s="9"/>
    </row>
    <row r="654" spans="1:9">
      <c r="A654" s="2"/>
      <c r="B654" s="2"/>
      <c r="C654" s="9"/>
      <c r="D654" s="8"/>
      <c r="E654" s="10"/>
      <c r="F654" s="10"/>
      <c r="G654" s="10"/>
      <c r="H654" s="10"/>
      <c r="I654" s="9"/>
    </row>
    <row r="655" spans="1:9">
      <c r="A655" s="2"/>
      <c r="B655" s="2"/>
      <c r="C655" s="9"/>
      <c r="D655" s="8"/>
      <c r="E655" s="10"/>
      <c r="F655" s="10"/>
      <c r="G655" s="10"/>
      <c r="H655" s="10"/>
      <c r="I655" s="9"/>
    </row>
    <row r="656" spans="1:9">
      <c r="A656" s="2"/>
      <c r="B656" s="2"/>
      <c r="C656" s="9"/>
      <c r="D656" s="8"/>
      <c r="E656" s="10"/>
      <c r="F656" s="10"/>
      <c r="G656" s="10"/>
      <c r="H656" s="10"/>
      <c r="I656" s="9"/>
    </row>
    <row r="657" spans="1:9">
      <c r="A657" s="2"/>
      <c r="B657" s="2"/>
      <c r="C657" s="9"/>
      <c r="D657" s="8"/>
      <c r="E657" s="10"/>
      <c r="F657" s="10"/>
      <c r="G657" s="10"/>
      <c r="H657" s="10"/>
      <c r="I657" s="9"/>
    </row>
    <row r="658" spans="1:9">
      <c r="A658" s="2"/>
      <c r="B658" s="2"/>
      <c r="C658" s="9"/>
      <c r="D658" s="8"/>
      <c r="E658" s="10"/>
      <c r="F658" s="10"/>
      <c r="G658" s="10"/>
      <c r="H658" s="10"/>
      <c r="I658" s="9"/>
    </row>
    <row r="659" spans="1:9">
      <c r="A659" s="2"/>
      <c r="B659" s="2"/>
      <c r="C659" s="9"/>
      <c r="D659" s="8"/>
      <c r="E659" s="10"/>
      <c r="F659" s="10"/>
      <c r="G659" s="10"/>
      <c r="H659" s="10"/>
      <c r="I659" s="9"/>
    </row>
    <row r="660" spans="1:9">
      <c r="A660" s="2"/>
      <c r="B660" s="2"/>
      <c r="C660" s="9"/>
      <c r="D660" s="8"/>
      <c r="E660" s="10"/>
      <c r="F660" s="10"/>
      <c r="G660" s="10"/>
      <c r="H660" s="10"/>
      <c r="I660" s="9"/>
    </row>
    <row r="661" spans="1:9">
      <c r="A661" s="2"/>
      <c r="B661" s="2"/>
      <c r="C661" s="9"/>
      <c r="D661" s="8"/>
      <c r="E661" s="10"/>
      <c r="F661" s="10"/>
      <c r="G661" s="10"/>
      <c r="H661" s="10"/>
      <c r="I661" s="9"/>
    </row>
    <row r="662" spans="1:9">
      <c r="A662" s="2"/>
      <c r="B662" s="2"/>
      <c r="C662" s="9"/>
      <c r="D662" s="8"/>
      <c r="E662" s="10"/>
      <c r="F662" s="10"/>
      <c r="G662" s="10"/>
      <c r="H662" s="10"/>
      <c r="I662" s="9"/>
    </row>
    <row r="663" spans="1:9">
      <c r="A663" s="2"/>
      <c r="B663" s="2"/>
      <c r="C663" s="9"/>
      <c r="D663" s="8"/>
      <c r="E663" s="10"/>
      <c r="F663" s="10"/>
      <c r="G663" s="10"/>
      <c r="H663" s="10"/>
      <c r="I663" s="9"/>
    </row>
    <row r="664" spans="1:9">
      <c r="A664" s="2"/>
      <c r="B664" s="2"/>
      <c r="C664" s="9"/>
      <c r="D664" s="8"/>
      <c r="E664" s="10"/>
      <c r="F664" s="10"/>
      <c r="G664" s="10"/>
      <c r="H664" s="10"/>
      <c r="I664" s="9"/>
    </row>
    <row r="665" spans="1:9">
      <c r="A665" s="2"/>
      <c r="B665" s="2"/>
      <c r="C665" s="9"/>
      <c r="D665" s="8"/>
      <c r="E665" s="10"/>
      <c r="F665" s="10"/>
      <c r="G665" s="10"/>
      <c r="H665" s="10"/>
      <c r="I665" s="9"/>
    </row>
    <row r="666" spans="1:9">
      <c r="A666" s="2"/>
      <c r="B666" s="2"/>
      <c r="C666" s="9"/>
      <c r="D666" s="8"/>
      <c r="E666" s="10"/>
      <c r="F666" s="10"/>
      <c r="G666" s="10"/>
      <c r="H666" s="10"/>
      <c r="I666" s="9"/>
    </row>
    <row r="667" spans="1:9">
      <c r="A667" s="2"/>
      <c r="B667" s="2"/>
      <c r="C667" s="9"/>
      <c r="D667" s="8"/>
      <c r="E667" s="10"/>
      <c r="F667" s="10"/>
      <c r="G667" s="10"/>
      <c r="H667" s="10"/>
      <c r="I667" s="9"/>
    </row>
    <row r="668" spans="1:9">
      <c r="A668" s="2"/>
      <c r="B668" s="2"/>
      <c r="C668" s="9"/>
      <c r="D668" s="8"/>
      <c r="E668" s="10"/>
      <c r="F668" s="10"/>
      <c r="G668" s="10"/>
      <c r="H668" s="10"/>
      <c r="I668" s="9"/>
    </row>
    <row r="669" spans="1:9">
      <c r="A669" s="2"/>
      <c r="B669" s="2"/>
      <c r="C669" s="9"/>
      <c r="D669" s="8"/>
      <c r="E669" s="10"/>
      <c r="F669" s="10"/>
      <c r="G669" s="10"/>
      <c r="H669" s="10"/>
      <c r="I669" s="9"/>
    </row>
    <row r="670" spans="1:9">
      <c r="A670" s="2"/>
      <c r="B670" s="2"/>
      <c r="C670" s="9"/>
      <c r="D670" s="8"/>
      <c r="E670" s="10"/>
      <c r="F670" s="10"/>
      <c r="G670" s="10"/>
      <c r="H670" s="10"/>
      <c r="I670" s="9"/>
    </row>
    <row r="671" spans="1:9">
      <c r="A671" s="2"/>
      <c r="B671" s="2"/>
      <c r="C671" s="9"/>
      <c r="D671" s="8"/>
      <c r="E671" s="10"/>
      <c r="F671" s="10"/>
      <c r="G671" s="10"/>
      <c r="H671" s="10"/>
      <c r="I671" s="9"/>
    </row>
    <row r="672" spans="1:9">
      <c r="A672" s="2"/>
      <c r="B672" s="2"/>
      <c r="C672" s="9"/>
      <c r="D672" s="8"/>
      <c r="E672" s="10"/>
      <c r="F672" s="10"/>
      <c r="G672" s="10"/>
      <c r="H672" s="10"/>
      <c r="I672" s="9"/>
    </row>
    <row r="673" spans="1:9">
      <c r="A673" s="2"/>
      <c r="B673" s="2"/>
      <c r="C673" s="9"/>
      <c r="D673" s="8"/>
      <c r="E673" s="10"/>
      <c r="F673" s="10"/>
      <c r="G673" s="10"/>
      <c r="H673" s="10"/>
      <c r="I673" s="9"/>
    </row>
    <row r="674" spans="1:9">
      <c r="A674" s="2"/>
      <c r="B674" s="2"/>
      <c r="C674" s="9"/>
      <c r="D674" s="8"/>
      <c r="E674" s="10"/>
      <c r="F674" s="10"/>
      <c r="G674" s="10"/>
      <c r="H674" s="10"/>
      <c r="I674" s="9"/>
    </row>
    <row r="675" spans="1:9">
      <c r="A675" s="2"/>
      <c r="B675" s="2"/>
      <c r="C675" s="9"/>
      <c r="D675" s="8"/>
      <c r="E675" s="10"/>
      <c r="F675" s="10"/>
      <c r="G675" s="10"/>
      <c r="H675" s="10"/>
      <c r="I675" s="9"/>
    </row>
    <row r="676" spans="1:9">
      <c r="A676" s="2"/>
      <c r="B676" s="2"/>
      <c r="C676" s="9"/>
      <c r="D676" s="8"/>
      <c r="E676" s="10"/>
      <c r="F676" s="10"/>
      <c r="G676" s="10"/>
      <c r="H676" s="10"/>
      <c r="I676" s="9"/>
    </row>
    <row r="677" spans="1:9">
      <c r="A677" s="2"/>
      <c r="B677" s="2"/>
      <c r="C677" s="9"/>
      <c r="D677" s="8"/>
      <c r="E677" s="10"/>
      <c r="F677" s="10"/>
      <c r="G677" s="10"/>
      <c r="H677" s="10"/>
      <c r="I677" s="9"/>
    </row>
    <row r="678" spans="1:9">
      <c r="A678" s="2"/>
      <c r="B678" s="2"/>
      <c r="C678" s="9"/>
      <c r="D678" s="8"/>
      <c r="E678" s="10"/>
      <c r="F678" s="10"/>
      <c r="G678" s="10"/>
      <c r="H678" s="10"/>
      <c r="I678" s="9"/>
    </row>
    <row r="679" spans="1:9">
      <c r="A679" s="2"/>
      <c r="B679" s="2"/>
      <c r="C679" s="9"/>
      <c r="D679" s="8"/>
      <c r="E679" s="10"/>
      <c r="F679" s="10"/>
      <c r="G679" s="10"/>
      <c r="H679" s="10"/>
      <c r="I679" s="9"/>
    </row>
    <row r="680" spans="1:9">
      <c r="A680" s="2"/>
      <c r="B680" s="2"/>
      <c r="C680" s="9"/>
      <c r="D680" s="8"/>
      <c r="E680" s="10"/>
      <c r="F680" s="10"/>
      <c r="G680" s="10"/>
      <c r="H680" s="10"/>
      <c r="I680" s="9"/>
    </row>
    <row r="681" spans="1:9">
      <c r="A681" s="2"/>
      <c r="B681" s="2"/>
      <c r="C681" s="9"/>
      <c r="D681" s="8"/>
      <c r="E681" s="10"/>
      <c r="F681" s="10"/>
      <c r="G681" s="10"/>
      <c r="H681" s="10"/>
      <c r="I681" s="9"/>
    </row>
    <row r="682" spans="1:9">
      <c r="A682" s="2"/>
      <c r="B682" s="2"/>
      <c r="C682" s="9"/>
      <c r="D682" s="8"/>
      <c r="E682" s="10"/>
      <c r="F682" s="10"/>
      <c r="G682" s="10"/>
      <c r="H682" s="10"/>
      <c r="I682" s="9"/>
    </row>
    <row r="683" spans="1:9">
      <c r="A683" s="2"/>
      <c r="B683" s="2"/>
      <c r="C683" s="9"/>
      <c r="D683" s="8"/>
      <c r="E683" s="10"/>
      <c r="F683" s="10"/>
      <c r="G683" s="10"/>
      <c r="H683" s="10"/>
      <c r="I683" s="9"/>
    </row>
    <row r="684" spans="1:9">
      <c r="A684" s="2"/>
      <c r="B684" s="2"/>
      <c r="C684" s="9"/>
      <c r="D684" s="8"/>
      <c r="E684" s="10"/>
      <c r="F684" s="10"/>
      <c r="G684" s="10"/>
      <c r="H684" s="10"/>
      <c r="I684" s="9"/>
    </row>
    <row r="685" spans="1:9">
      <c r="A685" s="2"/>
      <c r="B685" s="2"/>
      <c r="C685" s="9"/>
      <c r="D685" s="8"/>
      <c r="E685" s="10"/>
      <c r="F685" s="10"/>
      <c r="G685" s="10"/>
      <c r="H685" s="10"/>
      <c r="I685" s="9"/>
    </row>
    <row r="686" spans="1:9">
      <c r="A686" s="2"/>
      <c r="B686" s="2"/>
      <c r="C686" s="9"/>
      <c r="D686" s="8"/>
      <c r="E686" s="10"/>
      <c r="F686" s="10"/>
      <c r="G686" s="10"/>
      <c r="H686" s="10"/>
      <c r="I686" s="9"/>
    </row>
    <row r="687" spans="1:9">
      <c r="A687" s="2"/>
      <c r="B687" s="2"/>
      <c r="C687" s="9"/>
      <c r="D687" s="8"/>
      <c r="E687" s="10"/>
      <c r="F687" s="10"/>
      <c r="G687" s="10"/>
      <c r="H687" s="10"/>
      <c r="I687" s="9"/>
    </row>
    <row r="688" spans="1:9">
      <c r="A688" s="2"/>
      <c r="B688" s="2"/>
      <c r="C688" s="9"/>
      <c r="D688" s="8"/>
      <c r="E688" s="10"/>
      <c r="F688" s="10"/>
      <c r="G688" s="10"/>
      <c r="H688" s="10"/>
      <c r="I688" s="9"/>
    </row>
    <row r="689" spans="1:9">
      <c r="A689" s="2"/>
      <c r="B689" s="2"/>
      <c r="C689" s="9"/>
      <c r="D689" s="8"/>
      <c r="E689" s="10"/>
      <c r="F689" s="10"/>
      <c r="G689" s="10"/>
      <c r="H689" s="10"/>
      <c r="I689" s="9"/>
    </row>
    <row r="690" spans="1:9">
      <c r="A690" s="2"/>
      <c r="B690" s="2"/>
      <c r="C690" s="9"/>
      <c r="D690" s="8"/>
      <c r="E690" s="10"/>
      <c r="F690" s="10"/>
      <c r="G690" s="10"/>
      <c r="H690" s="10"/>
      <c r="I690" s="9"/>
    </row>
    <row r="691" spans="1:9">
      <c r="A691" s="2"/>
      <c r="B691" s="2"/>
      <c r="C691" s="9"/>
      <c r="D691" s="8"/>
      <c r="E691" s="10"/>
      <c r="F691" s="10"/>
      <c r="G691" s="10"/>
      <c r="H691" s="10"/>
      <c r="I691" s="9"/>
    </row>
    <row r="692" spans="1:9">
      <c r="A692" s="2"/>
      <c r="B692" s="2"/>
      <c r="C692" s="9"/>
      <c r="D692" s="8"/>
      <c r="E692" s="10"/>
      <c r="F692" s="10"/>
      <c r="G692" s="10"/>
      <c r="H692" s="10"/>
      <c r="I692" s="9"/>
    </row>
    <row r="693" spans="1:9">
      <c r="A693" s="2"/>
      <c r="B693" s="2"/>
      <c r="C693" s="9"/>
      <c r="D693" s="8"/>
      <c r="E693" s="10"/>
      <c r="F693" s="10"/>
      <c r="G693" s="10"/>
      <c r="H693" s="10"/>
      <c r="I693" s="9"/>
    </row>
    <row r="694" spans="1:9">
      <c r="A694" s="2"/>
      <c r="B694" s="2"/>
      <c r="C694" s="9"/>
      <c r="D694" s="8"/>
      <c r="E694" s="10"/>
      <c r="F694" s="10"/>
      <c r="G694" s="10"/>
      <c r="H694" s="10"/>
      <c r="I694" s="9"/>
    </row>
    <row r="695" spans="1:9">
      <c r="A695" s="2"/>
      <c r="B695" s="2"/>
      <c r="C695" s="9"/>
      <c r="D695" s="8"/>
      <c r="E695" s="10"/>
      <c r="F695" s="10"/>
      <c r="G695" s="10"/>
      <c r="H695" s="10"/>
      <c r="I695" s="9"/>
    </row>
    <row r="696" spans="1:9">
      <c r="A696" s="2"/>
      <c r="B696" s="2"/>
      <c r="C696" s="9"/>
      <c r="D696" s="8"/>
      <c r="E696" s="10"/>
      <c r="F696" s="10"/>
      <c r="G696" s="10"/>
      <c r="H696" s="10"/>
      <c r="I696" s="9"/>
    </row>
    <row r="697" spans="1:9">
      <c r="A697" s="2"/>
      <c r="B697" s="2"/>
      <c r="C697" s="9"/>
      <c r="D697" s="8"/>
      <c r="E697" s="10"/>
      <c r="F697" s="10"/>
      <c r="G697" s="10"/>
      <c r="H697" s="10"/>
      <c r="I697" s="9"/>
    </row>
    <row r="698" spans="1:9">
      <c r="A698" s="2"/>
      <c r="B698" s="2"/>
      <c r="C698" s="9"/>
      <c r="D698" s="8"/>
      <c r="E698" s="10"/>
      <c r="F698" s="10"/>
      <c r="G698" s="10"/>
      <c r="H698" s="10"/>
      <c r="I698" s="9"/>
    </row>
    <row r="699" spans="1:9">
      <c r="A699" s="2"/>
      <c r="B699" s="2"/>
      <c r="C699" s="9"/>
      <c r="D699" s="8"/>
      <c r="E699" s="10"/>
      <c r="F699" s="10"/>
      <c r="G699" s="10"/>
      <c r="H699" s="10"/>
      <c r="I699" s="9"/>
    </row>
    <row r="700" spans="1:9">
      <c r="A700" s="2"/>
      <c r="B700" s="2"/>
      <c r="C700" s="9"/>
      <c r="D700" s="8"/>
      <c r="E700" s="10"/>
      <c r="F700" s="10"/>
      <c r="G700" s="10"/>
      <c r="H700" s="10"/>
      <c r="I700" s="9"/>
    </row>
    <row r="701" spans="1:9">
      <c r="A701" s="2"/>
      <c r="B701" s="2"/>
      <c r="C701" s="9"/>
      <c r="D701" s="8"/>
      <c r="E701" s="10"/>
      <c r="F701" s="10"/>
      <c r="G701" s="10"/>
      <c r="H701" s="10"/>
      <c r="I701" s="9"/>
    </row>
    <row r="702" spans="1:9">
      <c r="A702" s="2"/>
      <c r="B702" s="2"/>
      <c r="C702" s="9"/>
      <c r="D702" s="8"/>
      <c r="E702" s="10"/>
      <c r="F702" s="10"/>
      <c r="G702" s="10"/>
      <c r="H702" s="10"/>
      <c r="I702" s="9"/>
    </row>
    <row r="703" spans="1:9">
      <c r="A703" s="2"/>
      <c r="B703" s="2"/>
      <c r="C703" s="9"/>
      <c r="D703" s="8"/>
      <c r="E703" s="10"/>
      <c r="F703" s="10"/>
      <c r="G703" s="10"/>
      <c r="H703" s="10"/>
      <c r="I703" s="9"/>
    </row>
    <row r="704" spans="1:9">
      <c r="A704" s="2"/>
      <c r="B704" s="2"/>
      <c r="C704" s="9"/>
      <c r="D704" s="8"/>
      <c r="E704" s="10"/>
      <c r="F704" s="10"/>
      <c r="G704" s="10"/>
      <c r="H704" s="10"/>
      <c r="I704" s="9"/>
    </row>
    <row r="705" spans="1:9">
      <c r="A705" s="2"/>
      <c r="B705" s="2"/>
      <c r="C705" s="9"/>
      <c r="D705" s="8"/>
      <c r="E705" s="10"/>
      <c r="F705" s="10"/>
      <c r="G705" s="10"/>
      <c r="H705" s="10"/>
      <c r="I705" s="9"/>
    </row>
    <row r="706" spans="1:9">
      <c r="A706" s="2"/>
      <c r="B706" s="2"/>
      <c r="C706" s="9"/>
      <c r="D706" s="8"/>
      <c r="E706" s="10"/>
      <c r="F706" s="10"/>
      <c r="G706" s="10"/>
      <c r="H706" s="10"/>
      <c r="I706" s="9"/>
    </row>
    <row r="707" spans="1:9">
      <c r="A707" s="2"/>
      <c r="B707" s="2"/>
      <c r="C707" s="9"/>
      <c r="D707" s="8"/>
      <c r="E707" s="10"/>
      <c r="F707" s="10"/>
      <c r="G707" s="10"/>
      <c r="H707" s="10"/>
      <c r="I707" s="9"/>
    </row>
    <row r="708" spans="1:9">
      <c r="A708" s="2"/>
      <c r="B708" s="2"/>
      <c r="C708" s="9"/>
      <c r="D708" s="8"/>
      <c r="E708" s="10"/>
      <c r="F708" s="10"/>
      <c r="G708" s="10"/>
      <c r="H708" s="10"/>
      <c r="I708" s="9"/>
    </row>
    <row r="709" spans="1:9">
      <c r="A709" s="2"/>
      <c r="B709" s="2"/>
      <c r="C709" s="9"/>
      <c r="D709" s="8"/>
      <c r="E709" s="10"/>
      <c r="F709" s="10"/>
      <c r="G709" s="10"/>
      <c r="H709" s="10"/>
      <c r="I709" s="9"/>
    </row>
    <row r="710" spans="1:9">
      <c r="A710" s="2"/>
      <c r="B710" s="2"/>
      <c r="C710" s="9"/>
      <c r="D710" s="8"/>
      <c r="E710" s="10"/>
      <c r="F710" s="10"/>
      <c r="G710" s="10"/>
      <c r="H710" s="10"/>
      <c r="I710" s="9"/>
    </row>
    <row r="711" spans="1:9">
      <c r="A711" s="2"/>
      <c r="B711" s="2"/>
      <c r="C711" s="9"/>
      <c r="D711" s="8"/>
      <c r="E711" s="10"/>
      <c r="F711" s="10"/>
      <c r="G711" s="10"/>
      <c r="H711" s="10"/>
      <c r="I711" s="9"/>
    </row>
    <row r="712" spans="1:9">
      <c r="A712" s="2"/>
      <c r="B712" s="2"/>
      <c r="C712" s="9"/>
      <c r="D712" s="8"/>
      <c r="E712" s="10"/>
      <c r="F712" s="10"/>
      <c r="G712" s="10"/>
      <c r="H712" s="10"/>
      <c r="I712" s="9"/>
    </row>
    <row r="713" spans="1:9">
      <c r="A713" s="2"/>
      <c r="B713" s="2"/>
      <c r="C713" s="9"/>
      <c r="D713" s="8"/>
      <c r="E713" s="10"/>
      <c r="F713" s="10"/>
      <c r="G713" s="10"/>
      <c r="H713" s="10"/>
      <c r="I713" s="9"/>
    </row>
    <row r="714" spans="1:9">
      <c r="A714" s="2"/>
      <c r="B714" s="2"/>
      <c r="C714" s="9"/>
      <c r="D714" s="8"/>
      <c r="E714" s="10"/>
      <c r="F714" s="10"/>
      <c r="G714" s="10"/>
      <c r="H714" s="10"/>
      <c r="I714" s="9"/>
    </row>
    <row r="715" spans="1:9">
      <c r="A715" s="2"/>
      <c r="B715" s="2"/>
      <c r="C715" s="9"/>
      <c r="D715" s="8"/>
      <c r="E715" s="10"/>
      <c r="F715" s="10"/>
      <c r="G715" s="10"/>
      <c r="H715" s="10"/>
      <c r="I715" s="9"/>
    </row>
    <row r="716" spans="1:9">
      <c r="A716" s="2"/>
      <c r="B716" s="2"/>
      <c r="C716" s="9"/>
      <c r="D716" s="8"/>
      <c r="E716" s="10"/>
      <c r="F716" s="10"/>
      <c r="G716" s="10"/>
      <c r="H716" s="10"/>
      <c r="I716" s="9"/>
    </row>
    <row r="717" spans="1:9">
      <c r="A717" s="2"/>
      <c r="B717" s="2"/>
      <c r="C717" s="9"/>
      <c r="D717" s="8"/>
      <c r="E717" s="10"/>
      <c r="F717" s="10"/>
      <c r="G717" s="10"/>
      <c r="H717" s="10"/>
      <c r="I717" s="9"/>
    </row>
    <row r="718" spans="1:9">
      <c r="A718" s="2"/>
      <c r="B718" s="2"/>
      <c r="C718" s="9"/>
      <c r="D718" s="8"/>
      <c r="E718" s="10"/>
      <c r="F718" s="10"/>
      <c r="G718" s="10"/>
      <c r="H718" s="10"/>
      <c r="I718" s="9"/>
    </row>
    <row r="719" spans="1:9">
      <c r="A719" s="2"/>
      <c r="B719" s="2"/>
      <c r="C719" s="9"/>
      <c r="D719" s="8"/>
      <c r="E719" s="10"/>
      <c r="F719" s="10"/>
      <c r="G719" s="10"/>
      <c r="H719" s="10"/>
      <c r="I719" s="9"/>
    </row>
    <row r="720" spans="1:9">
      <c r="A720" s="2"/>
      <c r="B720" s="2"/>
      <c r="C720" s="9"/>
      <c r="D720" s="8"/>
      <c r="E720" s="10"/>
      <c r="F720" s="10"/>
      <c r="G720" s="10"/>
      <c r="H720" s="10"/>
      <c r="I720" s="9"/>
    </row>
    <row r="721" spans="1:9">
      <c r="A721" s="2"/>
      <c r="B721" s="2"/>
      <c r="C721" s="9"/>
      <c r="D721" s="8"/>
      <c r="E721" s="10"/>
      <c r="F721" s="10"/>
      <c r="G721" s="10"/>
      <c r="H721" s="10"/>
      <c r="I721" s="9"/>
    </row>
    <row r="722" spans="1:9">
      <c r="A722" s="2"/>
      <c r="B722" s="2"/>
      <c r="C722" s="9"/>
      <c r="D722" s="8"/>
      <c r="E722" s="10"/>
      <c r="F722" s="10"/>
      <c r="G722" s="10"/>
      <c r="H722" s="10"/>
      <c r="I722" s="9"/>
    </row>
    <row r="723" spans="1:9">
      <c r="A723" s="2"/>
      <c r="B723" s="2"/>
      <c r="C723" s="9"/>
      <c r="D723" s="8"/>
      <c r="E723" s="10"/>
      <c r="F723" s="10"/>
      <c r="G723" s="10"/>
      <c r="H723" s="10"/>
      <c r="I723" s="9"/>
    </row>
    <row r="724" spans="1:9">
      <c r="A724" s="2"/>
      <c r="B724" s="2"/>
      <c r="C724" s="9"/>
      <c r="D724" s="8"/>
      <c r="E724" s="10"/>
      <c r="F724" s="10"/>
      <c r="G724" s="10"/>
      <c r="H724" s="10"/>
      <c r="I724" s="9"/>
    </row>
    <row r="725" spans="1:9">
      <c r="A725" s="2"/>
      <c r="B725" s="2"/>
      <c r="C725" s="9"/>
      <c r="D725" s="8"/>
      <c r="E725" s="10"/>
      <c r="F725" s="10"/>
      <c r="G725" s="10"/>
      <c r="H725" s="10"/>
      <c r="I725" s="9"/>
    </row>
    <row r="726" spans="1:9">
      <c r="A726" s="2"/>
      <c r="B726" s="2"/>
      <c r="C726" s="9"/>
      <c r="D726" s="8"/>
      <c r="E726" s="10"/>
      <c r="F726" s="10"/>
      <c r="G726" s="10"/>
      <c r="H726" s="10"/>
      <c r="I726" s="9"/>
    </row>
    <row r="727" spans="1:9">
      <c r="A727" s="2"/>
      <c r="B727" s="2"/>
      <c r="C727" s="9"/>
      <c r="D727" s="8"/>
      <c r="E727" s="10"/>
      <c r="F727" s="10"/>
      <c r="G727" s="10"/>
      <c r="H727" s="10"/>
      <c r="I727" s="9"/>
    </row>
    <row r="728" spans="1:9">
      <c r="A728" s="2"/>
      <c r="B728" s="2"/>
      <c r="C728" s="9"/>
      <c r="D728" s="8"/>
      <c r="E728" s="10"/>
      <c r="F728" s="10"/>
      <c r="G728" s="10"/>
      <c r="H728" s="10"/>
      <c r="I728" s="9"/>
    </row>
    <row r="729" spans="1:9">
      <c r="A729" s="2"/>
      <c r="B729" s="2"/>
      <c r="C729" s="9"/>
      <c r="D729" s="8"/>
      <c r="E729" s="10"/>
      <c r="F729" s="10"/>
      <c r="G729" s="10"/>
      <c r="H729" s="10"/>
      <c r="I729" s="9"/>
    </row>
    <row r="730" spans="1:9">
      <c r="A730" s="2"/>
      <c r="B730" s="2"/>
      <c r="C730" s="9"/>
      <c r="D730" s="8"/>
      <c r="E730" s="10"/>
      <c r="F730" s="10"/>
      <c r="G730" s="10"/>
      <c r="H730" s="10"/>
      <c r="I730" s="9"/>
    </row>
    <row r="731" spans="1:9">
      <c r="A731" s="2"/>
      <c r="B731" s="2"/>
      <c r="C731" s="9"/>
      <c r="D731" s="8"/>
      <c r="E731" s="10"/>
      <c r="F731" s="10"/>
      <c r="G731" s="10"/>
      <c r="H731" s="10"/>
      <c r="I731" s="9"/>
    </row>
    <row r="732" spans="1:9">
      <c r="A732" s="2"/>
      <c r="B732" s="2"/>
      <c r="C732" s="9"/>
      <c r="D732" s="8"/>
      <c r="E732" s="10"/>
      <c r="F732" s="10"/>
      <c r="G732" s="10"/>
      <c r="H732" s="10"/>
      <c r="I732" s="9"/>
    </row>
    <row r="733" spans="1:9">
      <c r="A733" s="2"/>
      <c r="B733" s="2"/>
      <c r="C733" s="9"/>
      <c r="D733" s="8"/>
      <c r="E733" s="10"/>
      <c r="F733" s="10"/>
      <c r="G733" s="10"/>
      <c r="H733" s="10"/>
      <c r="I733" s="9"/>
    </row>
    <row r="734" spans="1:9">
      <c r="A734" s="2"/>
      <c r="B734" s="2"/>
      <c r="C734" s="9"/>
      <c r="D734" s="8"/>
      <c r="E734" s="10"/>
      <c r="F734" s="10"/>
      <c r="G734" s="10"/>
      <c r="H734" s="10"/>
      <c r="I734" s="9"/>
    </row>
    <row r="735" spans="1:9">
      <c r="A735" s="2"/>
      <c r="B735" s="2"/>
      <c r="C735" s="9"/>
      <c r="D735" s="8"/>
      <c r="E735" s="10"/>
      <c r="F735" s="10"/>
      <c r="G735" s="10"/>
      <c r="H735" s="10"/>
      <c r="I735" s="9"/>
    </row>
    <row r="736" spans="1:9">
      <c r="A736" s="2"/>
      <c r="B736" s="2"/>
      <c r="C736" s="9"/>
      <c r="D736" s="8"/>
      <c r="E736" s="10"/>
      <c r="F736" s="10"/>
      <c r="G736" s="10"/>
      <c r="H736" s="10"/>
      <c r="I736" s="9"/>
    </row>
    <row r="737" spans="1:9">
      <c r="A737" s="2"/>
      <c r="B737" s="2"/>
      <c r="C737" s="9"/>
      <c r="D737" s="8"/>
      <c r="E737" s="10"/>
      <c r="F737" s="10"/>
      <c r="G737" s="10"/>
      <c r="H737" s="10"/>
      <c r="I737" s="9"/>
    </row>
    <row r="738" spans="1:9">
      <c r="A738" s="2"/>
      <c r="B738" s="2"/>
      <c r="C738" s="9"/>
      <c r="D738" s="8"/>
      <c r="E738" s="10"/>
      <c r="F738" s="10"/>
      <c r="G738" s="10"/>
      <c r="H738" s="10"/>
      <c r="I738" s="9"/>
    </row>
    <row r="739" spans="1:9">
      <c r="A739" s="2"/>
      <c r="B739" s="2"/>
      <c r="C739" s="9"/>
      <c r="D739" s="8"/>
      <c r="E739" s="10"/>
      <c r="F739" s="10"/>
      <c r="G739" s="10"/>
      <c r="H739" s="10"/>
      <c r="I739" s="9"/>
    </row>
    <row r="740" spans="1:9">
      <c r="A740" s="2"/>
      <c r="B740" s="2"/>
      <c r="C740" s="9"/>
      <c r="D740" s="8"/>
      <c r="E740" s="10"/>
      <c r="F740" s="10"/>
      <c r="G740" s="10"/>
      <c r="H740" s="10"/>
      <c r="I740" s="9"/>
    </row>
    <row r="741" spans="1:9">
      <c r="A741" s="2"/>
      <c r="B741" s="2"/>
      <c r="C741" s="9"/>
      <c r="D741" s="8"/>
      <c r="E741" s="10"/>
      <c r="F741" s="10"/>
      <c r="G741" s="10"/>
      <c r="H741" s="10"/>
      <c r="I741" s="9"/>
    </row>
    <row r="742" spans="1:9">
      <c r="A742" s="2"/>
      <c r="B742" s="2"/>
      <c r="C742" s="9"/>
      <c r="D742" s="8"/>
      <c r="E742" s="10"/>
      <c r="F742" s="10"/>
      <c r="G742" s="10"/>
      <c r="H742" s="10"/>
      <c r="I742" s="9"/>
    </row>
    <row r="743" spans="1:9">
      <c r="A743" s="2"/>
      <c r="B743" s="2"/>
      <c r="C743" s="9"/>
      <c r="D743" s="8"/>
      <c r="E743" s="10"/>
      <c r="F743" s="10"/>
      <c r="G743" s="10"/>
      <c r="H743" s="10"/>
      <c r="I743" s="9"/>
    </row>
    <row r="744" spans="1:9">
      <c r="A744" s="2"/>
      <c r="B744" s="2"/>
      <c r="C744" s="9"/>
      <c r="D744" s="8"/>
      <c r="E744" s="10"/>
      <c r="F744" s="10"/>
      <c r="G744" s="10"/>
      <c r="H744" s="10"/>
      <c r="I744" s="9"/>
    </row>
    <row r="745" spans="1:9">
      <c r="A745" s="2"/>
      <c r="B745" s="2"/>
      <c r="C745" s="9"/>
      <c r="D745" s="8"/>
      <c r="E745" s="10"/>
      <c r="F745" s="10"/>
      <c r="G745" s="10"/>
      <c r="H745" s="10"/>
      <c r="I745" s="9"/>
    </row>
    <row r="746" spans="1:9">
      <c r="A746" s="2"/>
      <c r="B746" s="2"/>
      <c r="C746" s="9"/>
      <c r="D746" s="8"/>
      <c r="E746" s="10"/>
      <c r="F746" s="10"/>
      <c r="G746" s="10"/>
      <c r="H746" s="10"/>
      <c r="I746" s="9"/>
    </row>
    <row r="747" spans="1:9">
      <c r="A747" s="2"/>
      <c r="B747" s="2"/>
      <c r="C747" s="9"/>
      <c r="D747" s="8"/>
      <c r="E747" s="10"/>
      <c r="F747" s="10"/>
      <c r="G747" s="10"/>
      <c r="H747" s="10"/>
      <c r="I747" s="9"/>
    </row>
    <row r="748" spans="1:9">
      <c r="A748" s="2"/>
      <c r="B748" s="2"/>
      <c r="C748" s="9"/>
      <c r="D748" s="8"/>
      <c r="E748" s="10"/>
      <c r="F748" s="10"/>
      <c r="G748" s="10"/>
      <c r="H748" s="10"/>
      <c r="I748" s="9"/>
    </row>
    <row r="749" spans="1:9">
      <c r="A749" s="2"/>
      <c r="B749" s="2"/>
      <c r="C749" s="9"/>
      <c r="D749" s="8"/>
      <c r="E749" s="10"/>
      <c r="F749" s="10"/>
      <c r="G749" s="10"/>
      <c r="H749" s="10"/>
      <c r="I749" s="9"/>
    </row>
    <row r="750" spans="1:9">
      <c r="A750" s="2"/>
      <c r="B750" s="2"/>
      <c r="C750" s="9"/>
      <c r="D750" s="8"/>
      <c r="E750" s="10"/>
      <c r="F750" s="10"/>
      <c r="G750" s="10"/>
      <c r="H750" s="10"/>
      <c r="I750" s="9"/>
    </row>
    <row r="751" spans="1:9">
      <c r="A751" s="2"/>
      <c r="B751" s="2"/>
      <c r="C751" s="9"/>
      <c r="D751" s="8"/>
      <c r="E751" s="10"/>
      <c r="F751" s="10"/>
      <c r="G751" s="10"/>
      <c r="H751" s="10"/>
      <c r="I751" s="9"/>
    </row>
    <row r="752" spans="1:9">
      <c r="A752" s="2"/>
      <c r="B752" s="2"/>
      <c r="C752" s="9"/>
      <c r="D752" s="8"/>
      <c r="E752" s="10"/>
      <c r="F752" s="10"/>
      <c r="G752" s="10"/>
      <c r="H752" s="10"/>
      <c r="I752" s="9"/>
    </row>
    <row r="753" spans="1:9">
      <c r="A753" s="2"/>
      <c r="B753" s="2"/>
      <c r="C753" s="9"/>
      <c r="D753" s="8"/>
      <c r="E753" s="10"/>
      <c r="F753" s="10"/>
      <c r="G753" s="10"/>
      <c r="H753" s="10"/>
      <c r="I753" s="9"/>
    </row>
    <row r="754" spans="1:9">
      <c r="A754" s="2"/>
      <c r="B754" s="2"/>
      <c r="C754" s="9"/>
      <c r="D754" s="8"/>
      <c r="E754" s="10"/>
      <c r="F754" s="10"/>
      <c r="G754" s="10"/>
      <c r="H754" s="10"/>
      <c r="I754" s="9"/>
    </row>
    <row r="755" spans="1:9">
      <c r="A755" s="2"/>
      <c r="B755" s="2"/>
      <c r="C755" s="9"/>
      <c r="D755" s="8"/>
      <c r="E755" s="10"/>
      <c r="F755" s="10"/>
      <c r="G755" s="10"/>
      <c r="H755" s="10"/>
      <c r="I755" s="9"/>
    </row>
    <row r="756" spans="1:9">
      <c r="A756" s="2"/>
      <c r="B756" s="2"/>
      <c r="C756" s="9"/>
      <c r="D756" s="8"/>
      <c r="E756" s="10"/>
      <c r="F756" s="10"/>
      <c r="G756" s="10"/>
      <c r="H756" s="10"/>
      <c r="I756" s="9"/>
    </row>
    <row r="757" spans="1:9">
      <c r="A757" s="2"/>
      <c r="B757" s="2"/>
      <c r="C757" s="9"/>
      <c r="D757" s="8"/>
      <c r="E757" s="10"/>
      <c r="F757" s="10"/>
      <c r="G757" s="10"/>
      <c r="H757" s="10"/>
      <c r="I757" s="9"/>
    </row>
    <row r="758" spans="1:9">
      <c r="A758" s="2"/>
      <c r="B758" s="2"/>
      <c r="C758" s="9"/>
      <c r="D758" s="8"/>
      <c r="E758" s="10"/>
      <c r="F758" s="10"/>
      <c r="G758" s="10"/>
      <c r="H758" s="10"/>
      <c r="I758" s="9"/>
    </row>
    <row r="759" spans="1:9">
      <c r="A759" s="2"/>
      <c r="B759" s="2"/>
      <c r="C759" s="9"/>
      <c r="D759" s="8"/>
      <c r="E759" s="10"/>
      <c r="F759" s="10"/>
      <c r="G759" s="10"/>
      <c r="H759" s="10"/>
      <c r="I759" s="9"/>
    </row>
    <row r="760" spans="1:9">
      <c r="A760" s="2"/>
      <c r="B760" s="2"/>
      <c r="C760" s="9"/>
      <c r="D760" s="8"/>
      <c r="E760" s="10"/>
      <c r="F760" s="10"/>
      <c r="G760" s="10"/>
      <c r="H760" s="10"/>
      <c r="I760" s="9"/>
    </row>
    <row r="761" spans="1:9">
      <c r="A761" s="2"/>
      <c r="B761" s="2"/>
      <c r="C761" s="9"/>
      <c r="D761" s="8"/>
      <c r="E761" s="10"/>
      <c r="F761" s="10"/>
      <c r="G761" s="10"/>
      <c r="H761" s="10"/>
      <c r="I761" s="9"/>
    </row>
    <row r="762" spans="1:9">
      <c r="A762" s="2"/>
      <c r="B762" s="2"/>
      <c r="C762" s="9"/>
      <c r="D762" s="8"/>
      <c r="E762" s="10"/>
      <c r="F762" s="10"/>
      <c r="G762" s="10"/>
      <c r="H762" s="10"/>
      <c r="I762" s="9"/>
    </row>
    <row r="763" spans="1:9">
      <c r="A763" s="2"/>
      <c r="B763" s="2"/>
      <c r="C763" s="9"/>
      <c r="D763" s="8"/>
      <c r="E763" s="10"/>
      <c r="F763" s="10"/>
      <c r="G763" s="10"/>
      <c r="H763" s="10"/>
      <c r="I763" s="9"/>
    </row>
    <row r="764" spans="1:9">
      <c r="A764" s="2"/>
      <c r="B764" s="2"/>
      <c r="C764" s="9"/>
      <c r="D764" s="8"/>
      <c r="E764" s="10"/>
      <c r="F764" s="10"/>
      <c r="G764" s="10"/>
      <c r="H764" s="10"/>
      <c r="I764" s="9"/>
    </row>
    <row r="765" spans="1:9">
      <c r="A765" s="2"/>
      <c r="B765" s="2"/>
      <c r="C765" s="9"/>
      <c r="D765" s="8"/>
      <c r="E765" s="10"/>
      <c r="F765" s="10"/>
      <c r="G765" s="10"/>
      <c r="H765" s="10"/>
      <c r="I765" s="9"/>
    </row>
    <row r="766" spans="1:9">
      <c r="A766" s="2"/>
      <c r="B766" s="2"/>
      <c r="C766" s="9"/>
      <c r="D766" s="8"/>
      <c r="E766" s="10"/>
      <c r="F766" s="10"/>
      <c r="G766" s="10"/>
      <c r="H766" s="10"/>
      <c r="I766" s="9"/>
    </row>
    <row r="767" spans="1:9">
      <c r="A767" s="2"/>
      <c r="B767" s="2"/>
      <c r="C767" s="9"/>
      <c r="D767" s="8"/>
      <c r="E767" s="10"/>
      <c r="F767" s="10"/>
      <c r="G767" s="10"/>
      <c r="H767" s="10"/>
      <c r="I767" s="9"/>
    </row>
    <row r="768" spans="1:9">
      <c r="A768" s="2"/>
      <c r="B768" s="2"/>
      <c r="C768" s="9"/>
      <c r="D768" s="8"/>
      <c r="E768" s="10"/>
      <c r="F768" s="10"/>
      <c r="G768" s="10"/>
      <c r="H768" s="10"/>
      <c r="I768" s="9"/>
    </row>
    <row r="769" spans="1:9">
      <c r="A769" s="2"/>
      <c r="B769" s="2"/>
      <c r="C769" s="9"/>
      <c r="D769" s="8"/>
      <c r="E769" s="10"/>
      <c r="F769" s="10"/>
      <c r="G769" s="10"/>
      <c r="H769" s="10"/>
      <c r="I769" s="9"/>
    </row>
    <row r="770" spans="1:9">
      <c r="A770" s="2"/>
      <c r="B770" s="2"/>
      <c r="C770" s="9"/>
      <c r="D770" s="8"/>
      <c r="E770" s="10"/>
      <c r="F770" s="10"/>
      <c r="G770" s="10"/>
      <c r="H770" s="10"/>
      <c r="I770" s="9"/>
    </row>
    <row r="771" spans="1:9">
      <c r="A771" s="2"/>
      <c r="B771" s="2"/>
      <c r="C771" s="9"/>
      <c r="D771" s="8"/>
      <c r="E771" s="10"/>
      <c r="F771" s="10"/>
      <c r="G771" s="10"/>
      <c r="H771" s="10"/>
      <c r="I771" s="9"/>
    </row>
    <row r="772" spans="1:9">
      <c r="A772" s="2"/>
      <c r="B772" s="2"/>
      <c r="C772" s="9"/>
      <c r="D772" s="8"/>
      <c r="E772" s="10"/>
      <c r="F772" s="10"/>
      <c r="G772" s="10"/>
      <c r="H772" s="10"/>
      <c r="I772" s="9"/>
    </row>
    <row r="773" spans="1:9">
      <c r="A773" s="2"/>
      <c r="B773" s="2"/>
      <c r="C773" s="9"/>
      <c r="D773" s="8"/>
      <c r="E773" s="10"/>
      <c r="F773" s="10"/>
      <c r="G773" s="10"/>
      <c r="H773" s="10"/>
      <c r="I773" s="9"/>
    </row>
    <row r="774" spans="1:9">
      <c r="A774" s="2"/>
      <c r="B774" s="2"/>
      <c r="C774" s="9"/>
      <c r="D774" s="8"/>
      <c r="E774" s="10"/>
      <c r="F774" s="10"/>
      <c r="G774" s="10"/>
      <c r="H774" s="10"/>
      <c r="I774" s="9"/>
    </row>
    <row r="775" spans="1:9">
      <c r="A775" s="2"/>
      <c r="B775" s="2"/>
      <c r="C775" s="9"/>
      <c r="D775" s="8"/>
      <c r="E775" s="10"/>
      <c r="F775" s="10"/>
      <c r="G775" s="10"/>
      <c r="H775" s="10"/>
      <c r="I775" s="9"/>
    </row>
    <row r="776" spans="1:9">
      <c r="A776" s="2"/>
      <c r="B776" s="2"/>
      <c r="C776" s="9"/>
      <c r="D776" s="8"/>
      <c r="E776" s="10"/>
      <c r="F776" s="10"/>
      <c r="G776" s="10"/>
      <c r="H776" s="10"/>
      <c r="I776" s="9"/>
    </row>
    <row r="777" spans="1:9">
      <c r="A777" s="2"/>
      <c r="B777" s="2"/>
      <c r="C777" s="9"/>
      <c r="D777" s="8"/>
      <c r="E777" s="10"/>
      <c r="F777" s="10"/>
      <c r="G777" s="10"/>
      <c r="H777" s="10"/>
      <c r="I777" s="9"/>
    </row>
    <row r="778" spans="1:9">
      <c r="A778" s="2"/>
      <c r="B778" s="2"/>
      <c r="C778" s="9"/>
      <c r="D778" s="8"/>
      <c r="E778" s="10"/>
      <c r="F778" s="10"/>
      <c r="G778" s="10"/>
      <c r="H778" s="10"/>
      <c r="I778" s="9"/>
    </row>
    <row r="779" spans="1:9">
      <c r="A779" s="2"/>
      <c r="B779" s="2"/>
      <c r="C779" s="9"/>
      <c r="D779" s="8"/>
      <c r="E779" s="10"/>
      <c r="F779" s="10"/>
      <c r="G779" s="10"/>
      <c r="H779" s="10"/>
      <c r="I779" s="9"/>
    </row>
    <row r="780" spans="1:9">
      <c r="A780" s="2"/>
      <c r="B780" s="2"/>
      <c r="C780" s="9"/>
      <c r="D780" s="8"/>
      <c r="E780" s="10"/>
      <c r="F780" s="10"/>
      <c r="G780" s="10"/>
      <c r="H780" s="10"/>
      <c r="I780" s="9"/>
    </row>
    <row r="781" spans="1:9">
      <c r="A781" s="2"/>
      <c r="B781" s="2"/>
      <c r="C781" s="9"/>
      <c r="D781" s="8"/>
      <c r="E781" s="10"/>
      <c r="F781" s="10"/>
      <c r="G781" s="10"/>
      <c r="H781" s="10"/>
      <c r="I781" s="9"/>
    </row>
    <row r="782" spans="1:9">
      <c r="A782" s="2"/>
      <c r="B782" s="2"/>
      <c r="C782" s="9"/>
      <c r="D782" s="8"/>
      <c r="E782" s="10"/>
      <c r="F782" s="10"/>
      <c r="G782" s="10"/>
      <c r="H782" s="10"/>
      <c r="I782" s="9"/>
    </row>
    <row r="783" spans="1:9">
      <c r="A783" s="2"/>
      <c r="B783" s="2"/>
      <c r="C783" s="9"/>
      <c r="D783" s="8"/>
      <c r="E783" s="10"/>
      <c r="F783" s="10"/>
      <c r="G783" s="10"/>
      <c r="H783" s="10"/>
      <c r="I783" s="9"/>
    </row>
    <row r="784" spans="1:9">
      <c r="A784" s="2"/>
      <c r="B784" s="2"/>
      <c r="C784" s="9"/>
      <c r="D784" s="8"/>
      <c r="E784" s="10"/>
      <c r="F784" s="10"/>
      <c r="G784" s="10"/>
      <c r="H784" s="10"/>
      <c r="I784" s="9"/>
    </row>
    <row r="785" spans="1:9">
      <c r="A785" s="2"/>
      <c r="B785" s="2"/>
      <c r="C785" s="9"/>
      <c r="D785" s="8"/>
      <c r="E785" s="10"/>
      <c r="F785" s="10"/>
      <c r="G785" s="10"/>
      <c r="H785" s="10"/>
      <c r="I785" s="9"/>
    </row>
    <row r="786" spans="1:9">
      <c r="A786" s="2"/>
      <c r="B786" s="2"/>
      <c r="C786" s="9"/>
      <c r="D786" s="8"/>
      <c r="E786" s="10"/>
      <c r="F786" s="10"/>
      <c r="G786" s="10"/>
      <c r="H786" s="10"/>
      <c r="I786" s="9"/>
    </row>
    <row r="787" spans="1:9">
      <c r="A787" s="2"/>
      <c r="B787" s="2"/>
      <c r="C787" s="9"/>
      <c r="D787" s="8"/>
      <c r="E787" s="10"/>
      <c r="F787" s="10"/>
      <c r="G787" s="10"/>
      <c r="H787" s="10"/>
      <c r="I787" s="9"/>
    </row>
    <row r="788" spans="1:9">
      <c r="A788" s="2"/>
      <c r="B788" s="2"/>
      <c r="C788" s="9"/>
      <c r="D788" s="8"/>
      <c r="E788" s="10"/>
      <c r="F788" s="10"/>
      <c r="G788" s="10"/>
      <c r="H788" s="10"/>
      <c r="I788" s="9"/>
    </row>
    <row r="789" spans="1:9">
      <c r="A789" s="2"/>
      <c r="B789" s="2"/>
      <c r="C789" s="9"/>
      <c r="D789" s="8"/>
      <c r="E789" s="10"/>
      <c r="F789" s="10"/>
      <c r="G789" s="10"/>
      <c r="H789" s="10"/>
      <c r="I789" s="9"/>
    </row>
    <row r="790" spans="1:9">
      <c r="A790" s="2"/>
      <c r="B790" s="2"/>
      <c r="C790" s="9"/>
      <c r="D790" s="8"/>
      <c r="E790" s="10"/>
      <c r="F790" s="10"/>
      <c r="G790" s="10"/>
      <c r="H790" s="10"/>
      <c r="I790" s="9"/>
    </row>
    <row r="791" spans="1:9">
      <c r="A791" s="2"/>
      <c r="B791" s="2"/>
      <c r="C791" s="9"/>
      <c r="D791" s="8"/>
      <c r="E791" s="10"/>
      <c r="F791" s="10"/>
      <c r="G791" s="10"/>
      <c r="H791" s="10"/>
      <c r="I791" s="9"/>
    </row>
    <row r="792" spans="1:9">
      <c r="A792" s="2"/>
      <c r="B792" s="2"/>
      <c r="C792" s="9"/>
      <c r="D792" s="8"/>
      <c r="E792" s="10"/>
      <c r="F792" s="10"/>
      <c r="G792" s="10"/>
      <c r="H792" s="10"/>
      <c r="I792" s="9"/>
    </row>
    <row r="793" spans="1:9">
      <c r="A793" s="2"/>
      <c r="B793" s="2"/>
      <c r="C793" s="9"/>
      <c r="D793" s="8"/>
      <c r="E793" s="10"/>
      <c r="F793" s="10"/>
      <c r="G793" s="10"/>
      <c r="H793" s="10"/>
      <c r="I793" s="9"/>
    </row>
    <row r="794" spans="1:9">
      <c r="A794" s="2"/>
      <c r="B794" s="2"/>
      <c r="C794" s="9"/>
      <c r="D794" s="8"/>
      <c r="E794" s="10"/>
      <c r="F794" s="10"/>
      <c r="G794" s="10"/>
      <c r="H794" s="10"/>
      <c r="I794" s="9"/>
    </row>
    <row r="795" spans="1:9">
      <c r="A795" s="2"/>
      <c r="B795" s="2"/>
      <c r="C795" s="9"/>
      <c r="D795" s="8"/>
      <c r="E795" s="10"/>
      <c r="F795" s="10"/>
      <c r="G795" s="10"/>
      <c r="H795" s="10"/>
      <c r="I795" s="9"/>
    </row>
    <row r="796" spans="1:9">
      <c r="A796" s="2"/>
      <c r="B796" s="2"/>
      <c r="C796" s="9"/>
      <c r="D796" s="8"/>
      <c r="E796" s="10"/>
      <c r="F796" s="10"/>
      <c r="G796" s="10"/>
      <c r="H796" s="10"/>
      <c r="I796" s="9"/>
    </row>
    <row r="797" spans="1:9">
      <c r="A797" s="2"/>
      <c r="B797" s="2"/>
      <c r="C797" s="9"/>
      <c r="D797" s="8"/>
      <c r="E797" s="10"/>
      <c r="F797" s="10"/>
      <c r="G797" s="10"/>
      <c r="H797" s="10"/>
      <c r="I797" s="9"/>
    </row>
    <row r="798" spans="1:9">
      <c r="A798" s="2"/>
      <c r="B798" s="2"/>
      <c r="C798" s="9"/>
      <c r="D798" s="8"/>
      <c r="E798" s="10"/>
      <c r="F798" s="10"/>
      <c r="G798" s="10"/>
      <c r="H798" s="10"/>
      <c r="I798" s="9"/>
    </row>
    <row r="799" spans="1:9">
      <c r="A799" s="2"/>
      <c r="B799" s="2"/>
      <c r="C799" s="9"/>
      <c r="D799" s="8"/>
      <c r="E799" s="10"/>
      <c r="F799" s="10"/>
      <c r="G799" s="10"/>
      <c r="H799" s="10"/>
      <c r="I799" s="9"/>
    </row>
    <row r="800" spans="1:9">
      <c r="A800" s="2"/>
      <c r="B800" s="2"/>
      <c r="C800" s="9"/>
      <c r="D800" s="8"/>
      <c r="E800" s="10"/>
      <c r="F800" s="10"/>
      <c r="G800" s="10"/>
      <c r="H800" s="10"/>
      <c r="I800" s="9"/>
    </row>
    <row r="801" spans="1:9">
      <c r="A801" s="2"/>
      <c r="B801" s="2"/>
      <c r="C801" s="9"/>
      <c r="D801" s="8"/>
      <c r="E801" s="10"/>
      <c r="F801" s="10"/>
      <c r="G801" s="10"/>
      <c r="H801" s="10"/>
      <c r="I801" s="9"/>
    </row>
    <row r="802" spans="1:9">
      <c r="A802" s="2"/>
      <c r="B802" s="2"/>
      <c r="C802" s="9"/>
      <c r="D802" s="8"/>
      <c r="E802" s="10"/>
      <c r="F802" s="10"/>
      <c r="G802" s="10"/>
      <c r="H802" s="10"/>
      <c r="I802" s="9"/>
    </row>
    <row r="803" spans="1:9">
      <c r="A803" s="2"/>
      <c r="B803" s="2"/>
      <c r="C803" s="9"/>
      <c r="D803" s="8"/>
      <c r="E803" s="10"/>
      <c r="F803" s="10"/>
      <c r="G803" s="10"/>
      <c r="H803" s="10"/>
      <c r="I803" s="9"/>
    </row>
    <row r="804" spans="1:9">
      <c r="A804" s="2"/>
      <c r="B804" s="2"/>
      <c r="C804" s="9"/>
      <c r="D804" s="8"/>
      <c r="E804" s="10"/>
      <c r="F804" s="10"/>
      <c r="G804" s="10"/>
      <c r="H804" s="10"/>
      <c r="I804" s="9"/>
    </row>
    <row r="805" spans="1:9">
      <c r="A805" s="2"/>
      <c r="B805" s="2"/>
      <c r="C805" s="9"/>
      <c r="D805" s="8"/>
      <c r="E805" s="10"/>
      <c r="F805" s="10"/>
      <c r="G805" s="10"/>
      <c r="H805" s="10"/>
      <c r="I805" s="9"/>
    </row>
    <row r="806" spans="1:9">
      <c r="A806" s="2"/>
      <c r="B806" s="2"/>
      <c r="C806" s="9"/>
      <c r="D806" s="8"/>
      <c r="E806" s="10"/>
      <c r="F806" s="10"/>
      <c r="G806" s="10"/>
      <c r="H806" s="10"/>
      <c r="I806" s="9"/>
    </row>
    <row r="807" spans="1:9">
      <c r="A807" s="2"/>
      <c r="B807" s="2"/>
      <c r="C807" s="9"/>
      <c r="D807" s="8"/>
      <c r="E807" s="10"/>
      <c r="F807" s="10"/>
      <c r="G807" s="10"/>
      <c r="H807" s="10"/>
      <c r="I807" s="9"/>
    </row>
    <row r="808" spans="1:9">
      <c r="A808" s="2"/>
      <c r="B808" s="2"/>
      <c r="C808" s="9"/>
      <c r="D808" s="8"/>
      <c r="E808" s="10"/>
      <c r="F808" s="10"/>
      <c r="G808" s="10"/>
      <c r="H808" s="10"/>
      <c r="I808" s="9"/>
    </row>
    <row r="809" spans="1:9">
      <c r="A809" s="2"/>
      <c r="B809" s="2"/>
      <c r="C809" s="9"/>
      <c r="D809" s="8"/>
      <c r="E809" s="10"/>
      <c r="F809" s="10"/>
      <c r="G809" s="10"/>
      <c r="H809" s="10"/>
      <c r="I809" s="9"/>
    </row>
    <row r="810" spans="1:9">
      <c r="A810" s="2"/>
      <c r="B810" s="2"/>
      <c r="C810" s="9"/>
      <c r="D810" s="8"/>
      <c r="E810" s="10"/>
      <c r="F810" s="10"/>
      <c r="G810" s="10"/>
      <c r="H810" s="10"/>
      <c r="I810" s="9"/>
    </row>
    <row r="811" spans="1:9">
      <c r="A811" s="2"/>
      <c r="B811" s="2"/>
      <c r="C811" s="9"/>
      <c r="D811" s="8"/>
      <c r="E811" s="10"/>
      <c r="F811" s="10"/>
      <c r="G811" s="10"/>
      <c r="H811" s="10"/>
      <c r="I811" s="9"/>
    </row>
    <row r="812" spans="1:9">
      <c r="A812" s="2"/>
      <c r="B812" s="2"/>
      <c r="C812" s="9"/>
      <c r="D812" s="8"/>
      <c r="E812" s="10"/>
      <c r="F812" s="10"/>
      <c r="G812" s="10"/>
      <c r="H812" s="10"/>
      <c r="I812" s="9"/>
    </row>
    <row r="813" spans="1:9">
      <c r="A813" s="2"/>
      <c r="B813" s="2"/>
      <c r="C813" s="9"/>
      <c r="D813" s="8"/>
      <c r="E813" s="10"/>
      <c r="F813" s="10"/>
      <c r="G813" s="10"/>
      <c r="H813" s="10"/>
      <c r="I813" s="9"/>
    </row>
    <row r="814" spans="1:9">
      <c r="A814" s="2"/>
      <c r="B814" s="2"/>
      <c r="C814" s="9"/>
      <c r="D814" s="8"/>
      <c r="E814" s="10"/>
      <c r="F814" s="10"/>
      <c r="G814" s="10"/>
      <c r="H814" s="10"/>
      <c r="I814" s="9"/>
    </row>
    <row r="815" spans="1:9">
      <c r="A815" s="2"/>
      <c r="B815" s="2"/>
      <c r="C815" s="9"/>
      <c r="D815" s="8"/>
      <c r="E815" s="10"/>
      <c r="F815" s="10"/>
      <c r="G815" s="10"/>
      <c r="H815" s="10"/>
      <c r="I815" s="9"/>
    </row>
    <row r="816" spans="1:9">
      <c r="A816" s="2"/>
      <c r="B816" s="2"/>
      <c r="C816" s="9"/>
      <c r="D816" s="8"/>
      <c r="E816" s="10"/>
      <c r="F816" s="10"/>
      <c r="G816" s="10"/>
      <c r="H816" s="10"/>
      <c r="I816" s="9"/>
    </row>
    <row r="817" spans="1:9">
      <c r="A817" s="2"/>
      <c r="B817" s="2"/>
      <c r="C817" s="9"/>
      <c r="D817" s="8"/>
      <c r="E817" s="10"/>
      <c r="F817" s="10"/>
      <c r="G817" s="10"/>
      <c r="H817" s="10"/>
      <c r="I817" s="9"/>
    </row>
    <row r="818" spans="1:9">
      <c r="A818" s="2"/>
      <c r="B818" s="2"/>
      <c r="C818" s="9"/>
      <c r="D818" s="8"/>
      <c r="E818" s="10"/>
      <c r="F818" s="10"/>
      <c r="G818" s="10"/>
      <c r="H818" s="10"/>
      <c r="I818" s="9"/>
    </row>
    <row r="819" spans="1:9">
      <c r="A819" s="2"/>
      <c r="B819" s="2"/>
      <c r="C819" s="9"/>
      <c r="D819" s="8"/>
      <c r="E819" s="10"/>
      <c r="F819" s="10"/>
      <c r="G819" s="10"/>
      <c r="H819" s="10"/>
      <c r="I819" s="9"/>
    </row>
    <row r="820" spans="1:9">
      <c r="A820" s="2"/>
      <c r="B820" s="2"/>
      <c r="C820" s="9"/>
      <c r="D820" s="8"/>
      <c r="E820" s="10"/>
      <c r="F820" s="10"/>
      <c r="G820" s="10"/>
      <c r="H820" s="10"/>
      <c r="I820" s="9"/>
    </row>
    <row r="821" spans="1:9">
      <c r="A821" s="2"/>
      <c r="B821" s="2"/>
      <c r="C821" s="9"/>
      <c r="D821" s="8"/>
      <c r="E821" s="10"/>
      <c r="F821" s="10"/>
      <c r="G821" s="10"/>
      <c r="H821" s="10"/>
      <c r="I821" s="9"/>
    </row>
    <row r="822" spans="1:9">
      <c r="A822" s="2"/>
      <c r="B822" s="2"/>
      <c r="C822" s="9"/>
      <c r="D822" s="8"/>
      <c r="E822" s="10"/>
      <c r="F822" s="10"/>
      <c r="G822" s="10"/>
      <c r="H822" s="10"/>
      <c r="I822" s="9"/>
    </row>
    <row r="823" spans="1:9">
      <c r="A823" s="2"/>
      <c r="B823" s="2"/>
      <c r="C823" s="9"/>
      <c r="D823" s="8"/>
      <c r="E823" s="10"/>
      <c r="F823" s="10"/>
      <c r="G823" s="10"/>
      <c r="H823" s="10"/>
      <c r="I823" s="9"/>
    </row>
    <row r="824" spans="1:9">
      <c r="A824" s="2"/>
      <c r="B824" s="2"/>
      <c r="C824" s="9"/>
      <c r="D824" s="8"/>
      <c r="E824" s="10"/>
      <c r="F824" s="10"/>
      <c r="G824" s="10"/>
      <c r="H824" s="10"/>
      <c r="I824" s="9"/>
    </row>
    <row r="825" spans="1:9">
      <c r="A825" s="2"/>
      <c r="B825" s="2"/>
      <c r="C825" s="9"/>
      <c r="D825" s="8"/>
      <c r="E825" s="10"/>
      <c r="F825" s="10"/>
      <c r="G825" s="10"/>
      <c r="H825" s="10"/>
      <c r="I825" s="9"/>
    </row>
    <row r="826" spans="1:9">
      <c r="A826" s="2"/>
      <c r="B826" s="2"/>
      <c r="C826" s="9"/>
      <c r="D826" s="8"/>
      <c r="E826" s="10"/>
      <c r="F826" s="10"/>
      <c r="G826" s="10"/>
      <c r="H826" s="10"/>
      <c r="I826" s="9"/>
    </row>
    <row r="827" spans="1:9">
      <c r="A827" s="2"/>
      <c r="B827" s="2"/>
      <c r="C827" s="9"/>
      <c r="D827" s="8"/>
      <c r="E827" s="10"/>
      <c r="F827" s="10"/>
      <c r="G827" s="10"/>
      <c r="H827" s="10"/>
      <c r="I827" s="9"/>
    </row>
    <row r="828" spans="1:9">
      <c r="A828" s="2"/>
      <c r="B828" s="2"/>
      <c r="C828" s="9"/>
      <c r="D828" s="8"/>
      <c r="E828" s="10"/>
      <c r="F828" s="10"/>
      <c r="G828" s="10"/>
      <c r="H828" s="10"/>
      <c r="I828" s="9"/>
    </row>
    <row r="829" spans="1:9">
      <c r="A829" s="2"/>
      <c r="B829" s="2"/>
      <c r="C829" s="9"/>
      <c r="D829" s="8"/>
      <c r="E829" s="10"/>
      <c r="F829" s="10"/>
      <c r="G829" s="10"/>
      <c r="H829" s="10"/>
      <c r="I829" s="9"/>
    </row>
    <row r="830" spans="1:9">
      <c r="A830" s="2"/>
      <c r="B830" s="2"/>
      <c r="C830" s="9"/>
      <c r="D830" s="8"/>
      <c r="E830" s="10"/>
      <c r="F830" s="10"/>
      <c r="G830" s="10"/>
      <c r="H830" s="10"/>
      <c r="I830" s="9"/>
    </row>
    <row r="831" spans="1:9">
      <c r="A831" s="2"/>
      <c r="B831" s="2"/>
      <c r="C831" s="9"/>
      <c r="D831" s="8"/>
      <c r="E831" s="10"/>
      <c r="F831" s="10"/>
      <c r="G831" s="10"/>
      <c r="H831" s="10"/>
      <c r="I831" s="9"/>
    </row>
    <row r="832" spans="1:9">
      <c r="A832" s="2"/>
      <c r="B832" s="2"/>
      <c r="C832" s="9"/>
      <c r="D832" s="8"/>
      <c r="E832" s="10"/>
      <c r="F832" s="10"/>
      <c r="G832" s="10"/>
      <c r="H832" s="10"/>
      <c r="I832" s="9"/>
    </row>
    <row r="833" spans="1:9">
      <c r="A833" s="2"/>
      <c r="B833" s="2"/>
      <c r="C833" s="9"/>
      <c r="D833" s="8"/>
      <c r="E833" s="10"/>
      <c r="F833" s="10"/>
      <c r="G833" s="10"/>
      <c r="H833" s="10"/>
      <c r="I833" s="9"/>
    </row>
    <row r="834" spans="1:9">
      <c r="A834" s="2"/>
      <c r="B834" s="2"/>
      <c r="C834" s="9"/>
      <c r="D834" s="8"/>
      <c r="E834" s="10"/>
      <c r="F834" s="10"/>
      <c r="G834" s="10"/>
      <c r="H834" s="10"/>
      <c r="I834" s="9"/>
    </row>
    <row r="835" spans="1:9">
      <c r="A835" s="2"/>
      <c r="B835" s="2"/>
      <c r="C835" s="9"/>
      <c r="D835" s="8"/>
      <c r="E835" s="10"/>
      <c r="F835" s="10"/>
      <c r="G835" s="10"/>
      <c r="H835" s="10"/>
      <c r="I835" s="9"/>
    </row>
    <row r="836" spans="1:9">
      <c r="A836" s="2"/>
      <c r="B836" s="2"/>
      <c r="C836" s="9"/>
      <c r="D836" s="8"/>
      <c r="E836" s="10"/>
      <c r="F836" s="10"/>
      <c r="G836" s="10"/>
      <c r="H836" s="10"/>
      <c r="I836" s="9"/>
    </row>
    <row r="837" spans="1:9">
      <c r="A837" s="2"/>
      <c r="B837" s="2"/>
      <c r="C837" s="9"/>
      <c r="D837" s="8"/>
      <c r="E837" s="10"/>
      <c r="F837" s="10"/>
      <c r="G837" s="10"/>
      <c r="H837" s="10"/>
      <c r="I837" s="9"/>
    </row>
    <row r="838" spans="1:9">
      <c r="A838" s="2"/>
      <c r="B838" s="2"/>
      <c r="C838" s="9"/>
      <c r="D838" s="8"/>
      <c r="E838" s="10"/>
      <c r="F838" s="10"/>
      <c r="G838" s="10"/>
      <c r="H838" s="10"/>
      <c r="I838" s="9"/>
    </row>
    <row r="839" spans="1:9">
      <c r="A839" s="2"/>
      <c r="B839" s="2"/>
      <c r="C839" s="9"/>
      <c r="D839" s="8"/>
      <c r="E839" s="10"/>
      <c r="F839" s="10"/>
      <c r="G839" s="10"/>
      <c r="H839" s="10"/>
      <c r="I839" s="9"/>
    </row>
    <row r="840" spans="1:9">
      <c r="A840" s="2"/>
      <c r="B840" s="2"/>
      <c r="C840" s="9"/>
      <c r="D840" s="8"/>
      <c r="E840" s="10"/>
      <c r="F840" s="10"/>
      <c r="G840" s="10"/>
      <c r="H840" s="10"/>
      <c r="I840" s="9"/>
    </row>
    <row r="841" spans="1:9">
      <c r="A841" s="2"/>
      <c r="B841" s="2"/>
      <c r="C841" s="9"/>
      <c r="D841" s="8"/>
      <c r="E841" s="10"/>
      <c r="F841" s="10"/>
      <c r="G841" s="10"/>
      <c r="H841" s="10"/>
      <c r="I841" s="9"/>
    </row>
    <row r="842" spans="1:9">
      <c r="A842" s="2"/>
      <c r="B842" s="2"/>
      <c r="C842" s="9"/>
      <c r="D842" s="8"/>
      <c r="E842" s="10"/>
      <c r="F842" s="10"/>
      <c r="G842" s="10"/>
      <c r="H842" s="10"/>
      <c r="I842" s="9"/>
    </row>
    <row r="843" spans="1:9">
      <c r="A843" s="2"/>
      <c r="B843" s="2"/>
      <c r="C843" s="9"/>
      <c r="D843" s="8"/>
      <c r="E843" s="10"/>
      <c r="F843" s="10"/>
      <c r="G843" s="10"/>
      <c r="H843" s="10"/>
      <c r="I843" s="9"/>
    </row>
    <row r="844" spans="1:9">
      <c r="A844" s="2"/>
      <c r="B844" s="2"/>
      <c r="C844" s="9"/>
      <c r="D844" s="8"/>
      <c r="E844" s="10"/>
      <c r="F844" s="10"/>
      <c r="G844" s="10"/>
      <c r="H844" s="10"/>
      <c r="I844" s="9"/>
    </row>
    <row r="845" spans="1:9">
      <c r="A845" s="2"/>
      <c r="B845" s="2"/>
      <c r="C845" s="9"/>
      <c r="D845" s="8"/>
      <c r="E845" s="10"/>
      <c r="F845" s="10"/>
      <c r="G845" s="10"/>
      <c r="H845" s="10"/>
      <c r="I845" s="9"/>
    </row>
    <row r="846" spans="1:9">
      <c r="A846" s="2"/>
      <c r="B846" s="2"/>
      <c r="C846" s="9"/>
      <c r="D846" s="8"/>
      <c r="E846" s="10"/>
      <c r="F846" s="10"/>
      <c r="G846" s="10"/>
      <c r="H846" s="10"/>
      <c r="I846" s="9"/>
    </row>
    <row r="847" spans="1:9">
      <c r="A847" s="2"/>
      <c r="B847" s="2"/>
      <c r="C847" s="9"/>
      <c r="D847" s="8"/>
      <c r="E847" s="10"/>
      <c r="F847" s="10"/>
      <c r="G847" s="10"/>
      <c r="H847" s="10"/>
      <c r="I847" s="9"/>
    </row>
    <row r="848" spans="1:9">
      <c r="A848" s="2"/>
      <c r="B848" s="2"/>
      <c r="C848" s="9"/>
      <c r="D848" s="8"/>
      <c r="E848" s="10"/>
      <c r="F848" s="10"/>
      <c r="G848" s="10"/>
      <c r="H848" s="10"/>
      <c r="I848" s="9"/>
    </row>
    <row r="849" spans="1:9">
      <c r="A849" s="2"/>
      <c r="B849" s="2"/>
      <c r="C849" s="9"/>
      <c r="D849" s="8"/>
      <c r="E849" s="10"/>
      <c r="F849" s="10"/>
      <c r="G849" s="10"/>
      <c r="H849" s="10"/>
      <c r="I849" s="9"/>
    </row>
    <row r="850" spans="1:9">
      <c r="A850" s="2"/>
      <c r="B850" s="2"/>
      <c r="C850" s="9"/>
      <c r="D850" s="8"/>
      <c r="E850" s="10"/>
      <c r="F850" s="10"/>
      <c r="G850" s="10"/>
      <c r="H850" s="10"/>
      <c r="I850" s="9"/>
    </row>
    <row r="851" spans="1:9">
      <c r="A851" s="2"/>
      <c r="B851" s="2"/>
      <c r="C851" s="9"/>
      <c r="D851" s="8"/>
      <c r="E851" s="10"/>
      <c r="F851" s="10"/>
      <c r="G851" s="10"/>
      <c r="H851" s="10"/>
      <c r="I851" s="9"/>
    </row>
    <row r="852" spans="1:9">
      <c r="A852" s="2"/>
      <c r="B852" s="2"/>
      <c r="C852" s="9"/>
      <c r="D852" s="8"/>
      <c r="E852" s="10"/>
      <c r="F852" s="10"/>
      <c r="G852" s="10"/>
      <c r="H852" s="10"/>
      <c r="I852" s="9"/>
    </row>
    <row r="853" spans="1:9">
      <c r="A853" s="2"/>
      <c r="B853" s="2"/>
      <c r="C853" s="9"/>
      <c r="D853" s="8"/>
      <c r="E853" s="10"/>
      <c r="F853" s="10"/>
      <c r="G853" s="10"/>
      <c r="H853" s="10"/>
      <c r="I853" s="9"/>
    </row>
    <row r="854" spans="1:9">
      <c r="A854" s="2"/>
      <c r="B854" s="2"/>
      <c r="C854" s="9"/>
      <c r="D854" s="8"/>
      <c r="E854" s="10"/>
      <c r="F854" s="10"/>
      <c r="G854" s="10"/>
      <c r="H854" s="10"/>
      <c r="I854" s="9"/>
    </row>
    <row r="855" spans="1:9">
      <c r="A855" s="2"/>
      <c r="B855" s="2"/>
      <c r="C855" s="9"/>
      <c r="D855" s="8"/>
      <c r="E855" s="10"/>
      <c r="F855" s="10"/>
      <c r="G855" s="10"/>
      <c r="H855" s="10"/>
      <c r="I855" s="9"/>
    </row>
    <row r="856" spans="1:9">
      <c r="A856" s="2"/>
      <c r="B856" s="2"/>
      <c r="C856" s="9"/>
      <c r="D856" s="8"/>
      <c r="E856" s="10"/>
      <c r="F856" s="10"/>
      <c r="G856" s="10"/>
      <c r="H856" s="10"/>
      <c r="I856" s="9"/>
    </row>
    <row r="857" spans="1:9">
      <c r="A857" s="2"/>
      <c r="B857" s="2"/>
      <c r="C857" s="9"/>
      <c r="D857" s="8"/>
      <c r="E857" s="10"/>
      <c r="F857" s="10"/>
      <c r="G857" s="10"/>
      <c r="H857" s="10"/>
      <c r="I857" s="9"/>
    </row>
    <row r="858" spans="1:9">
      <c r="A858" s="2"/>
      <c r="B858" s="2"/>
      <c r="C858" s="9"/>
      <c r="D858" s="8"/>
      <c r="E858" s="10"/>
      <c r="F858" s="10"/>
      <c r="G858" s="10"/>
      <c r="H858" s="10"/>
      <c r="I858" s="9"/>
    </row>
    <row r="859" spans="1:9">
      <c r="A859" s="2"/>
      <c r="B859" s="2"/>
      <c r="C859" s="9"/>
      <c r="D859" s="8"/>
      <c r="E859" s="10"/>
      <c r="F859" s="10"/>
      <c r="G859" s="10"/>
      <c r="H859" s="10"/>
      <c r="I859" s="9"/>
    </row>
    <row r="860" spans="1:9">
      <c r="A860" s="2"/>
      <c r="B860" s="2"/>
      <c r="C860" s="9"/>
      <c r="D860" s="8"/>
      <c r="E860" s="10"/>
      <c r="F860" s="10"/>
      <c r="G860" s="10"/>
      <c r="H860" s="10"/>
      <c r="I860" s="9"/>
    </row>
    <row r="861" spans="1:9">
      <c r="A861" s="2"/>
      <c r="B861" s="2"/>
      <c r="C861" s="9"/>
      <c r="D861" s="8"/>
      <c r="E861" s="10"/>
      <c r="F861" s="10"/>
      <c r="G861" s="10"/>
      <c r="H861" s="10"/>
      <c r="I861" s="9"/>
    </row>
    <row r="862" spans="1:9">
      <c r="A862" s="2"/>
      <c r="B862" s="2"/>
      <c r="C862" s="9"/>
      <c r="D862" s="8"/>
      <c r="E862" s="10"/>
      <c r="F862" s="10"/>
      <c r="G862" s="10"/>
      <c r="H862" s="10"/>
      <c r="I862" s="9"/>
    </row>
    <row r="863" spans="1:9">
      <c r="A863" s="2"/>
      <c r="B863" s="2"/>
      <c r="C863" s="9"/>
      <c r="D863" s="8"/>
      <c r="E863" s="10"/>
      <c r="F863" s="10"/>
      <c r="G863" s="10"/>
      <c r="H863" s="10"/>
      <c r="I863" s="9"/>
    </row>
    <row r="864" spans="1:9">
      <c r="A864" s="2"/>
      <c r="B864" s="2"/>
      <c r="C864" s="9"/>
      <c r="D864" s="8"/>
      <c r="E864" s="10"/>
      <c r="F864" s="10"/>
      <c r="G864" s="10"/>
      <c r="H864" s="10"/>
      <c r="I864" s="9"/>
    </row>
    <row r="865" spans="1:9">
      <c r="A865" s="2"/>
      <c r="B865" s="2"/>
      <c r="C865" s="9"/>
      <c r="D865" s="8"/>
      <c r="E865" s="10"/>
      <c r="F865" s="10"/>
      <c r="G865" s="10"/>
      <c r="H865" s="10"/>
      <c r="I865" s="9"/>
    </row>
    <row r="866" spans="1:9">
      <c r="A866" s="2"/>
      <c r="B866" s="2"/>
      <c r="C866" s="9"/>
      <c r="D866" s="8"/>
      <c r="E866" s="10"/>
      <c r="F866" s="10"/>
      <c r="G866" s="10"/>
      <c r="H866" s="10"/>
      <c r="I866" s="9"/>
    </row>
    <row r="867" spans="1:9">
      <c r="A867" s="2"/>
      <c r="B867" s="2"/>
      <c r="C867" s="9"/>
      <c r="D867" s="8"/>
      <c r="E867" s="10"/>
      <c r="F867" s="10"/>
      <c r="G867" s="10"/>
      <c r="H867" s="10"/>
      <c r="I867" s="9"/>
    </row>
    <row r="868" spans="1:9">
      <c r="A868" s="2"/>
      <c r="B868" s="2"/>
      <c r="C868" s="9"/>
      <c r="D868" s="8"/>
      <c r="E868" s="10"/>
      <c r="F868" s="10"/>
      <c r="G868" s="10"/>
      <c r="H868" s="10"/>
      <c r="I868" s="9"/>
    </row>
    <row r="869" spans="1:9">
      <c r="A869" s="2"/>
      <c r="B869" s="2"/>
      <c r="C869" s="9"/>
      <c r="D869" s="8"/>
      <c r="E869" s="10"/>
      <c r="F869" s="10"/>
      <c r="G869" s="10"/>
      <c r="H869" s="10"/>
      <c r="I869" s="9"/>
    </row>
    <row r="870" spans="1:9">
      <c r="A870" s="2"/>
      <c r="B870" s="2"/>
      <c r="C870" s="9"/>
      <c r="D870" s="8"/>
      <c r="E870" s="10"/>
      <c r="F870" s="10"/>
      <c r="G870" s="10"/>
      <c r="H870" s="10"/>
      <c r="I870" s="9"/>
    </row>
    <row r="871" spans="1:9">
      <c r="A871" s="2"/>
      <c r="B871" s="2"/>
      <c r="C871" s="9"/>
      <c r="D871" s="8"/>
      <c r="E871" s="10"/>
      <c r="F871" s="10"/>
      <c r="G871" s="10"/>
      <c r="H871" s="10"/>
      <c r="I871" s="9"/>
    </row>
    <row r="872" spans="1:9">
      <c r="A872" s="2"/>
      <c r="B872" s="2"/>
      <c r="C872" s="9"/>
      <c r="D872" s="8"/>
      <c r="E872" s="10"/>
      <c r="F872" s="10"/>
      <c r="G872" s="10"/>
      <c r="H872" s="10"/>
      <c r="I872" s="9"/>
    </row>
    <row r="873" spans="1:9">
      <c r="A873" s="2"/>
      <c r="B873" s="2"/>
      <c r="C873" s="9"/>
      <c r="D873" s="8"/>
      <c r="E873" s="10"/>
      <c r="F873" s="10"/>
      <c r="G873" s="10"/>
      <c r="H873" s="10"/>
      <c r="I873" s="9"/>
    </row>
    <row r="874" spans="1:9">
      <c r="A874" s="2"/>
      <c r="B874" s="2"/>
      <c r="C874" s="9"/>
      <c r="D874" s="8"/>
      <c r="E874" s="10"/>
      <c r="F874" s="10"/>
      <c r="G874" s="10"/>
      <c r="H874" s="10"/>
      <c r="I874" s="9"/>
    </row>
    <row r="875" spans="1:9">
      <c r="A875" s="2"/>
      <c r="B875" s="2"/>
      <c r="C875" s="9"/>
      <c r="D875" s="8"/>
      <c r="E875" s="10"/>
      <c r="F875" s="10"/>
      <c r="G875" s="10"/>
      <c r="H875" s="10"/>
      <c r="I875" s="9"/>
    </row>
    <row r="876" spans="1:9">
      <c r="A876" s="2"/>
      <c r="B876" s="2"/>
      <c r="C876" s="9"/>
      <c r="D876" s="8"/>
      <c r="E876" s="10"/>
      <c r="F876" s="10"/>
      <c r="G876" s="10"/>
      <c r="H876" s="10"/>
      <c r="I876" s="9"/>
    </row>
    <row r="877" spans="1:9">
      <c r="A877" s="2"/>
      <c r="B877" s="2"/>
      <c r="C877" s="9"/>
      <c r="D877" s="8"/>
      <c r="E877" s="10"/>
      <c r="F877" s="10"/>
      <c r="G877" s="10"/>
      <c r="H877" s="10"/>
      <c r="I877" s="9"/>
    </row>
    <row r="878" spans="1:9">
      <c r="A878" s="2"/>
      <c r="B878" s="2"/>
      <c r="C878" s="9"/>
      <c r="D878" s="8"/>
      <c r="E878" s="10"/>
      <c r="F878" s="10"/>
      <c r="G878" s="10"/>
      <c r="H878" s="10"/>
      <c r="I878" s="9"/>
    </row>
    <row r="879" spans="1:9">
      <c r="A879" s="2"/>
      <c r="B879" s="2"/>
      <c r="C879" s="9"/>
      <c r="D879" s="8"/>
      <c r="E879" s="10"/>
      <c r="F879" s="10"/>
      <c r="G879" s="10"/>
      <c r="H879" s="10"/>
      <c r="I879" s="9"/>
    </row>
    <row r="880" spans="1:9">
      <c r="A880" s="2"/>
      <c r="B880" s="2"/>
      <c r="C880" s="9"/>
      <c r="D880" s="8"/>
      <c r="E880" s="10"/>
      <c r="F880" s="10"/>
      <c r="G880" s="10"/>
      <c r="H880" s="10"/>
      <c r="I880" s="9"/>
    </row>
    <row r="881" spans="1:9">
      <c r="A881" s="2"/>
      <c r="B881" s="2"/>
      <c r="C881" s="9"/>
      <c r="D881" s="8"/>
      <c r="E881" s="10"/>
      <c r="F881" s="10"/>
      <c r="G881" s="10"/>
      <c r="H881" s="10"/>
      <c r="I881" s="9"/>
    </row>
    <row r="882" spans="1:9">
      <c r="A882" s="2"/>
      <c r="B882" s="2"/>
      <c r="C882" s="9"/>
      <c r="D882" s="8"/>
      <c r="E882" s="10"/>
      <c r="F882" s="10"/>
      <c r="G882" s="10"/>
      <c r="H882" s="10"/>
      <c r="I882" s="9"/>
    </row>
    <row r="883" spans="1:9">
      <c r="A883" s="2"/>
      <c r="B883" s="2"/>
      <c r="C883" s="9"/>
      <c r="D883" s="8"/>
      <c r="E883" s="10"/>
      <c r="F883" s="10"/>
      <c r="G883" s="10"/>
      <c r="H883" s="10"/>
      <c r="I883" s="9"/>
    </row>
    <row r="884" spans="1:9">
      <c r="A884" s="2"/>
      <c r="B884" s="2"/>
      <c r="C884" s="9"/>
      <c r="D884" s="8"/>
      <c r="E884" s="10"/>
      <c r="F884" s="10"/>
      <c r="G884" s="10"/>
      <c r="H884" s="10"/>
      <c r="I884" s="9"/>
    </row>
    <row r="885" spans="1:9">
      <c r="A885" s="2"/>
      <c r="B885" s="2"/>
      <c r="C885" s="9"/>
      <c r="D885" s="8"/>
      <c r="E885" s="10"/>
      <c r="F885" s="10"/>
      <c r="G885" s="10"/>
      <c r="H885" s="10"/>
      <c r="I885" s="9"/>
    </row>
    <row r="886" spans="1:9">
      <c r="A886" s="2"/>
      <c r="B886" s="2"/>
      <c r="C886" s="9"/>
      <c r="D886" s="8"/>
      <c r="E886" s="10"/>
      <c r="F886" s="10"/>
      <c r="G886" s="10"/>
      <c r="H886" s="10"/>
      <c r="I886" s="9"/>
    </row>
    <row r="887" spans="1:9">
      <c r="A887" s="2"/>
      <c r="B887" s="2"/>
      <c r="C887" s="9"/>
      <c r="D887" s="8"/>
      <c r="E887" s="10"/>
      <c r="F887" s="10"/>
      <c r="G887" s="10"/>
      <c r="H887" s="10"/>
      <c r="I887" s="9"/>
    </row>
    <row r="888" spans="1:9">
      <c r="A888" s="2"/>
      <c r="B888" s="2"/>
      <c r="C888" s="9"/>
      <c r="D888" s="8"/>
      <c r="E888" s="10"/>
      <c r="F888" s="10"/>
      <c r="G888" s="10"/>
      <c r="H888" s="10"/>
      <c r="I888" s="9"/>
    </row>
    <row r="889" spans="1:9">
      <c r="A889" s="2"/>
      <c r="B889" s="2"/>
      <c r="C889" s="9"/>
      <c r="D889" s="8"/>
      <c r="E889" s="10"/>
      <c r="F889" s="10"/>
      <c r="G889" s="10"/>
      <c r="H889" s="10"/>
      <c r="I889" s="9"/>
    </row>
    <row r="890" spans="1:9">
      <c r="A890" s="2"/>
      <c r="B890" s="2"/>
      <c r="C890" s="9"/>
      <c r="D890" s="8"/>
      <c r="E890" s="10"/>
      <c r="F890" s="10"/>
      <c r="G890" s="10"/>
      <c r="H890" s="10"/>
      <c r="I890" s="9"/>
    </row>
    <row r="891" spans="1:9">
      <c r="A891" s="2"/>
      <c r="B891" s="2"/>
      <c r="C891" s="9"/>
      <c r="D891" s="8"/>
      <c r="E891" s="10"/>
      <c r="F891" s="10"/>
      <c r="G891" s="10"/>
      <c r="H891" s="10"/>
      <c r="I891" s="9"/>
    </row>
    <row r="892" spans="1:9">
      <c r="A892" s="2"/>
      <c r="B892" s="2"/>
      <c r="C892" s="9"/>
      <c r="D892" s="8"/>
      <c r="E892" s="10"/>
      <c r="F892" s="10"/>
      <c r="G892" s="10"/>
      <c r="H892" s="10"/>
      <c r="I892" s="9"/>
    </row>
    <row r="893" spans="1:9">
      <c r="A893" s="2"/>
      <c r="B893" s="2"/>
      <c r="C893" s="9"/>
      <c r="D893" s="8"/>
      <c r="E893" s="10"/>
      <c r="F893" s="10"/>
      <c r="G893" s="10"/>
      <c r="H893" s="10"/>
      <c r="I893" s="9"/>
    </row>
    <row r="894" spans="1:9">
      <c r="A894" s="2"/>
      <c r="B894" s="2"/>
      <c r="C894" s="9"/>
      <c r="D894" s="8"/>
      <c r="E894" s="10"/>
      <c r="F894" s="10"/>
      <c r="G894" s="10"/>
      <c r="H894" s="10"/>
      <c r="I894" s="9"/>
    </row>
    <row r="895" spans="1:9">
      <c r="A895" s="2"/>
      <c r="B895" s="2"/>
      <c r="C895" s="9"/>
      <c r="D895" s="8"/>
      <c r="E895" s="10"/>
      <c r="F895" s="10"/>
      <c r="G895" s="10"/>
      <c r="H895" s="10"/>
      <c r="I895" s="9"/>
    </row>
    <row r="896" spans="1:9">
      <c r="A896" s="2"/>
      <c r="B896" s="2"/>
      <c r="C896" s="9"/>
      <c r="D896" s="8"/>
      <c r="E896" s="10"/>
      <c r="F896" s="10"/>
      <c r="G896" s="10"/>
      <c r="H896" s="10"/>
      <c r="I896" s="9"/>
    </row>
    <row r="897" spans="1:9">
      <c r="A897" s="2"/>
      <c r="B897" s="2"/>
      <c r="C897" s="9"/>
      <c r="D897" s="8"/>
      <c r="E897" s="10"/>
      <c r="F897" s="10"/>
      <c r="G897" s="10"/>
      <c r="H897" s="10"/>
      <c r="I897" s="9"/>
    </row>
    <row r="898" spans="1:9">
      <c r="A898" s="2"/>
      <c r="B898" s="2"/>
      <c r="C898" s="9"/>
      <c r="D898" s="8"/>
      <c r="E898" s="10"/>
      <c r="F898" s="10"/>
      <c r="G898" s="10"/>
      <c r="H898" s="10"/>
      <c r="I898" s="9"/>
    </row>
    <row r="899" spans="1:9">
      <c r="A899" s="2"/>
      <c r="B899" s="2"/>
      <c r="C899" s="9"/>
      <c r="D899" s="8"/>
      <c r="E899" s="10"/>
      <c r="F899" s="10"/>
      <c r="G899" s="10"/>
      <c r="H899" s="10"/>
      <c r="I899" s="9"/>
    </row>
    <row r="900" spans="1:9">
      <c r="A900" s="2"/>
      <c r="B900" s="2"/>
      <c r="C900" s="9"/>
      <c r="D900" s="8"/>
      <c r="E900" s="10"/>
      <c r="F900" s="10"/>
      <c r="G900" s="10"/>
      <c r="H900" s="10"/>
      <c r="I900" s="9"/>
    </row>
    <row r="901" spans="1:9">
      <c r="A901" s="2"/>
      <c r="B901" s="2"/>
      <c r="C901" s="9"/>
      <c r="D901" s="8"/>
      <c r="E901" s="10"/>
      <c r="F901" s="10"/>
      <c r="G901" s="10"/>
      <c r="H901" s="10"/>
      <c r="I901" s="9"/>
    </row>
    <row r="902" spans="1:9">
      <c r="A902" s="2"/>
      <c r="B902" s="2"/>
      <c r="C902" s="9"/>
      <c r="D902" s="8"/>
      <c r="E902" s="10"/>
      <c r="F902" s="10"/>
      <c r="G902" s="10"/>
      <c r="H902" s="10"/>
      <c r="I902" s="9"/>
    </row>
    <row r="903" spans="1:9">
      <c r="A903" s="2"/>
      <c r="B903" s="2"/>
      <c r="C903" s="9"/>
      <c r="D903" s="8"/>
      <c r="E903" s="10"/>
      <c r="F903" s="10"/>
      <c r="G903" s="10"/>
      <c r="H903" s="10"/>
      <c r="I903" s="9"/>
    </row>
    <row r="904" spans="1:9">
      <c r="A904" s="2"/>
      <c r="B904" s="2"/>
      <c r="C904" s="9"/>
      <c r="D904" s="8"/>
      <c r="E904" s="10"/>
      <c r="F904" s="10"/>
      <c r="G904" s="10"/>
      <c r="H904" s="10"/>
      <c r="I904" s="9"/>
    </row>
    <row r="905" spans="1:9">
      <c r="A905" s="2"/>
      <c r="B905" s="2"/>
      <c r="C905" s="9"/>
      <c r="D905" s="8"/>
      <c r="E905" s="10"/>
      <c r="F905" s="10"/>
      <c r="G905" s="10"/>
      <c r="H905" s="10"/>
      <c r="I905" s="9"/>
    </row>
    <row r="906" spans="1:9">
      <c r="A906" s="2"/>
      <c r="B906" s="2"/>
      <c r="C906" s="9"/>
      <c r="D906" s="8"/>
      <c r="E906" s="10"/>
      <c r="F906" s="10"/>
      <c r="G906" s="10"/>
      <c r="H906" s="10"/>
      <c r="I906" s="9"/>
    </row>
    <row r="907" spans="1:9">
      <c r="A907" s="2"/>
      <c r="B907" s="2"/>
      <c r="C907" s="9"/>
      <c r="D907" s="8"/>
      <c r="E907" s="10"/>
      <c r="F907" s="10"/>
      <c r="G907" s="10"/>
      <c r="H907" s="10"/>
      <c r="I907" s="9"/>
    </row>
    <row r="908" spans="1:9">
      <c r="A908" s="2"/>
      <c r="B908" s="2"/>
      <c r="C908" s="9"/>
      <c r="D908" s="8"/>
      <c r="E908" s="10"/>
      <c r="F908" s="10"/>
      <c r="G908" s="10"/>
      <c r="H908" s="10"/>
      <c r="I908" s="9"/>
    </row>
    <row r="909" spans="1:9">
      <c r="A909" s="2"/>
      <c r="B909" s="2"/>
      <c r="C909" s="9"/>
      <c r="D909" s="8"/>
      <c r="E909" s="10"/>
      <c r="F909" s="10"/>
      <c r="G909" s="10"/>
      <c r="H909" s="10"/>
      <c r="I909" s="9"/>
    </row>
    <row r="910" spans="1:9">
      <c r="A910" s="2"/>
      <c r="B910" s="2"/>
      <c r="C910" s="9"/>
      <c r="D910" s="8"/>
      <c r="E910" s="10"/>
      <c r="F910" s="10"/>
      <c r="G910" s="10"/>
      <c r="H910" s="10"/>
      <c r="I910" s="9"/>
    </row>
    <row r="911" spans="1:9">
      <c r="A911" s="2"/>
      <c r="B911" s="2"/>
      <c r="C911" s="9"/>
      <c r="D911" s="8"/>
      <c r="E911" s="10"/>
      <c r="F911" s="10"/>
      <c r="G911" s="10"/>
      <c r="H911" s="10"/>
      <c r="I911" s="9"/>
    </row>
    <row r="912" spans="1:9">
      <c r="A912" s="2"/>
      <c r="B912" s="2"/>
      <c r="C912" s="9"/>
      <c r="D912" s="8"/>
      <c r="E912" s="10"/>
      <c r="F912" s="10"/>
      <c r="G912" s="10"/>
      <c r="H912" s="10"/>
      <c r="I912" s="9"/>
    </row>
    <row r="913" spans="1:9">
      <c r="A913" s="2"/>
      <c r="B913" s="2"/>
      <c r="C913" s="9"/>
      <c r="D913" s="8"/>
      <c r="E913" s="10"/>
      <c r="F913" s="10"/>
      <c r="G913" s="10"/>
      <c r="H913" s="10"/>
      <c r="I913" s="9"/>
    </row>
    <row r="914" spans="1:9">
      <c r="A914" s="2"/>
      <c r="B914" s="2"/>
      <c r="C914" s="9"/>
      <c r="D914" s="8"/>
      <c r="E914" s="10"/>
      <c r="F914" s="10"/>
      <c r="G914" s="10"/>
      <c r="H914" s="10"/>
      <c r="I914" s="9"/>
    </row>
    <row r="915" spans="1:9">
      <c r="A915" s="2"/>
      <c r="B915" s="2"/>
      <c r="C915" s="9"/>
      <c r="D915" s="8"/>
      <c r="E915" s="10"/>
      <c r="F915" s="10"/>
      <c r="G915" s="10"/>
      <c r="H915" s="10"/>
      <c r="I915" s="9"/>
    </row>
    <row r="916" spans="1:9">
      <c r="A916" s="2"/>
      <c r="B916" s="2"/>
      <c r="C916" s="9"/>
      <c r="D916" s="8"/>
      <c r="E916" s="10"/>
      <c r="F916" s="10"/>
      <c r="G916" s="10"/>
      <c r="H916" s="10"/>
      <c r="I916" s="9"/>
    </row>
    <row r="917" spans="1:9">
      <c r="A917" s="2"/>
      <c r="B917" s="2"/>
      <c r="C917" s="9"/>
      <c r="D917" s="8"/>
      <c r="E917" s="10"/>
      <c r="F917" s="10"/>
      <c r="G917" s="10"/>
      <c r="H917" s="10"/>
      <c r="I917" s="9"/>
    </row>
    <row r="918" spans="1:9">
      <c r="A918" s="2"/>
      <c r="B918" s="2"/>
      <c r="C918" s="9"/>
      <c r="D918" s="8"/>
      <c r="E918" s="10"/>
      <c r="F918" s="10"/>
      <c r="G918" s="10"/>
      <c r="H918" s="10"/>
      <c r="I918" s="9"/>
    </row>
    <row r="919" spans="1:9">
      <c r="A919" s="2"/>
      <c r="B919" s="2"/>
      <c r="C919" s="9"/>
      <c r="D919" s="8"/>
      <c r="E919" s="10"/>
      <c r="F919" s="10"/>
      <c r="G919" s="10"/>
      <c r="H919" s="10"/>
      <c r="I919" s="9"/>
    </row>
    <row r="920" spans="1:9">
      <c r="A920" s="2"/>
      <c r="B920" s="2"/>
      <c r="C920" s="9"/>
      <c r="D920" s="8"/>
      <c r="E920" s="10"/>
      <c r="F920" s="10"/>
      <c r="G920" s="10"/>
      <c r="H920" s="10"/>
      <c r="I920" s="9"/>
    </row>
    <row r="921" spans="1:9">
      <c r="A921" s="2"/>
      <c r="B921" s="2"/>
      <c r="C921" s="9"/>
      <c r="D921" s="8"/>
      <c r="E921" s="10"/>
      <c r="F921" s="10"/>
      <c r="G921" s="10"/>
      <c r="H921" s="10"/>
      <c r="I921" s="9"/>
    </row>
    <row r="922" spans="1:9">
      <c r="A922" s="2"/>
      <c r="B922" s="2"/>
      <c r="C922" s="9"/>
      <c r="D922" s="8"/>
      <c r="E922" s="10"/>
      <c r="F922" s="10"/>
      <c r="G922" s="10"/>
      <c r="H922" s="10"/>
      <c r="I922" s="9"/>
    </row>
    <row r="923" spans="1:9">
      <c r="A923" s="2"/>
      <c r="B923" s="2"/>
      <c r="C923" s="9"/>
      <c r="D923" s="8"/>
      <c r="E923" s="10"/>
      <c r="F923" s="10"/>
      <c r="G923" s="10"/>
      <c r="H923" s="10"/>
      <c r="I923" s="9"/>
    </row>
    <row r="924" spans="1:9">
      <c r="A924" s="2"/>
      <c r="B924" s="2"/>
      <c r="C924" s="9"/>
      <c r="D924" s="8"/>
      <c r="E924" s="10"/>
      <c r="F924" s="10"/>
      <c r="G924" s="10"/>
      <c r="H924" s="10"/>
      <c r="I924" s="9"/>
    </row>
    <row r="925" spans="1:9">
      <c r="A925" s="2"/>
      <c r="B925" s="2"/>
      <c r="C925" s="9"/>
      <c r="D925" s="8"/>
      <c r="E925" s="10"/>
      <c r="F925" s="10"/>
      <c r="G925" s="10"/>
      <c r="H925" s="10"/>
      <c r="I925" s="9"/>
    </row>
    <row r="926" spans="1:9">
      <c r="A926" s="2"/>
      <c r="B926" s="2"/>
      <c r="C926" s="9"/>
      <c r="D926" s="8"/>
      <c r="E926" s="10"/>
      <c r="F926" s="10"/>
      <c r="G926" s="10"/>
      <c r="H926" s="10"/>
      <c r="I926" s="9"/>
    </row>
    <row r="927" spans="1:9">
      <c r="A927" s="2"/>
      <c r="B927" s="2"/>
      <c r="C927" s="9"/>
      <c r="D927" s="8"/>
      <c r="E927" s="10"/>
      <c r="F927" s="10"/>
      <c r="G927" s="10"/>
      <c r="H927" s="10"/>
      <c r="I927" s="9"/>
    </row>
    <row r="928" spans="1:9">
      <c r="A928" s="2"/>
      <c r="B928" s="2"/>
      <c r="C928" s="9"/>
      <c r="D928" s="8"/>
      <c r="E928" s="10"/>
      <c r="F928" s="10"/>
      <c r="G928" s="10"/>
      <c r="H928" s="10"/>
      <c r="I928" s="9"/>
    </row>
    <row r="929" spans="1:9">
      <c r="A929" s="2"/>
      <c r="B929" s="2"/>
      <c r="C929" s="9"/>
      <c r="D929" s="8"/>
      <c r="E929" s="10"/>
      <c r="F929" s="10"/>
      <c r="G929" s="10"/>
      <c r="H929" s="10"/>
      <c r="I929" s="9"/>
    </row>
    <row r="930" spans="1:9">
      <c r="A930" s="2"/>
      <c r="B930" s="2"/>
      <c r="C930" s="9"/>
      <c r="D930" s="8"/>
      <c r="E930" s="10"/>
      <c r="F930" s="10"/>
      <c r="G930" s="10"/>
      <c r="H930" s="10"/>
      <c r="I930" s="9"/>
    </row>
    <row r="931" spans="1:9">
      <c r="A931" s="2"/>
      <c r="B931" s="2"/>
      <c r="C931" s="9"/>
      <c r="D931" s="8"/>
      <c r="E931" s="10"/>
      <c r="F931" s="10"/>
      <c r="G931" s="10"/>
      <c r="H931" s="10"/>
      <c r="I931" s="9"/>
    </row>
    <row r="932" spans="1:9">
      <c r="A932" s="2"/>
      <c r="B932" s="2"/>
      <c r="C932" s="9"/>
      <c r="D932" s="8"/>
      <c r="E932" s="10"/>
      <c r="F932" s="10"/>
      <c r="G932" s="10"/>
      <c r="H932" s="10"/>
      <c r="I932" s="9"/>
    </row>
    <row r="933" spans="1:9">
      <c r="A933" s="2"/>
      <c r="B933" s="2"/>
      <c r="C933" s="9"/>
      <c r="D933" s="8"/>
      <c r="E933" s="10"/>
      <c r="F933" s="10"/>
      <c r="G933" s="10"/>
      <c r="H933" s="10"/>
      <c r="I933" s="9"/>
    </row>
    <row r="934" spans="1:9">
      <c r="A934" s="2"/>
      <c r="B934" s="2"/>
      <c r="C934" s="9"/>
      <c r="D934" s="8"/>
      <c r="E934" s="10"/>
      <c r="F934" s="10"/>
      <c r="G934" s="10"/>
      <c r="H934" s="10"/>
      <c r="I934" s="9"/>
    </row>
    <row r="935" spans="1:9">
      <c r="A935" s="2"/>
      <c r="B935" s="2"/>
      <c r="C935" s="9"/>
      <c r="D935" s="8"/>
      <c r="E935" s="10"/>
      <c r="F935" s="10"/>
      <c r="G935" s="10"/>
      <c r="H935" s="10"/>
      <c r="I935" s="9"/>
    </row>
    <row r="936" spans="1:9">
      <c r="A936" s="2"/>
      <c r="B936" s="2"/>
      <c r="C936" s="9"/>
      <c r="D936" s="8"/>
      <c r="E936" s="10"/>
      <c r="F936" s="10"/>
      <c r="G936" s="10"/>
      <c r="H936" s="10"/>
      <c r="I936" s="9"/>
    </row>
    <row r="937" spans="1:9">
      <c r="A937" s="2"/>
      <c r="B937" s="2"/>
      <c r="C937" s="9"/>
      <c r="D937" s="8"/>
      <c r="E937" s="10"/>
      <c r="F937" s="10"/>
      <c r="G937" s="10"/>
      <c r="H937" s="10"/>
      <c r="I937" s="9"/>
    </row>
    <row r="938" spans="1:9">
      <c r="A938" s="2"/>
      <c r="B938" s="2"/>
      <c r="C938" s="9"/>
      <c r="D938" s="8"/>
      <c r="E938" s="10"/>
      <c r="F938" s="10"/>
      <c r="G938" s="10"/>
      <c r="H938" s="10"/>
      <c r="I938" s="9"/>
    </row>
    <row r="939" spans="1:9">
      <c r="A939" s="2"/>
      <c r="B939" s="2"/>
      <c r="C939" s="9"/>
      <c r="D939" s="8"/>
      <c r="E939" s="10"/>
      <c r="F939" s="10"/>
      <c r="G939" s="10"/>
      <c r="H939" s="10"/>
      <c r="I939" s="9"/>
    </row>
    <row r="940" spans="1:9">
      <c r="A940" s="2"/>
      <c r="B940" s="2"/>
      <c r="C940" s="9"/>
      <c r="D940" s="8"/>
      <c r="E940" s="10"/>
      <c r="F940" s="10"/>
      <c r="G940" s="10"/>
      <c r="H940" s="10"/>
      <c r="I940" s="9"/>
    </row>
    <row r="941" spans="1:9">
      <c r="A941" s="2"/>
      <c r="B941" s="2"/>
      <c r="C941" s="9"/>
      <c r="D941" s="8"/>
      <c r="E941" s="10"/>
      <c r="F941" s="10"/>
      <c r="G941" s="10"/>
      <c r="H941" s="10"/>
      <c r="I941" s="9"/>
    </row>
    <row r="942" spans="1:9">
      <c r="A942" s="2"/>
      <c r="B942" s="2"/>
      <c r="C942" s="9"/>
      <c r="D942" s="8"/>
      <c r="E942" s="10"/>
      <c r="F942" s="10"/>
      <c r="G942" s="10"/>
      <c r="H942" s="10"/>
      <c r="I942" s="9"/>
    </row>
    <row r="943" spans="1:9">
      <c r="A943" s="2"/>
      <c r="B943" s="2"/>
      <c r="C943" s="9"/>
      <c r="D943" s="8"/>
      <c r="E943" s="10"/>
      <c r="F943" s="10"/>
      <c r="G943" s="10"/>
      <c r="H943" s="10"/>
      <c r="I943" s="9"/>
    </row>
    <row r="944" spans="1:9">
      <c r="A944" s="2"/>
      <c r="B944" s="2"/>
      <c r="C944" s="9"/>
      <c r="D944" s="8"/>
      <c r="E944" s="10"/>
      <c r="F944" s="10"/>
      <c r="G944" s="10"/>
      <c r="H944" s="10"/>
      <c r="I944" s="9"/>
    </row>
    <row r="945" spans="1:9">
      <c r="A945" s="2"/>
      <c r="B945" s="2"/>
      <c r="C945" s="9"/>
      <c r="D945" s="8"/>
      <c r="E945" s="10"/>
      <c r="F945" s="10"/>
      <c r="G945" s="10"/>
      <c r="H945" s="10"/>
      <c r="I945" s="9"/>
    </row>
    <row r="946" spans="1:9">
      <c r="A946" s="2"/>
      <c r="B946" s="2"/>
      <c r="C946" s="9"/>
      <c r="D946" s="8"/>
      <c r="E946" s="10"/>
      <c r="F946" s="10"/>
      <c r="G946" s="10"/>
      <c r="H946" s="10"/>
      <c r="I946" s="9"/>
    </row>
    <row r="947" spans="1:9">
      <c r="A947" s="2"/>
      <c r="B947" s="2"/>
      <c r="C947" s="9"/>
      <c r="D947" s="8"/>
      <c r="E947" s="10"/>
      <c r="F947" s="10"/>
      <c r="G947" s="10"/>
      <c r="H947" s="10"/>
      <c r="I947" s="9"/>
    </row>
    <row r="948" spans="1:9">
      <c r="A948" s="2"/>
      <c r="B948" s="2"/>
      <c r="C948" s="9"/>
      <c r="D948" s="8"/>
      <c r="E948" s="10"/>
      <c r="F948" s="10"/>
      <c r="G948" s="10"/>
      <c r="H948" s="10"/>
      <c r="I948" s="9"/>
    </row>
    <row r="949" spans="1:9">
      <c r="A949" s="2"/>
      <c r="B949" s="2"/>
      <c r="C949" s="9"/>
      <c r="D949" s="8"/>
      <c r="E949" s="10"/>
      <c r="F949" s="10"/>
      <c r="G949" s="10"/>
      <c r="H949" s="10"/>
      <c r="I949" s="9"/>
    </row>
    <row r="950" spans="1:9">
      <c r="A950" s="2"/>
      <c r="B950" s="2"/>
      <c r="C950" s="9"/>
      <c r="D950" s="8"/>
      <c r="E950" s="10"/>
      <c r="F950" s="10"/>
      <c r="G950" s="10"/>
      <c r="H950" s="10"/>
      <c r="I950" s="9"/>
    </row>
    <row r="951" spans="1:9">
      <c r="A951" s="2"/>
      <c r="B951" s="2"/>
      <c r="C951" s="9"/>
      <c r="D951" s="8"/>
      <c r="E951" s="10"/>
      <c r="F951" s="10"/>
      <c r="G951" s="10"/>
      <c r="H951" s="10"/>
      <c r="I951" s="9"/>
    </row>
    <row r="952" spans="1:9">
      <c r="A952" s="2"/>
      <c r="B952" s="2"/>
      <c r="C952" s="9"/>
      <c r="D952" s="8"/>
      <c r="E952" s="10"/>
      <c r="F952" s="10"/>
      <c r="G952" s="10"/>
      <c r="H952" s="10"/>
      <c r="I952" s="9"/>
    </row>
    <row r="953" spans="1:9">
      <c r="A953" s="2"/>
      <c r="B953" s="2"/>
      <c r="C953" s="9"/>
      <c r="D953" s="8"/>
      <c r="E953" s="10"/>
      <c r="F953" s="10"/>
      <c r="G953" s="10"/>
      <c r="H953" s="10"/>
      <c r="I953" s="9"/>
    </row>
    <row r="954" spans="1:9">
      <c r="A954" s="2"/>
      <c r="B954" s="2"/>
      <c r="C954" s="9"/>
      <c r="D954" s="8"/>
      <c r="E954" s="10"/>
      <c r="F954" s="10"/>
      <c r="G954" s="10"/>
      <c r="H954" s="10"/>
      <c r="I954" s="9"/>
    </row>
    <row r="955" spans="1:9">
      <c r="A955" s="2"/>
      <c r="B955" s="2"/>
      <c r="C955" s="9"/>
      <c r="D955" s="8"/>
      <c r="E955" s="10"/>
      <c r="F955" s="10"/>
      <c r="G955" s="10"/>
      <c r="H955" s="10"/>
      <c r="I955" s="9"/>
    </row>
    <row r="956" spans="1:9">
      <c r="A956" s="2"/>
      <c r="B956" s="2"/>
      <c r="C956" s="9"/>
      <c r="D956" s="8"/>
      <c r="E956" s="10"/>
      <c r="F956" s="10"/>
      <c r="G956" s="10"/>
      <c r="H956" s="10"/>
      <c r="I956" s="9"/>
    </row>
    <row r="957" spans="1:9">
      <c r="A957" s="2"/>
      <c r="B957" s="2"/>
      <c r="C957" s="9"/>
      <c r="D957" s="8"/>
      <c r="E957" s="10"/>
      <c r="F957" s="10"/>
      <c r="G957" s="10"/>
      <c r="H957" s="10"/>
      <c r="I957" s="9"/>
    </row>
    <row r="958" spans="1:9">
      <c r="A958" s="2"/>
      <c r="B958" s="2"/>
      <c r="C958" s="9"/>
      <c r="D958" s="8"/>
      <c r="E958" s="10"/>
      <c r="F958" s="10"/>
      <c r="G958" s="10"/>
      <c r="H958" s="10"/>
      <c r="I958" s="9"/>
    </row>
    <row r="959" spans="1:9">
      <c r="A959" s="2"/>
      <c r="B959" s="2"/>
      <c r="C959" s="9"/>
      <c r="D959" s="8"/>
      <c r="E959" s="10"/>
      <c r="F959" s="10"/>
      <c r="G959" s="10"/>
      <c r="H959" s="10"/>
      <c r="I959" s="9"/>
    </row>
    <row r="960" spans="1:9">
      <c r="A960" s="2"/>
      <c r="B960" s="2"/>
      <c r="C960" s="9"/>
      <c r="D960" s="8"/>
      <c r="E960" s="10"/>
      <c r="F960" s="10"/>
      <c r="G960" s="10"/>
      <c r="H960" s="10"/>
      <c r="I960" s="9"/>
    </row>
    <row r="961" spans="1:9">
      <c r="A961" s="2"/>
      <c r="B961" s="2"/>
      <c r="C961" s="9"/>
      <c r="D961" s="8"/>
      <c r="E961" s="10"/>
      <c r="F961" s="10"/>
      <c r="G961" s="10"/>
      <c r="H961" s="10"/>
      <c r="I961" s="9"/>
    </row>
    <row r="962" spans="1:9">
      <c r="A962" s="2"/>
      <c r="B962" s="2"/>
      <c r="C962" s="9"/>
      <c r="D962" s="8"/>
      <c r="E962" s="10"/>
      <c r="F962" s="10"/>
      <c r="G962" s="10"/>
      <c r="H962" s="10"/>
      <c r="I962" s="9"/>
    </row>
    <row r="963" spans="1:9">
      <c r="A963" s="2"/>
      <c r="B963" s="2"/>
      <c r="C963" s="9"/>
      <c r="D963" s="8"/>
      <c r="E963" s="10"/>
      <c r="F963" s="10"/>
      <c r="G963" s="10"/>
      <c r="H963" s="10"/>
      <c r="I963" s="9"/>
    </row>
    <row r="964" spans="1:9">
      <c r="A964" s="2"/>
      <c r="B964" s="2"/>
      <c r="C964" s="9"/>
      <c r="D964" s="8"/>
      <c r="E964" s="10"/>
      <c r="F964" s="10"/>
      <c r="G964" s="10"/>
      <c r="H964" s="10"/>
      <c r="I964" s="9"/>
    </row>
    <row r="965" spans="1:9">
      <c r="A965" s="2"/>
      <c r="B965" s="2"/>
      <c r="C965" s="9"/>
      <c r="D965" s="8"/>
      <c r="E965" s="10"/>
      <c r="F965" s="10"/>
      <c r="G965" s="10"/>
      <c r="H965" s="10"/>
      <c r="I965" s="9"/>
    </row>
    <row r="966" spans="1:9">
      <c r="A966" s="2"/>
      <c r="B966" s="2"/>
      <c r="C966" s="9"/>
      <c r="D966" s="8"/>
      <c r="E966" s="10"/>
      <c r="F966" s="10"/>
      <c r="G966" s="10"/>
      <c r="H966" s="10"/>
      <c r="I966" s="9"/>
    </row>
    <row r="967" spans="1:9">
      <c r="A967" s="2"/>
      <c r="B967" s="2"/>
      <c r="C967" s="9"/>
      <c r="D967" s="8"/>
      <c r="E967" s="10"/>
      <c r="F967" s="10"/>
      <c r="G967" s="10"/>
      <c r="H967" s="10"/>
      <c r="I967" s="9"/>
    </row>
    <row r="968" spans="1:9">
      <c r="A968" s="2"/>
      <c r="B968" s="2"/>
      <c r="C968" s="9"/>
      <c r="D968" s="8"/>
      <c r="E968" s="10"/>
      <c r="F968" s="10"/>
      <c r="G968" s="10"/>
      <c r="H968" s="10"/>
      <c r="I968" s="9"/>
    </row>
    <row r="969" spans="1:9">
      <c r="A969" s="2"/>
      <c r="B969" s="2"/>
      <c r="C969" s="9"/>
      <c r="D969" s="8"/>
      <c r="E969" s="10"/>
      <c r="F969" s="10"/>
      <c r="G969" s="10"/>
      <c r="H969" s="10"/>
      <c r="I969" s="9"/>
    </row>
    <row r="970" spans="1:9">
      <c r="A970" s="2"/>
      <c r="B970" s="2"/>
      <c r="C970" s="9"/>
      <c r="D970" s="8"/>
      <c r="E970" s="10"/>
      <c r="F970" s="10"/>
      <c r="G970" s="10"/>
      <c r="H970" s="10"/>
      <c r="I970" s="9"/>
    </row>
    <row r="971" spans="1:9">
      <c r="A971" s="2"/>
      <c r="B971" s="2"/>
      <c r="C971" s="9"/>
      <c r="D971" s="8"/>
      <c r="E971" s="10"/>
      <c r="F971" s="10"/>
      <c r="G971" s="10"/>
      <c r="H971" s="10"/>
      <c r="I971" s="9"/>
    </row>
    <row r="972" spans="1:9">
      <c r="A972" s="2"/>
      <c r="B972" s="2"/>
      <c r="C972" s="9"/>
      <c r="D972" s="8"/>
      <c r="E972" s="10"/>
      <c r="F972" s="10"/>
      <c r="G972" s="10"/>
      <c r="H972" s="10"/>
      <c r="I972" s="9"/>
    </row>
    <row r="973" spans="1:9">
      <c r="A973" s="2"/>
      <c r="B973" s="2"/>
      <c r="C973" s="9"/>
      <c r="D973" s="8"/>
      <c r="E973" s="10"/>
      <c r="F973" s="10"/>
      <c r="G973" s="10"/>
      <c r="H973" s="10"/>
      <c r="I973" s="9"/>
    </row>
    <row r="974" spans="1:9">
      <c r="A974" s="2"/>
      <c r="B974" s="2"/>
      <c r="C974" s="9"/>
      <c r="D974" s="8"/>
      <c r="E974" s="10"/>
      <c r="F974" s="10"/>
      <c r="G974" s="10"/>
      <c r="H974" s="10"/>
      <c r="I974" s="9"/>
    </row>
    <row r="975" spans="1:9">
      <c r="A975" s="2"/>
      <c r="B975" s="2"/>
      <c r="C975" s="9"/>
      <c r="D975" s="8"/>
      <c r="E975" s="10"/>
      <c r="F975" s="10"/>
      <c r="G975" s="10"/>
      <c r="H975" s="10"/>
      <c r="I975" s="9"/>
    </row>
    <row r="976" spans="1:9">
      <c r="A976" s="2"/>
      <c r="B976" s="2"/>
      <c r="C976" s="9"/>
      <c r="D976" s="8"/>
      <c r="E976" s="10"/>
      <c r="F976" s="10"/>
      <c r="G976" s="10"/>
      <c r="H976" s="10"/>
      <c r="I976" s="9"/>
    </row>
    <row r="977" spans="1:9">
      <c r="A977" s="2"/>
      <c r="B977" s="2"/>
      <c r="C977" s="9"/>
      <c r="D977" s="8"/>
      <c r="E977" s="10"/>
      <c r="F977" s="10"/>
      <c r="G977" s="10"/>
      <c r="H977" s="10"/>
      <c r="I977" s="9"/>
    </row>
    <row r="978" spans="1:9">
      <c r="A978" s="2"/>
      <c r="B978" s="2"/>
      <c r="C978" s="9"/>
      <c r="D978" s="8"/>
      <c r="E978" s="10"/>
      <c r="F978" s="10"/>
      <c r="G978" s="10"/>
      <c r="H978" s="10"/>
      <c r="I978" s="9"/>
    </row>
    <row r="979" spans="1:9">
      <c r="A979" s="2"/>
      <c r="B979" s="2"/>
      <c r="C979" s="9"/>
      <c r="D979" s="8"/>
      <c r="E979" s="10"/>
      <c r="F979" s="10"/>
      <c r="G979" s="10"/>
      <c r="H979" s="10"/>
      <c r="I979" s="9"/>
    </row>
    <row r="980" spans="1:9">
      <c r="A980" s="2"/>
      <c r="B980" s="2"/>
      <c r="C980" s="9"/>
      <c r="D980" s="8"/>
      <c r="E980" s="10"/>
      <c r="F980" s="10"/>
      <c r="G980" s="10"/>
      <c r="H980" s="10"/>
      <c r="I980" s="9"/>
    </row>
    <row r="981" spans="1:9">
      <c r="A981" s="2"/>
      <c r="B981" s="2"/>
      <c r="C981" s="9"/>
      <c r="D981" s="8"/>
      <c r="E981" s="10"/>
      <c r="F981" s="10"/>
      <c r="G981" s="10"/>
      <c r="H981" s="10"/>
      <c r="I981" s="9"/>
    </row>
    <row r="982" spans="1:9">
      <c r="A982" s="2"/>
      <c r="B982" s="2"/>
      <c r="C982" s="9"/>
      <c r="D982" s="8"/>
      <c r="E982" s="10"/>
      <c r="F982" s="10"/>
      <c r="G982" s="10"/>
      <c r="H982" s="10"/>
      <c r="I982" s="9"/>
    </row>
    <row r="983" spans="1:9">
      <c r="A983" s="2"/>
      <c r="B983" s="2"/>
      <c r="C983" s="9"/>
      <c r="D983" s="8"/>
      <c r="E983" s="10"/>
      <c r="F983" s="10"/>
      <c r="G983" s="10"/>
      <c r="H983" s="10"/>
      <c r="I983" s="9"/>
    </row>
    <row r="984" spans="1:9">
      <c r="A984" s="2"/>
      <c r="B984" s="2"/>
      <c r="C984" s="9"/>
      <c r="D984" s="8"/>
      <c r="E984" s="10"/>
      <c r="F984" s="10"/>
      <c r="G984" s="10"/>
      <c r="H984" s="10"/>
      <c r="I984" s="9"/>
    </row>
    <row r="985" spans="1:9">
      <c r="A985" s="2"/>
      <c r="B985" s="2"/>
      <c r="C985" s="9"/>
      <c r="D985" s="8"/>
      <c r="E985" s="10"/>
      <c r="F985" s="10"/>
      <c r="G985" s="10"/>
      <c r="H985" s="10"/>
      <c r="I985" s="9"/>
    </row>
    <row r="986" spans="1:9">
      <c r="A986" s="2"/>
      <c r="B986" s="2"/>
      <c r="C986" s="9"/>
      <c r="D986" s="8"/>
      <c r="E986" s="10"/>
      <c r="F986" s="10"/>
      <c r="G986" s="10"/>
      <c r="H986" s="10"/>
      <c r="I986" s="9"/>
    </row>
    <row r="987" spans="1:9">
      <c r="A987" s="2"/>
      <c r="B987" s="2"/>
      <c r="C987" s="9"/>
      <c r="D987" s="8"/>
      <c r="E987" s="10"/>
      <c r="F987" s="10"/>
      <c r="G987" s="10"/>
      <c r="H987" s="10"/>
      <c r="I987" s="9"/>
    </row>
    <row r="988" spans="1:9">
      <c r="A988" s="2"/>
      <c r="B988" s="2"/>
      <c r="C988" s="9"/>
      <c r="D988" s="8"/>
      <c r="E988" s="10"/>
      <c r="F988" s="10"/>
      <c r="G988" s="10"/>
      <c r="H988" s="10"/>
      <c r="I988" s="9"/>
    </row>
    <row r="989" spans="1:9">
      <c r="A989" s="2"/>
      <c r="B989" s="2"/>
      <c r="C989" s="9"/>
      <c r="D989" s="8"/>
      <c r="E989" s="10"/>
      <c r="F989" s="10"/>
      <c r="G989" s="10"/>
      <c r="H989" s="10"/>
      <c r="I989" s="9"/>
    </row>
    <row r="990" spans="1:9">
      <c r="A990" s="2"/>
      <c r="B990" s="2"/>
      <c r="C990" s="9"/>
      <c r="D990" s="8"/>
      <c r="E990" s="10"/>
      <c r="F990" s="10"/>
      <c r="G990" s="10"/>
      <c r="H990" s="10"/>
      <c r="I990" s="9"/>
    </row>
    <row r="991" spans="1:9">
      <c r="A991" s="2"/>
      <c r="B991" s="2"/>
      <c r="C991" s="9"/>
      <c r="D991" s="8"/>
      <c r="E991" s="10"/>
      <c r="F991" s="10"/>
      <c r="G991" s="10"/>
      <c r="H991" s="10"/>
      <c r="I991" s="9"/>
    </row>
    <row r="992" spans="1:9">
      <c r="A992" s="2"/>
      <c r="B992" s="2"/>
      <c r="C992" s="9"/>
      <c r="D992" s="8"/>
      <c r="E992" s="10"/>
      <c r="F992" s="10"/>
      <c r="G992" s="10"/>
      <c r="H992" s="10"/>
      <c r="I992" s="9"/>
    </row>
    <row r="993" spans="1:9">
      <c r="A993" s="2"/>
      <c r="B993" s="2"/>
      <c r="C993" s="9"/>
      <c r="D993" s="8"/>
      <c r="E993" s="10"/>
      <c r="F993" s="10"/>
      <c r="G993" s="10"/>
      <c r="H993" s="10"/>
      <c r="I993" s="9"/>
    </row>
    <row r="994" spans="1:9">
      <c r="A994" s="2"/>
      <c r="B994" s="2"/>
      <c r="C994" s="9"/>
      <c r="D994" s="8"/>
      <c r="E994" s="10"/>
      <c r="F994" s="10"/>
      <c r="G994" s="10"/>
      <c r="H994" s="10"/>
      <c r="I994" s="9"/>
    </row>
    <row r="995" spans="1:9">
      <c r="A995" s="2"/>
      <c r="B995" s="2"/>
      <c r="C995" s="9"/>
      <c r="D995" s="8"/>
      <c r="E995" s="10"/>
      <c r="F995" s="10"/>
      <c r="G995" s="10"/>
      <c r="H995" s="10"/>
      <c r="I995" s="9"/>
    </row>
    <row r="996" spans="1:9">
      <c r="A996" s="2"/>
      <c r="B996" s="2"/>
      <c r="C996" s="9"/>
      <c r="D996" s="8"/>
      <c r="E996" s="10"/>
      <c r="F996" s="10"/>
      <c r="G996" s="10"/>
      <c r="H996" s="10"/>
      <c r="I996" s="9"/>
    </row>
    <row r="997" spans="1:9">
      <c r="A997" s="2"/>
      <c r="B997" s="2"/>
      <c r="C997" s="9"/>
      <c r="D997" s="8"/>
      <c r="E997" s="10"/>
      <c r="F997" s="10"/>
      <c r="G997" s="10"/>
      <c r="H997" s="10"/>
      <c r="I997" s="9"/>
    </row>
    <row r="998" spans="1:9">
      <c r="A998" s="2"/>
      <c r="B998" s="2"/>
      <c r="C998" s="9"/>
      <c r="D998" s="8"/>
      <c r="E998" s="10"/>
      <c r="F998" s="10"/>
      <c r="G998" s="10"/>
      <c r="H998" s="10"/>
      <c r="I998" s="9"/>
    </row>
    <row r="999" spans="1:9">
      <c r="A999" s="2"/>
      <c r="B999" s="2"/>
      <c r="C999" s="9"/>
      <c r="D999" s="8"/>
      <c r="E999" s="10"/>
      <c r="F999" s="10"/>
      <c r="G999" s="10"/>
      <c r="H999" s="10"/>
      <c r="I999" s="9"/>
    </row>
    <row r="1000" spans="1:9">
      <c r="A1000" s="2"/>
      <c r="B1000" s="2"/>
      <c r="C1000" s="9"/>
      <c r="D1000" s="8"/>
      <c r="E1000" s="10"/>
      <c r="F1000" s="10"/>
      <c r="G1000" s="10"/>
      <c r="H1000" s="10"/>
      <c r="I1000" s="9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"/>
  <sheetViews>
    <sheetView workbookViewId="0">
      <selection activeCell="A22" sqref="A22:B22"/>
    </sheetView>
  </sheetViews>
  <sheetFormatPr defaultRowHeight="13.8"/>
  <cols>
    <col min="1" max="5" width="18" customWidth="1"/>
    <col min="6" max="6" width="22" customWidth="1"/>
  </cols>
  <sheetData>
    <row r="1" spans="1:6" ht="27.6">
      <c r="A1" s="1" t="s">
        <v>5</v>
      </c>
      <c r="B1" s="1" t="s">
        <v>6</v>
      </c>
      <c r="C1" s="1" t="s">
        <v>56</v>
      </c>
      <c r="D1" s="1" t="s">
        <v>57</v>
      </c>
      <c r="E1" s="1" t="s">
        <v>59</v>
      </c>
      <c r="F1" s="1" t="s">
        <v>60</v>
      </c>
    </row>
    <row r="2" spans="1:6">
      <c r="A2" s="2" t="s">
        <v>37</v>
      </c>
      <c r="B2" s="2" t="s">
        <v>14</v>
      </c>
      <c r="C2" s="4">
        <v>46253</v>
      </c>
      <c r="D2" s="2"/>
      <c r="E2" s="7"/>
      <c r="F2" s="11" t="str">
        <f>IF(E2="","",MAX(0,E2-SUMIFS($E:$E,$D:$D,A2)-SUMIFS(Sell_History!$E:$E,Sell_History!$A:$A,A2,Sell_History!$B:$B,B2)))</f>
        <v/>
      </c>
    </row>
    <row r="3" spans="1:6">
      <c r="A3" s="2" t="s">
        <v>38</v>
      </c>
      <c r="B3" s="2" t="s">
        <v>15</v>
      </c>
      <c r="C3" s="4">
        <v>46253</v>
      </c>
      <c r="D3" s="2"/>
      <c r="E3" s="7"/>
      <c r="F3" s="11" t="str">
        <f>IF(E3="","",MAX(0,E3-SUMIFS($E:$E,$D:$D,A3)-SUMIFS(Sell_History!$E:$E,Sell_History!$A:$A,A3,Sell_History!$B:$B,B3)))</f>
        <v/>
      </c>
    </row>
    <row r="4" spans="1:6">
      <c r="A4" s="2" t="s">
        <v>39</v>
      </c>
      <c r="B4" s="2" t="s">
        <v>16</v>
      </c>
      <c r="C4" s="4">
        <v>46253</v>
      </c>
      <c r="D4" s="2"/>
      <c r="E4" s="7"/>
      <c r="F4" s="11" t="str">
        <f>IF(E4="","",MAX(0,E4-SUMIFS($E:$E,$D:$D,A4)-SUMIFS(Sell_History!$E:$E,Sell_History!$A:$A,A4,Sell_History!$B:$B,B4)))</f>
        <v/>
      </c>
    </row>
    <row r="5" spans="1:6">
      <c r="A5" s="2" t="s">
        <v>40</v>
      </c>
      <c r="B5" s="2" t="s">
        <v>17</v>
      </c>
      <c r="C5" s="4">
        <v>46253</v>
      </c>
      <c r="D5" s="2"/>
      <c r="E5" s="7"/>
      <c r="F5" s="11" t="str">
        <f>IF(E5="","",MAX(0,E5-SUMIFS($E:$E,$D:$D,A5)-SUMIFS(Sell_History!$E:$E,Sell_History!$A:$A,A5,Sell_History!$B:$B,B5)))</f>
        <v/>
      </c>
    </row>
    <row r="6" spans="1:6">
      <c r="A6" s="2" t="s">
        <v>41</v>
      </c>
      <c r="B6" s="2" t="s">
        <v>18</v>
      </c>
      <c r="C6" s="4">
        <v>46245</v>
      </c>
      <c r="D6" s="2"/>
      <c r="E6" s="7"/>
      <c r="F6" s="11" t="str">
        <f>IF(E6="","",MAX(0,E6-SUMIFS($E:$E,$D:$D,A6)-SUMIFS(Sell_History!$E:$E,Sell_History!$A:$A,A6,Sell_History!$B:$B,B6)))</f>
        <v/>
      </c>
    </row>
    <row r="7" spans="1:6">
      <c r="A7" s="2" t="s">
        <v>42</v>
      </c>
      <c r="B7" s="2" t="s">
        <v>19</v>
      </c>
      <c r="C7" s="4">
        <v>46247</v>
      </c>
      <c r="D7" s="2"/>
      <c r="E7" s="7"/>
      <c r="F7" s="11" t="str">
        <f>IF(E7="","",MAX(0,E7-SUMIFS($E:$E,$D:$D,A7)-SUMIFS(Sell_History!$E:$E,Sell_History!$A:$A,A7,Sell_History!$B:$B,B7)))</f>
        <v/>
      </c>
    </row>
    <row r="8" spans="1:6">
      <c r="A8" s="2" t="s">
        <v>43</v>
      </c>
      <c r="B8" s="2" t="s">
        <v>20</v>
      </c>
      <c r="C8" s="4">
        <v>46248</v>
      </c>
      <c r="D8" s="2"/>
      <c r="E8" s="7"/>
      <c r="F8" s="11" t="str">
        <f>IF(E8="","",MAX(0,E8-SUMIFS($E:$E,$D:$D,A8)-SUMIFS(Sell_History!$E:$E,Sell_History!$A:$A,A8,Sell_History!$B:$B,B8)))</f>
        <v/>
      </c>
    </row>
    <row r="9" spans="1:6">
      <c r="A9" s="2" t="s">
        <v>44</v>
      </c>
      <c r="B9" s="2" t="s">
        <v>21</v>
      </c>
      <c r="C9" s="4">
        <v>46248</v>
      </c>
      <c r="D9" s="2"/>
      <c r="E9" s="7"/>
      <c r="F9" s="11" t="str">
        <f>IF(E9="","",MAX(0,E9-SUMIFS($E:$E,$D:$D,A9)-SUMIFS(Sell_History!$E:$E,Sell_History!$A:$A,A9,Sell_History!$B:$B,B9)))</f>
        <v/>
      </c>
    </row>
    <row r="10" spans="1:6">
      <c r="A10" s="2" t="s">
        <v>45</v>
      </c>
      <c r="B10" s="2" t="s">
        <v>22</v>
      </c>
      <c r="C10" s="4">
        <v>46251</v>
      </c>
      <c r="D10" s="2"/>
      <c r="E10" s="7"/>
      <c r="F10" s="11" t="str">
        <f>IF(E10="","",MAX(0,E10-SUMIFS($E:$E,$D:$D,A10)-SUMIFS(Sell_History!$E:$E,Sell_History!$A:$A,A10,Sell_History!$B:$B,B10)))</f>
        <v/>
      </c>
    </row>
    <row r="11" spans="1:6">
      <c r="A11" s="2" t="s">
        <v>46</v>
      </c>
      <c r="B11" s="2" t="s">
        <v>23</v>
      </c>
      <c r="C11" s="4">
        <v>46256</v>
      </c>
      <c r="D11" s="2"/>
      <c r="E11" s="7"/>
      <c r="F11" s="11" t="str">
        <f>IF(E11="","",MAX(0,E11-SUMIFS($E:$E,$D:$D,A11)-SUMIFS(Sell_History!$E:$E,Sell_History!$A:$A,A11,Sell_History!$B:$B,B11)))</f>
        <v/>
      </c>
    </row>
    <row r="12" spans="1:6">
      <c r="A12" s="2" t="s">
        <v>51</v>
      </c>
      <c r="B12" s="2" t="s">
        <v>28</v>
      </c>
      <c r="C12" s="4">
        <v>46257</v>
      </c>
      <c r="D12" s="2"/>
      <c r="E12" s="7"/>
      <c r="F12" s="11" t="str">
        <f>IF(E12="","",MAX(0,E12-SUMIFS($E:$E,$D:$D,A12)-SUMIFS(Sell_History!$E:$E,Sell_History!$A:$A,A12,Sell_History!$B:$B,B12)))</f>
        <v/>
      </c>
    </row>
    <row r="13" spans="1:6">
      <c r="A13" s="2" t="s">
        <v>52</v>
      </c>
      <c r="B13" s="2" t="s">
        <v>29</v>
      </c>
      <c r="C13" s="4">
        <v>46257</v>
      </c>
      <c r="D13" s="2"/>
      <c r="E13" s="7"/>
      <c r="F13" s="11" t="str">
        <f>IF(E13="","",MAX(0,E13-SUMIFS($E:$E,$D:$D,A13)-SUMIFS(Sell_History!$E:$E,Sell_History!$A:$A,A13,Sell_History!$B:$B,B13)))</f>
        <v/>
      </c>
    </row>
    <row r="14" spans="1:6">
      <c r="A14" s="2" t="s">
        <v>53</v>
      </c>
      <c r="B14" s="2" t="s">
        <v>30</v>
      </c>
      <c r="C14" s="4">
        <v>46257</v>
      </c>
      <c r="D14" s="2"/>
      <c r="E14" s="7"/>
      <c r="F14" s="11" t="str">
        <f>IF(E14="","",MAX(0,E14-SUMIFS($E:$E,$D:$D,A14)-SUMIFS(Sell_History!$E:$E,Sell_History!$A:$A,A14,Sell_History!$B:$B,B14)))</f>
        <v/>
      </c>
    </row>
    <row r="15" spans="1:6">
      <c r="A15" s="2" t="s">
        <v>54</v>
      </c>
      <c r="B15" s="2" t="s">
        <v>31</v>
      </c>
      <c r="C15" s="4">
        <v>46258</v>
      </c>
      <c r="D15" s="2"/>
      <c r="E15" s="7"/>
      <c r="F15" s="11" t="str">
        <f>IF(E15="","",MAX(0,E15-SUMIFS($E:$E,$D:$D,A15)-SUMIFS(Sell_History!$E:$E,Sell_History!$A:$A,A15,Sell_History!$B:$B,B15)))</f>
        <v/>
      </c>
    </row>
    <row r="16" spans="1:6">
      <c r="A16" s="2" t="s">
        <v>55</v>
      </c>
      <c r="B16" s="2" t="s">
        <v>32</v>
      </c>
      <c r="C16" s="4">
        <v>46262</v>
      </c>
      <c r="D16" s="2"/>
      <c r="E16" s="7">
        <v>45000000</v>
      </c>
      <c r="F16" s="11">
        <f>IF(E16="","",MAX(0,E16-SUMIFS($E:$E,$D:$D,A16)-SUMIFS(Sell_History!$E:$E,Sell_History!$A:$A,A16,Sell_History!$B:$B,B16)))</f>
        <v>0</v>
      </c>
    </row>
    <row r="17" spans="1:6">
      <c r="A17" s="2" t="s">
        <v>100</v>
      </c>
      <c r="B17" s="2" t="s">
        <v>32</v>
      </c>
      <c r="C17" s="4">
        <v>46269</v>
      </c>
      <c r="D17" s="2" t="s">
        <v>55</v>
      </c>
      <c r="E17" s="7">
        <v>22000000</v>
      </c>
      <c r="F17" s="11">
        <f>IF(E17="","",MAX(0,E17-SUMIFS($E:$E,$D:$D,A17)-SUMIFS(Sell_History!$E:$E,Sell_History!$A:$A,A17,Sell_History!$B:$B,B17)))</f>
        <v>0</v>
      </c>
    </row>
    <row r="18" spans="1:6">
      <c r="A18" s="2" t="s">
        <v>101</v>
      </c>
      <c r="B18" s="2" t="s">
        <v>32</v>
      </c>
      <c r="C18" s="4">
        <v>46271</v>
      </c>
      <c r="D18" s="2" t="s">
        <v>55</v>
      </c>
      <c r="E18" s="7">
        <v>23000000</v>
      </c>
      <c r="F18" s="11">
        <f>IF(E18="","",MAX(0,E18-SUMIFS($E:$E,$D:$D,A18)-SUMIFS(Sell_History!$E:$E,Sell_History!$A:$A,A18,Sell_History!$B:$B,B18)))</f>
        <v>0</v>
      </c>
    </row>
    <row r="19" spans="1:6">
      <c r="A19" s="2" t="s">
        <v>96</v>
      </c>
      <c r="B19" s="2" t="s">
        <v>102</v>
      </c>
      <c r="C19" s="4">
        <v>46280</v>
      </c>
      <c r="D19" s="2"/>
      <c r="E19" s="7"/>
      <c r="F19" s="11" t="str">
        <f>IF(E19="","",MAX(0,E19-SUMIFS($E:$E,$D:$D,A19)-SUMIFS(Sell_History!$E:$E,Sell_History!$A:$A,A19,Sell_History!$B:$B,B19)))</f>
        <v/>
      </c>
    </row>
    <row r="20" spans="1:6">
      <c r="A20" s="2" t="s">
        <v>97</v>
      </c>
      <c r="B20" s="2" t="s">
        <v>103</v>
      </c>
      <c r="C20" s="4">
        <v>46280</v>
      </c>
      <c r="D20" s="2"/>
      <c r="E20" s="7"/>
      <c r="F20" s="11" t="str">
        <f>IF(E20="","",MAX(0,E20-SUMIFS($E:$E,$D:$D,A20)-SUMIFS(Sell_History!$E:$E,Sell_History!$A:$A,A20,Sell_History!$B:$B,B20)))</f>
        <v/>
      </c>
    </row>
    <row r="21" spans="1:6">
      <c r="A21" s="2" t="s">
        <v>108</v>
      </c>
      <c r="B21" s="2" t="s">
        <v>107</v>
      </c>
      <c r="C21" s="4">
        <v>46282</v>
      </c>
      <c r="D21" s="2"/>
      <c r="E21" s="7"/>
      <c r="F21" s="11" t="str">
        <f>IF(E21="","",MAX(0,E21-SUMIFS($E:$E,$D:$D,A21)-SUMIFS(Sell_History!$E:$E,Sell_History!$A:$A,A21,Sell_History!$B:$B,B21)))</f>
        <v/>
      </c>
    </row>
    <row r="22" spans="1:6">
      <c r="A22" s="2" t="s">
        <v>125</v>
      </c>
      <c r="B22" s="2" t="s">
        <v>116</v>
      </c>
      <c r="C22" s="4">
        <v>46307</v>
      </c>
      <c r="D22" s="2"/>
      <c r="E22" s="7"/>
      <c r="F22" s="11" t="str">
        <f>IF(E22="","",MAX(0,E22-SUMIFS($E:$E,$D:$D,A22)-SUMIFS(Sell_History!$E:$E,Sell_History!$A:$A,A22,Sell_History!$B:$B,B22)))</f>
        <v/>
      </c>
    </row>
    <row r="23" spans="1:6">
      <c r="A23" s="2"/>
      <c r="B23" s="2"/>
      <c r="C23" s="4"/>
      <c r="D23" s="2"/>
      <c r="E23" s="7"/>
      <c r="F23" s="11" t="str">
        <f>IF(E23="","",MAX(0,E23-SUMIFS($E:$E,$D:$D,A23)-SUMIFS(Sell_History!$E:$E,Sell_History!$A:$A,A23,Sell_History!$B:$B,B23)))</f>
        <v/>
      </c>
    </row>
    <row r="24" spans="1:6">
      <c r="A24" s="2"/>
      <c r="B24" s="2"/>
      <c r="C24" s="4"/>
      <c r="D24" s="2"/>
      <c r="E24" s="7"/>
      <c r="F24" s="11" t="str">
        <f>IF(E24="","",MAX(0,E24-SUMIFS($E:$E,$D:$D,A24)-SUMIFS(Sell_History!$E:$E,Sell_History!$A:$A,A24,Sell_History!$B:$B,B24)))</f>
        <v/>
      </c>
    </row>
    <row r="25" spans="1:6">
      <c r="A25" s="2"/>
      <c r="B25" s="2"/>
      <c r="C25" s="4"/>
      <c r="D25" s="2"/>
      <c r="E25" s="7"/>
      <c r="F25" s="11" t="str">
        <f>IF(E25="","",MAX(0,E25-SUMIFS($E:$E,$D:$D,A25)-SUMIFS(Sell_History!$E:$E,Sell_History!$A:$A,A25,Sell_History!$B:$B,B25)))</f>
        <v/>
      </c>
    </row>
    <row r="26" spans="1:6">
      <c r="A26" s="2"/>
      <c r="B26" s="2"/>
      <c r="C26" s="4"/>
      <c r="D26" s="2"/>
      <c r="E26" s="7"/>
      <c r="F26" s="11" t="str">
        <f>IF(E26="","",MAX(0,E26-SUMIFS($E:$E,$D:$D,A26)-SUMIFS(Sell_History!$E:$E,Sell_History!$A:$A,A26,Sell_History!$B:$B,B26)))</f>
        <v/>
      </c>
    </row>
    <row r="27" spans="1:6">
      <c r="A27" s="2"/>
      <c r="B27" s="2"/>
      <c r="C27" s="4"/>
      <c r="D27" s="2"/>
      <c r="E27" s="7"/>
      <c r="F27" s="11" t="str">
        <f>IF(E27="","",MAX(0,E27-SUMIFS($E:$E,$D:$D,A27)-SUMIFS(Sell_History!$E:$E,Sell_History!$A:$A,A27,Sell_History!$B:$B,B27)))</f>
        <v/>
      </c>
    </row>
    <row r="28" spans="1:6">
      <c r="A28" s="2"/>
      <c r="B28" s="2"/>
      <c r="C28" s="4"/>
      <c r="D28" s="2"/>
      <c r="E28" s="7"/>
      <c r="F28" s="11" t="str">
        <f>IF(E28="","",MAX(0,E28-SUMIFS($E:$E,$D:$D,A28)-SUMIFS(Sell_History!$E:$E,Sell_History!$A:$A,A28,Sell_History!$B:$B,B28)))</f>
        <v/>
      </c>
    </row>
    <row r="29" spans="1:6">
      <c r="A29" s="2"/>
      <c r="B29" s="2"/>
      <c r="C29" s="4"/>
      <c r="D29" s="2"/>
      <c r="E29" s="7"/>
      <c r="F29" s="11" t="str">
        <f>IF(E29="","",MAX(0,E29-SUMIFS($E:$E,$D:$D,A29)-SUMIFS(Sell_History!$E:$E,Sell_History!$A:$A,A29,Sell_History!$B:$B,B29)))</f>
        <v/>
      </c>
    </row>
    <row r="30" spans="1:6">
      <c r="A30" s="2"/>
      <c r="B30" s="2"/>
      <c r="C30" s="4"/>
      <c r="D30" s="2"/>
      <c r="E30" s="7"/>
      <c r="F30" s="11" t="str">
        <f>IF(E30="","",MAX(0,E30-SUMIFS($E:$E,$D:$D,A30)-SUMIFS(Sell_History!$E:$E,Sell_History!$A:$A,A30,Sell_History!$B:$B,B30)))</f>
        <v/>
      </c>
    </row>
    <row r="31" spans="1:6">
      <c r="A31" s="2"/>
      <c r="B31" s="2"/>
      <c r="C31" s="4"/>
      <c r="D31" s="2"/>
      <c r="E31" s="7"/>
      <c r="F31" s="11" t="str">
        <f>IF(E31="","",MAX(0,E31-SUMIFS($E:$E,$D:$D,A31)-SUMIFS(Sell_History!$E:$E,Sell_History!$A:$A,A31,Sell_History!$B:$B,B31)))</f>
        <v/>
      </c>
    </row>
    <row r="32" spans="1:6">
      <c r="A32" s="2"/>
      <c r="B32" s="2"/>
      <c r="C32" s="4"/>
      <c r="D32" s="2"/>
      <c r="E32" s="7"/>
      <c r="F32" s="11" t="str">
        <f>IF(E32="","",MAX(0,E32-SUMIFS($E:$E,$D:$D,A32)-SUMIFS(Sell_History!$E:$E,Sell_History!$A:$A,A32,Sell_History!$B:$B,B32)))</f>
        <v/>
      </c>
    </row>
    <row r="33" spans="1:6">
      <c r="A33" s="2"/>
      <c r="B33" s="2"/>
      <c r="C33" s="4"/>
      <c r="D33" s="2"/>
      <c r="E33" s="7"/>
      <c r="F33" s="11" t="str">
        <f>IF(E33="","",MAX(0,E33-SUMIFS($E:$E,$D:$D,A33)-SUMIFS(Sell_History!$E:$E,Sell_History!$A:$A,A33,Sell_History!$B:$B,B33)))</f>
        <v/>
      </c>
    </row>
    <row r="34" spans="1:6">
      <c r="A34" s="2"/>
      <c r="B34" s="2"/>
      <c r="C34" s="4"/>
      <c r="D34" s="2"/>
      <c r="E34" s="7"/>
      <c r="F34" s="11" t="str">
        <f>IF(E34="","",MAX(0,E34-SUMIFS($E:$E,$D:$D,A34)-SUMIFS(Sell_History!$E:$E,Sell_History!$A:$A,A34,Sell_History!$B:$B,B34)))</f>
        <v/>
      </c>
    </row>
    <row r="35" spans="1:6">
      <c r="A35" s="2"/>
      <c r="B35" s="2"/>
      <c r="C35" s="4"/>
      <c r="D35" s="2"/>
      <c r="E35" s="7"/>
      <c r="F35" s="11" t="str">
        <f>IF(E35="","",MAX(0,E35-SUMIFS($E:$E,$D:$D,A35)-SUMIFS(Sell_History!$E:$E,Sell_History!$A:$A,A35,Sell_History!$B:$B,B35)))</f>
        <v/>
      </c>
    </row>
    <row r="36" spans="1:6">
      <c r="A36" s="2"/>
      <c r="B36" s="2"/>
      <c r="C36" s="4"/>
      <c r="D36" s="2"/>
      <c r="E36" s="7"/>
      <c r="F36" s="11" t="str">
        <f>IF(E36="","",MAX(0,E36-SUMIFS($E:$E,$D:$D,A36)-SUMIFS(Sell_History!$E:$E,Sell_History!$A:$A,A36,Sell_History!$B:$B,B36)))</f>
        <v/>
      </c>
    </row>
    <row r="37" spans="1:6">
      <c r="A37" s="2"/>
      <c r="B37" s="2"/>
      <c r="C37" s="4"/>
      <c r="D37" s="2"/>
      <c r="E37" s="7"/>
      <c r="F37" s="11" t="str">
        <f>IF(E37="","",MAX(0,E37-SUMIFS($E:$E,$D:$D,A37)-SUMIFS(Sell_History!$E:$E,Sell_History!$A:$A,A37,Sell_History!$B:$B,B37)))</f>
        <v/>
      </c>
    </row>
    <row r="38" spans="1:6">
      <c r="A38" s="2"/>
      <c r="B38" s="2"/>
      <c r="C38" s="4"/>
      <c r="D38" s="2"/>
      <c r="E38" s="7"/>
      <c r="F38" s="11" t="str">
        <f>IF(E38="","",MAX(0,E38-SUMIFS($E:$E,$D:$D,A38)-SUMIFS(Sell_History!$E:$E,Sell_History!$A:$A,A38,Sell_History!$B:$B,B38)))</f>
        <v/>
      </c>
    </row>
    <row r="39" spans="1:6">
      <c r="A39" s="2"/>
      <c r="B39" s="2"/>
      <c r="C39" s="4"/>
      <c r="D39" s="2"/>
      <c r="E39" s="7"/>
      <c r="F39" s="11" t="str">
        <f>IF(E39="","",MAX(0,E39-SUMIFS($E:$E,$D:$D,A39)-SUMIFS(Sell_History!$E:$E,Sell_History!$A:$A,A39,Sell_History!$B:$B,B39)))</f>
        <v/>
      </c>
    </row>
    <row r="40" spans="1:6">
      <c r="A40" s="2"/>
      <c r="B40" s="2"/>
      <c r="C40" s="4"/>
      <c r="D40" s="2"/>
      <c r="E40" s="7"/>
      <c r="F40" s="11" t="str">
        <f>IF(E40="","",MAX(0,E40-SUMIFS($E:$E,$D:$D,A40)-SUMIFS(Sell_History!$E:$E,Sell_History!$A:$A,A40,Sell_History!$B:$B,B40)))</f>
        <v/>
      </c>
    </row>
    <row r="41" spans="1:6">
      <c r="A41" s="2"/>
      <c r="B41" s="2"/>
      <c r="C41" s="4"/>
      <c r="D41" s="2"/>
      <c r="E41" s="7"/>
      <c r="F41" s="11" t="str">
        <f>IF(E41="","",MAX(0,E41-SUMIFS($E:$E,$D:$D,A41)-SUMIFS(Sell_History!$E:$E,Sell_History!$A:$A,A41,Sell_History!$B:$B,B41)))</f>
        <v/>
      </c>
    </row>
    <row r="42" spans="1:6">
      <c r="A42" s="2"/>
      <c r="B42" s="2"/>
      <c r="C42" s="4"/>
      <c r="D42" s="2"/>
      <c r="E42" s="7"/>
      <c r="F42" s="11" t="str">
        <f>IF(E42="","",MAX(0,E42-SUMIFS($E:$E,$D:$D,A42)-SUMIFS(Sell_History!$E:$E,Sell_History!$A:$A,A42,Sell_History!$B:$B,B42)))</f>
        <v/>
      </c>
    </row>
    <row r="43" spans="1:6">
      <c r="A43" s="2"/>
      <c r="B43" s="2"/>
      <c r="C43" s="4"/>
      <c r="D43" s="2"/>
      <c r="E43" s="7"/>
      <c r="F43" s="11" t="str">
        <f>IF(E43="","",MAX(0,E43-SUMIFS($E:$E,$D:$D,A43)-SUMIFS(Sell_History!$E:$E,Sell_History!$A:$A,A43,Sell_History!$B:$B,B43)))</f>
        <v/>
      </c>
    </row>
    <row r="44" spans="1:6">
      <c r="A44" s="2"/>
      <c r="B44" s="2"/>
      <c r="C44" s="4"/>
      <c r="D44" s="2"/>
      <c r="E44" s="7"/>
      <c r="F44" s="11" t="str">
        <f>IF(E44="","",MAX(0,E44-SUMIFS($E:$E,$D:$D,A44)-SUMIFS(Sell_History!$E:$E,Sell_History!$A:$A,A44,Sell_History!$B:$B,B44)))</f>
        <v/>
      </c>
    </row>
    <row r="45" spans="1:6">
      <c r="A45" s="2"/>
      <c r="B45" s="2"/>
      <c r="C45" s="4"/>
      <c r="D45" s="2"/>
      <c r="E45" s="7"/>
      <c r="F45" s="11" t="str">
        <f>IF(E45="","",MAX(0,E45-SUMIFS($E:$E,$D:$D,A45)-SUMIFS(Sell_History!$E:$E,Sell_History!$A:$A,A45,Sell_History!$B:$B,B45)))</f>
        <v/>
      </c>
    </row>
    <row r="46" spans="1:6">
      <c r="A46" s="2"/>
      <c r="B46" s="2"/>
      <c r="C46" s="4"/>
      <c r="D46" s="2"/>
      <c r="E46" s="7"/>
      <c r="F46" s="11" t="str">
        <f>IF(E46="","",MAX(0,E46-SUMIFS($E:$E,$D:$D,A46)-SUMIFS(Sell_History!$E:$E,Sell_History!$A:$A,A46,Sell_History!$B:$B,B46)))</f>
        <v/>
      </c>
    </row>
    <row r="47" spans="1:6">
      <c r="A47" s="2"/>
      <c r="B47" s="2"/>
      <c r="C47" s="4"/>
      <c r="D47" s="2"/>
      <c r="E47" s="7"/>
      <c r="F47" s="11" t="str">
        <f>IF(E47="","",MAX(0,E47-SUMIFS($E:$E,$D:$D,A47)-SUMIFS(Sell_History!$E:$E,Sell_History!$A:$A,A47,Sell_History!$B:$B,B47)))</f>
        <v/>
      </c>
    </row>
    <row r="48" spans="1:6">
      <c r="A48" s="2"/>
      <c r="B48" s="2"/>
      <c r="C48" s="4"/>
      <c r="D48" s="2"/>
      <c r="E48" s="7"/>
      <c r="F48" s="11" t="str">
        <f>IF(E48="","",MAX(0,E48-SUMIFS($E:$E,$D:$D,A48)-SUMIFS(Sell_History!$E:$E,Sell_History!$A:$A,A48,Sell_History!$B:$B,B48)))</f>
        <v/>
      </c>
    </row>
    <row r="49" spans="1:6">
      <c r="A49" s="2"/>
      <c r="B49" s="2"/>
      <c r="C49" s="4"/>
      <c r="D49" s="2"/>
      <c r="E49" s="7"/>
      <c r="F49" s="11" t="str">
        <f>IF(E49="","",MAX(0,E49-SUMIFS($E:$E,$D:$D,A49)-SUMIFS(Sell_History!$E:$E,Sell_History!$A:$A,A49,Sell_History!$B:$B,B49)))</f>
        <v/>
      </c>
    </row>
    <row r="50" spans="1:6">
      <c r="A50" s="2"/>
      <c r="B50" s="2"/>
      <c r="C50" s="4"/>
      <c r="D50" s="2"/>
      <c r="E50" s="7"/>
      <c r="F50" s="11" t="str">
        <f>IF(E50="","",MAX(0,E50-SUMIFS($E:$E,$D:$D,A50)-SUMIFS(Sell_History!$E:$E,Sell_History!$A:$A,A50,Sell_History!$B:$B,B50)))</f>
        <v/>
      </c>
    </row>
    <row r="51" spans="1:6">
      <c r="A51" s="2"/>
      <c r="B51" s="2"/>
      <c r="C51" s="4"/>
      <c r="D51" s="2"/>
      <c r="E51" s="7"/>
      <c r="F51" s="11" t="str">
        <f>IF(E51="","",MAX(0,E51-SUMIFS($E:$E,$D:$D,A51)-SUMIFS(Sell_History!$E:$E,Sell_History!$A:$A,A51,Sell_History!$B:$B,B51)))</f>
        <v/>
      </c>
    </row>
    <row r="52" spans="1:6">
      <c r="A52" s="2"/>
      <c r="B52" s="2"/>
      <c r="C52" s="4"/>
      <c r="D52" s="2"/>
      <c r="E52" s="7"/>
      <c r="F52" s="11" t="str">
        <f>IF(E52="","",MAX(0,E52-SUMIFS($E:$E,$D:$D,A52)-SUMIFS(Sell_History!$E:$E,Sell_History!$A:$A,A52,Sell_History!$B:$B,B52)))</f>
        <v/>
      </c>
    </row>
    <row r="53" spans="1:6">
      <c r="A53" s="2"/>
      <c r="B53" s="2"/>
      <c r="C53" s="4"/>
      <c r="D53" s="2"/>
      <c r="E53" s="7"/>
      <c r="F53" s="11" t="str">
        <f>IF(E53="","",MAX(0,E53-SUMIFS($E:$E,$D:$D,A53)-SUMIFS(Sell_History!$E:$E,Sell_History!$A:$A,A53,Sell_History!$B:$B,B53)))</f>
        <v/>
      </c>
    </row>
    <row r="54" spans="1:6">
      <c r="A54" s="2"/>
      <c r="B54" s="2"/>
      <c r="C54" s="4"/>
      <c r="D54" s="2"/>
      <c r="E54" s="7"/>
      <c r="F54" s="11" t="str">
        <f>IF(E54="","",MAX(0,E54-SUMIFS($E:$E,$D:$D,A54)-SUMIFS(Sell_History!$E:$E,Sell_History!$A:$A,A54,Sell_History!$B:$B,B54)))</f>
        <v/>
      </c>
    </row>
    <row r="55" spans="1:6">
      <c r="A55" s="2"/>
      <c r="B55" s="2"/>
      <c r="C55" s="4"/>
      <c r="D55" s="2"/>
      <c r="E55" s="7"/>
      <c r="F55" s="11" t="str">
        <f>IF(E55="","",MAX(0,E55-SUMIFS($E:$E,$D:$D,A55)-SUMIFS(Sell_History!$E:$E,Sell_History!$A:$A,A55,Sell_History!$B:$B,B55)))</f>
        <v/>
      </c>
    </row>
    <row r="56" spans="1:6">
      <c r="A56" s="2"/>
      <c r="B56" s="2"/>
      <c r="C56" s="4"/>
      <c r="D56" s="2"/>
      <c r="E56" s="7"/>
      <c r="F56" s="11" t="str">
        <f>IF(E56="","",MAX(0,E56-SUMIFS($E:$E,$D:$D,A56)-SUMIFS(Sell_History!$E:$E,Sell_History!$A:$A,A56,Sell_History!$B:$B,B56)))</f>
        <v/>
      </c>
    </row>
    <row r="57" spans="1:6">
      <c r="A57" s="2"/>
      <c r="B57" s="2"/>
      <c r="C57" s="4"/>
      <c r="D57" s="2"/>
      <c r="E57" s="7"/>
      <c r="F57" s="11" t="str">
        <f>IF(E57="","",MAX(0,E57-SUMIFS($E:$E,$D:$D,A57)-SUMIFS(Sell_History!$E:$E,Sell_History!$A:$A,A57,Sell_History!$B:$B,B57)))</f>
        <v/>
      </c>
    </row>
    <row r="58" spans="1:6">
      <c r="A58" s="2"/>
      <c r="B58" s="2"/>
      <c r="C58" s="4"/>
      <c r="D58" s="2"/>
      <c r="E58" s="7"/>
      <c r="F58" s="11" t="str">
        <f>IF(E58="","",MAX(0,E58-SUMIFS($E:$E,$D:$D,A58)-SUMIFS(Sell_History!$E:$E,Sell_History!$A:$A,A58,Sell_History!$B:$B,B58)))</f>
        <v/>
      </c>
    </row>
    <row r="59" spans="1:6">
      <c r="A59" s="2"/>
      <c r="B59" s="2"/>
      <c r="C59" s="4"/>
      <c r="D59" s="2"/>
      <c r="E59" s="7"/>
      <c r="F59" s="11" t="str">
        <f>IF(E59="","",MAX(0,E59-SUMIFS($E:$E,$D:$D,A59)-SUMIFS(Sell_History!$E:$E,Sell_History!$A:$A,A59,Sell_History!$B:$B,B59)))</f>
        <v/>
      </c>
    </row>
    <row r="60" spans="1:6">
      <c r="A60" s="2"/>
      <c r="B60" s="2"/>
      <c r="C60" s="4"/>
      <c r="D60" s="2"/>
      <c r="E60" s="7"/>
      <c r="F60" s="11" t="str">
        <f>IF(E60="","",MAX(0,E60-SUMIFS($E:$E,$D:$D,A60)-SUMIFS(Sell_History!$E:$E,Sell_History!$A:$A,A60,Sell_History!$B:$B,B60)))</f>
        <v/>
      </c>
    </row>
    <row r="61" spans="1:6">
      <c r="A61" s="2"/>
      <c r="B61" s="2"/>
      <c r="C61" s="4"/>
      <c r="D61" s="2"/>
      <c r="E61" s="7"/>
      <c r="F61" s="11" t="str">
        <f>IF(E61="","",MAX(0,E61-SUMIFS($E:$E,$D:$D,A61)-SUMIFS(Sell_History!$E:$E,Sell_History!$A:$A,A61,Sell_History!$B:$B,B61)))</f>
        <v/>
      </c>
    </row>
    <row r="62" spans="1:6">
      <c r="A62" s="2"/>
      <c r="B62" s="2"/>
      <c r="C62" s="4"/>
      <c r="D62" s="2"/>
      <c r="E62" s="7"/>
      <c r="F62" s="11" t="str">
        <f>IF(E62="","",MAX(0,E62-SUMIFS($E:$E,$D:$D,A62)-SUMIFS(Sell_History!$E:$E,Sell_History!$A:$A,A62,Sell_History!$B:$B,B62)))</f>
        <v/>
      </c>
    </row>
    <row r="63" spans="1:6">
      <c r="A63" s="2"/>
      <c r="B63" s="2"/>
      <c r="C63" s="4"/>
      <c r="D63" s="2"/>
      <c r="E63" s="7"/>
      <c r="F63" s="11" t="str">
        <f>IF(E63="","",MAX(0,E63-SUMIFS($E:$E,$D:$D,A63)-SUMIFS(Sell_History!$E:$E,Sell_History!$A:$A,A63,Sell_History!$B:$B,B63)))</f>
        <v/>
      </c>
    </row>
    <row r="64" spans="1:6">
      <c r="A64" s="2"/>
      <c r="B64" s="2"/>
      <c r="C64" s="4"/>
      <c r="D64" s="2"/>
      <c r="E64" s="7"/>
      <c r="F64" s="11" t="str">
        <f>IF(E64="","",MAX(0,E64-SUMIFS($E:$E,$D:$D,A64)-SUMIFS(Sell_History!$E:$E,Sell_History!$A:$A,A64,Sell_History!$B:$B,B64)))</f>
        <v/>
      </c>
    </row>
    <row r="65" spans="1:6">
      <c r="A65" s="2"/>
      <c r="B65" s="2"/>
      <c r="C65" s="4"/>
      <c r="D65" s="2"/>
      <c r="E65" s="7"/>
      <c r="F65" s="11" t="str">
        <f>IF(E65="","",MAX(0,E65-SUMIFS($E:$E,$D:$D,A65)-SUMIFS(Sell_History!$E:$E,Sell_History!$A:$A,A65,Sell_History!$B:$B,B65)))</f>
        <v/>
      </c>
    </row>
    <row r="66" spans="1:6">
      <c r="A66" s="2"/>
      <c r="B66" s="2"/>
      <c r="C66" s="4"/>
      <c r="D66" s="2"/>
      <c r="E66" s="7"/>
      <c r="F66" s="11" t="str">
        <f>IF(E66="","",MAX(0,E66-SUMIFS($E:$E,$D:$D,A66)-SUMIFS(Sell_History!$E:$E,Sell_History!$A:$A,A66,Sell_History!$B:$B,B66)))</f>
        <v/>
      </c>
    </row>
    <row r="67" spans="1:6">
      <c r="A67" s="2"/>
      <c r="B67" s="2"/>
      <c r="C67" s="4"/>
      <c r="D67" s="2"/>
      <c r="E67" s="7"/>
      <c r="F67" s="11" t="str">
        <f>IF(E67="","",MAX(0,E67-SUMIFS($E:$E,$D:$D,A67)-SUMIFS(Sell_History!$E:$E,Sell_History!$A:$A,A67,Sell_History!$B:$B,B67)))</f>
        <v/>
      </c>
    </row>
    <row r="68" spans="1:6">
      <c r="A68" s="2"/>
      <c r="B68" s="2"/>
      <c r="C68" s="4"/>
      <c r="D68" s="2"/>
      <c r="E68" s="7"/>
      <c r="F68" s="11" t="str">
        <f>IF(E68="","",MAX(0,E68-SUMIFS($E:$E,$D:$D,A68)-SUMIFS(Sell_History!$E:$E,Sell_History!$A:$A,A68,Sell_History!$B:$B,B68)))</f>
        <v/>
      </c>
    </row>
    <row r="69" spans="1:6">
      <c r="A69" s="2"/>
      <c r="B69" s="2"/>
      <c r="C69" s="4"/>
      <c r="D69" s="2"/>
      <c r="E69" s="7"/>
      <c r="F69" s="11" t="str">
        <f>IF(E69="","",MAX(0,E69-SUMIFS($E:$E,$D:$D,A69)-SUMIFS(Sell_History!$E:$E,Sell_History!$A:$A,A69,Sell_History!$B:$B,B69)))</f>
        <v/>
      </c>
    </row>
    <row r="70" spans="1:6">
      <c r="A70" s="2"/>
      <c r="B70" s="2"/>
      <c r="C70" s="4"/>
      <c r="D70" s="2"/>
      <c r="E70" s="7"/>
      <c r="F70" s="11" t="str">
        <f>IF(E70="","",MAX(0,E70-SUMIFS($E:$E,$D:$D,A70)-SUMIFS(Sell_History!$E:$E,Sell_History!$A:$A,A70,Sell_History!$B:$B,B70)))</f>
        <v/>
      </c>
    </row>
    <row r="71" spans="1:6">
      <c r="A71" s="2"/>
      <c r="B71" s="2"/>
      <c r="C71" s="4"/>
      <c r="D71" s="2"/>
      <c r="E71" s="7"/>
      <c r="F71" s="11" t="str">
        <f>IF(E71="","",MAX(0,E71-SUMIFS($E:$E,$D:$D,A71)-SUMIFS(Sell_History!$E:$E,Sell_History!$A:$A,A71,Sell_History!$B:$B,B71)))</f>
        <v/>
      </c>
    </row>
    <row r="72" spans="1:6">
      <c r="A72" s="2"/>
      <c r="B72" s="2"/>
      <c r="C72" s="4"/>
      <c r="D72" s="2"/>
      <c r="E72" s="7"/>
      <c r="F72" s="11" t="str">
        <f>IF(E72="","",MAX(0,E72-SUMIFS($E:$E,$D:$D,A72)-SUMIFS(Sell_History!$E:$E,Sell_History!$A:$A,A72,Sell_History!$B:$B,B72)))</f>
        <v/>
      </c>
    </row>
    <row r="73" spans="1:6">
      <c r="A73" s="2"/>
      <c r="B73" s="2"/>
      <c r="C73" s="4"/>
      <c r="D73" s="2"/>
      <c r="E73" s="7"/>
      <c r="F73" s="11" t="str">
        <f>IF(E73="","",MAX(0,E73-SUMIFS($E:$E,$D:$D,A73)-SUMIFS(Sell_History!$E:$E,Sell_History!$A:$A,A73,Sell_History!$B:$B,B73)))</f>
        <v/>
      </c>
    </row>
    <row r="74" spans="1:6">
      <c r="A74" s="2"/>
      <c r="B74" s="2"/>
      <c r="C74" s="4"/>
      <c r="D74" s="2"/>
      <c r="E74" s="7"/>
      <c r="F74" s="11" t="str">
        <f>IF(E74="","",MAX(0,E74-SUMIFS($E:$E,$D:$D,A74)-SUMIFS(Sell_History!$E:$E,Sell_History!$A:$A,A74,Sell_History!$B:$B,B74)))</f>
        <v/>
      </c>
    </row>
    <row r="75" spans="1:6">
      <c r="A75" s="2"/>
      <c r="B75" s="2"/>
      <c r="C75" s="4"/>
      <c r="D75" s="2"/>
      <c r="E75" s="7"/>
      <c r="F75" s="11" t="str">
        <f>IF(E75="","",MAX(0,E75-SUMIFS($E:$E,$D:$D,A75)-SUMIFS(Sell_History!$E:$E,Sell_History!$A:$A,A75,Sell_History!$B:$B,B75)))</f>
        <v/>
      </c>
    </row>
    <row r="76" spans="1:6">
      <c r="A76" s="2"/>
      <c r="B76" s="2"/>
      <c r="C76" s="4"/>
      <c r="D76" s="2"/>
      <c r="E76" s="7"/>
      <c r="F76" s="11" t="str">
        <f>IF(E76="","",MAX(0,E76-SUMIFS($E:$E,$D:$D,A76)-SUMIFS(Sell_History!$E:$E,Sell_History!$A:$A,A76,Sell_History!$B:$B,B76)))</f>
        <v/>
      </c>
    </row>
    <row r="77" spans="1:6">
      <c r="A77" s="2"/>
      <c r="B77" s="2"/>
      <c r="C77" s="4"/>
      <c r="D77" s="2"/>
      <c r="E77" s="7"/>
      <c r="F77" s="11" t="str">
        <f>IF(E77="","",MAX(0,E77-SUMIFS($E:$E,$D:$D,A77)-SUMIFS(Sell_History!$E:$E,Sell_History!$A:$A,A77,Sell_History!$B:$B,B77)))</f>
        <v/>
      </c>
    </row>
    <row r="78" spans="1:6">
      <c r="A78" s="2"/>
      <c r="B78" s="2"/>
      <c r="C78" s="4"/>
      <c r="D78" s="2"/>
      <c r="E78" s="7"/>
      <c r="F78" s="11" t="str">
        <f>IF(E78="","",MAX(0,E78-SUMIFS($E:$E,$D:$D,A78)-SUMIFS(Sell_History!$E:$E,Sell_History!$A:$A,A78,Sell_History!$B:$B,B78)))</f>
        <v/>
      </c>
    </row>
    <row r="79" spans="1:6">
      <c r="A79" s="2"/>
      <c r="B79" s="2"/>
      <c r="C79" s="4"/>
      <c r="D79" s="2"/>
      <c r="E79" s="7"/>
      <c r="F79" s="11" t="str">
        <f>IF(E79="","",MAX(0,E79-SUMIFS($E:$E,$D:$D,A79)-SUMIFS(Sell_History!$E:$E,Sell_History!$A:$A,A79,Sell_History!$B:$B,B79)))</f>
        <v/>
      </c>
    </row>
    <row r="80" spans="1:6">
      <c r="A80" s="2"/>
      <c r="B80" s="2"/>
      <c r="C80" s="4"/>
      <c r="D80" s="2"/>
      <c r="E80" s="7"/>
      <c r="F80" s="11" t="str">
        <f>IF(E80="","",MAX(0,E80-SUMIFS($E:$E,$D:$D,A80)-SUMIFS(Sell_History!$E:$E,Sell_History!$A:$A,A80,Sell_History!$B:$B,B80)))</f>
        <v/>
      </c>
    </row>
    <row r="81" spans="1:6">
      <c r="A81" s="2"/>
      <c r="B81" s="2"/>
      <c r="C81" s="4"/>
      <c r="D81" s="2"/>
      <c r="E81" s="7"/>
      <c r="F81" s="11" t="str">
        <f>IF(E81="","",MAX(0,E81-SUMIFS($E:$E,$D:$D,A81)-SUMIFS(Sell_History!$E:$E,Sell_History!$A:$A,A81,Sell_History!$B:$B,B81)))</f>
        <v/>
      </c>
    </row>
    <row r="82" spans="1:6">
      <c r="A82" s="2"/>
      <c r="B82" s="2"/>
      <c r="C82" s="4"/>
      <c r="D82" s="2"/>
      <c r="E82" s="7"/>
      <c r="F82" s="11" t="str">
        <f>IF(E82="","",MAX(0,E82-SUMIFS($E:$E,$D:$D,A82)-SUMIFS(Sell_History!$E:$E,Sell_History!$A:$A,A82,Sell_History!$B:$B,B82)))</f>
        <v/>
      </c>
    </row>
    <row r="83" spans="1:6">
      <c r="A83" s="2"/>
      <c r="B83" s="2"/>
      <c r="C83" s="4"/>
      <c r="D83" s="2"/>
      <c r="E83" s="7"/>
      <c r="F83" s="11" t="str">
        <f>IF(E83="","",MAX(0,E83-SUMIFS($E:$E,$D:$D,A83)-SUMIFS(Sell_History!$E:$E,Sell_History!$A:$A,A83,Sell_History!$B:$B,B83)))</f>
        <v/>
      </c>
    </row>
    <row r="84" spans="1:6">
      <c r="A84" s="2"/>
      <c r="B84" s="2"/>
      <c r="C84" s="4"/>
      <c r="D84" s="2"/>
      <c r="E84" s="7"/>
      <c r="F84" s="11" t="str">
        <f>IF(E84="","",MAX(0,E84-SUMIFS($E:$E,$D:$D,A84)-SUMIFS(Sell_History!$E:$E,Sell_History!$A:$A,A84,Sell_History!$B:$B,B84)))</f>
        <v/>
      </c>
    </row>
    <row r="85" spans="1:6">
      <c r="A85" s="2"/>
      <c r="B85" s="2"/>
      <c r="C85" s="4"/>
      <c r="D85" s="2"/>
      <c r="E85" s="7"/>
      <c r="F85" s="11" t="str">
        <f>IF(E85="","",MAX(0,E85-SUMIFS($E:$E,$D:$D,A85)-SUMIFS(Sell_History!$E:$E,Sell_History!$A:$A,A85,Sell_History!$B:$B,B85)))</f>
        <v/>
      </c>
    </row>
    <row r="86" spans="1:6">
      <c r="A86" s="2"/>
      <c r="B86" s="2"/>
      <c r="C86" s="4"/>
      <c r="D86" s="2"/>
      <c r="E86" s="7"/>
      <c r="F86" s="11" t="str">
        <f>IF(E86="","",MAX(0,E86-SUMIFS($E:$E,$D:$D,A86)-SUMIFS(Sell_History!$E:$E,Sell_History!$A:$A,A86,Sell_History!$B:$B,B86)))</f>
        <v/>
      </c>
    </row>
    <row r="87" spans="1:6">
      <c r="A87" s="2"/>
      <c r="B87" s="2"/>
      <c r="C87" s="4"/>
      <c r="D87" s="2"/>
      <c r="E87" s="7"/>
      <c r="F87" s="11" t="str">
        <f>IF(E87="","",MAX(0,E87-SUMIFS($E:$E,$D:$D,A87)-SUMIFS(Sell_History!$E:$E,Sell_History!$A:$A,A87,Sell_History!$B:$B,B87)))</f>
        <v/>
      </c>
    </row>
    <row r="88" spans="1:6">
      <c r="A88" s="2"/>
      <c r="B88" s="2"/>
      <c r="C88" s="4"/>
      <c r="D88" s="2"/>
      <c r="E88" s="7"/>
      <c r="F88" s="11" t="str">
        <f>IF(E88="","",MAX(0,E88-SUMIFS($E:$E,$D:$D,A88)-SUMIFS(Sell_History!$E:$E,Sell_History!$A:$A,A88,Sell_History!$B:$B,B88)))</f>
        <v/>
      </c>
    </row>
    <row r="89" spans="1:6">
      <c r="A89" s="2"/>
      <c r="B89" s="2"/>
      <c r="C89" s="4"/>
      <c r="D89" s="2"/>
      <c r="E89" s="7"/>
      <c r="F89" s="11" t="str">
        <f>IF(E89="","",MAX(0,E89-SUMIFS($E:$E,$D:$D,A89)-SUMIFS(Sell_History!$E:$E,Sell_History!$A:$A,A89,Sell_History!$B:$B,B89)))</f>
        <v/>
      </c>
    </row>
    <row r="90" spans="1:6">
      <c r="A90" s="2"/>
      <c r="B90" s="2"/>
      <c r="C90" s="4"/>
      <c r="D90" s="2"/>
      <c r="E90" s="7"/>
      <c r="F90" s="11" t="str">
        <f>IF(E90="","",MAX(0,E90-SUMIFS($E:$E,$D:$D,A90)-SUMIFS(Sell_History!$E:$E,Sell_History!$A:$A,A90,Sell_History!$B:$B,B90)))</f>
        <v/>
      </c>
    </row>
    <row r="91" spans="1:6">
      <c r="A91" s="2"/>
      <c r="B91" s="2"/>
      <c r="C91" s="4"/>
      <c r="D91" s="2"/>
      <c r="E91" s="7"/>
      <c r="F91" s="11" t="str">
        <f>IF(E91="","",MAX(0,E91-SUMIFS($E:$E,$D:$D,A91)-SUMIFS(Sell_History!$E:$E,Sell_History!$A:$A,A91,Sell_History!$B:$B,B91)))</f>
        <v/>
      </c>
    </row>
    <row r="92" spans="1:6">
      <c r="A92" s="2"/>
      <c r="B92" s="2"/>
      <c r="C92" s="4"/>
      <c r="D92" s="2"/>
      <c r="E92" s="7"/>
      <c r="F92" s="11" t="str">
        <f>IF(E92="","",MAX(0,E92-SUMIFS($E:$E,$D:$D,A92)-SUMIFS(Sell_History!$E:$E,Sell_History!$A:$A,A92,Sell_History!$B:$B,B92)))</f>
        <v/>
      </c>
    </row>
    <row r="93" spans="1:6">
      <c r="A93" s="2"/>
      <c r="B93" s="2"/>
      <c r="C93" s="4"/>
      <c r="D93" s="2"/>
      <c r="E93" s="7"/>
      <c r="F93" s="11" t="str">
        <f>IF(E93="","",MAX(0,E93-SUMIFS($E:$E,$D:$D,A93)-SUMIFS(Sell_History!$E:$E,Sell_History!$A:$A,A93,Sell_History!$B:$B,B93)))</f>
        <v/>
      </c>
    </row>
    <row r="94" spans="1:6">
      <c r="A94" s="2"/>
      <c r="B94" s="2"/>
      <c r="C94" s="4"/>
      <c r="D94" s="2"/>
      <c r="E94" s="7"/>
      <c r="F94" s="11" t="str">
        <f>IF(E94="","",MAX(0,E94-SUMIFS($E:$E,$D:$D,A94)-SUMIFS(Sell_History!$E:$E,Sell_History!$A:$A,A94,Sell_History!$B:$B,B94)))</f>
        <v/>
      </c>
    </row>
    <row r="95" spans="1:6">
      <c r="A95" s="2"/>
      <c r="B95" s="2"/>
      <c r="C95" s="4"/>
      <c r="D95" s="2"/>
      <c r="E95" s="7"/>
      <c r="F95" s="11" t="str">
        <f>IF(E95="","",MAX(0,E95-SUMIFS($E:$E,$D:$D,A95)-SUMIFS(Sell_History!$E:$E,Sell_History!$A:$A,A95,Sell_History!$B:$B,B95)))</f>
        <v/>
      </c>
    </row>
    <row r="96" spans="1:6">
      <c r="A96" s="2"/>
      <c r="B96" s="2"/>
      <c r="C96" s="4"/>
      <c r="D96" s="2"/>
      <c r="E96" s="7"/>
      <c r="F96" s="11" t="str">
        <f>IF(E96="","",MAX(0,E96-SUMIFS($E:$E,$D:$D,A96)-SUMIFS(Sell_History!$E:$E,Sell_History!$A:$A,A96,Sell_History!$B:$B,B96)))</f>
        <v/>
      </c>
    </row>
    <row r="97" spans="1:6">
      <c r="A97" s="2"/>
      <c r="B97" s="2"/>
      <c r="C97" s="4"/>
      <c r="D97" s="2"/>
      <c r="E97" s="7"/>
      <c r="F97" s="11" t="str">
        <f>IF(E97="","",MAX(0,E97-SUMIFS($E:$E,$D:$D,A97)-SUMIFS(Sell_History!$E:$E,Sell_History!$A:$A,A97,Sell_History!$B:$B,B97)))</f>
        <v/>
      </c>
    </row>
    <row r="98" spans="1:6">
      <c r="A98" s="2"/>
      <c r="B98" s="2"/>
      <c r="C98" s="4"/>
      <c r="D98" s="2"/>
      <c r="E98" s="7"/>
      <c r="F98" s="11" t="str">
        <f>IF(E98="","",MAX(0,E98-SUMIFS($E:$E,$D:$D,A98)-SUMIFS(Sell_History!$E:$E,Sell_History!$A:$A,A98,Sell_History!$B:$B,B98)))</f>
        <v/>
      </c>
    </row>
    <row r="99" spans="1:6">
      <c r="A99" s="2"/>
      <c r="B99" s="2"/>
      <c r="C99" s="4"/>
      <c r="D99" s="2"/>
      <c r="E99" s="7"/>
      <c r="F99" s="11" t="str">
        <f>IF(E99="","",MAX(0,E99-SUMIFS($E:$E,$D:$D,A99)-SUMIFS(Sell_History!$E:$E,Sell_History!$A:$A,A99,Sell_History!$B:$B,B99)))</f>
        <v/>
      </c>
    </row>
    <row r="100" spans="1:6">
      <c r="A100" s="2"/>
      <c r="B100" s="2"/>
      <c r="C100" s="4"/>
      <c r="D100" s="2"/>
      <c r="E100" s="7"/>
      <c r="F100" s="11" t="str">
        <f>IF(E100="","",MAX(0,E100-SUMIFS($E:$E,$D:$D,A100)-SUMIFS(Sell_History!$E:$E,Sell_History!$A:$A,A100,Sell_History!$B:$B,B100)))</f>
        <v/>
      </c>
    </row>
    <row r="101" spans="1:6">
      <c r="A101" s="2"/>
      <c r="B101" s="2"/>
      <c r="C101" s="4"/>
      <c r="D101" s="2"/>
      <c r="E101" s="7"/>
      <c r="F101" s="11" t="str">
        <f>IF(E101="","",MAX(0,E101-SUMIFS($E:$E,$D:$D,A101)-SUMIFS(Sell_History!$E:$E,Sell_History!$A:$A,A101,Sell_History!$B:$B,B101)))</f>
        <v/>
      </c>
    </row>
    <row r="102" spans="1:6">
      <c r="A102" s="2"/>
      <c r="B102" s="2"/>
      <c r="C102" s="4"/>
      <c r="D102" s="2"/>
      <c r="E102" s="7"/>
      <c r="F102" s="11" t="str">
        <f>IF(E102="","",MAX(0,E102-SUMIFS($E:$E,$D:$D,A102)-SUMIFS(Sell_History!$E:$E,Sell_History!$A:$A,A102,Sell_History!$B:$B,B102)))</f>
        <v/>
      </c>
    </row>
    <row r="103" spans="1:6">
      <c r="A103" s="2"/>
      <c r="B103" s="2"/>
      <c r="C103" s="4"/>
      <c r="D103" s="2"/>
      <c r="E103" s="7"/>
      <c r="F103" s="11" t="str">
        <f>IF(E103="","",MAX(0,E103-SUMIFS($E:$E,$D:$D,A103)-SUMIFS(Sell_History!$E:$E,Sell_History!$A:$A,A103,Sell_History!$B:$B,B103)))</f>
        <v/>
      </c>
    </row>
    <row r="104" spans="1:6">
      <c r="A104" s="2"/>
      <c r="B104" s="2"/>
      <c r="C104" s="4"/>
      <c r="D104" s="2"/>
      <c r="E104" s="7"/>
      <c r="F104" s="11" t="str">
        <f>IF(E104="","",MAX(0,E104-SUMIFS($E:$E,$D:$D,A104)-SUMIFS(Sell_History!$E:$E,Sell_History!$A:$A,A104,Sell_History!$B:$B,B104)))</f>
        <v/>
      </c>
    </row>
    <row r="105" spans="1:6">
      <c r="A105" s="2"/>
      <c r="B105" s="2"/>
      <c r="C105" s="4"/>
      <c r="D105" s="2"/>
      <c r="E105" s="7"/>
      <c r="F105" s="11" t="str">
        <f>IF(E105="","",MAX(0,E105-SUMIFS($E:$E,$D:$D,A105)-SUMIFS(Sell_History!$E:$E,Sell_History!$A:$A,A105,Sell_History!$B:$B,B105)))</f>
        <v/>
      </c>
    </row>
    <row r="106" spans="1:6">
      <c r="A106" s="2"/>
      <c r="B106" s="2"/>
      <c r="C106" s="4"/>
      <c r="D106" s="2"/>
      <c r="E106" s="7"/>
      <c r="F106" s="11" t="str">
        <f>IF(E106="","",MAX(0,E106-SUMIFS($E:$E,$D:$D,A106)-SUMIFS(Sell_History!$E:$E,Sell_History!$A:$A,A106,Sell_History!$B:$B,B106)))</f>
        <v/>
      </c>
    </row>
    <row r="107" spans="1:6">
      <c r="A107" s="2"/>
      <c r="B107" s="2"/>
      <c r="C107" s="4"/>
      <c r="D107" s="2"/>
      <c r="E107" s="7"/>
      <c r="F107" s="11" t="str">
        <f>IF(E107="","",MAX(0,E107-SUMIFS($E:$E,$D:$D,A107)-SUMIFS(Sell_History!$E:$E,Sell_History!$A:$A,A107,Sell_History!$B:$B,B107)))</f>
        <v/>
      </c>
    </row>
    <row r="108" spans="1:6">
      <c r="A108" s="2"/>
      <c r="B108" s="2"/>
      <c r="C108" s="4"/>
      <c r="D108" s="2"/>
      <c r="E108" s="7"/>
      <c r="F108" s="11" t="str">
        <f>IF(E108="","",MAX(0,E108-SUMIFS($E:$E,$D:$D,A108)-SUMIFS(Sell_History!$E:$E,Sell_History!$A:$A,A108,Sell_History!$B:$B,B108)))</f>
        <v/>
      </c>
    </row>
    <row r="109" spans="1:6">
      <c r="A109" s="2"/>
      <c r="B109" s="2"/>
      <c r="C109" s="4"/>
      <c r="D109" s="2"/>
      <c r="E109" s="7"/>
      <c r="F109" s="11" t="str">
        <f>IF(E109="","",MAX(0,E109-SUMIFS($E:$E,$D:$D,A109)-SUMIFS(Sell_History!$E:$E,Sell_History!$A:$A,A109,Sell_History!$B:$B,B109)))</f>
        <v/>
      </c>
    </row>
    <row r="110" spans="1:6">
      <c r="A110" s="2"/>
      <c r="B110" s="2"/>
      <c r="C110" s="4"/>
      <c r="D110" s="2"/>
      <c r="E110" s="7"/>
      <c r="F110" s="11" t="str">
        <f>IF(E110="","",MAX(0,E110-SUMIFS($E:$E,$D:$D,A110)-SUMIFS(Sell_History!$E:$E,Sell_History!$A:$A,A110,Sell_History!$B:$B,B110)))</f>
        <v/>
      </c>
    </row>
    <row r="111" spans="1:6">
      <c r="A111" s="2"/>
      <c r="B111" s="2"/>
      <c r="C111" s="4"/>
      <c r="D111" s="2"/>
      <c r="E111" s="7"/>
      <c r="F111" s="11" t="str">
        <f>IF(E111="","",MAX(0,E111-SUMIFS($E:$E,$D:$D,A111)-SUMIFS(Sell_History!$E:$E,Sell_History!$A:$A,A111,Sell_History!$B:$B,B111)))</f>
        <v/>
      </c>
    </row>
    <row r="112" spans="1:6">
      <c r="A112" s="2"/>
      <c r="B112" s="2"/>
      <c r="C112" s="4"/>
      <c r="D112" s="2"/>
      <c r="E112" s="7"/>
      <c r="F112" s="11" t="str">
        <f>IF(E112="","",MAX(0,E112-SUMIFS($E:$E,$D:$D,A112)-SUMIFS(Sell_History!$E:$E,Sell_History!$A:$A,A112,Sell_History!$B:$B,B112)))</f>
        <v/>
      </c>
    </row>
    <row r="113" spans="1:6">
      <c r="A113" s="2"/>
      <c r="B113" s="2"/>
      <c r="C113" s="4"/>
      <c r="D113" s="2"/>
      <c r="E113" s="7"/>
      <c r="F113" s="11" t="str">
        <f>IF(E113="","",MAX(0,E113-SUMIFS($E:$E,$D:$D,A113)-SUMIFS(Sell_History!$E:$E,Sell_History!$A:$A,A113,Sell_History!$B:$B,B113)))</f>
        <v/>
      </c>
    </row>
    <row r="114" spans="1:6">
      <c r="A114" s="2"/>
      <c r="B114" s="2"/>
      <c r="C114" s="4"/>
      <c r="D114" s="2"/>
      <c r="E114" s="7"/>
      <c r="F114" s="11" t="str">
        <f>IF(E114="","",MAX(0,E114-SUMIFS($E:$E,$D:$D,A114)-SUMIFS(Sell_History!$E:$E,Sell_History!$A:$A,A114,Sell_History!$B:$B,B114)))</f>
        <v/>
      </c>
    </row>
    <row r="115" spans="1:6">
      <c r="A115" s="2"/>
      <c r="B115" s="2"/>
      <c r="C115" s="4"/>
      <c r="D115" s="2"/>
      <c r="E115" s="7"/>
      <c r="F115" s="11" t="str">
        <f>IF(E115="","",MAX(0,E115-SUMIFS($E:$E,$D:$D,A115)-SUMIFS(Sell_History!$E:$E,Sell_History!$A:$A,A115,Sell_History!$B:$B,B115)))</f>
        <v/>
      </c>
    </row>
    <row r="116" spans="1:6">
      <c r="A116" s="2"/>
      <c r="B116" s="2"/>
      <c r="C116" s="4"/>
      <c r="D116" s="2"/>
      <c r="E116" s="7"/>
      <c r="F116" s="11" t="str">
        <f>IF(E116="","",MAX(0,E116-SUMIFS($E:$E,$D:$D,A116)-SUMIFS(Sell_History!$E:$E,Sell_History!$A:$A,A116,Sell_History!$B:$B,B116)))</f>
        <v/>
      </c>
    </row>
    <row r="117" spans="1:6">
      <c r="A117" s="2"/>
      <c r="B117" s="2"/>
      <c r="C117" s="4"/>
      <c r="D117" s="2"/>
      <c r="E117" s="7"/>
      <c r="F117" s="11" t="str">
        <f>IF(E117="","",MAX(0,E117-SUMIFS($E:$E,$D:$D,A117)-SUMIFS(Sell_History!$E:$E,Sell_History!$A:$A,A117,Sell_History!$B:$B,B117)))</f>
        <v/>
      </c>
    </row>
    <row r="118" spans="1:6">
      <c r="A118" s="2"/>
      <c r="B118" s="2"/>
      <c r="C118" s="4"/>
      <c r="D118" s="2"/>
      <c r="E118" s="7"/>
      <c r="F118" s="11" t="str">
        <f>IF(E118="","",MAX(0,E118-SUMIFS($E:$E,$D:$D,A118)-SUMIFS(Sell_History!$E:$E,Sell_History!$A:$A,A118,Sell_History!$B:$B,B118)))</f>
        <v/>
      </c>
    </row>
    <row r="119" spans="1:6">
      <c r="A119" s="2"/>
      <c r="B119" s="2"/>
      <c r="C119" s="4"/>
      <c r="D119" s="2"/>
      <c r="E119" s="7"/>
      <c r="F119" s="11" t="str">
        <f>IF(E119="","",MAX(0,E119-SUMIFS($E:$E,$D:$D,A119)-SUMIFS(Sell_History!$E:$E,Sell_History!$A:$A,A119,Sell_History!$B:$B,B119)))</f>
        <v/>
      </c>
    </row>
    <row r="120" spans="1:6">
      <c r="A120" s="2"/>
      <c r="B120" s="2"/>
      <c r="C120" s="4"/>
      <c r="D120" s="2"/>
      <c r="E120" s="7"/>
      <c r="F120" s="11" t="str">
        <f>IF(E120="","",MAX(0,E120-SUMIFS($E:$E,$D:$D,A120)-SUMIFS(Sell_History!$E:$E,Sell_History!$A:$A,A120,Sell_History!$B:$B,B120)))</f>
        <v/>
      </c>
    </row>
    <row r="121" spans="1:6">
      <c r="A121" s="2"/>
      <c r="B121" s="2"/>
      <c r="C121" s="4"/>
      <c r="D121" s="2"/>
      <c r="E121" s="7"/>
      <c r="F121" s="11" t="str">
        <f>IF(E121="","",MAX(0,E121-SUMIFS($E:$E,$D:$D,A121)-SUMIFS(Sell_History!$E:$E,Sell_History!$A:$A,A121,Sell_History!$B:$B,B121)))</f>
        <v/>
      </c>
    </row>
    <row r="122" spans="1:6">
      <c r="A122" s="2"/>
      <c r="B122" s="2"/>
      <c r="C122" s="4"/>
      <c r="D122" s="2"/>
      <c r="E122" s="7"/>
      <c r="F122" s="11" t="str">
        <f>IF(E122="","",MAX(0,E122-SUMIFS($E:$E,$D:$D,A122)-SUMIFS(Sell_History!$E:$E,Sell_History!$A:$A,A122,Sell_History!$B:$B,B122)))</f>
        <v/>
      </c>
    </row>
    <row r="123" spans="1:6">
      <c r="A123" s="2"/>
      <c r="B123" s="2"/>
      <c r="C123" s="4"/>
      <c r="D123" s="2"/>
      <c r="E123" s="7"/>
      <c r="F123" s="11" t="str">
        <f>IF(E123="","",MAX(0,E123-SUMIFS($E:$E,$D:$D,A123)-SUMIFS(Sell_History!$E:$E,Sell_History!$A:$A,A123,Sell_History!$B:$B,B123)))</f>
        <v/>
      </c>
    </row>
    <row r="124" spans="1:6">
      <c r="A124" s="2"/>
      <c r="B124" s="2"/>
      <c r="C124" s="4"/>
      <c r="D124" s="2"/>
      <c r="E124" s="7"/>
      <c r="F124" s="11" t="str">
        <f>IF(E124="","",MAX(0,E124-SUMIFS($E:$E,$D:$D,A124)-SUMIFS(Sell_History!$E:$E,Sell_History!$A:$A,A124,Sell_History!$B:$B,B124)))</f>
        <v/>
      </c>
    </row>
    <row r="125" spans="1:6">
      <c r="A125" s="2"/>
      <c r="B125" s="2"/>
      <c r="C125" s="4"/>
      <c r="D125" s="2"/>
      <c r="E125" s="7"/>
      <c r="F125" s="11" t="str">
        <f>IF(E125="","",MAX(0,E125-SUMIFS($E:$E,$D:$D,A125)-SUMIFS(Sell_History!$E:$E,Sell_History!$A:$A,A125,Sell_History!$B:$B,B125)))</f>
        <v/>
      </c>
    </row>
    <row r="126" spans="1:6">
      <c r="A126" s="2"/>
      <c r="B126" s="2"/>
      <c r="C126" s="4"/>
      <c r="D126" s="2"/>
      <c r="E126" s="7"/>
      <c r="F126" s="11" t="str">
        <f>IF(E126="","",MAX(0,E126-SUMIFS($E:$E,$D:$D,A126)-SUMIFS(Sell_History!$E:$E,Sell_History!$A:$A,A126,Sell_History!$B:$B,B126)))</f>
        <v/>
      </c>
    </row>
    <row r="127" spans="1:6">
      <c r="A127" s="2"/>
      <c r="B127" s="2"/>
      <c r="C127" s="4"/>
      <c r="D127" s="2"/>
      <c r="E127" s="7"/>
      <c r="F127" s="11" t="str">
        <f>IF(E127="","",MAX(0,E127-SUMIFS($E:$E,$D:$D,A127)-SUMIFS(Sell_History!$E:$E,Sell_History!$A:$A,A127,Sell_History!$B:$B,B127)))</f>
        <v/>
      </c>
    </row>
    <row r="128" spans="1:6">
      <c r="A128" s="2"/>
      <c r="B128" s="2"/>
      <c r="C128" s="4"/>
      <c r="D128" s="2"/>
      <c r="E128" s="7"/>
      <c r="F128" s="11" t="str">
        <f>IF(E128="","",MAX(0,E128-SUMIFS($E:$E,$D:$D,A128)-SUMIFS(Sell_History!$E:$E,Sell_History!$A:$A,A128,Sell_History!$B:$B,B128)))</f>
        <v/>
      </c>
    </row>
    <row r="129" spans="1:6">
      <c r="A129" s="2"/>
      <c r="B129" s="2"/>
      <c r="C129" s="4"/>
      <c r="D129" s="2"/>
      <c r="E129" s="7"/>
      <c r="F129" s="11" t="str">
        <f>IF(E129="","",MAX(0,E129-SUMIFS($E:$E,$D:$D,A129)-SUMIFS(Sell_History!$E:$E,Sell_History!$A:$A,A129,Sell_History!$B:$B,B129)))</f>
        <v/>
      </c>
    </row>
    <row r="130" spans="1:6">
      <c r="A130" s="2"/>
      <c r="B130" s="2"/>
      <c r="C130" s="4"/>
      <c r="D130" s="2"/>
      <c r="E130" s="7"/>
      <c r="F130" s="11" t="str">
        <f>IF(E130="","",MAX(0,E130-SUMIFS($E:$E,$D:$D,A130)-SUMIFS(Sell_History!$E:$E,Sell_History!$A:$A,A130,Sell_History!$B:$B,B130)))</f>
        <v/>
      </c>
    </row>
    <row r="131" spans="1:6">
      <c r="A131" s="2"/>
      <c r="B131" s="2"/>
      <c r="C131" s="4"/>
      <c r="D131" s="2"/>
      <c r="E131" s="7"/>
      <c r="F131" s="11" t="str">
        <f>IF(E131="","",MAX(0,E131-SUMIFS($E:$E,$D:$D,A131)-SUMIFS(Sell_History!$E:$E,Sell_History!$A:$A,A131,Sell_History!$B:$B,B131)))</f>
        <v/>
      </c>
    </row>
    <row r="132" spans="1:6">
      <c r="A132" s="2"/>
      <c r="B132" s="2"/>
      <c r="C132" s="4"/>
      <c r="D132" s="2"/>
      <c r="E132" s="7"/>
      <c r="F132" s="11" t="str">
        <f>IF(E132="","",MAX(0,E132-SUMIFS($E:$E,$D:$D,A132)-SUMIFS(Sell_History!$E:$E,Sell_History!$A:$A,A132,Sell_History!$B:$B,B132)))</f>
        <v/>
      </c>
    </row>
    <row r="133" spans="1:6">
      <c r="A133" s="2"/>
      <c r="B133" s="2"/>
      <c r="C133" s="4"/>
      <c r="D133" s="2"/>
      <c r="E133" s="7"/>
      <c r="F133" s="11" t="str">
        <f>IF(E133="","",MAX(0,E133-SUMIFS($E:$E,$D:$D,A133)-SUMIFS(Sell_History!$E:$E,Sell_History!$A:$A,A133,Sell_History!$B:$B,B133)))</f>
        <v/>
      </c>
    </row>
    <row r="134" spans="1:6">
      <c r="A134" s="2"/>
      <c r="B134" s="2"/>
      <c r="C134" s="4"/>
      <c r="D134" s="2"/>
      <c r="E134" s="7"/>
      <c r="F134" s="11" t="str">
        <f>IF(E134="","",MAX(0,E134-SUMIFS($E:$E,$D:$D,A134)-SUMIFS(Sell_History!$E:$E,Sell_History!$A:$A,A134,Sell_History!$B:$B,B134)))</f>
        <v/>
      </c>
    </row>
    <row r="135" spans="1:6">
      <c r="A135" s="2"/>
      <c r="B135" s="2"/>
      <c r="C135" s="4"/>
      <c r="D135" s="2"/>
      <c r="E135" s="7"/>
      <c r="F135" s="11" t="str">
        <f>IF(E135="","",MAX(0,E135-SUMIFS($E:$E,$D:$D,A135)-SUMIFS(Sell_History!$E:$E,Sell_History!$A:$A,A135,Sell_History!$B:$B,B135)))</f>
        <v/>
      </c>
    </row>
    <row r="136" spans="1:6">
      <c r="A136" s="2"/>
      <c r="B136" s="2"/>
      <c r="C136" s="4"/>
      <c r="D136" s="2"/>
      <c r="E136" s="7"/>
      <c r="F136" s="11" t="str">
        <f>IF(E136="","",MAX(0,E136-SUMIFS($E:$E,$D:$D,A136)-SUMIFS(Sell_History!$E:$E,Sell_History!$A:$A,A136,Sell_History!$B:$B,B136)))</f>
        <v/>
      </c>
    </row>
    <row r="137" spans="1:6">
      <c r="A137" s="2"/>
      <c r="B137" s="2"/>
      <c r="C137" s="4"/>
      <c r="D137" s="2"/>
      <c r="E137" s="7"/>
      <c r="F137" s="11" t="str">
        <f>IF(E137="","",MAX(0,E137-SUMIFS($E:$E,$D:$D,A137)-SUMIFS(Sell_History!$E:$E,Sell_History!$A:$A,A137,Sell_History!$B:$B,B137)))</f>
        <v/>
      </c>
    </row>
    <row r="138" spans="1:6">
      <c r="A138" s="2"/>
      <c r="B138" s="2"/>
      <c r="C138" s="4"/>
      <c r="D138" s="2"/>
      <c r="E138" s="7"/>
      <c r="F138" s="11" t="str">
        <f>IF(E138="","",MAX(0,E138-SUMIFS($E:$E,$D:$D,A138)-SUMIFS(Sell_History!$E:$E,Sell_History!$A:$A,A138,Sell_History!$B:$B,B138)))</f>
        <v/>
      </c>
    </row>
    <row r="139" spans="1:6">
      <c r="A139" s="2"/>
      <c r="B139" s="2"/>
      <c r="C139" s="4"/>
      <c r="D139" s="2"/>
      <c r="E139" s="7"/>
      <c r="F139" s="11" t="str">
        <f>IF(E139="","",MAX(0,E139-SUMIFS($E:$E,$D:$D,A139)-SUMIFS(Sell_History!$E:$E,Sell_History!$A:$A,A139,Sell_History!$B:$B,B139)))</f>
        <v/>
      </c>
    </row>
    <row r="140" spans="1:6">
      <c r="A140" s="2"/>
      <c r="B140" s="2"/>
      <c r="C140" s="4"/>
      <c r="D140" s="2"/>
      <c r="E140" s="7"/>
      <c r="F140" s="11" t="str">
        <f>IF(E140="","",MAX(0,E140-SUMIFS($E:$E,$D:$D,A140)-SUMIFS(Sell_History!$E:$E,Sell_History!$A:$A,A140,Sell_History!$B:$B,B140)))</f>
        <v/>
      </c>
    </row>
    <row r="141" spans="1:6">
      <c r="A141" s="2"/>
      <c r="B141" s="2"/>
      <c r="C141" s="4"/>
      <c r="D141" s="2"/>
      <c r="E141" s="7"/>
      <c r="F141" s="11" t="str">
        <f>IF(E141="","",MAX(0,E141-SUMIFS($E:$E,$D:$D,A141)-SUMIFS(Sell_History!$E:$E,Sell_History!$A:$A,A141,Sell_History!$B:$B,B141)))</f>
        <v/>
      </c>
    </row>
    <row r="142" spans="1:6">
      <c r="A142" s="2"/>
      <c r="B142" s="2"/>
      <c r="C142" s="4"/>
      <c r="D142" s="2"/>
      <c r="E142" s="7"/>
      <c r="F142" s="11" t="str">
        <f>IF(E142="","",MAX(0,E142-SUMIFS($E:$E,$D:$D,A142)-SUMIFS(Sell_History!$E:$E,Sell_History!$A:$A,A142,Sell_History!$B:$B,B142)))</f>
        <v/>
      </c>
    </row>
    <row r="143" spans="1:6">
      <c r="A143" s="2"/>
      <c r="B143" s="2"/>
      <c r="C143" s="4"/>
      <c r="D143" s="2"/>
      <c r="E143" s="7"/>
      <c r="F143" s="11" t="str">
        <f>IF(E143="","",MAX(0,E143-SUMIFS($E:$E,$D:$D,A143)-SUMIFS(Sell_History!$E:$E,Sell_History!$A:$A,A143,Sell_History!$B:$B,B143)))</f>
        <v/>
      </c>
    </row>
    <row r="144" spans="1:6">
      <c r="A144" s="2"/>
      <c r="B144" s="2"/>
      <c r="C144" s="4"/>
      <c r="D144" s="2"/>
      <c r="E144" s="7"/>
      <c r="F144" s="11" t="str">
        <f>IF(E144="","",MAX(0,E144-SUMIFS($E:$E,$D:$D,A144)-SUMIFS(Sell_History!$E:$E,Sell_History!$A:$A,A144,Sell_History!$B:$B,B144)))</f>
        <v/>
      </c>
    </row>
    <row r="145" spans="1:6">
      <c r="A145" s="2"/>
      <c r="B145" s="2"/>
      <c r="C145" s="4"/>
      <c r="D145" s="2"/>
      <c r="E145" s="7"/>
      <c r="F145" s="11" t="str">
        <f>IF(E145="","",MAX(0,E145-SUMIFS($E:$E,$D:$D,A145)-SUMIFS(Sell_History!$E:$E,Sell_History!$A:$A,A145,Sell_History!$B:$B,B145)))</f>
        <v/>
      </c>
    </row>
    <row r="146" spans="1:6">
      <c r="A146" s="2"/>
      <c r="B146" s="2"/>
      <c r="C146" s="4"/>
      <c r="D146" s="2"/>
      <c r="E146" s="7"/>
      <c r="F146" s="11" t="str">
        <f>IF(E146="","",MAX(0,E146-SUMIFS($E:$E,$D:$D,A146)-SUMIFS(Sell_History!$E:$E,Sell_History!$A:$A,A146,Sell_History!$B:$B,B146)))</f>
        <v/>
      </c>
    </row>
    <row r="147" spans="1:6">
      <c r="A147" s="2"/>
      <c r="B147" s="2"/>
      <c r="C147" s="4"/>
      <c r="D147" s="2"/>
      <c r="E147" s="7"/>
      <c r="F147" s="11" t="str">
        <f>IF(E147="","",MAX(0,E147-SUMIFS($E:$E,$D:$D,A147)-SUMIFS(Sell_History!$E:$E,Sell_History!$A:$A,A147,Sell_History!$B:$B,B147)))</f>
        <v/>
      </c>
    </row>
    <row r="148" spans="1:6">
      <c r="A148" s="2"/>
      <c r="B148" s="2"/>
      <c r="C148" s="4"/>
      <c r="D148" s="2"/>
      <c r="E148" s="7"/>
      <c r="F148" s="11" t="str">
        <f>IF(E148="","",MAX(0,E148-SUMIFS($E:$E,$D:$D,A148)-SUMIFS(Sell_History!$E:$E,Sell_History!$A:$A,A148,Sell_History!$B:$B,B148)))</f>
        <v/>
      </c>
    </row>
    <row r="149" spans="1:6">
      <c r="A149" s="2"/>
      <c r="B149" s="2"/>
      <c r="C149" s="4"/>
      <c r="D149" s="2"/>
      <c r="E149" s="7"/>
      <c r="F149" s="11" t="str">
        <f>IF(E149="","",MAX(0,E149-SUMIFS($E:$E,$D:$D,A149)-SUMIFS(Sell_History!$E:$E,Sell_History!$A:$A,A149,Sell_History!$B:$B,B149)))</f>
        <v/>
      </c>
    </row>
    <row r="150" spans="1:6">
      <c r="A150" s="2"/>
      <c r="B150" s="2"/>
      <c r="C150" s="4"/>
      <c r="D150" s="2"/>
      <c r="E150" s="7"/>
      <c r="F150" s="11" t="str">
        <f>IF(E150="","",MAX(0,E150-SUMIFS($E:$E,$D:$D,A150)-SUMIFS(Sell_History!$E:$E,Sell_History!$A:$A,A150,Sell_History!$B:$B,B150)))</f>
        <v/>
      </c>
    </row>
    <row r="151" spans="1:6">
      <c r="A151" s="2"/>
      <c r="B151" s="2"/>
      <c r="C151" s="4"/>
      <c r="D151" s="2"/>
      <c r="E151" s="7"/>
      <c r="F151" s="11" t="str">
        <f>IF(E151="","",MAX(0,E151-SUMIFS($E:$E,$D:$D,A151)-SUMIFS(Sell_History!$E:$E,Sell_History!$A:$A,A151,Sell_History!$B:$B,B151)))</f>
        <v/>
      </c>
    </row>
    <row r="152" spans="1:6">
      <c r="A152" s="2"/>
      <c r="B152" s="2"/>
      <c r="C152" s="4"/>
      <c r="D152" s="2"/>
      <c r="E152" s="7"/>
      <c r="F152" s="11" t="str">
        <f>IF(E152="","",MAX(0,E152-SUMIFS($E:$E,$D:$D,A152)-SUMIFS(Sell_History!$E:$E,Sell_History!$A:$A,A152,Sell_History!$B:$B,B152)))</f>
        <v/>
      </c>
    </row>
    <row r="153" spans="1:6">
      <c r="A153" s="2"/>
      <c r="B153" s="2"/>
      <c r="C153" s="4"/>
      <c r="D153" s="2"/>
      <c r="E153" s="7"/>
      <c r="F153" s="11" t="str">
        <f>IF(E153="","",MAX(0,E153-SUMIFS($E:$E,$D:$D,A153)-SUMIFS(Sell_History!$E:$E,Sell_History!$A:$A,A153,Sell_History!$B:$B,B153)))</f>
        <v/>
      </c>
    </row>
    <row r="154" spans="1:6">
      <c r="A154" s="2"/>
      <c r="B154" s="2"/>
      <c r="C154" s="4"/>
      <c r="D154" s="2"/>
      <c r="E154" s="7"/>
      <c r="F154" s="11" t="str">
        <f>IF(E154="","",MAX(0,E154-SUMIFS($E:$E,$D:$D,A154)-SUMIFS(Sell_History!$E:$E,Sell_History!$A:$A,A154,Sell_History!$B:$B,B154)))</f>
        <v/>
      </c>
    </row>
    <row r="155" spans="1:6">
      <c r="A155" s="2"/>
      <c r="B155" s="2"/>
      <c r="C155" s="4"/>
      <c r="D155" s="2"/>
      <c r="E155" s="7"/>
      <c r="F155" s="11" t="str">
        <f>IF(E155="","",MAX(0,E155-SUMIFS($E:$E,$D:$D,A155)-SUMIFS(Sell_History!$E:$E,Sell_History!$A:$A,A155,Sell_History!$B:$B,B155)))</f>
        <v/>
      </c>
    </row>
    <row r="156" spans="1:6">
      <c r="A156" s="2"/>
      <c r="B156" s="2"/>
      <c r="C156" s="4"/>
      <c r="D156" s="2"/>
      <c r="E156" s="7"/>
      <c r="F156" s="11" t="str">
        <f>IF(E156="","",MAX(0,E156-SUMIFS($E:$E,$D:$D,A156)-SUMIFS(Sell_History!$E:$E,Sell_History!$A:$A,A156,Sell_History!$B:$B,B156)))</f>
        <v/>
      </c>
    </row>
    <row r="157" spans="1:6">
      <c r="A157" s="2"/>
      <c r="B157" s="2"/>
      <c r="C157" s="4"/>
      <c r="D157" s="2"/>
      <c r="E157" s="7"/>
      <c r="F157" s="11" t="str">
        <f>IF(E157="","",MAX(0,E157-SUMIFS($E:$E,$D:$D,A157)-SUMIFS(Sell_History!$E:$E,Sell_History!$A:$A,A157,Sell_History!$B:$B,B157)))</f>
        <v/>
      </c>
    </row>
    <row r="158" spans="1:6">
      <c r="A158" s="2"/>
      <c r="B158" s="2"/>
      <c r="C158" s="4"/>
      <c r="D158" s="2"/>
      <c r="E158" s="7"/>
      <c r="F158" s="11" t="str">
        <f>IF(E158="","",MAX(0,E158-SUMIFS($E:$E,$D:$D,A158)-SUMIFS(Sell_History!$E:$E,Sell_History!$A:$A,A158,Sell_History!$B:$B,B158)))</f>
        <v/>
      </c>
    </row>
    <row r="159" spans="1:6">
      <c r="A159" s="2"/>
      <c r="B159" s="2"/>
      <c r="C159" s="4"/>
      <c r="D159" s="2"/>
      <c r="E159" s="7"/>
      <c r="F159" s="11" t="str">
        <f>IF(E159="","",MAX(0,E159-SUMIFS($E:$E,$D:$D,A159)-SUMIFS(Sell_History!$E:$E,Sell_History!$A:$A,A159,Sell_History!$B:$B,B159)))</f>
        <v/>
      </c>
    </row>
    <row r="160" spans="1:6">
      <c r="A160" s="2"/>
      <c r="B160" s="2"/>
      <c r="C160" s="4"/>
      <c r="D160" s="2"/>
      <c r="E160" s="7"/>
      <c r="F160" s="11" t="str">
        <f>IF(E160="","",MAX(0,E160-SUMIFS($E:$E,$D:$D,A160)-SUMIFS(Sell_History!$E:$E,Sell_History!$A:$A,A160,Sell_History!$B:$B,B160)))</f>
        <v/>
      </c>
    </row>
    <row r="161" spans="1:6">
      <c r="A161" s="2"/>
      <c r="B161" s="2"/>
      <c r="C161" s="4"/>
      <c r="D161" s="2"/>
      <c r="E161" s="7"/>
      <c r="F161" s="11" t="str">
        <f>IF(E161="","",MAX(0,E161-SUMIFS($E:$E,$D:$D,A161)-SUMIFS(Sell_History!$E:$E,Sell_History!$A:$A,A161,Sell_History!$B:$B,B161)))</f>
        <v/>
      </c>
    </row>
    <row r="162" spans="1:6">
      <c r="A162" s="2"/>
      <c r="B162" s="2"/>
      <c r="C162" s="4"/>
      <c r="D162" s="2"/>
      <c r="E162" s="7"/>
      <c r="F162" s="11" t="str">
        <f>IF(E162="","",MAX(0,E162-SUMIFS($E:$E,$D:$D,A162)-SUMIFS(Sell_History!$E:$E,Sell_History!$A:$A,A162,Sell_History!$B:$B,B162)))</f>
        <v/>
      </c>
    </row>
    <row r="163" spans="1:6">
      <c r="A163" s="2"/>
      <c r="B163" s="2"/>
      <c r="C163" s="4"/>
      <c r="D163" s="2"/>
      <c r="E163" s="7"/>
      <c r="F163" s="11" t="str">
        <f>IF(E163="","",MAX(0,E163-SUMIFS($E:$E,$D:$D,A163)-SUMIFS(Sell_History!$E:$E,Sell_History!$A:$A,A163,Sell_History!$B:$B,B163)))</f>
        <v/>
      </c>
    </row>
    <row r="164" spans="1:6">
      <c r="A164" s="2"/>
      <c r="B164" s="2"/>
      <c r="C164" s="4"/>
      <c r="D164" s="2"/>
      <c r="E164" s="7"/>
      <c r="F164" s="11" t="str">
        <f>IF(E164="","",MAX(0,E164-SUMIFS($E:$E,$D:$D,A164)-SUMIFS(Sell_History!$E:$E,Sell_History!$A:$A,A164,Sell_History!$B:$B,B164)))</f>
        <v/>
      </c>
    </row>
    <row r="165" spans="1:6">
      <c r="A165" s="2"/>
      <c r="B165" s="2"/>
      <c r="C165" s="4"/>
      <c r="D165" s="2"/>
      <c r="E165" s="7"/>
      <c r="F165" s="11" t="str">
        <f>IF(E165="","",MAX(0,E165-SUMIFS($E:$E,$D:$D,A165)-SUMIFS(Sell_History!$E:$E,Sell_History!$A:$A,A165,Sell_History!$B:$B,B165)))</f>
        <v/>
      </c>
    </row>
    <row r="166" spans="1:6">
      <c r="A166" s="2"/>
      <c r="B166" s="2"/>
      <c r="C166" s="4"/>
      <c r="D166" s="2"/>
      <c r="E166" s="7"/>
      <c r="F166" s="11" t="str">
        <f>IF(E166="","",MAX(0,E166-SUMIFS($E:$E,$D:$D,A166)-SUMIFS(Sell_History!$E:$E,Sell_History!$A:$A,A166,Sell_History!$B:$B,B166)))</f>
        <v/>
      </c>
    </row>
    <row r="167" spans="1:6">
      <c r="A167" s="2"/>
      <c r="B167" s="2"/>
      <c r="C167" s="4"/>
      <c r="D167" s="2"/>
      <c r="E167" s="7"/>
      <c r="F167" s="11" t="str">
        <f>IF(E167="","",MAX(0,E167-SUMIFS($E:$E,$D:$D,A167)-SUMIFS(Sell_History!$E:$E,Sell_History!$A:$A,A167,Sell_History!$B:$B,B167)))</f>
        <v/>
      </c>
    </row>
    <row r="168" spans="1:6">
      <c r="A168" s="2"/>
      <c r="B168" s="2"/>
      <c r="C168" s="4"/>
      <c r="D168" s="2"/>
      <c r="E168" s="7"/>
      <c r="F168" s="11" t="str">
        <f>IF(E168="","",MAX(0,E168-SUMIFS($E:$E,$D:$D,A168)-SUMIFS(Sell_History!$E:$E,Sell_History!$A:$A,A168,Sell_History!$B:$B,B168)))</f>
        <v/>
      </c>
    </row>
    <row r="169" spans="1:6">
      <c r="A169" s="2"/>
      <c r="B169" s="2"/>
      <c r="C169" s="4"/>
      <c r="D169" s="2"/>
      <c r="E169" s="7"/>
      <c r="F169" s="11" t="str">
        <f>IF(E169="","",MAX(0,E169-SUMIFS($E:$E,$D:$D,A169)-SUMIFS(Sell_History!$E:$E,Sell_History!$A:$A,A169,Sell_History!$B:$B,B169)))</f>
        <v/>
      </c>
    </row>
    <row r="170" spans="1:6">
      <c r="A170" s="2"/>
      <c r="B170" s="2"/>
      <c r="C170" s="4"/>
      <c r="D170" s="2"/>
      <c r="E170" s="7"/>
      <c r="F170" s="11" t="str">
        <f>IF(E170="","",MAX(0,E170-SUMIFS($E:$E,$D:$D,A170)-SUMIFS(Sell_History!$E:$E,Sell_History!$A:$A,A170,Sell_History!$B:$B,B170)))</f>
        <v/>
      </c>
    </row>
    <row r="171" spans="1:6">
      <c r="A171" s="2"/>
      <c r="B171" s="2"/>
      <c r="C171" s="4"/>
      <c r="D171" s="2"/>
      <c r="E171" s="7"/>
      <c r="F171" s="11" t="str">
        <f>IF(E171="","",MAX(0,E171-SUMIFS($E:$E,$D:$D,A171)-SUMIFS(Sell_History!$E:$E,Sell_History!$A:$A,A171,Sell_History!$B:$B,B171)))</f>
        <v/>
      </c>
    </row>
    <row r="172" spans="1:6">
      <c r="A172" s="2"/>
      <c r="B172" s="2"/>
      <c r="C172" s="4"/>
      <c r="D172" s="2"/>
      <c r="E172" s="7"/>
      <c r="F172" s="11" t="str">
        <f>IF(E172="","",MAX(0,E172-SUMIFS($E:$E,$D:$D,A172)-SUMIFS(Sell_History!$E:$E,Sell_History!$A:$A,A172,Sell_History!$B:$B,B172)))</f>
        <v/>
      </c>
    </row>
    <row r="173" spans="1:6">
      <c r="A173" s="2"/>
      <c r="B173" s="2"/>
      <c r="C173" s="4"/>
      <c r="D173" s="2"/>
      <c r="E173" s="7"/>
      <c r="F173" s="11" t="str">
        <f>IF(E173="","",MAX(0,E173-SUMIFS($E:$E,$D:$D,A173)-SUMIFS(Sell_History!$E:$E,Sell_History!$A:$A,A173,Sell_History!$B:$B,B173)))</f>
        <v/>
      </c>
    </row>
    <row r="174" spans="1:6">
      <c r="A174" s="2"/>
      <c r="B174" s="2"/>
      <c r="C174" s="4"/>
      <c r="D174" s="2"/>
      <c r="E174" s="7"/>
      <c r="F174" s="11" t="str">
        <f>IF(E174="","",MAX(0,E174-SUMIFS($E:$E,$D:$D,A174)-SUMIFS(Sell_History!$E:$E,Sell_History!$A:$A,A174,Sell_History!$B:$B,B174)))</f>
        <v/>
      </c>
    </row>
    <row r="175" spans="1:6">
      <c r="A175" s="2"/>
      <c r="B175" s="2"/>
      <c r="C175" s="4"/>
      <c r="D175" s="2"/>
      <c r="E175" s="7"/>
      <c r="F175" s="11" t="str">
        <f>IF(E175="","",MAX(0,E175-SUMIFS($E:$E,$D:$D,A175)-SUMIFS(Sell_History!$E:$E,Sell_History!$A:$A,A175,Sell_History!$B:$B,B175)))</f>
        <v/>
      </c>
    </row>
    <row r="176" spans="1:6">
      <c r="A176" s="2"/>
      <c r="B176" s="2"/>
      <c r="C176" s="4"/>
      <c r="D176" s="2"/>
      <c r="E176" s="7"/>
      <c r="F176" s="11" t="str">
        <f>IF(E176="","",MAX(0,E176-SUMIFS($E:$E,$D:$D,A176)-SUMIFS(Sell_History!$E:$E,Sell_History!$A:$A,A176,Sell_History!$B:$B,B176)))</f>
        <v/>
      </c>
    </row>
    <row r="177" spans="1:6">
      <c r="A177" s="2"/>
      <c r="B177" s="2"/>
      <c r="C177" s="4"/>
      <c r="D177" s="2"/>
      <c r="E177" s="7"/>
      <c r="F177" s="11" t="str">
        <f>IF(E177="","",MAX(0,E177-SUMIFS($E:$E,$D:$D,A177)-SUMIFS(Sell_History!$E:$E,Sell_History!$A:$A,A177,Sell_History!$B:$B,B177)))</f>
        <v/>
      </c>
    </row>
    <row r="178" spans="1:6">
      <c r="A178" s="2"/>
      <c r="B178" s="2"/>
      <c r="C178" s="4"/>
      <c r="D178" s="2"/>
      <c r="E178" s="7"/>
      <c r="F178" s="11" t="str">
        <f>IF(E178="","",MAX(0,E178-SUMIFS($E:$E,$D:$D,A178)-SUMIFS(Sell_History!$E:$E,Sell_History!$A:$A,A178,Sell_History!$B:$B,B178)))</f>
        <v/>
      </c>
    </row>
    <row r="179" spans="1:6">
      <c r="A179" s="2"/>
      <c r="B179" s="2"/>
      <c r="C179" s="4"/>
      <c r="D179" s="2"/>
      <c r="E179" s="7"/>
      <c r="F179" s="11" t="str">
        <f>IF(E179="","",MAX(0,E179-SUMIFS($E:$E,$D:$D,A179)-SUMIFS(Sell_History!$E:$E,Sell_History!$A:$A,A179,Sell_History!$B:$B,B179)))</f>
        <v/>
      </c>
    </row>
    <row r="180" spans="1:6">
      <c r="A180" s="2"/>
      <c r="B180" s="2"/>
      <c r="C180" s="4"/>
      <c r="D180" s="2"/>
      <c r="E180" s="7"/>
      <c r="F180" s="11" t="str">
        <f>IF(E180="","",MAX(0,E180-SUMIFS($E:$E,$D:$D,A180)-SUMIFS(Sell_History!$E:$E,Sell_History!$A:$A,A180,Sell_History!$B:$B,B180)))</f>
        <v/>
      </c>
    </row>
    <row r="181" spans="1:6">
      <c r="A181" s="2"/>
      <c r="B181" s="2"/>
      <c r="C181" s="4"/>
      <c r="D181" s="2"/>
      <c r="E181" s="7"/>
      <c r="F181" s="11" t="str">
        <f>IF(E181="","",MAX(0,E181-SUMIFS($E:$E,$D:$D,A181)-SUMIFS(Sell_History!$E:$E,Sell_History!$A:$A,A181,Sell_History!$B:$B,B181)))</f>
        <v/>
      </c>
    </row>
    <row r="182" spans="1:6">
      <c r="A182" s="2"/>
      <c r="B182" s="2"/>
      <c r="C182" s="4"/>
      <c r="D182" s="2"/>
      <c r="E182" s="7"/>
      <c r="F182" s="11" t="str">
        <f>IF(E182="","",MAX(0,E182-SUMIFS($E:$E,$D:$D,A182)-SUMIFS(Sell_History!$E:$E,Sell_History!$A:$A,A182,Sell_History!$B:$B,B182)))</f>
        <v/>
      </c>
    </row>
    <row r="183" spans="1:6">
      <c r="A183" s="2"/>
      <c r="B183" s="2"/>
      <c r="C183" s="4"/>
      <c r="D183" s="2"/>
      <c r="E183" s="7"/>
      <c r="F183" s="11" t="str">
        <f>IF(E183="","",MAX(0,E183-SUMIFS($E:$E,$D:$D,A183)-SUMIFS(Sell_History!$E:$E,Sell_History!$A:$A,A183,Sell_History!$B:$B,B183)))</f>
        <v/>
      </c>
    </row>
    <row r="184" spans="1:6">
      <c r="A184" s="2"/>
      <c r="B184" s="2"/>
      <c r="C184" s="4"/>
      <c r="D184" s="2"/>
      <c r="E184" s="7"/>
      <c r="F184" s="11" t="str">
        <f>IF(E184="","",MAX(0,E184-SUMIFS($E:$E,$D:$D,A184)-SUMIFS(Sell_History!$E:$E,Sell_History!$A:$A,A184,Sell_History!$B:$B,B184)))</f>
        <v/>
      </c>
    </row>
    <row r="185" spans="1:6">
      <c r="A185" s="2"/>
      <c r="B185" s="2"/>
      <c r="C185" s="4"/>
      <c r="D185" s="2"/>
      <c r="E185" s="7"/>
      <c r="F185" s="11" t="str">
        <f>IF(E185="","",MAX(0,E185-SUMIFS($E:$E,$D:$D,A185)-SUMIFS(Sell_History!$E:$E,Sell_History!$A:$A,A185,Sell_History!$B:$B,B185)))</f>
        <v/>
      </c>
    </row>
    <row r="186" spans="1:6">
      <c r="A186" s="2"/>
      <c r="B186" s="2"/>
      <c r="C186" s="4"/>
      <c r="D186" s="2"/>
      <c r="E186" s="7"/>
      <c r="F186" s="11" t="str">
        <f>IF(E186="","",MAX(0,E186-SUMIFS($E:$E,$D:$D,A186)-SUMIFS(Sell_History!$E:$E,Sell_History!$A:$A,A186,Sell_History!$B:$B,B186)))</f>
        <v/>
      </c>
    </row>
    <row r="187" spans="1:6">
      <c r="A187" s="2"/>
      <c r="B187" s="2"/>
      <c r="C187" s="4"/>
      <c r="D187" s="2"/>
      <c r="E187" s="7"/>
      <c r="F187" s="11" t="str">
        <f>IF(E187="","",MAX(0,E187-SUMIFS($E:$E,$D:$D,A187)-SUMIFS(Sell_History!$E:$E,Sell_History!$A:$A,A187,Sell_History!$B:$B,B187)))</f>
        <v/>
      </c>
    </row>
    <row r="188" spans="1:6">
      <c r="A188" s="2"/>
      <c r="B188" s="2"/>
      <c r="C188" s="4"/>
      <c r="D188" s="2"/>
      <c r="E188" s="7"/>
      <c r="F188" s="11" t="str">
        <f>IF(E188="","",MAX(0,E188-SUMIFS($E:$E,$D:$D,A188)-SUMIFS(Sell_History!$E:$E,Sell_History!$A:$A,A188,Sell_History!$B:$B,B188)))</f>
        <v/>
      </c>
    </row>
    <row r="189" spans="1:6">
      <c r="A189" s="2"/>
      <c r="B189" s="2"/>
      <c r="C189" s="4"/>
      <c r="D189" s="2"/>
      <c r="E189" s="7"/>
      <c r="F189" s="11" t="str">
        <f>IF(E189="","",MAX(0,E189-SUMIFS($E:$E,$D:$D,A189)-SUMIFS(Sell_History!$E:$E,Sell_History!$A:$A,A189,Sell_History!$B:$B,B189)))</f>
        <v/>
      </c>
    </row>
    <row r="190" spans="1:6">
      <c r="A190" s="2"/>
      <c r="B190" s="2"/>
      <c r="C190" s="4"/>
      <c r="D190" s="2"/>
      <c r="E190" s="7"/>
      <c r="F190" s="11" t="str">
        <f>IF(E190="","",MAX(0,E190-SUMIFS($E:$E,$D:$D,A190)-SUMIFS(Sell_History!$E:$E,Sell_History!$A:$A,A190,Sell_History!$B:$B,B190)))</f>
        <v/>
      </c>
    </row>
    <row r="191" spans="1:6">
      <c r="A191" s="2"/>
      <c r="B191" s="2"/>
      <c r="C191" s="4"/>
      <c r="D191" s="2"/>
      <c r="E191" s="7"/>
      <c r="F191" s="11" t="str">
        <f>IF(E191="","",MAX(0,E191-SUMIFS($E:$E,$D:$D,A191)-SUMIFS(Sell_History!$E:$E,Sell_History!$A:$A,A191,Sell_History!$B:$B,B191)))</f>
        <v/>
      </c>
    </row>
    <row r="192" spans="1:6">
      <c r="A192" s="2"/>
      <c r="B192" s="2"/>
      <c r="C192" s="4"/>
      <c r="D192" s="2"/>
      <c r="E192" s="7"/>
      <c r="F192" s="11" t="str">
        <f>IF(E192="","",MAX(0,E192-SUMIFS($E:$E,$D:$D,A192)-SUMIFS(Sell_History!$E:$E,Sell_History!$A:$A,A192,Sell_History!$B:$B,B192)))</f>
        <v/>
      </c>
    </row>
    <row r="193" spans="1:6">
      <c r="A193" s="2"/>
      <c r="B193" s="2"/>
      <c r="C193" s="4"/>
      <c r="D193" s="2"/>
      <c r="E193" s="7"/>
      <c r="F193" s="11" t="str">
        <f>IF(E193="","",MAX(0,E193-SUMIFS($E:$E,$D:$D,A193)-SUMIFS(Sell_History!$E:$E,Sell_History!$A:$A,A193,Sell_History!$B:$B,B193)))</f>
        <v/>
      </c>
    </row>
    <row r="194" spans="1:6">
      <c r="A194" s="2"/>
      <c r="B194" s="2"/>
      <c r="C194" s="4"/>
      <c r="D194" s="2"/>
      <c r="E194" s="7"/>
      <c r="F194" s="11" t="str">
        <f>IF(E194="","",MAX(0,E194-SUMIFS($E:$E,$D:$D,A194)-SUMIFS(Sell_History!$E:$E,Sell_History!$A:$A,A194,Sell_History!$B:$B,B194)))</f>
        <v/>
      </c>
    </row>
    <row r="195" spans="1:6">
      <c r="A195" s="2"/>
      <c r="B195" s="2"/>
      <c r="C195" s="4"/>
      <c r="D195" s="2"/>
      <c r="E195" s="7"/>
      <c r="F195" s="11" t="str">
        <f>IF(E195="","",MAX(0,E195-SUMIFS($E:$E,$D:$D,A195)-SUMIFS(Sell_History!$E:$E,Sell_History!$A:$A,A195,Sell_History!$B:$B,B195)))</f>
        <v/>
      </c>
    </row>
    <row r="196" spans="1:6">
      <c r="A196" s="2"/>
      <c r="B196" s="2"/>
      <c r="C196" s="4"/>
      <c r="D196" s="2"/>
      <c r="E196" s="7"/>
      <c r="F196" s="11" t="str">
        <f>IF(E196="","",MAX(0,E196-SUMIFS($E:$E,$D:$D,A196)-SUMIFS(Sell_History!$E:$E,Sell_History!$A:$A,A196,Sell_History!$B:$B,B196)))</f>
        <v/>
      </c>
    </row>
    <row r="197" spans="1:6">
      <c r="A197" s="2"/>
      <c r="B197" s="2"/>
      <c r="C197" s="4"/>
      <c r="D197" s="2"/>
      <c r="E197" s="7"/>
      <c r="F197" s="11" t="str">
        <f>IF(E197="","",MAX(0,E197-SUMIFS($E:$E,$D:$D,A197)-SUMIFS(Sell_History!$E:$E,Sell_History!$A:$A,A197,Sell_History!$B:$B,B197)))</f>
        <v/>
      </c>
    </row>
    <row r="198" spans="1:6">
      <c r="A198" s="2"/>
      <c r="B198" s="2"/>
      <c r="C198" s="4"/>
      <c r="D198" s="2"/>
      <c r="E198" s="7"/>
      <c r="F198" s="11" t="str">
        <f>IF(E198="","",MAX(0,E198-SUMIFS($E:$E,$D:$D,A198)-SUMIFS(Sell_History!$E:$E,Sell_History!$A:$A,A198,Sell_History!$B:$B,B198)))</f>
        <v/>
      </c>
    </row>
    <row r="199" spans="1:6">
      <c r="A199" s="2"/>
      <c r="B199" s="2"/>
      <c r="C199" s="4"/>
      <c r="D199" s="2"/>
      <c r="E199" s="7"/>
      <c r="F199" s="11" t="str">
        <f>IF(E199="","",MAX(0,E199-SUMIFS($E:$E,$D:$D,A199)-SUMIFS(Sell_History!$E:$E,Sell_History!$A:$A,A199,Sell_History!$B:$B,B199)))</f>
        <v/>
      </c>
    </row>
    <row r="200" spans="1:6">
      <c r="A200" s="2"/>
      <c r="B200" s="2"/>
      <c r="C200" s="4"/>
      <c r="D200" s="2"/>
      <c r="E200" s="7"/>
      <c r="F200" s="11" t="str">
        <f>IF(E200="","",MAX(0,E200-SUMIFS($E:$E,$D:$D,A200)-SUMIFS(Sell_History!$E:$E,Sell_History!$A:$A,A200,Sell_History!$B:$B,B200)))</f>
        <v/>
      </c>
    </row>
    <row r="201" spans="1:6">
      <c r="A201" s="2"/>
      <c r="B201" s="2"/>
      <c r="C201" s="4"/>
      <c r="D201" s="2"/>
      <c r="E201" s="7"/>
      <c r="F201" s="11"/>
    </row>
    <row r="202" spans="1:6">
      <c r="A202" s="2"/>
      <c r="B202" s="2"/>
      <c r="C202" s="4"/>
      <c r="D202" s="2"/>
      <c r="E202" s="7"/>
      <c r="F202" s="11"/>
    </row>
    <row r="203" spans="1:6">
      <c r="A203" s="2"/>
      <c r="B203" s="2"/>
      <c r="C203" s="4"/>
      <c r="D203" s="2"/>
      <c r="E203" s="7"/>
      <c r="F203" s="11"/>
    </row>
    <row r="204" spans="1:6">
      <c r="A204" s="2"/>
      <c r="B204" s="2"/>
      <c r="C204" s="4"/>
      <c r="D204" s="2"/>
      <c r="E204" s="7"/>
      <c r="F204" s="11"/>
    </row>
    <row r="205" spans="1:6">
      <c r="A205" s="2"/>
      <c r="B205" s="2"/>
      <c r="C205" s="4"/>
      <c r="D205" s="2"/>
      <c r="E205" s="7"/>
      <c r="F205" s="11"/>
    </row>
    <row r="206" spans="1:6">
      <c r="A206" s="2"/>
      <c r="B206" s="2"/>
      <c r="C206" s="4"/>
      <c r="D206" s="2"/>
      <c r="E206" s="7"/>
      <c r="F206" s="11"/>
    </row>
    <row r="207" spans="1:6">
      <c r="A207" s="2"/>
      <c r="B207" s="2"/>
      <c r="C207" s="4"/>
      <c r="D207" s="2"/>
      <c r="E207" s="7"/>
      <c r="F207" s="11"/>
    </row>
    <row r="208" spans="1:6">
      <c r="A208" s="2"/>
      <c r="B208" s="2"/>
      <c r="C208" s="4"/>
      <c r="D208" s="2"/>
      <c r="E208" s="7"/>
      <c r="F208" s="11"/>
    </row>
    <row r="209" spans="1:6">
      <c r="A209" s="2"/>
      <c r="B209" s="2"/>
      <c r="C209" s="4"/>
      <c r="D209" s="2"/>
      <c r="E209" s="7"/>
      <c r="F209" s="11"/>
    </row>
    <row r="210" spans="1:6">
      <c r="A210" s="2"/>
      <c r="B210" s="2"/>
      <c r="C210" s="4"/>
      <c r="D210" s="2"/>
      <c r="E210" s="7"/>
      <c r="F210" s="11"/>
    </row>
    <row r="211" spans="1:6">
      <c r="A211" s="2"/>
      <c r="B211" s="2"/>
      <c r="C211" s="4"/>
      <c r="D211" s="2"/>
      <c r="E211" s="7"/>
      <c r="F211" s="11"/>
    </row>
    <row r="212" spans="1:6">
      <c r="A212" s="2"/>
      <c r="B212" s="2"/>
      <c r="C212" s="4"/>
      <c r="D212" s="2"/>
      <c r="E212" s="7"/>
      <c r="F212" s="11"/>
    </row>
    <row r="213" spans="1:6">
      <c r="A213" s="2"/>
      <c r="B213" s="2"/>
      <c r="C213" s="4"/>
      <c r="D213" s="2"/>
      <c r="E213" s="7"/>
      <c r="F213" s="11"/>
    </row>
    <row r="214" spans="1:6">
      <c r="A214" s="2"/>
      <c r="B214" s="2"/>
      <c r="C214" s="4"/>
      <c r="D214" s="2"/>
      <c r="E214" s="7"/>
      <c r="F214" s="11"/>
    </row>
    <row r="215" spans="1:6">
      <c r="A215" s="2"/>
      <c r="B215" s="2"/>
      <c r="C215" s="4"/>
      <c r="D215" s="2"/>
      <c r="E215" s="7"/>
      <c r="F215" s="11"/>
    </row>
    <row r="216" spans="1:6">
      <c r="A216" s="2"/>
      <c r="B216" s="2"/>
      <c r="C216" s="4"/>
      <c r="D216" s="2"/>
      <c r="E216" s="7"/>
      <c r="F216" s="11"/>
    </row>
    <row r="217" spans="1:6">
      <c r="A217" s="2"/>
      <c r="B217" s="2"/>
      <c r="C217" s="4"/>
      <c r="D217" s="2"/>
      <c r="E217" s="7"/>
      <c r="F217" s="11"/>
    </row>
    <row r="218" spans="1:6">
      <c r="A218" s="2"/>
      <c r="B218" s="2"/>
      <c r="C218" s="4"/>
      <c r="D218" s="2"/>
      <c r="E218" s="7"/>
      <c r="F218" s="11"/>
    </row>
    <row r="219" spans="1:6">
      <c r="A219" s="2"/>
      <c r="B219" s="2"/>
      <c r="C219" s="4"/>
      <c r="D219" s="2"/>
      <c r="E219" s="7"/>
      <c r="F219" s="11"/>
    </row>
    <row r="220" spans="1:6">
      <c r="A220" s="2"/>
      <c r="B220" s="2"/>
      <c r="C220" s="4"/>
      <c r="D220" s="2"/>
      <c r="E220" s="7"/>
      <c r="F220" s="11"/>
    </row>
    <row r="221" spans="1:6">
      <c r="A221" s="2"/>
      <c r="B221" s="2"/>
      <c r="C221" s="4"/>
      <c r="D221" s="2"/>
      <c r="E221" s="7"/>
      <c r="F221" s="11"/>
    </row>
    <row r="222" spans="1:6">
      <c r="A222" s="2"/>
      <c r="B222" s="2"/>
      <c r="C222" s="4"/>
      <c r="D222" s="2"/>
      <c r="E222" s="7"/>
      <c r="F222" s="11"/>
    </row>
    <row r="223" spans="1:6">
      <c r="A223" s="2"/>
      <c r="B223" s="2"/>
      <c r="C223" s="4"/>
      <c r="D223" s="2"/>
      <c r="E223" s="7"/>
      <c r="F223" s="11"/>
    </row>
    <row r="224" spans="1:6">
      <c r="A224" s="2"/>
      <c r="B224" s="2"/>
      <c r="C224" s="4"/>
      <c r="D224" s="2"/>
      <c r="E224" s="7"/>
      <c r="F224" s="11"/>
    </row>
    <row r="225" spans="1:6">
      <c r="A225" s="2"/>
      <c r="B225" s="2"/>
      <c r="C225" s="4"/>
      <c r="D225" s="2"/>
      <c r="E225" s="7"/>
      <c r="F225" s="11"/>
    </row>
    <row r="226" spans="1:6">
      <c r="A226" s="2"/>
      <c r="B226" s="2"/>
      <c r="C226" s="4"/>
      <c r="D226" s="2"/>
      <c r="E226" s="7"/>
      <c r="F226" s="11"/>
    </row>
    <row r="227" spans="1:6">
      <c r="A227" s="2"/>
      <c r="B227" s="2"/>
      <c r="C227" s="4"/>
      <c r="D227" s="2"/>
      <c r="E227" s="7"/>
      <c r="F227" s="11"/>
    </row>
    <row r="228" spans="1:6">
      <c r="A228" s="2"/>
      <c r="B228" s="2"/>
      <c r="C228" s="4"/>
      <c r="D228" s="2"/>
      <c r="E228" s="7"/>
      <c r="F228" s="11"/>
    </row>
    <row r="229" spans="1:6">
      <c r="A229" s="2"/>
      <c r="B229" s="2"/>
      <c r="C229" s="4"/>
      <c r="D229" s="2"/>
      <c r="E229" s="7"/>
      <c r="F229" s="11"/>
    </row>
    <row r="230" spans="1:6">
      <c r="A230" s="2"/>
      <c r="B230" s="2"/>
      <c r="C230" s="4"/>
      <c r="D230" s="2"/>
      <c r="E230" s="7"/>
      <c r="F230" s="11"/>
    </row>
    <row r="231" spans="1:6">
      <c r="A231" s="2"/>
      <c r="B231" s="2"/>
      <c r="C231" s="4"/>
      <c r="D231" s="2"/>
      <c r="E231" s="7"/>
      <c r="F231" s="11"/>
    </row>
    <row r="232" spans="1:6">
      <c r="A232" s="2"/>
      <c r="B232" s="2"/>
      <c r="C232" s="4"/>
      <c r="D232" s="2"/>
      <c r="E232" s="7"/>
      <c r="F232" s="11"/>
    </row>
    <row r="233" spans="1:6">
      <c r="A233" s="2"/>
      <c r="B233" s="2"/>
      <c r="C233" s="4"/>
      <c r="D233" s="2"/>
      <c r="E233" s="7"/>
      <c r="F233" s="11"/>
    </row>
    <row r="234" spans="1:6">
      <c r="A234" s="2"/>
      <c r="B234" s="2"/>
      <c r="C234" s="4"/>
      <c r="D234" s="2"/>
      <c r="E234" s="7"/>
      <c r="F234" s="11"/>
    </row>
    <row r="235" spans="1:6">
      <c r="A235" s="2"/>
      <c r="B235" s="2"/>
      <c r="C235" s="4"/>
      <c r="D235" s="2"/>
      <c r="E235" s="7"/>
      <c r="F235" s="11"/>
    </row>
    <row r="236" spans="1:6">
      <c r="A236" s="2"/>
      <c r="B236" s="2"/>
      <c r="C236" s="4"/>
      <c r="D236" s="2"/>
      <c r="E236" s="7"/>
      <c r="F236" s="11"/>
    </row>
    <row r="237" spans="1:6">
      <c r="A237" s="2"/>
      <c r="B237" s="2"/>
      <c r="C237" s="4"/>
      <c r="D237" s="2"/>
      <c r="E237" s="7"/>
      <c r="F237" s="11"/>
    </row>
    <row r="238" spans="1:6">
      <c r="A238" s="2"/>
      <c r="B238" s="2"/>
      <c r="C238" s="4"/>
      <c r="D238" s="2"/>
      <c r="E238" s="7"/>
      <c r="F238" s="11"/>
    </row>
    <row r="239" spans="1:6">
      <c r="A239" s="2"/>
      <c r="B239" s="2"/>
      <c r="C239" s="4"/>
      <c r="D239" s="2"/>
      <c r="E239" s="7"/>
      <c r="F239" s="11"/>
    </row>
    <row r="240" spans="1:6">
      <c r="A240" s="2"/>
      <c r="B240" s="2"/>
      <c r="C240" s="4"/>
      <c r="D240" s="2"/>
      <c r="E240" s="7"/>
      <c r="F240" s="11"/>
    </row>
    <row r="241" spans="1:6">
      <c r="A241" s="2"/>
      <c r="B241" s="2"/>
      <c r="C241" s="4"/>
      <c r="D241" s="2"/>
      <c r="E241" s="7"/>
      <c r="F241" s="11"/>
    </row>
    <row r="242" spans="1:6">
      <c r="A242" s="2"/>
      <c r="B242" s="2"/>
      <c r="C242" s="4"/>
      <c r="D242" s="2"/>
      <c r="E242" s="7"/>
      <c r="F242" s="11"/>
    </row>
    <row r="243" spans="1:6">
      <c r="A243" s="2"/>
      <c r="B243" s="2"/>
      <c r="C243" s="4"/>
      <c r="D243" s="2"/>
      <c r="E243" s="7"/>
      <c r="F243" s="11"/>
    </row>
    <row r="244" spans="1:6">
      <c r="A244" s="2"/>
      <c r="B244" s="2"/>
      <c r="C244" s="4"/>
      <c r="D244" s="2"/>
      <c r="E244" s="7"/>
      <c r="F244" s="11"/>
    </row>
    <row r="245" spans="1:6">
      <c r="A245" s="2"/>
      <c r="B245" s="2"/>
      <c r="C245" s="4"/>
      <c r="D245" s="2"/>
      <c r="E245" s="7"/>
      <c r="F245" s="11"/>
    </row>
    <row r="246" spans="1:6">
      <c r="A246" s="2"/>
      <c r="B246" s="2"/>
      <c r="C246" s="4"/>
      <c r="D246" s="2"/>
      <c r="E246" s="7"/>
      <c r="F246" s="11"/>
    </row>
    <row r="247" spans="1:6">
      <c r="A247" s="2"/>
      <c r="B247" s="2"/>
      <c r="C247" s="4"/>
      <c r="D247" s="2"/>
      <c r="E247" s="7"/>
      <c r="F247" s="11"/>
    </row>
    <row r="248" spans="1:6">
      <c r="A248" s="2"/>
      <c r="B248" s="2"/>
      <c r="C248" s="4"/>
      <c r="D248" s="2"/>
      <c r="E248" s="7"/>
      <c r="F248" s="11"/>
    </row>
    <row r="249" spans="1:6">
      <c r="A249" s="2"/>
      <c r="B249" s="2"/>
      <c r="C249" s="4"/>
      <c r="D249" s="2"/>
      <c r="E249" s="7"/>
      <c r="F249" s="11"/>
    </row>
    <row r="250" spans="1:6">
      <c r="A250" s="2"/>
      <c r="B250" s="2"/>
      <c r="C250" s="4"/>
      <c r="D250" s="2"/>
      <c r="E250" s="7"/>
      <c r="F250" s="11"/>
    </row>
    <row r="251" spans="1:6">
      <c r="A251" s="2"/>
      <c r="B251" s="2"/>
      <c r="C251" s="4"/>
      <c r="D251" s="2"/>
      <c r="E251" s="7"/>
      <c r="F251" s="11"/>
    </row>
    <row r="252" spans="1:6">
      <c r="A252" s="2"/>
      <c r="B252" s="2"/>
      <c r="C252" s="4"/>
      <c r="D252" s="2"/>
      <c r="E252" s="7"/>
      <c r="F252" s="11"/>
    </row>
    <row r="253" spans="1:6">
      <c r="A253" s="2"/>
      <c r="B253" s="2"/>
      <c r="C253" s="4"/>
      <c r="D253" s="2"/>
      <c r="E253" s="7"/>
      <c r="F253" s="11"/>
    </row>
    <row r="254" spans="1:6">
      <c r="A254" s="2"/>
      <c r="B254" s="2"/>
      <c r="C254" s="4"/>
      <c r="D254" s="2"/>
      <c r="E254" s="7"/>
      <c r="F254" s="11"/>
    </row>
    <row r="255" spans="1:6">
      <c r="A255" s="2"/>
      <c r="B255" s="2"/>
      <c r="C255" s="4"/>
      <c r="D255" s="2"/>
      <c r="E255" s="7"/>
      <c r="F255" s="11"/>
    </row>
    <row r="256" spans="1:6">
      <c r="A256" s="2"/>
      <c r="B256" s="2"/>
      <c r="C256" s="4"/>
      <c r="D256" s="2"/>
      <c r="E256" s="7"/>
      <c r="F256" s="11"/>
    </row>
    <row r="257" spans="1:6">
      <c r="A257" s="2"/>
      <c r="B257" s="2"/>
      <c r="C257" s="4"/>
      <c r="D257" s="2"/>
      <c r="E257" s="7"/>
      <c r="F257" s="11"/>
    </row>
    <row r="258" spans="1:6">
      <c r="A258" s="2"/>
      <c r="B258" s="2"/>
      <c r="C258" s="4"/>
      <c r="D258" s="2"/>
      <c r="E258" s="7"/>
      <c r="F258" s="11"/>
    </row>
    <row r="259" spans="1:6">
      <c r="A259" s="2"/>
      <c r="B259" s="2"/>
      <c r="C259" s="4"/>
      <c r="D259" s="2"/>
      <c r="E259" s="7"/>
      <c r="F259" s="11"/>
    </row>
    <row r="260" spans="1:6">
      <c r="A260" s="2"/>
      <c r="B260" s="2"/>
      <c r="C260" s="4"/>
      <c r="D260" s="2"/>
      <c r="E260" s="7"/>
      <c r="F260" s="11"/>
    </row>
    <row r="261" spans="1:6">
      <c r="A261" s="2"/>
      <c r="B261" s="2"/>
      <c r="C261" s="4"/>
      <c r="D261" s="2"/>
      <c r="E261" s="7"/>
      <c r="F261" s="11"/>
    </row>
    <row r="262" spans="1:6">
      <c r="A262" s="2"/>
      <c r="B262" s="2"/>
      <c r="C262" s="4"/>
      <c r="D262" s="2"/>
      <c r="E262" s="7"/>
      <c r="F262" s="11"/>
    </row>
    <row r="263" spans="1:6">
      <c r="A263" s="2"/>
      <c r="B263" s="2"/>
      <c r="C263" s="4"/>
      <c r="D263" s="2"/>
      <c r="E263" s="7"/>
      <c r="F263" s="11"/>
    </row>
    <row r="264" spans="1:6">
      <c r="A264" s="2"/>
      <c r="B264" s="2"/>
      <c r="C264" s="4"/>
      <c r="D264" s="2"/>
      <c r="E264" s="7"/>
      <c r="F264" s="11"/>
    </row>
    <row r="265" spans="1:6">
      <c r="A265" s="2"/>
      <c r="B265" s="2"/>
      <c r="C265" s="4"/>
      <c r="D265" s="2"/>
      <c r="E265" s="7"/>
      <c r="F265" s="11"/>
    </row>
    <row r="266" spans="1:6">
      <c r="A266" s="2"/>
      <c r="B266" s="2"/>
      <c r="C266" s="4"/>
      <c r="D266" s="2"/>
      <c r="E266" s="7"/>
      <c r="F266" s="11"/>
    </row>
    <row r="267" spans="1:6">
      <c r="A267" s="2"/>
      <c r="B267" s="2"/>
      <c r="C267" s="4"/>
      <c r="D267" s="2"/>
      <c r="E267" s="7"/>
      <c r="F267" s="11"/>
    </row>
    <row r="268" spans="1:6">
      <c r="A268" s="2"/>
      <c r="B268" s="2"/>
      <c r="C268" s="4"/>
      <c r="D268" s="2"/>
      <c r="E268" s="7"/>
      <c r="F268" s="11"/>
    </row>
    <row r="269" spans="1:6">
      <c r="A269" s="2"/>
      <c r="B269" s="2"/>
      <c r="C269" s="4"/>
      <c r="D269" s="2"/>
      <c r="E269" s="7"/>
      <c r="F269" s="11"/>
    </row>
    <row r="270" spans="1:6">
      <c r="A270" s="2"/>
      <c r="B270" s="2"/>
      <c r="C270" s="4"/>
      <c r="D270" s="2"/>
      <c r="E270" s="7"/>
      <c r="F270" s="11"/>
    </row>
    <row r="271" spans="1:6">
      <c r="A271" s="2"/>
      <c r="B271" s="2"/>
      <c r="C271" s="4"/>
      <c r="D271" s="2"/>
      <c r="E271" s="7"/>
      <c r="F271" s="11"/>
    </row>
    <row r="272" spans="1:6">
      <c r="A272" s="2"/>
      <c r="B272" s="2"/>
      <c r="C272" s="4"/>
      <c r="D272" s="2"/>
      <c r="E272" s="7"/>
      <c r="F272" s="11"/>
    </row>
    <row r="273" spans="1:6">
      <c r="A273" s="2"/>
      <c r="B273" s="2"/>
      <c r="C273" s="4"/>
      <c r="D273" s="2"/>
      <c r="E273" s="7"/>
      <c r="F273" s="11"/>
    </row>
    <row r="274" spans="1:6">
      <c r="A274" s="2"/>
      <c r="B274" s="2"/>
      <c r="C274" s="4"/>
      <c r="D274" s="2"/>
      <c r="E274" s="7"/>
      <c r="F274" s="11"/>
    </row>
    <row r="275" spans="1:6">
      <c r="A275" s="2"/>
      <c r="B275" s="2"/>
      <c r="C275" s="4"/>
      <c r="D275" s="2"/>
      <c r="E275" s="7"/>
      <c r="F275" s="11"/>
    </row>
    <row r="276" spans="1:6">
      <c r="A276" s="2"/>
      <c r="B276" s="2"/>
      <c r="C276" s="4"/>
      <c r="D276" s="2"/>
      <c r="E276" s="7"/>
      <c r="F276" s="11"/>
    </row>
    <row r="277" spans="1:6">
      <c r="A277" s="2"/>
      <c r="B277" s="2"/>
      <c r="C277" s="4"/>
      <c r="D277" s="2"/>
      <c r="E277" s="7"/>
      <c r="F277" s="11"/>
    </row>
    <row r="278" spans="1:6">
      <c r="A278" s="2"/>
      <c r="B278" s="2"/>
      <c r="C278" s="4"/>
      <c r="D278" s="2"/>
      <c r="E278" s="7"/>
      <c r="F278" s="11"/>
    </row>
    <row r="279" spans="1:6">
      <c r="A279" s="2"/>
      <c r="B279" s="2"/>
      <c r="C279" s="4"/>
      <c r="D279" s="2"/>
      <c r="E279" s="7"/>
      <c r="F279" s="11"/>
    </row>
    <row r="280" spans="1:6">
      <c r="A280" s="2"/>
      <c r="B280" s="2"/>
      <c r="C280" s="4"/>
      <c r="D280" s="2"/>
      <c r="E280" s="7"/>
      <c r="F280" s="11"/>
    </row>
    <row r="281" spans="1:6">
      <c r="A281" s="2"/>
      <c r="B281" s="2"/>
      <c r="C281" s="4"/>
      <c r="D281" s="2"/>
      <c r="E281" s="7"/>
      <c r="F281" s="11"/>
    </row>
    <row r="282" spans="1:6">
      <c r="A282" s="2"/>
      <c r="B282" s="2"/>
      <c r="C282" s="4"/>
      <c r="D282" s="2"/>
      <c r="E282" s="7"/>
      <c r="F282" s="11"/>
    </row>
    <row r="283" spans="1:6">
      <c r="A283" s="2"/>
      <c r="B283" s="2"/>
      <c r="C283" s="4"/>
      <c r="D283" s="2"/>
      <c r="E283" s="7"/>
      <c r="F283" s="11"/>
    </row>
    <row r="284" spans="1:6">
      <c r="A284" s="2"/>
      <c r="B284" s="2"/>
      <c r="C284" s="4"/>
      <c r="D284" s="2"/>
      <c r="E284" s="7"/>
      <c r="F284" s="11"/>
    </row>
    <row r="285" spans="1:6">
      <c r="A285" s="2"/>
      <c r="B285" s="2"/>
      <c r="C285" s="4"/>
      <c r="D285" s="2"/>
      <c r="E285" s="7"/>
      <c r="F285" s="11"/>
    </row>
    <row r="286" spans="1:6">
      <c r="A286" s="2"/>
      <c r="B286" s="2"/>
      <c r="C286" s="4"/>
      <c r="D286" s="2"/>
      <c r="E286" s="7"/>
      <c r="F286" s="11"/>
    </row>
    <row r="287" spans="1:6">
      <c r="A287" s="2"/>
      <c r="B287" s="2"/>
      <c r="C287" s="4"/>
      <c r="D287" s="2"/>
      <c r="E287" s="7"/>
      <c r="F287" s="11"/>
    </row>
    <row r="288" spans="1:6">
      <c r="A288" s="2"/>
      <c r="B288" s="2"/>
      <c r="C288" s="4"/>
      <c r="D288" s="2"/>
      <c r="E288" s="7"/>
      <c r="F288" s="11"/>
    </row>
    <row r="289" spans="1:6">
      <c r="A289" s="2"/>
      <c r="B289" s="2"/>
      <c r="C289" s="4"/>
      <c r="D289" s="2"/>
      <c r="E289" s="7"/>
      <c r="F289" s="11"/>
    </row>
    <row r="290" spans="1:6">
      <c r="A290" s="2"/>
      <c r="B290" s="2"/>
      <c r="C290" s="4"/>
      <c r="D290" s="2"/>
      <c r="E290" s="7"/>
      <c r="F290" s="11"/>
    </row>
    <row r="291" spans="1:6">
      <c r="A291" s="2"/>
      <c r="B291" s="2"/>
      <c r="C291" s="4"/>
      <c r="D291" s="2"/>
      <c r="E291" s="7"/>
      <c r="F291" s="11"/>
    </row>
    <row r="292" spans="1:6">
      <c r="A292" s="2"/>
      <c r="B292" s="2"/>
      <c r="C292" s="4"/>
      <c r="D292" s="2"/>
      <c r="E292" s="7"/>
      <c r="F292" s="11"/>
    </row>
    <row r="293" spans="1:6">
      <c r="A293" s="2"/>
      <c r="B293" s="2"/>
      <c r="C293" s="4"/>
      <c r="D293" s="2"/>
      <c r="E293" s="7"/>
      <c r="F293" s="11"/>
    </row>
    <row r="294" spans="1:6">
      <c r="A294" s="2"/>
      <c r="B294" s="2"/>
      <c r="C294" s="4"/>
      <c r="D294" s="2"/>
      <c r="E294" s="7"/>
      <c r="F294" s="11"/>
    </row>
    <row r="295" spans="1:6">
      <c r="A295" s="2"/>
      <c r="B295" s="2"/>
      <c r="C295" s="4"/>
      <c r="D295" s="2"/>
      <c r="E295" s="7"/>
      <c r="F295" s="11"/>
    </row>
    <row r="296" spans="1:6">
      <c r="A296" s="2"/>
      <c r="B296" s="2"/>
      <c r="C296" s="4"/>
      <c r="D296" s="2"/>
      <c r="E296" s="7"/>
      <c r="F296" s="11"/>
    </row>
    <row r="297" spans="1:6">
      <c r="A297" s="2"/>
      <c r="B297" s="2"/>
      <c r="C297" s="4"/>
      <c r="D297" s="2"/>
      <c r="E297" s="7"/>
      <c r="F297" s="11"/>
    </row>
    <row r="298" spans="1:6">
      <c r="A298" s="2"/>
      <c r="B298" s="2"/>
      <c r="C298" s="4"/>
      <c r="D298" s="2"/>
      <c r="E298" s="7"/>
      <c r="F298" s="11"/>
    </row>
    <row r="299" spans="1:6">
      <c r="A299" s="2"/>
      <c r="B299" s="2"/>
      <c r="C299" s="4"/>
      <c r="D299" s="2"/>
      <c r="E299" s="7"/>
      <c r="F299" s="11"/>
    </row>
    <row r="300" spans="1:6">
      <c r="A300" s="2"/>
      <c r="B300" s="2"/>
      <c r="C300" s="4"/>
      <c r="D300" s="2"/>
      <c r="E300" s="7"/>
      <c r="F300" s="11"/>
    </row>
    <row r="301" spans="1:6">
      <c r="A301" s="2"/>
      <c r="B301" s="2"/>
      <c r="C301" s="4"/>
      <c r="D301" s="2"/>
      <c r="E301" s="7"/>
      <c r="F301" s="11"/>
    </row>
    <row r="302" spans="1:6">
      <c r="A302" s="2"/>
      <c r="B302" s="2"/>
      <c r="C302" s="4"/>
      <c r="D302" s="2"/>
      <c r="E302" s="7"/>
      <c r="F302" s="11"/>
    </row>
    <row r="303" spans="1:6">
      <c r="A303" s="2"/>
      <c r="B303" s="2"/>
      <c r="C303" s="4"/>
      <c r="D303" s="2"/>
      <c r="E303" s="7"/>
      <c r="F303" s="11"/>
    </row>
    <row r="304" spans="1:6">
      <c r="A304" s="2"/>
      <c r="B304" s="2"/>
      <c r="C304" s="4"/>
      <c r="D304" s="2"/>
      <c r="E304" s="7"/>
      <c r="F304" s="11"/>
    </row>
    <row r="305" spans="1:6">
      <c r="A305" s="2"/>
      <c r="B305" s="2"/>
      <c r="C305" s="4"/>
      <c r="D305" s="2"/>
      <c r="E305" s="7"/>
      <c r="F305" s="11"/>
    </row>
    <row r="306" spans="1:6">
      <c r="A306" s="2"/>
      <c r="B306" s="2"/>
      <c r="C306" s="4"/>
      <c r="D306" s="2"/>
      <c r="E306" s="7"/>
      <c r="F306" s="11"/>
    </row>
    <row r="307" spans="1:6">
      <c r="A307" s="2"/>
      <c r="B307" s="2"/>
      <c r="C307" s="4"/>
      <c r="D307" s="2"/>
      <c r="E307" s="7"/>
      <c r="F307" s="11"/>
    </row>
    <row r="308" spans="1:6">
      <c r="A308" s="2"/>
      <c r="B308" s="2"/>
      <c r="C308" s="4"/>
      <c r="D308" s="2"/>
      <c r="E308" s="7"/>
      <c r="F308" s="11"/>
    </row>
    <row r="309" spans="1:6">
      <c r="A309" s="2"/>
      <c r="B309" s="2"/>
      <c r="C309" s="4"/>
      <c r="D309" s="2"/>
      <c r="E309" s="7"/>
      <c r="F309" s="11"/>
    </row>
    <row r="310" spans="1:6">
      <c r="A310" s="2"/>
      <c r="B310" s="2"/>
      <c r="C310" s="4"/>
      <c r="D310" s="2"/>
      <c r="E310" s="7"/>
      <c r="F310" s="11"/>
    </row>
    <row r="311" spans="1:6">
      <c r="A311" s="2"/>
      <c r="B311" s="2"/>
      <c r="C311" s="4"/>
      <c r="D311" s="2"/>
      <c r="E311" s="7"/>
      <c r="F311" s="11"/>
    </row>
    <row r="312" spans="1:6">
      <c r="A312" s="2"/>
      <c r="B312" s="2"/>
      <c r="C312" s="4"/>
      <c r="D312" s="2"/>
      <c r="E312" s="7"/>
      <c r="F312" s="11"/>
    </row>
    <row r="313" spans="1:6">
      <c r="A313" s="2"/>
      <c r="B313" s="2"/>
      <c r="C313" s="4"/>
      <c r="D313" s="2"/>
      <c r="E313" s="7"/>
      <c r="F313" s="11"/>
    </row>
    <row r="314" spans="1:6">
      <c r="A314" s="2"/>
      <c r="B314" s="2"/>
      <c r="C314" s="4"/>
      <c r="D314" s="2"/>
      <c r="E314" s="7"/>
      <c r="F314" s="11"/>
    </row>
    <row r="315" spans="1:6">
      <c r="A315" s="2"/>
      <c r="B315" s="2"/>
      <c r="C315" s="4"/>
      <c r="D315" s="2"/>
      <c r="E315" s="7"/>
      <c r="F315" s="11"/>
    </row>
    <row r="316" spans="1:6">
      <c r="A316" s="2"/>
      <c r="B316" s="2"/>
      <c r="C316" s="4"/>
      <c r="D316" s="2"/>
      <c r="E316" s="7"/>
      <c r="F316" s="11"/>
    </row>
    <row r="317" spans="1:6">
      <c r="A317" s="2"/>
      <c r="B317" s="2"/>
      <c r="C317" s="4"/>
      <c r="D317" s="2"/>
      <c r="E317" s="7"/>
      <c r="F317" s="11"/>
    </row>
    <row r="318" spans="1:6">
      <c r="A318" s="2"/>
      <c r="B318" s="2"/>
      <c r="C318" s="4"/>
      <c r="D318" s="2"/>
      <c r="E318" s="7"/>
      <c r="F318" s="11"/>
    </row>
    <row r="319" spans="1:6">
      <c r="A319" s="2"/>
      <c r="B319" s="2"/>
      <c r="C319" s="4"/>
      <c r="D319" s="2"/>
      <c r="E319" s="7"/>
      <c r="F319" s="11"/>
    </row>
    <row r="320" spans="1:6">
      <c r="A320" s="2"/>
      <c r="B320" s="2"/>
      <c r="C320" s="4"/>
      <c r="D320" s="2"/>
      <c r="E320" s="7"/>
      <c r="F320" s="11"/>
    </row>
    <row r="321" spans="1:6">
      <c r="A321" s="2"/>
      <c r="B321" s="2"/>
      <c r="C321" s="4"/>
      <c r="D321" s="2"/>
      <c r="E321" s="7"/>
      <c r="F321" s="11"/>
    </row>
    <row r="322" spans="1:6">
      <c r="A322" s="2"/>
      <c r="B322" s="2"/>
      <c r="C322" s="4"/>
      <c r="D322" s="2"/>
      <c r="E322" s="7"/>
      <c r="F322" s="11"/>
    </row>
    <row r="323" spans="1:6">
      <c r="A323" s="2"/>
      <c r="B323" s="2"/>
      <c r="C323" s="4"/>
      <c r="D323" s="2"/>
      <c r="E323" s="7"/>
      <c r="F323" s="11"/>
    </row>
    <row r="324" spans="1:6">
      <c r="A324" s="2"/>
      <c r="B324" s="2"/>
      <c r="C324" s="4"/>
      <c r="D324" s="2"/>
      <c r="E324" s="7"/>
      <c r="F324" s="11"/>
    </row>
    <row r="325" spans="1:6">
      <c r="A325" s="2"/>
      <c r="B325" s="2"/>
      <c r="C325" s="4"/>
      <c r="D325" s="2"/>
      <c r="E325" s="7"/>
      <c r="F325" s="11"/>
    </row>
    <row r="326" spans="1:6">
      <c r="A326" s="2"/>
      <c r="B326" s="2"/>
      <c r="C326" s="4"/>
      <c r="D326" s="2"/>
      <c r="E326" s="7"/>
      <c r="F326" s="11"/>
    </row>
    <row r="327" spans="1:6">
      <c r="A327" s="2"/>
      <c r="B327" s="2"/>
      <c r="C327" s="4"/>
      <c r="D327" s="2"/>
      <c r="E327" s="7"/>
      <c r="F327" s="11"/>
    </row>
    <row r="328" spans="1:6">
      <c r="A328" s="2"/>
      <c r="B328" s="2"/>
      <c r="C328" s="4"/>
      <c r="D328" s="2"/>
      <c r="E328" s="7"/>
      <c r="F328" s="11"/>
    </row>
    <row r="329" spans="1:6">
      <c r="A329" s="2"/>
      <c r="B329" s="2"/>
      <c r="C329" s="4"/>
      <c r="D329" s="2"/>
      <c r="E329" s="7"/>
      <c r="F329" s="11"/>
    </row>
    <row r="330" spans="1:6">
      <c r="A330" s="2"/>
      <c r="B330" s="2"/>
      <c r="C330" s="4"/>
      <c r="D330" s="2"/>
      <c r="E330" s="7"/>
      <c r="F330" s="11"/>
    </row>
    <row r="331" spans="1:6">
      <c r="A331" s="2"/>
      <c r="B331" s="2"/>
      <c r="C331" s="4"/>
      <c r="D331" s="2"/>
      <c r="E331" s="7"/>
      <c r="F331" s="11"/>
    </row>
    <row r="332" spans="1:6">
      <c r="A332" s="2"/>
      <c r="B332" s="2"/>
      <c r="C332" s="4"/>
      <c r="D332" s="2"/>
      <c r="E332" s="7"/>
      <c r="F332" s="11"/>
    </row>
    <row r="333" spans="1:6">
      <c r="A333" s="2"/>
      <c r="B333" s="2"/>
      <c r="C333" s="4"/>
      <c r="D333" s="2"/>
      <c r="E333" s="7"/>
      <c r="F333" s="11"/>
    </row>
    <row r="334" spans="1:6">
      <c r="A334" s="2"/>
      <c r="B334" s="2"/>
      <c r="C334" s="4"/>
      <c r="D334" s="2"/>
      <c r="E334" s="7"/>
      <c r="F334" s="11"/>
    </row>
    <row r="335" spans="1:6">
      <c r="A335" s="2"/>
      <c r="B335" s="2"/>
      <c r="C335" s="4"/>
      <c r="D335" s="2"/>
      <c r="E335" s="7"/>
      <c r="F335" s="11"/>
    </row>
    <row r="336" spans="1:6">
      <c r="A336" s="2"/>
      <c r="B336" s="2"/>
      <c r="C336" s="4"/>
      <c r="D336" s="2"/>
      <c r="E336" s="7"/>
      <c r="F336" s="11"/>
    </row>
    <row r="337" spans="1:6">
      <c r="A337" s="2"/>
      <c r="B337" s="2"/>
      <c r="C337" s="4"/>
      <c r="D337" s="2"/>
      <c r="E337" s="7"/>
      <c r="F337" s="11"/>
    </row>
    <row r="338" spans="1:6">
      <c r="A338" s="2"/>
      <c r="B338" s="2"/>
      <c r="C338" s="4"/>
      <c r="D338" s="2"/>
      <c r="E338" s="7"/>
      <c r="F338" s="11"/>
    </row>
    <row r="339" spans="1:6">
      <c r="A339" s="2"/>
      <c r="B339" s="2"/>
      <c r="C339" s="4"/>
      <c r="D339" s="2"/>
      <c r="E339" s="7"/>
      <c r="F339" s="11"/>
    </row>
    <row r="340" spans="1:6">
      <c r="A340" s="2"/>
      <c r="B340" s="2"/>
      <c r="C340" s="4"/>
      <c r="D340" s="2"/>
      <c r="E340" s="7"/>
      <c r="F340" s="11"/>
    </row>
    <row r="341" spans="1:6">
      <c r="A341" s="2"/>
      <c r="B341" s="2"/>
      <c r="C341" s="4"/>
      <c r="D341" s="2"/>
      <c r="E341" s="7"/>
      <c r="F341" s="11"/>
    </row>
    <row r="342" spans="1:6">
      <c r="A342" s="2"/>
      <c r="B342" s="2"/>
      <c r="C342" s="4"/>
      <c r="D342" s="2"/>
      <c r="E342" s="7"/>
      <c r="F342" s="11"/>
    </row>
    <row r="343" spans="1:6">
      <c r="A343" s="2"/>
      <c r="B343" s="2"/>
      <c r="C343" s="4"/>
      <c r="D343" s="2"/>
      <c r="E343" s="7"/>
      <c r="F343" s="11"/>
    </row>
    <row r="344" spans="1:6">
      <c r="A344" s="2"/>
      <c r="B344" s="2"/>
      <c r="C344" s="4"/>
      <c r="D344" s="2"/>
      <c r="E344" s="7"/>
      <c r="F344" s="11"/>
    </row>
    <row r="345" spans="1:6">
      <c r="A345" s="2"/>
      <c r="B345" s="2"/>
      <c r="C345" s="4"/>
      <c r="D345" s="2"/>
      <c r="E345" s="7"/>
      <c r="F345" s="11"/>
    </row>
    <row r="346" spans="1:6">
      <c r="A346" s="2"/>
      <c r="B346" s="2"/>
      <c r="C346" s="4"/>
      <c r="D346" s="2"/>
      <c r="E346" s="7"/>
      <c r="F346" s="11"/>
    </row>
    <row r="347" spans="1:6">
      <c r="A347" s="2"/>
      <c r="B347" s="2"/>
      <c r="C347" s="4"/>
      <c r="D347" s="2"/>
      <c r="E347" s="7"/>
      <c r="F347" s="11"/>
    </row>
    <row r="348" spans="1:6">
      <c r="A348" s="2"/>
      <c r="B348" s="2"/>
      <c r="C348" s="4"/>
      <c r="D348" s="2"/>
      <c r="E348" s="7"/>
      <c r="F348" s="11"/>
    </row>
    <row r="349" spans="1:6">
      <c r="A349" s="2"/>
      <c r="B349" s="2"/>
      <c r="C349" s="4"/>
      <c r="D349" s="2"/>
      <c r="E349" s="7"/>
      <c r="F349" s="11"/>
    </row>
    <row r="350" spans="1:6">
      <c r="A350" s="2"/>
      <c r="B350" s="2"/>
      <c r="C350" s="4"/>
      <c r="D350" s="2"/>
      <c r="E350" s="7"/>
      <c r="F350" s="11"/>
    </row>
    <row r="351" spans="1:6">
      <c r="A351" s="2"/>
      <c r="B351" s="2"/>
      <c r="C351" s="4"/>
      <c r="D351" s="2"/>
      <c r="E351" s="7"/>
      <c r="F351" s="11"/>
    </row>
    <row r="352" spans="1:6">
      <c r="A352" s="2"/>
      <c r="B352" s="2"/>
      <c r="C352" s="4"/>
      <c r="D352" s="2"/>
      <c r="E352" s="7"/>
      <c r="F352" s="11"/>
    </row>
    <row r="353" spans="1:6">
      <c r="A353" s="2"/>
      <c r="B353" s="2"/>
      <c r="C353" s="4"/>
      <c r="D353" s="2"/>
      <c r="E353" s="7"/>
      <c r="F353" s="11"/>
    </row>
    <row r="354" spans="1:6">
      <c r="A354" s="2"/>
      <c r="B354" s="2"/>
      <c r="C354" s="4"/>
      <c r="D354" s="2"/>
      <c r="E354" s="7"/>
      <c r="F354" s="11"/>
    </row>
    <row r="355" spans="1:6">
      <c r="A355" s="2"/>
      <c r="B355" s="2"/>
      <c r="C355" s="4"/>
      <c r="D355" s="2"/>
      <c r="E355" s="7"/>
      <c r="F355" s="11"/>
    </row>
    <row r="356" spans="1:6">
      <c r="A356" s="2"/>
      <c r="B356" s="2"/>
      <c r="C356" s="4"/>
      <c r="D356" s="2"/>
      <c r="E356" s="7"/>
      <c r="F356" s="11"/>
    </row>
    <row r="357" spans="1:6">
      <c r="A357" s="2"/>
      <c r="B357" s="2"/>
      <c r="C357" s="4"/>
      <c r="D357" s="2"/>
      <c r="E357" s="7"/>
      <c r="F357" s="11"/>
    </row>
    <row r="358" spans="1:6">
      <c r="A358" s="2"/>
      <c r="B358" s="2"/>
      <c r="C358" s="4"/>
      <c r="D358" s="2"/>
      <c r="E358" s="7"/>
      <c r="F358" s="11"/>
    </row>
    <row r="359" spans="1:6">
      <c r="A359" s="2"/>
      <c r="B359" s="2"/>
      <c r="C359" s="4"/>
      <c r="D359" s="2"/>
      <c r="E359" s="7"/>
      <c r="F359" s="11"/>
    </row>
    <row r="360" spans="1:6">
      <c r="A360" s="2"/>
      <c r="B360" s="2"/>
      <c r="C360" s="4"/>
      <c r="D360" s="2"/>
      <c r="E360" s="7"/>
      <c r="F360" s="11"/>
    </row>
    <row r="361" spans="1:6">
      <c r="A361" s="2"/>
      <c r="B361" s="2"/>
      <c r="C361" s="4"/>
      <c r="D361" s="2"/>
      <c r="E361" s="7"/>
      <c r="F361" s="11"/>
    </row>
    <row r="362" spans="1:6">
      <c r="A362" s="2"/>
      <c r="B362" s="2"/>
      <c r="C362" s="4"/>
      <c r="D362" s="2"/>
      <c r="E362" s="7"/>
      <c r="F362" s="11"/>
    </row>
    <row r="363" spans="1:6">
      <c r="A363" s="2"/>
      <c r="B363" s="2"/>
      <c r="C363" s="4"/>
      <c r="D363" s="2"/>
      <c r="E363" s="7"/>
      <c r="F363" s="11"/>
    </row>
    <row r="364" spans="1:6">
      <c r="A364" s="2"/>
      <c r="B364" s="2"/>
      <c r="C364" s="4"/>
      <c r="D364" s="2"/>
      <c r="E364" s="7"/>
      <c r="F364" s="11"/>
    </row>
    <row r="365" spans="1:6">
      <c r="A365" s="2"/>
      <c r="B365" s="2"/>
      <c r="C365" s="4"/>
      <c r="D365" s="2"/>
      <c r="E365" s="7"/>
      <c r="F365" s="11"/>
    </row>
    <row r="366" spans="1:6">
      <c r="A366" s="2"/>
      <c r="B366" s="2"/>
      <c r="C366" s="4"/>
      <c r="D366" s="2"/>
      <c r="E366" s="7"/>
      <c r="F366" s="11"/>
    </row>
    <row r="367" spans="1:6">
      <c r="A367" s="2"/>
      <c r="B367" s="2"/>
      <c r="C367" s="4"/>
      <c r="D367" s="2"/>
      <c r="E367" s="7"/>
      <c r="F367" s="11"/>
    </row>
    <row r="368" spans="1:6">
      <c r="A368" s="2"/>
      <c r="B368" s="2"/>
      <c r="C368" s="4"/>
      <c r="D368" s="2"/>
      <c r="E368" s="7"/>
      <c r="F368" s="11"/>
    </row>
    <row r="369" spans="1:6">
      <c r="A369" s="2"/>
      <c r="B369" s="2"/>
      <c r="C369" s="4"/>
      <c r="D369" s="2"/>
      <c r="E369" s="7"/>
      <c r="F369" s="11"/>
    </row>
    <row r="370" spans="1:6">
      <c r="A370" s="2"/>
      <c r="B370" s="2"/>
      <c r="C370" s="4"/>
      <c r="D370" s="2"/>
      <c r="E370" s="7"/>
      <c r="F370" s="11"/>
    </row>
    <row r="371" spans="1:6">
      <c r="A371" s="2"/>
      <c r="B371" s="2"/>
      <c r="C371" s="4"/>
      <c r="D371" s="2"/>
      <c r="E371" s="7"/>
      <c r="F371" s="11"/>
    </row>
    <row r="372" spans="1:6">
      <c r="A372" s="2"/>
      <c r="B372" s="2"/>
      <c r="C372" s="4"/>
      <c r="D372" s="2"/>
      <c r="E372" s="7"/>
      <c r="F372" s="11"/>
    </row>
    <row r="373" spans="1:6">
      <c r="A373" s="2"/>
      <c r="B373" s="2"/>
      <c r="C373" s="4"/>
      <c r="D373" s="2"/>
      <c r="E373" s="7"/>
      <c r="F373" s="11"/>
    </row>
    <row r="374" spans="1:6">
      <c r="A374" s="2"/>
      <c r="B374" s="2"/>
      <c r="C374" s="4"/>
      <c r="D374" s="2"/>
      <c r="E374" s="7"/>
      <c r="F374" s="11"/>
    </row>
    <row r="375" spans="1:6">
      <c r="A375" s="2"/>
      <c r="B375" s="2"/>
      <c r="C375" s="4"/>
      <c r="D375" s="2"/>
      <c r="E375" s="7"/>
      <c r="F375" s="11"/>
    </row>
    <row r="376" spans="1:6">
      <c r="A376" s="2"/>
      <c r="B376" s="2"/>
      <c r="C376" s="4"/>
      <c r="D376" s="2"/>
      <c r="E376" s="7"/>
      <c r="F376" s="11"/>
    </row>
    <row r="377" spans="1:6">
      <c r="A377" s="2"/>
      <c r="B377" s="2"/>
      <c r="C377" s="4"/>
      <c r="D377" s="2"/>
      <c r="E377" s="7"/>
      <c r="F377" s="11"/>
    </row>
    <row r="378" spans="1:6">
      <c r="A378" s="2"/>
      <c r="B378" s="2"/>
      <c r="C378" s="4"/>
      <c r="D378" s="2"/>
      <c r="E378" s="7"/>
      <c r="F378" s="11"/>
    </row>
    <row r="379" spans="1:6">
      <c r="A379" s="2"/>
      <c r="B379" s="2"/>
      <c r="C379" s="4"/>
      <c r="D379" s="2"/>
      <c r="E379" s="7"/>
      <c r="F379" s="11"/>
    </row>
    <row r="380" spans="1:6">
      <c r="A380" s="2"/>
      <c r="B380" s="2"/>
      <c r="C380" s="4"/>
      <c r="D380" s="2"/>
      <c r="E380" s="7"/>
      <c r="F380" s="11"/>
    </row>
    <row r="381" spans="1:6">
      <c r="A381" s="2"/>
      <c r="B381" s="2"/>
      <c r="C381" s="4"/>
      <c r="D381" s="2"/>
      <c r="E381" s="7"/>
      <c r="F381" s="11"/>
    </row>
    <row r="382" spans="1:6">
      <c r="A382" s="2"/>
      <c r="B382" s="2"/>
      <c r="C382" s="4"/>
      <c r="D382" s="2"/>
      <c r="E382" s="7"/>
      <c r="F382" s="11"/>
    </row>
    <row r="383" spans="1:6">
      <c r="A383" s="2"/>
      <c r="B383" s="2"/>
      <c r="C383" s="4"/>
      <c r="D383" s="2"/>
      <c r="E383" s="7"/>
      <c r="F383" s="11"/>
    </row>
    <row r="384" spans="1:6">
      <c r="A384" s="2"/>
      <c r="B384" s="2"/>
      <c r="C384" s="4"/>
      <c r="D384" s="2"/>
      <c r="E384" s="7"/>
      <c r="F384" s="11"/>
    </row>
    <row r="385" spans="1:6">
      <c r="A385" s="2"/>
      <c r="B385" s="2"/>
      <c r="C385" s="4"/>
      <c r="D385" s="2"/>
      <c r="E385" s="7"/>
      <c r="F385" s="11"/>
    </row>
    <row r="386" spans="1:6">
      <c r="A386" s="2"/>
      <c r="B386" s="2"/>
      <c r="C386" s="4"/>
      <c r="D386" s="2"/>
      <c r="E386" s="7"/>
      <c r="F386" s="11"/>
    </row>
    <row r="387" spans="1:6">
      <c r="A387" s="2"/>
      <c r="B387" s="2"/>
      <c r="C387" s="4"/>
      <c r="D387" s="2"/>
      <c r="E387" s="7"/>
      <c r="F387" s="11"/>
    </row>
    <row r="388" spans="1:6">
      <c r="A388" s="2"/>
      <c r="B388" s="2"/>
      <c r="C388" s="4"/>
      <c r="D388" s="2"/>
      <c r="E388" s="7"/>
      <c r="F388" s="11"/>
    </row>
    <row r="389" spans="1:6">
      <c r="A389" s="2"/>
      <c r="B389" s="2"/>
      <c r="C389" s="4"/>
      <c r="D389" s="2"/>
      <c r="E389" s="7"/>
      <c r="F389" s="11"/>
    </row>
    <row r="390" spans="1:6">
      <c r="A390" s="2"/>
      <c r="B390" s="2"/>
      <c r="C390" s="4"/>
      <c r="D390" s="2"/>
      <c r="E390" s="7"/>
      <c r="F390" s="11"/>
    </row>
    <row r="391" spans="1:6">
      <c r="A391" s="2"/>
      <c r="B391" s="2"/>
      <c r="C391" s="4"/>
      <c r="D391" s="2"/>
      <c r="E391" s="7"/>
      <c r="F391" s="11"/>
    </row>
    <row r="392" spans="1:6">
      <c r="A392" s="2"/>
      <c r="B392" s="2"/>
      <c r="C392" s="4"/>
      <c r="D392" s="2"/>
      <c r="E392" s="7"/>
      <c r="F392" s="11"/>
    </row>
    <row r="393" spans="1:6">
      <c r="A393" s="2"/>
      <c r="B393" s="2"/>
      <c r="C393" s="4"/>
      <c r="D393" s="2"/>
      <c r="E393" s="7"/>
      <c r="F393" s="11"/>
    </row>
    <row r="394" spans="1:6">
      <c r="A394" s="2"/>
      <c r="B394" s="2"/>
      <c r="C394" s="4"/>
      <c r="D394" s="2"/>
      <c r="E394" s="7"/>
      <c r="F394" s="11"/>
    </row>
    <row r="395" spans="1:6">
      <c r="A395" s="2"/>
      <c r="B395" s="2"/>
      <c r="C395" s="4"/>
      <c r="D395" s="2"/>
      <c r="E395" s="7"/>
      <c r="F395" s="11"/>
    </row>
    <row r="396" spans="1:6">
      <c r="A396" s="2"/>
      <c r="B396" s="2"/>
      <c r="C396" s="4"/>
      <c r="D396" s="2"/>
      <c r="E396" s="7"/>
      <c r="F396" s="11"/>
    </row>
    <row r="397" spans="1:6">
      <c r="A397" s="2"/>
      <c r="B397" s="2"/>
      <c r="C397" s="4"/>
      <c r="D397" s="2"/>
      <c r="E397" s="7"/>
      <c r="F397" s="11"/>
    </row>
    <row r="398" spans="1:6">
      <c r="A398" s="2"/>
      <c r="B398" s="2"/>
      <c r="C398" s="4"/>
      <c r="D398" s="2"/>
      <c r="E398" s="7"/>
      <c r="F398" s="11"/>
    </row>
    <row r="399" spans="1:6">
      <c r="A399" s="2"/>
      <c r="B399" s="2"/>
      <c r="C399" s="4"/>
      <c r="D399" s="2"/>
      <c r="E399" s="7"/>
      <c r="F399" s="11"/>
    </row>
    <row r="400" spans="1:6">
      <c r="A400" s="2"/>
      <c r="B400" s="2"/>
      <c r="C400" s="4"/>
      <c r="D400" s="2"/>
      <c r="E400" s="7"/>
      <c r="F400" s="11"/>
    </row>
    <row r="401" spans="1:6">
      <c r="A401" s="2"/>
      <c r="B401" s="2"/>
      <c r="C401" s="4"/>
      <c r="D401" s="2"/>
      <c r="E401" s="7"/>
      <c r="F401" s="11"/>
    </row>
    <row r="402" spans="1:6">
      <c r="A402" s="2"/>
      <c r="B402" s="2"/>
      <c r="C402" s="4"/>
      <c r="D402" s="2"/>
      <c r="E402" s="7"/>
      <c r="F402" s="11"/>
    </row>
    <row r="403" spans="1:6">
      <c r="A403" s="2"/>
      <c r="B403" s="2"/>
      <c r="C403" s="4"/>
      <c r="D403" s="2"/>
      <c r="E403" s="7"/>
      <c r="F403" s="11"/>
    </row>
    <row r="404" spans="1:6">
      <c r="A404" s="2"/>
      <c r="B404" s="2"/>
      <c r="C404" s="4"/>
      <c r="D404" s="2"/>
      <c r="E404" s="7"/>
      <c r="F404" s="11"/>
    </row>
    <row r="405" spans="1:6">
      <c r="A405" s="2"/>
      <c r="B405" s="2"/>
      <c r="C405" s="4"/>
      <c r="D405" s="2"/>
      <c r="E405" s="7"/>
      <c r="F405" s="11"/>
    </row>
    <row r="406" spans="1:6">
      <c r="A406" s="2"/>
      <c r="B406" s="2"/>
      <c r="C406" s="4"/>
      <c r="D406" s="2"/>
      <c r="E406" s="7"/>
      <c r="F406" s="11"/>
    </row>
    <row r="407" spans="1:6">
      <c r="A407" s="2"/>
      <c r="B407" s="2"/>
      <c r="C407" s="4"/>
      <c r="D407" s="2"/>
      <c r="E407" s="7"/>
      <c r="F407" s="11"/>
    </row>
    <row r="408" spans="1:6">
      <c r="A408" s="2"/>
      <c r="B408" s="2"/>
      <c r="C408" s="4"/>
      <c r="D408" s="2"/>
      <c r="E408" s="7"/>
      <c r="F408" s="11"/>
    </row>
    <row r="409" spans="1:6">
      <c r="A409" s="2"/>
      <c r="B409" s="2"/>
      <c r="C409" s="4"/>
      <c r="D409" s="2"/>
      <c r="E409" s="7"/>
      <c r="F409" s="11"/>
    </row>
    <row r="410" spans="1:6">
      <c r="A410" s="2"/>
      <c r="B410" s="2"/>
      <c r="C410" s="4"/>
      <c r="D410" s="2"/>
      <c r="E410" s="7"/>
      <c r="F410" s="11"/>
    </row>
    <row r="411" spans="1:6">
      <c r="A411" s="2"/>
      <c r="B411" s="2"/>
      <c r="C411" s="4"/>
      <c r="D411" s="2"/>
      <c r="E411" s="7"/>
      <c r="F411" s="11"/>
    </row>
    <row r="412" spans="1:6">
      <c r="A412" s="2"/>
      <c r="B412" s="2"/>
      <c r="C412" s="4"/>
      <c r="D412" s="2"/>
      <c r="E412" s="7"/>
      <c r="F412" s="11"/>
    </row>
    <row r="413" spans="1:6">
      <c r="A413" s="2"/>
      <c r="B413" s="2"/>
      <c r="C413" s="4"/>
      <c r="D413" s="2"/>
      <c r="E413" s="7"/>
      <c r="F413" s="11"/>
    </row>
    <row r="414" spans="1:6">
      <c r="A414" s="2"/>
      <c r="B414" s="2"/>
      <c r="C414" s="4"/>
      <c r="D414" s="2"/>
      <c r="E414" s="7"/>
      <c r="F414" s="11"/>
    </row>
    <row r="415" spans="1:6">
      <c r="A415" s="2"/>
      <c r="B415" s="2"/>
      <c r="C415" s="4"/>
      <c r="D415" s="2"/>
      <c r="E415" s="7"/>
      <c r="F415" s="11"/>
    </row>
    <row r="416" spans="1:6">
      <c r="A416" s="2"/>
      <c r="B416" s="2"/>
      <c r="C416" s="4"/>
      <c r="D416" s="2"/>
      <c r="E416" s="7"/>
      <c r="F416" s="11"/>
    </row>
    <row r="417" spans="1:6">
      <c r="A417" s="2"/>
      <c r="B417" s="2"/>
      <c r="C417" s="4"/>
      <c r="D417" s="2"/>
      <c r="E417" s="7"/>
      <c r="F417" s="11"/>
    </row>
    <row r="418" spans="1:6">
      <c r="A418" s="2"/>
      <c r="B418" s="2"/>
      <c r="C418" s="4"/>
      <c r="D418" s="2"/>
      <c r="E418" s="7"/>
      <c r="F418" s="11"/>
    </row>
    <row r="419" spans="1:6">
      <c r="A419" s="2"/>
      <c r="B419" s="2"/>
      <c r="C419" s="4"/>
      <c r="D419" s="2"/>
      <c r="E419" s="7"/>
      <c r="F419" s="11"/>
    </row>
    <row r="420" spans="1:6">
      <c r="A420" s="2"/>
      <c r="B420" s="2"/>
      <c r="C420" s="4"/>
      <c r="D420" s="2"/>
      <c r="E420" s="7"/>
      <c r="F420" s="11"/>
    </row>
    <row r="421" spans="1:6">
      <c r="A421" s="2"/>
      <c r="B421" s="2"/>
      <c r="C421" s="4"/>
      <c r="D421" s="2"/>
      <c r="E421" s="7"/>
      <c r="F421" s="11"/>
    </row>
    <row r="422" spans="1:6">
      <c r="A422" s="2"/>
      <c r="B422" s="2"/>
      <c r="C422" s="4"/>
      <c r="D422" s="2"/>
      <c r="E422" s="7"/>
      <c r="F422" s="11"/>
    </row>
    <row r="423" spans="1:6">
      <c r="A423" s="2"/>
      <c r="B423" s="2"/>
      <c r="C423" s="4"/>
      <c r="D423" s="2"/>
      <c r="E423" s="7"/>
      <c r="F423" s="11"/>
    </row>
    <row r="424" spans="1:6">
      <c r="A424" s="2"/>
      <c r="B424" s="2"/>
      <c r="C424" s="4"/>
      <c r="D424" s="2"/>
      <c r="E424" s="7"/>
      <c r="F424" s="11"/>
    </row>
    <row r="425" spans="1:6">
      <c r="A425" s="2"/>
      <c r="B425" s="2"/>
      <c r="C425" s="4"/>
      <c r="D425" s="2"/>
      <c r="E425" s="7"/>
      <c r="F425" s="11"/>
    </row>
    <row r="426" spans="1:6">
      <c r="A426" s="2"/>
      <c r="B426" s="2"/>
      <c r="C426" s="4"/>
      <c r="D426" s="2"/>
      <c r="E426" s="7"/>
      <c r="F426" s="11"/>
    </row>
    <row r="427" spans="1:6">
      <c r="A427" s="2"/>
      <c r="B427" s="2"/>
      <c r="C427" s="4"/>
      <c r="D427" s="2"/>
      <c r="E427" s="7"/>
      <c r="F427" s="11"/>
    </row>
    <row r="428" spans="1:6">
      <c r="A428" s="2"/>
      <c r="B428" s="2"/>
      <c r="C428" s="4"/>
      <c r="D428" s="2"/>
      <c r="E428" s="7"/>
      <c r="F428" s="11"/>
    </row>
    <row r="429" spans="1:6">
      <c r="A429" s="2"/>
      <c r="B429" s="2"/>
      <c r="C429" s="4"/>
      <c r="D429" s="2"/>
      <c r="E429" s="7"/>
      <c r="F429" s="11"/>
    </row>
    <row r="430" spans="1:6">
      <c r="A430" s="2"/>
      <c r="B430" s="2"/>
      <c r="C430" s="4"/>
      <c r="D430" s="2"/>
      <c r="E430" s="7"/>
      <c r="F430" s="11"/>
    </row>
    <row r="431" spans="1:6">
      <c r="A431" s="2"/>
      <c r="B431" s="2"/>
      <c r="C431" s="4"/>
      <c r="D431" s="2"/>
      <c r="E431" s="7"/>
      <c r="F431" s="11"/>
    </row>
    <row r="432" spans="1:6">
      <c r="A432" s="2"/>
      <c r="B432" s="2"/>
      <c r="C432" s="4"/>
      <c r="D432" s="2"/>
      <c r="E432" s="7"/>
      <c r="F432" s="11"/>
    </row>
    <row r="433" spans="1:6">
      <c r="A433" s="2"/>
      <c r="B433" s="2"/>
      <c r="C433" s="4"/>
      <c r="D433" s="2"/>
      <c r="E433" s="7"/>
      <c r="F433" s="11"/>
    </row>
    <row r="434" spans="1:6">
      <c r="A434" s="2"/>
      <c r="B434" s="2"/>
      <c r="C434" s="4"/>
      <c r="D434" s="2"/>
      <c r="E434" s="7"/>
      <c r="F434" s="11"/>
    </row>
    <row r="435" spans="1:6">
      <c r="A435" s="2"/>
      <c r="B435" s="2"/>
      <c r="C435" s="4"/>
      <c r="D435" s="2"/>
      <c r="E435" s="7"/>
      <c r="F435" s="11"/>
    </row>
    <row r="436" spans="1:6">
      <c r="A436" s="2"/>
      <c r="B436" s="2"/>
      <c r="C436" s="4"/>
      <c r="D436" s="2"/>
      <c r="E436" s="7"/>
      <c r="F436" s="11"/>
    </row>
    <row r="437" spans="1:6">
      <c r="A437" s="2"/>
      <c r="B437" s="2"/>
      <c r="C437" s="4"/>
      <c r="D437" s="2"/>
      <c r="E437" s="7"/>
      <c r="F437" s="11"/>
    </row>
    <row r="438" spans="1:6">
      <c r="A438" s="2"/>
      <c r="B438" s="2"/>
      <c r="C438" s="4"/>
      <c r="D438" s="2"/>
      <c r="E438" s="7"/>
      <c r="F438" s="11"/>
    </row>
    <row r="439" spans="1:6">
      <c r="A439" s="2"/>
      <c r="B439" s="2"/>
      <c r="C439" s="4"/>
      <c r="D439" s="2"/>
      <c r="E439" s="7"/>
      <c r="F439" s="11"/>
    </row>
    <row r="440" spans="1:6">
      <c r="A440" s="2"/>
      <c r="B440" s="2"/>
      <c r="C440" s="4"/>
      <c r="D440" s="2"/>
      <c r="E440" s="7"/>
      <c r="F440" s="11"/>
    </row>
    <row r="441" spans="1:6">
      <c r="A441" s="2"/>
      <c r="B441" s="2"/>
      <c r="C441" s="4"/>
      <c r="D441" s="2"/>
      <c r="E441" s="7"/>
      <c r="F441" s="11"/>
    </row>
    <row r="442" spans="1:6">
      <c r="A442" s="2"/>
      <c r="B442" s="2"/>
      <c r="C442" s="4"/>
      <c r="D442" s="2"/>
      <c r="E442" s="7"/>
      <c r="F442" s="11"/>
    </row>
    <row r="443" spans="1:6">
      <c r="A443" s="2"/>
      <c r="B443" s="2"/>
      <c r="C443" s="4"/>
      <c r="D443" s="2"/>
      <c r="E443" s="7"/>
      <c r="F443" s="11"/>
    </row>
    <row r="444" spans="1:6">
      <c r="A444" s="2"/>
      <c r="B444" s="2"/>
      <c r="C444" s="4"/>
      <c r="D444" s="2"/>
      <c r="E444" s="7"/>
      <c r="F444" s="11"/>
    </row>
    <row r="445" spans="1:6">
      <c r="A445" s="2"/>
      <c r="B445" s="2"/>
      <c r="C445" s="4"/>
      <c r="D445" s="2"/>
      <c r="E445" s="7"/>
      <c r="F445" s="11"/>
    </row>
    <row r="446" spans="1:6">
      <c r="A446" s="2"/>
      <c r="B446" s="2"/>
      <c r="C446" s="4"/>
      <c r="D446" s="2"/>
      <c r="E446" s="7"/>
      <c r="F446" s="11"/>
    </row>
    <row r="447" spans="1:6">
      <c r="A447" s="2"/>
      <c r="B447" s="2"/>
      <c r="C447" s="4"/>
      <c r="D447" s="2"/>
      <c r="E447" s="7"/>
      <c r="F447" s="11"/>
    </row>
    <row r="448" spans="1:6">
      <c r="A448" s="2"/>
      <c r="B448" s="2"/>
      <c r="C448" s="4"/>
      <c r="D448" s="2"/>
      <c r="E448" s="7"/>
      <c r="F448" s="11"/>
    </row>
    <row r="449" spans="1:6">
      <c r="A449" s="2"/>
      <c r="B449" s="2"/>
      <c r="C449" s="4"/>
      <c r="D449" s="2"/>
      <c r="E449" s="7"/>
      <c r="F449" s="11"/>
    </row>
    <row r="450" spans="1:6">
      <c r="A450" s="2"/>
      <c r="B450" s="2"/>
      <c r="C450" s="4"/>
      <c r="D450" s="2"/>
      <c r="E450" s="7"/>
      <c r="F450" s="11"/>
    </row>
    <row r="451" spans="1:6">
      <c r="A451" s="2"/>
      <c r="B451" s="2"/>
      <c r="C451" s="4"/>
      <c r="D451" s="2"/>
      <c r="E451" s="7"/>
      <c r="F451" s="11"/>
    </row>
    <row r="452" spans="1:6">
      <c r="A452" s="2"/>
      <c r="B452" s="2"/>
      <c r="C452" s="4"/>
      <c r="D452" s="2"/>
      <c r="E452" s="7"/>
      <c r="F452" s="11"/>
    </row>
    <row r="453" spans="1:6">
      <c r="A453" s="2"/>
      <c r="B453" s="2"/>
      <c r="C453" s="4"/>
      <c r="D453" s="2"/>
      <c r="E453" s="7"/>
      <c r="F453" s="11"/>
    </row>
    <row r="454" spans="1:6">
      <c r="A454" s="2"/>
      <c r="B454" s="2"/>
      <c r="C454" s="4"/>
      <c r="D454" s="2"/>
      <c r="E454" s="7"/>
      <c r="F454" s="11"/>
    </row>
    <row r="455" spans="1:6">
      <c r="A455" s="2"/>
      <c r="B455" s="2"/>
      <c r="C455" s="4"/>
      <c r="D455" s="2"/>
      <c r="E455" s="7"/>
      <c r="F455" s="11"/>
    </row>
    <row r="456" spans="1:6">
      <c r="A456" s="2"/>
      <c r="B456" s="2"/>
      <c r="C456" s="4"/>
      <c r="D456" s="2"/>
      <c r="E456" s="7"/>
      <c r="F456" s="11"/>
    </row>
    <row r="457" spans="1:6">
      <c r="A457" s="2"/>
      <c r="B457" s="2"/>
      <c r="C457" s="4"/>
      <c r="D457" s="2"/>
      <c r="E457" s="7"/>
      <c r="F457" s="11"/>
    </row>
    <row r="458" spans="1:6">
      <c r="A458" s="2"/>
      <c r="B458" s="2"/>
      <c r="C458" s="4"/>
      <c r="D458" s="2"/>
      <c r="E458" s="7"/>
      <c r="F458" s="11"/>
    </row>
    <row r="459" spans="1:6">
      <c r="A459" s="2"/>
      <c r="B459" s="2"/>
      <c r="C459" s="4"/>
      <c r="D459" s="2"/>
      <c r="E459" s="7"/>
      <c r="F459" s="11"/>
    </row>
    <row r="460" spans="1:6">
      <c r="A460" s="2"/>
      <c r="B460" s="2"/>
      <c r="C460" s="4"/>
      <c r="D460" s="2"/>
      <c r="E460" s="7"/>
      <c r="F460" s="11"/>
    </row>
    <row r="461" spans="1:6">
      <c r="A461" s="2"/>
      <c r="B461" s="2"/>
      <c r="C461" s="4"/>
      <c r="D461" s="2"/>
      <c r="E461" s="7"/>
      <c r="F461" s="11"/>
    </row>
    <row r="462" spans="1:6">
      <c r="A462" s="2"/>
      <c r="B462" s="2"/>
      <c r="C462" s="4"/>
      <c r="D462" s="2"/>
      <c r="E462" s="7"/>
      <c r="F462" s="11"/>
    </row>
    <row r="463" spans="1:6">
      <c r="A463" s="2"/>
      <c r="B463" s="2"/>
      <c r="C463" s="4"/>
      <c r="D463" s="2"/>
      <c r="E463" s="7"/>
      <c r="F463" s="11"/>
    </row>
    <row r="464" spans="1:6">
      <c r="A464" s="2"/>
      <c r="B464" s="2"/>
      <c r="C464" s="4"/>
      <c r="D464" s="2"/>
      <c r="E464" s="7"/>
      <c r="F464" s="11"/>
    </row>
    <row r="465" spans="1:6">
      <c r="A465" s="2"/>
      <c r="B465" s="2"/>
      <c r="C465" s="4"/>
      <c r="D465" s="2"/>
      <c r="E465" s="7"/>
      <c r="F465" s="11"/>
    </row>
    <row r="466" spans="1:6">
      <c r="A466" s="2"/>
      <c r="B466" s="2"/>
      <c r="C466" s="4"/>
      <c r="D466" s="2"/>
      <c r="E466" s="7"/>
      <c r="F466" s="11"/>
    </row>
    <row r="467" spans="1:6">
      <c r="A467" s="2"/>
      <c r="B467" s="2"/>
      <c r="C467" s="4"/>
      <c r="D467" s="2"/>
      <c r="E467" s="7"/>
      <c r="F467" s="11"/>
    </row>
    <row r="468" spans="1:6">
      <c r="A468" s="2"/>
      <c r="B468" s="2"/>
      <c r="C468" s="4"/>
      <c r="D468" s="2"/>
      <c r="E468" s="7"/>
      <c r="F468" s="11"/>
    </row>
    <row r="469" spans="1:6">
      <c r="A469" s="2"/>
      <c r="B469" s="2"/>
      <c r="C469" s="4"/>
      <c r="D469" s="2"/>
      <c r="E469" s="7"/>
      <c r="F469" s="11"/>
    </row>
    <row r="470" spans="1:6">
      <c r="A470" s="2"/>
      <c r="B470" s="2"/>
      <c r="C470" s="4"/>
      <c r="D470" s="2"/>
      <c r="E470" s="7"/>
      <c r="F470" s="11"/>
    </row>
    <row r="471" spans="1:6">
      <c r="A471" s="2"/>
      <c r="B471" s="2"/>
      <c r="C471" s="4"/>
      <c r="D471" s="2"/>
      <c r="E471" s="7"/>
      <c r="F471" s="11"/>
    </row>
    <row r="472" spans="1:6">
      <c r="A472" s="2"/>
      <c r="B472" s="2"/>
      <c r="C472" s="4"/>
      <c r="D472" s="2"/>
      <c r="E472" s="7"/>
      <c r="F472" s="11"/>
    </row>
    <row r="473" spans="1:6">
      <c r="A473" s="2"/>
      <c r="B473" s="2"/>
      <c r="C473" s="4"/>
      <c r="D473" s="2"/>
      <c r="E473" s="7"/>
      <c r="F473" s="11"/>
    </row>
    <row r="474" spans="1:6">
      <c r="A474" s="2"/>
      <c r="B474" s="2"/>
      <c r="C474" s="4"/>
      <c r="D474" s="2"/>
      <c r="E474" s="7"/>
      <c r="F474" s="11"/>
    </row>
    <row r="475" spans="1:6">
      <c r="A475" s="2"/>
      <c r="B475" s="2"/>
      <c r="C475" s="4"/>
      <c r="D475" s="2"/>
      <c r="E475" s="7"/>
      <c r="F475" s="11"/>
    </row>
    <row r="476" spans="1:6">
      <c r="A476" s="2"/>
      <c r="B476" s="2"/>
      <c r="C476" s="4"/>
      <c r="D476" s="2"/>
      <c r="E476" s="7"/>
      <c r="F476" s="11"/>
    </row>
    <row r="477" spans="1:6">
      <c r="A477" s="2"/>
      <c r="B477" s="2"/>
      <c r="C477" s="4"/>
      <c r="D477" s="2"/>
      <c r="E477" s="7"/>
      <c r="F477" s="11"/>
    </row>
    <row r="478" spans="1:6">
      <c r="A478" s="2"/>
      <c r="B478" s="2"/>
      <c r="C478" s="4"/>
      <c r="D478" s="2"/>
      <c r="E478" s="7"/>
      <c r="F478" s="11"/>
    </row>
    <row r="479" spans="1:6">
      <c r="A479" s="2"/>
      <c r="B479" s="2"/>
      <c r="C479" s="4"/>
      <c r="D479" s="2"/>
      <c r="E479" s="7"/>
      <c r="F479" s="11"/>
    </row>
    <row r="480" spans="1:6">
      <c r="A480" s="2"/>
      <c r="B480" s="2"/>
      <c r="C480" s="4"/>
      <c r="D480" s="2"/>
      <c r="E480" s="7"/>
      <c r="F480" s="11"/>
    </row>
    <row r="481" spans="1:6">
      <c r="A481" s="2"/>
      <c r="B481" s="2"/>
      <c r="C481" s="4"/>
      <c r="D481" s="2"/>
      <c r="E481" s="7"/>
      <c r="F481" s="11"/>
    </row>
    <row r="482" spans="1:6">
      <c r="A482" s="2"/>
      <c r="B482" s="2"/>
      <c r="C482" s="4"/>
      <c r="D482" s="2"/>
      <c r="E482" s="7"/>
      <c r="F482" s="11"/>
    </row>
    <row r="483" spans="1:6">
      <c r="A483" s="2"/>
      <c r="B483" s="2"/>
      <c r="C483" s="4"/>
      <c r="D483" s="2"/>
      <c r="E483" s="7"/>
      <c r="F483" s="11"/>
    </row>
    <row r="484" spans="1:6">
      <c r="A484" s="2"/>
      <c r="B484" s="2"/>
      <c r="C484" s="4"/>
      <c r="D484" s="2"/>
      <c r="E484" s="7"/>
      <c r="F484" s="11"/>
    </row>
    <row r="485" spans="1:6">
      <c r="A485" s="2"/>
      <c r="B485" s="2"/>
      <c r="C485" s="4"/>
      <c r="D485" s="2"/>
      <c r="E485" s="7"/>
      <c r="F485" s="11"/>
    </row>
    <row r="486" spans="1:6">
      <c r="A486" s="2"/>
      <c r="B486" s="2"/>
      <c r="C486" s="4"/>
      <c r="D486" s="2"/>
      <c r="E486" s="7"/>
      <c r="F486" s="11"/>
    </row>
    <row r="487" spans="1:6">
      <c r="A487" s="2"/>
      <c r="B487" s="2"/>
      <c r="C487" s="4"/>
      <c r="D487" s="2"/>
      <c r="E487" s="7"/>
      <c r="F487" s="11"/>
    </row>
    <row r="488" spans="1:6">
      <c r="A488" s="2"/>
      <c r="B488" s="2"/>
      <c r="C488" s="4"/>
      <c r="D488" s="2"/>
      <c r="E488" s="7"/>
      <c r="F488" s="11"/>
    </row>
    <row r="489" spans="1:6">
      <c r="A489" s="2"/>
      <c r="B489" s="2"/>
      <c r="C489" s="4"/>
      <c r="D489" s="2"/>
      <c r="E489" s="7"/>
      <c r="F489" s="11"/>
    </row>
    <row r="490" spans="1:6">
      <c r="A490" s="2"/>
      <c r="B490" s="2"/>
      <c r="C490" s="4"/>
      <c r="D490" s="2"/>
      <c r="E490" s="7"/>
      <c r="F490" s="11"/>
    </row>
    <row r="491" spans="1:6">
      <c r="A491" s="2"/>
      <c r="B491" s="2"/>
      <c r="C491" s="4"/>
      <c r="D491" s="2"/>
      <c r="E491" s="7"/>
      <c r="F491" s="11"/>
    </row>
    <row r="492" spans="1:6">
      <c r="A492" s="2"/>
      <c r="B492" s="2"/>
      <c r="C492" s="4"/>
      <c r="D492" s="2"/>
      <c r="E492" s="7"/>
      <c r="F492" s="11"/>
    </row>
    <row r="493" spans="1:6">
      <c r="A493" s="2"/>
      <c r="B493" s="2"/>
      <c r="C493" s="4"/>
      <c r="D493" s="2"/>
      <c r="E493" s="7"/>
      <c r="F493" s="11"/>
    </row>
    <row r="494" spans="1:6">
      <c r="A494" s="2"/>
      <c r="B494" s="2"/>
      <c r="C494" s="4"/>
      <c r="D494" s="2"/>
      <c r="E494" s="7"/>
      <c r="F494" s="11"/>
    </row>
    <row r="495" spans="1:6">
      <c r="A495" s="2"/>
      <c r="B495" s="2"/>
      <c r="C495" s="4"/>
      <c r="D495" s="2"/>
      <c r="E495" s="7"/>
      <c r="F495" s="11"/>
    </row>
    <row r="496" spans="1:6">
      <c r="A496" s="2"/>
      <c r="B496" s="2"/>
      <c r="C496" s="4"/>
      <c r="D496" s="2"/>
      <c r="E496" s="7"/>
      <c r="F496" s="11"/>
    </row>
    <row r="497" spans="1:6">
      <c r="A497" s="2"/>
      <c r="B497" s="2"/>
      <c r="C497" s="4"/>
      <c r="D497" s="2"/>
      <c r="E497" s="7"/>
      <c r="F497" s="11"/>
    </row>
    <row r="498" spans="1:6">
      <c r="A498" s="2"/>
      <c r="B498" s="2"/>
      <c r="C498" s="4"/>
      <c r="D498" s="2"/>
      <c r="E498" s="7"/>
      <c r="F498" s="11"/>
    </row>
    <row r="499" spans="1:6">
      <c r="A499" s="2"/>
      <c r="B499" s="2"/>
      <c r="C499" s="4"/>
      <c r="D499" s="2"/>
      <c r="E499" s="7"/>
      <c r="F499" s="11"/>
    </row>
    <row r="500" spans="1:6">
      <c r="A500" s="2"/>
      <c r="B500" s="2"/>
      <c r="C500" s="4"/>
      <c r="D500" s="2"/>
      <c r="E500" s="7"/>
      <c r="F500" s="1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01"/>
  <sheetViews>
    <sheetView workbookViewId="0">
      <selection activeCell="D22" sqref="D22"/>
    </sheetView>
  </sheetViews>
  <sheetFormatPr defaultRowHeight="13.8"/>
  <cols>
    <col min="1" max="4" width="18" customWidth="1"/>
    <col min="5" max="5" width="22" customWidth="1"/>
    <col min="6" max="7" width="18" customWidth="1"/>
  </cols>
  <sheetData>
    <row r="1" spans="1:7">
      <c r="A1" s="1" t="s">
        <v>5</v>
      </c>
      <c r="B1" s="1" t="s">
        <v>6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 spans="1:7">
      <c r="A2" s="2" t="s">
        <v>37</v>
      </c>
      <c r="B2" s="2" t="s">
        <v>14</v>
      </c>
      <c r="C2" s="2" t="s">
        <v>66</v>
      </c>
      <c r="D2" s="2"/>
      <c r="E2" s="4">
        <v>46254</v>
      </c>
      <c r="F2" s="7"/>
      <c r="G2" s="7">
        <v>4656111.1321041733</v>
      </c>
    </row>
    <row r="3" spans="1:7">
      <c r="A3" s="2" t="s">
        <v>38</v>
      </c>
      <c r="B3" s="2" t="s">
        <v>15</v>
      </c>
      <c r="C3" s="2" t="s">
        <v>67</v>
      </c>
      <c r="D3" s="2"/>
      <c r="E3" s="4">
        <v>46254</v>
      </c>
      <c r="F3" s="7"/>
      <c r="G3" s="7">
        <v>3510101.0952620143</v>
      </c>
    </row>
    <row r="4" spans="1:7">
      <c r="A4" s="2" t="s">
        <v>39</v>
      </c>
      <c r="B4" s="2" t="s">
        <v>16</v>
      </c>
      <c r="C4" s="2" t="s">
        <v>68</v>
      </c>
      <c r="D4" s="2"/>
      <c r="E4" s="4">
        <v>46254</v>
      </c>
      <c r="F4" s="7"/>
      <c r="G4" s="7">
        <v>4613275.525775387</v>
      </c>
    </row>
    <row r="5" spans="1:7">
      <c r="A5" s="2" t="s">
        <v>40</v>
      </c>
      <c r="B5" s="2" t="s">
        <v>17</v>
      </c>
      <c r="C5" s="2" t="s">
        <v>69</v>
      </c>
      <c r="D5" s="2"/>
      <c r="E5" s="4">
        <v>46254</v>
      </c>
      <c r="F5" s="7"/>
      <c r="G5" s="7">
        <v>3510101.0952620143</v>
      </c>
    </row>
    <row r="6" spans="1:7">
      <c r="A6" s="2" t="s">
        <v>41</v>
      </c>
      <c r="B6" s="2" t="s">
        <v>18</v>
      </c>
      <c r="C6" s="2" t="s">
        <v>70</v>
      </c>
      <c r="D6" s="2"/>
      <c r="E6" s="4">
        <v>46249</v>
      </c>
      <c r="F6" s="7"/>
      <c r="G6" s="7">
        <v>6673000</v>
      </c>
    </row>
    <row r="7" spans="1:7">
      <c r="A7" s="2" t="s">
        <v>42</v>
      </c>
      <c r="B7" s="2" t="s">
        <v>19</v>
      </c>
      <c r="C7" s="2" t="s">
        <v>71</v>
      </c>
      <c r="D7" s="2"/>
      <c r="E7" s="4">
        <v>46248</v>
      </c>
      <c r="F7" s="7"/>
      <c r="G7" s="7">
        <v>20074367</v>
      </c>
    </row>
    <row r="8" spans="1:7">
      <c r="A8" s="2" t="s">
        <v>43</v>
      </c>
      <c r="B8" s="2" t="s">
        <v>20</v>
      </c>
      <c r="C8" s="2" t="s">
        <v>72</v>
      </c>
      <c r="D8" s="2"/>
      <c r="E8" s="4">
        <v>46248</v>
      </c>
      <c r="F8" s="7"/>
      <c r="G8" s="7">
        <v>29702912</v>
      </c>
    </row>
    <row r="9" spans="1:7">
      <c r="A9" s="2" t="s">
        <v>44</v>
      </c>
      <c r="B9" s="2" t="s">
        <v>21</v>
      </c>
      <c r="C9" s="2" t="s">
        <v>73</v>
      </c>
      <c r="D9" s="2"/>
      <c r="E9" s="4">
        <v>46249</v>
      </c>
      <c r="F9" s="7"/>
      <c r="G9" s="7">
        <v>30067117</v>
      </c>
    </row>
    <row r="10" spans="1:7">
      <c r="A10" s="2" t="s">
        <v>45</v>
      </c>
      <c r="B10" s="2" t="s">
        <v>22</v>
      </c>
      <c r="C10" s="2" t="s">
        <v>74</v>
      </c>
      <c r="D10" s="2"/>
      <c r="E10" s="4">
        <v>46253</v>
      </c>
      <c r="F10" s="7"/>
      <c r="G10" s="7">
        <v>20087893</v>
      </c>
    </row>
    <row r="11" spans="1:7">
      <c r="A11" s="2" t="s">
        <v>46</v>
      </c>
      <c r="B11" s="2" t="s">
        <v>23</v>
      </c>
      <c r="C11" s="2" t="s">
        <v>75</v>
      </c>
      <c r="D11" s="2"/>
      <c r="E11" s="4">
        <v>46256</v>
      </c>
      <c r="F11" s="7"/>
      <c r="G11" s="7">
        <v>50229267.883190483</v>
      </c>
    </row>
    <row r="12" spans="1:7">
      <c r="A12" s="2" t="s">
        <v>51</v>
      </c>
      <c r="B12" s="2" t="s">
        <v>28</v>
      </c>
      <c r="C12" s="2" t="s">
        <v>76</v>
      </c>
      <c r="D12" s="2"/>
      <c r="E12" s="4">
        <v>46257</v>
      </c>
      <c r="F12" s="7"/>
      <c r="G12" s="7">
        <v>15961777</v>
      </c>
    </row>
    <row r="13" spans="1:7">
      <c r="A13" s="2" t="s">
        <v>53</v>
      </c>
      <c r="B13" s="2" t="s">
        <v>30</v>
      </c>
      <c r="C13" s="2" t="s">
        <v>77</v>
      </c>
      <c r="D13" s="2"/>
      <c r="E13" s="4">
        <v>46257</v>
      </c>
      <c r="F13" s="7"/>
      <c r="G13" s="7">
        <v>5113209</v>
      </c>
    </row>
    <row r="14" spans="1:7">
      <c r="A14" s="2" t="s">
        <v>54</v>
      </c>
      <c r="B14" s="2" t="s">
        <v>31</v>
      </c>
      <c r="C14" s="2" t="s">
        <v>78</v>
      </c>
      <c r="D14" s="2"/>
      <c r="E14" s="4">
        <v>46258</v>
      </c>
      <c r="F14" s="7"/>
      <c r="G14" s="7">
        <v>35311000</v>
      </c>
    </row>
    <row r="15" spans="1:7">
      <c r="A15" s="2" t="s">
        <v>52</v>
      </c>
      <c r="B15" s="2" t="s">
        <v>29</v>
      </c>
      <c r="C15" s="2" t="s">
        <v>79</v>
      </c>
      <c r="D15" s="2"/>
      <c r="E15" s="4">
        <v>46258</v>
      </c>
      <c r="F15" s="7"/>
      <c r="G15" s="7">
        <v>7015220</v>
      </c>
    </row>
    <row r="16" spans="1:7">
      <c r="A16" s="2" t="s">
        <v>55</v>
      </c>
      <c r="B16" s="2" t="s">
        <v>32</v>
      </c>
      <c r="C16" s="2" t="s">
        <v>80</v>
      </c>
      <c r="D16" s="2"/>
      <c r="E16" s="4">
        <v>46262</v>
      </c>
      <c r="F16" s="7"/>
      <c r="G16" s="7">
        <v>45066545</v>
      </c>
    </row>
    <row r="17" spans="1:7">
      <c r="A17" s="2" t="s">
        <v>55</v>
      </c>
      <c r="B17" s="2" t="s">
        <v>32</v>
      </c>
      <c r="C17" s="2" t="s">
        <v>81</v>
      </c>
      <c r="D17" s="2" t="s">
        <v>80</v>
      </c>
      <c r="E17" s="4">
        <v>46264</v>
      </c>
      <c r="F17" s="7"/>
      <c r="G17" s="7">
        <v>45069570</v>
      </c>
    </row>
    <row r="18" spans="1:7">
      <c r="A18" s="2" t="s">
        <v>100</v>
      </c>
      <c r="B18" s="2" t="s">
        <v>32</v>
      </c>
      <c r="C18" s="2" t="str">
        <f t="shared" ref="C18:C49" si="0">IF(B18&lt;&gt;"","O-"&amp;TEXT(ROW()-1,"0000"),"")</f>
        <v>O-0017</v>
      </c>
      <c r="D18" s="2"/>
      <c r="E18" s="4">
        <v>46268</v>
      </c>
      <c r="F18" s="7">
        <v>22000000</v>
      </c>
      <c r="G18" s="7">
        <v>22012000</v>
      </c>
    </row>
    <row r="19" spans="1:7">
      <c r="A19" s="2" t="s">
        <v>101</v>
      </c>
      <c r="B19" s="2" t="s">
        <v>32</v>
      </c>
      <c r="C19" s="2" t="str">
        <f t="shared" si="0"/>
        <v>O-0018</v>
      </c>
      <c r="D19" s="2"/>
      <c r="E19" s="4">
        <v>46270</v>
      </c>
      <c r="F19" s="7">
        <v>23000000</v>
      </c>
      <c r="G19" s="7">
        <v>23083000</v>
      </c>
    </row>
    <row r="20" spans="1:7">
      <c r="A20" s="2" t="s">
        <v>96</v>
      </c>
      <c r="B20" s="2" t="s">
        <v>102</v>
      </c>
      <c r="C20" s="2" t="str">
        <f t="shared" si="0"/>
        <v>O-0019</v>
      </c>
      <c r="D20" s="2"/>
      <c r="E20" s="4">
        <v>46282</v>
      </c>
      <c r="F20" s="7"/>
      <c r="G20" s="7">
        <v>19099703.185137503</v>
      </c>
    </row>
    <row r="21" spans="1:7">
      <c r="A21" s="2" t="s">
        <v>97</v>
      </c>
      <c r="B21" s="2" t="s">
        <v>103</v>
      </c>
      <c r="C21" s="2" t="str">
        <f t="shared" si="0"/>
        <v>O-0020</v>
      </c>
      <c r="D21" s="2"/>
      <c r="E21" s="4">
        <v>46282</v>
      </c>
      <c r="F21" s="7"/>
      <c r="G21" s="7">
        <v>14992239.930786179</v>
      </c>
    </row>
    <row r="22" spans="1:7">
      <c r="A22" s="2" t="s">
        <v>108</v>
      </c>
      <c r="B22" s="2" t="s">
        <v>107</v>
      </c>
      <c r="C22" s="2" t="str">
        <f t="shared" si="0"/>
        <v>O-0021</v>
      </c>
      <c r="D22" s="2"/>
      <c r="E22" s="4">
        <v>46282</v>
      </c>
      <c r="F22" s="7"/>
      <c r="G22" s="7">
        <v>9950000</v>
      </c>
    </row>
    <row r="23" spans="1:7">
      <c r="A23" s="2" t="s">
        <v>125</v>
      </c>
      <c r="B23" s="2" t="s">
        <v>116</v>
      </c>
      <c r="C23" s="2" t="str">
        <f t="shared" si="0"/>
        <v>O-0022</v>
      </c>
      <c r="D23" s="2"/>
      <c r="E23" s="4">
        <v>46307</v>
      </c>
      <c r="F23" s="7"/>
      <c r="G23" s="7">
        <v>50029515</v>
      </c>
    </row>
    <row r="24" spans="1:7">
      <c r="A24" s="2" t="s">
        <v>125</v>
      </c>
      <c r="B24" s="2" t="s">
        <v>116</v>
      </c>
      <c r="C24" s="2" t="str">
        <f t="shared" si="0"/>
        <v>O-0023</v>
      </c>
      <c r="D24" s="2" t="s">
        <v>129</v>
      </c>
      <c r="E24" s="4">
        <v>46308</v>
      </c>
      <c r="F24" s="7"/>
      <c r="G24" s="7">
        <v>50037000</v>
      </c>
    </row>
    <row r="25" spans="1:7">
      <c r="A25" s="2"/>
      <c r="B25" s="2"/>
      <c r="C25" s="2" t="str">
        <f t="shared" si="0"/>
        <v/>
      </c>
      <c r="D25" s="2"/>
      <c r="E25" s="4"/>
      <c r="F25" s="7"/>
      <c r="G25" s="7"/>
    </row>
    <row r="26" spans="1:7">
      <c r="A26" s="2"/>
      <c r="B26" s="2"/>
      <c r="C26" s="2" t="str">
        <f t="shared" si="0"/>
        <v/>
      </c>
      <c r="D26" s="2"/>
      <c r="E26" s="4"/>
      <c r="F26" s="7"/>
      <c r="G26" s="7"/>
    </row>
    <row r="27" spans="1:7">
      <c r="A27" s="2"/>
      <c r="B27" s="2"/>
      <c r="C27" s="2" t="str">
        <f t="shared" si="0"/>
        <v/>
      </c>
      <c r="D27" s="2"/>
      <c r="E27" s="4"/>
      <c r="F27" s="7"/>
      <c r="G27" s="7"/>
    </row>
    <row r="28" spans="1:7">
      <c r="A28" s="2"/>
      <c r="B28" s="2"/>
      <c r="C28" s="2" t="str">
        <f t="shared" si="0"/>
        <v/>
      </c>
      <c r="D28" s="2"/>
      <c r="E28" s="4"/>
      <c r="F28" s="7"/>
      <c r="G28" s="7"/>
    </row>
    <row r="29" spans="1:7">
      <c r="A29" s="2"/>
      <c r="B29" s="2"/>
      <c r="C29" s="2" t="str">
        <f t="shared" si="0"/>
        <v/>
      </c>
      <c r="D29" s="2"/>
      <c r="E29" s="4"/>
      <c r="F29" s="7"/>
      <c r="G29" s="7"/>
    </row>
    <row r="30" spans="1:7">
      <c r="A30" s="2"/>
      <c r="B30" s="2"/>
      <c r="C30" s="2" t="str">
        <f t="shared" si="0"/>
        <v/>
      </c>
      <c r="D30" s="2"/>
      <c r="E30" s="4"/>
      <c r="F30" s="7"/>
      <c r="G30" s="7"/>
    </row>
    <row r="31" spans="1:7">
      <c r="A31" s="2"/>
      <c r="B31" s="2"/>
      <c r="C31" s="2" t="str">
        <f t="shared" si="0"/>
        <v/>
      </c>
      <c r="D31" s="2"/>
      <c r="E31" s="4"/>
      <c r="F31" s="7"/>
      <c r="G31" s="7"/>
    </row>
    <row r="32" spans="1:7">
      <c r="A32" s="2"/>
      <c r="B32" s="2"/>
      <c r="C32" s="2" t="str">
        <f t="shared" si="0"/>
        <v/>
      </c>
      <c r="D32" s="2"/>
      <c r="E32" s="4"/>
      <c r="F32" s="7"/>
      <c r="G32" s="7"/>
    </row>
    <row r="33" spans="1:7">
      <c r="A33" s="2"/>
      <c r="B33" s="2"/>
      <c r="C33" s="2" t="str">
        <f t="shared" si="0"/>
        <v/>
      </c>
      <c r="D33" s="2"/>
      <c r="E33" s="4"/>
      <c r="F33" s="7"/>
      <c r="G33" s="7"/>
    </row>
    <row r="34" spans="1:7">
      <c r="A34" s="2"/>
      <c r="B34" s="2"/>
      <c r="C34" s="2" t="str">
        <f t="shared" si="0"/>
        <v/>
      </c>
      <c r="D34" s="2"/>
      <c r="E34" s="4"/>
      <c r="F34" s="7"/>
      <c r="G34" s="7"/>
    </row>
    <row r="35" spans="1:7">
      <c r="A35" s="2"/>
      <c r="B35" s="2"/>
      <c r="C35" s="2" t="str">
        <f t="shared" si="0"/>
        <v/>
      </c>
      <c r="D35" s="2"/>
      <c r="E35" s="4"/>
      <c r="F35" s="7"/>
      <c r="G35" s="7"/>
    </row>
    <row r="36" spans="1:7">
      <c r="A36" s="2"/>
      <c r="B36" s="2"/>
      <c r="C36" s="2" t="str">
        <f t="shared" si="0"/>
        <v/>
      </c>
      <c r="D36" s="2"/>
      <c r="E36" s="4"/>
      <c r="F36" s="7"/>
      <c r="G36" s="7"/>
    </row>
    <row r="37" spans="1:7">
      <c r="A37" s="2"/>
      <c r="B37" s="2"/>
      <c r="C37" s="2" t="str">
        <f t="shared" si="0"/>
        <v/>
      </c>
      <c r="D37" s="2"/>
      <c r="E37" s="4"/>
      <c r="F37" s="7"/>
      <c r="G37" s="7"/>
    </row>
    <row r="38" spans="1:7">
      <c r="A38" s="2"/>
      <c r="B38" s="2"/>
      <c r="C38" s="2" t="str">
        <f t="shared" si="0"/>
        <v/>
      </c>
      <c r="D38" s="2"/>
      <c r="E38" s="4"/>
      <c r="F38" s="7"/>
      <c r="G38" s="7"/>
    </row>
    <row r="39" spans="1:7">
      <c r="A39" s="2"/>
      <c r="B39" s="2"/>
      <c r="C39" s="2" t="str">
        <f t="shared" si="0"/>
        <v/>
      </c>
      <c r="D39" s="2"/>
      <c r="E39" s="4"/>
      <c r="F39" s="7"/>
      <c r="G39" s="7"/>
    </row>
    <row r="40" spans="1:7">
      <c r="A40" s="2"/>
      <c r="B40" s="2"/>
      <c r="C40" s="2" t="str">
        <f t="shared" si="0"/>
        <v/>
      </c>
      <c r="D40" s="2"/>
      <c r="E40" s="4"/>
      <c r="F40" s="7"/>
      <c r="G40" s="7"/>
    </row>
    <row r="41" spans="1:7">
      <c r="A41" s="2"/>
      <c r="B41" s="2"/>
      <c r="C41" s="2" t="str">
        <f t="shared" si="0"/>
        <v/>
      </c>
      <c r="D41" s="2"/>
      <c r="E41" s="4"/>
      <c r="F41" s="7"/>
      <c r="G41" s="7"/>
    </row>
    <row r="42" spans="1:7">
      <c r="A42" s="2"/>
      <c r="B42" s="2"/>
      <c r="C42" s="2" t="str">
        <f t="shared" si="0"/>
        <v/>
      </c>
      <c r="D42" s="2"/>
      <c r="E42" s="4"/>
      <c r="F42" s="7"/>
      <c r="G42" s="7"/>
    </row>
    <row r="43" spans="1:7">
      <c r="A43" s="2"/>
      <c r="B43" s="2"/>
      <c r="C43" s="2" t="str">
        <f t="shared" si="0"/>
        <v/>
      </c>
      <c r="D43" s="2"/>
      <c r="E43" s="4"/>
      <c r="F43" s="7"/>
      <c r="G43" s="7"/>
    </row>
    <row r="44" spans="1:7">
      <c r="A44" s="2"/>
      <c r="B44" s="2"/>
      <c r="C44" s="2" t="str">
        <f t="shared" si="0"/>
        <v/>
      </c>
      <c r="D44" s="2"/>
      <c r="E44" s="4"/>
      <c r="F44" s="7"/>
      <c r="G44" s="7"/>
    </row>
    <row r="45" spans="1:7">
      <c r="A45" s="2"/>
      <c r="B45" s="2"/>
      <c r="C45" s="2" t="str">
        <f t="shared" si="0"/>
        <v/>
      </c>
      <c r="D45" s="2"/>
      <c r="E45" s="4"/>
      <c r="F45" s="7"/>
      <c r="G45" s="7"/>
    </row>
    <row r="46" spans="1:7">
      <c r="A46" s="2"/>
      <c r="B46" s="2"/>
      <c r="C46" s="2" t="str">
        <f t="shared" si="0"/>
        <v/>
      </c>
      <c r="D46" s="2"/>
      <c r="E46" s="4"/>
      <c r="F46" s="7"/>
      <c r="G46" s="7"/>
    </row>
    <row r="47" spans="1:7">
      <c r="A47" s="2"/>
      <c r="B47" s="2"/>
      <c r="C47" s="2" t="str">
        <f t="shared" si="0"/>
        <v/>
      </c>
      <c r="D47" s="2"/>
      <c r="E47" s="4"/>
      <c r="F47" s="7"/>
      <c r="G47" s="7"/>
    </row>
    <row r="48" spans="1:7">
      <c r="A48" s="2"/>
      <c r="B48" s="2"/>
      <c r="C48" s="2" t="str">
        <f t="shared" si="0"/>
        <v/>
      </c>
      <c r="D48" s="2"/>
      <c r="E48" s="4"/>
      <c r="F48" s="7"/>
      <c r="G48" s="7"/>
    </row>
    <row r="49" spans="1:7">
      <c r="A49" s="2"/>
      <c r="B49" s="2"/>
      <c r="C49" s="2" t="str">
        <f t="shared" si="0"/>
        <v/>
      </c>
      <c r="D49" s="2"/>
      <c r="E49" s="4"/>
      <c r="F49" s="7"/>
      <c r="G49" s="7"/>
    </row>
    <row r="50" spans="1:7">
      <c r="A50" s="2"/>
      <c r="B50" s="2"/>
      <c r="C50" s="2" t="str">
        <f t="shared" ref="C50:C81" si="1">IF(B50&lt;&gt;"","O-"&amp;TEXT(ROW()-1,"0000"),"")</f>
        <v/>
      </c>
      <c r="D50" s="2"/>
      <c r="E50" s="4"/>
      <c r="F50" s="7"/>
      <c r="G50" s="7"/>
    </row>
    <row r="51" spans="1:7">
      <c r="A51" s="2"/>
      <c r="B51" s="2"/>
      <c r="C51" s="2" t="str">
        <f t="shared" si="1"/>
        <v/>
      </c>
      <c r="D51" s="2"/>
      <c r="E51" s="4"/>
      <c r="F51" s="7"/>
      <c r="G51" s="7"/>
    </row>
    <row r="52" spans="1:7">
      <c r="A52" s="2"/>
      <c r="B52" s="2"/>
      <c r="C52" s="2" t="str">
        <f t="shared" si="1"/>
        <v/>
      </c>
      <c r="D52" s="2"/>
      <c r="E52" s="4"/>
      <c r="F52" s="7"/>
      <c r="G52" s="7"/>
    </row>
    <row r="53" spans="1:7">
      <c r="A53" s="2"/>
      <c r="B53" s="2"/>
      <c r="C53" s="2" t="str">
        <f t="shared" si="1"/>
        <v/>
      </c>
      <c r="D53" s="2"/>
      <c r="E53" s="4"/>
      <c r="F53" s="7"/>
      <c r="G53" s="7"/>
    </row>
    <row r="54" spans="1:7">
      <c r="A54" s="2"/>
      <c r="B54" s="2"/>
      <c r="C54" s="2" t="str">
        <f t="shared" si="1"/>
        <v/>
      </c>
      <c r="D54" s="2"/>
      <c r="E54" s="4"/>
      <c r="F54" s="7"/>
      <c r="G54" s="7"/>
    </row>
    <row r="55" spans="1:7">
      <c r="A55" s="2"/>
      <c r="B55" s="2"/>
      <c r="C55" s="2" t="str">
        <f t="shared" si="1"/>
        <v/>
      </c>
      <c r="D55" s="2"/>
      <c r="E55" s="4"/>
      <c r="F55" s="7"/>
      <c r="G55" s="7"/>
    </row>
    <row r="56" spans="1:7">
      <c r="A56" s="2"/>
      <c r="B56" s="2"/>
      <c r="C56" s="2" t="str">
        <f t="shared" si="1"/>
        <v/>
      </c>
      <c r="D56" s="2"/>
      <c r="E56" s="4"/>
      <c r="F56" s="7"/>
      <c r="G56" s="7"/>
    </row>
    <row r="57" spans="1:7">
      <c r="A57" s="2"/>
      <c r="B57" s="2"/>
      <c r="C57" s="2" t="str">
        <f t="shared" si="1"/>
        <v/>
      </c>
      <c r="D57" s="2"/>
      <c r="E57" s="4"/>
      <c r="F57" s="7"/>
      <c r="G57" s="7"/>
    </row>
    <row r="58" spans="1:7">
      <c r="A58" s="2"/>
      <c r="B58" s="2"/>
      <c r="C58" s="2" t="str">
        <f t="shared" si="1"/>
        <v/>
      </c>
      <c r="D58" s="2"/>
      <c r="E58" s="4"/>
      <c r="F58" s="7"/>
      <c r="G58" s="7"/>
    </row>
    <row r="59" spans="1:7">
      <c r="A59" s="2"/>
      <c r="B59" s="2"/>
      <c r="C59" s="2" t="str">
        <f t="shared" si="1"/>
        <v/>
      </c>
      <c r="D59" s="2"/>
      <c r="E59" s="4"/>
      <c r="F59" s="7"/>
      <c r="G59" s="7"/>
    </row>
    <row r="60" spans="1:7">
      <c r="A60" s="2"/>
      <c r="B60" s="2"/>
      <c r="C60" s="2" t="str">
        <f t="shared" si="1"/>
        <v/>
      </c>
      <c r="D60" s="2"/>
      <c r="E60" s="4"/>
      <c r="F60" s="7"/>
      <c r="G60" s="7"/>
    </row>
    <row r="61" spans="1:7">
      <c r="A61" s="2"/>
      <c r="B61" s="2"/>
      <c r="C61" s="2" t="str">
        <f t="shared" si="1"/>
        <v/>
      </c>
      <c r="D61" s="2"/>
      <c r="E61" s="4"/>
      <c r="F61" s="7"/>
      <c r="G61" s="7"/>
    </row>
    <row r="62" spans="1:7">
      <c r="A62" s="2"/>
      <c r="B62" s="2"/>
      <c r="C62" s="2" t="str">
        <f t="shared" si="1"/>
        <v/>
      </c>
      <c r="D62" s="2"/>
      <c r="E62" s="4"/>
      <c r="F62" s="7"/>
      <c r="G62" s="7"/>
    </row>
    <row r="63" spans="1:7">
      <c r="A63" s="2"/>
      <c r="B63" s="2"/>
      <c r="C63" s="2" t="str">
        <f t="shared" si="1"/>
        <v/>
      </c>
      <c r="D63" s="2"/>
      <c r="E63" s="4"/>
      <c r="F63" s="7"/>
      <c r="G63" s="7"/>
    </row>
    <row r="64" spans="1:7">
      <c r="A64" s="2"/>
      <c r="B64" s="2"/>
      <c r="C64" s="2" t="str">
        <f t="shared" si="1"/>
        <v/>
      </c>
      <c r="D64" s="2"/>
      <c r="E64" s="4"/>
      <c r="F64" s="7"/>
      <c r="G64" s="7"/>
    </row>
    <row r="65" spans="1:7">
      <c r="A65" s="2"/>
      <c r="B65" s="2"/>
      <c r="C65" s="2" t="str">
        <f t="shared" si="1"/>
        <v/>
      </c>
      <c r="D65" s="2"/>
      <c r="E65" s="4"/>
      <c r="F65" s="7"/>
      <c r="G65" s="7"/>
    </row>
    <row r="66" spans="1:7">
      <c r="A66" s="2"/>
      <c r="B66" s="2"/>
      <c r="C66" s="2" t="str">
        <f t="shared" si="1"/>
        <v/>
      </c>
      <c r="D66" s="2"/>
      <c r="E66" s="4"/>
      <c r="F66" s="7"/>
      <c r="G66" s="7"/>
    </row>
    <row r="67" spans="1:7">
      <c r="A67" s="2"/>
      <c r="B67" s="2"/>
      <c r="C67" s="2" t="str">
        <f t="shared" si="1"/>
        <v/>
      </c>
      <c r="D67" s="2"/>
      <c r="E67" s="4"/>
      <c r="F67" s="7"/>
      <c r="G67" s="7"/>
    </row>
    <row r="68" spans="1:7">
      <c r="A68" s="2"/>
      <c r="B68" s="2"/>
      <c r="C68" s="2" t="str">
        <f t="shared" si="1"/>
        <v/>
      </c>
      <c r="D68" s="2"/>
      <c r="E68" s="4"/>
      <c r="F68" s="7"/>
      <c r="G68" s="7"/>
    </row>
    <row r="69" spans="1:7">
      <c r="A69" s="2"/>
      <c r="B69" s="2"/>
      <c r="C69" s="2" t="str">
        <f t="shared" si="1"/>
        <v/>
      </c>
      <c r="D69" s="2"/>
      <c r="E69" s="4"/>
      <c r="F69" s="7"/>
      <c r="G69" s="7"/>
    </row>
    <row r="70" spans="1:7">
      <c r="A70" s="2"/>
      <c r="B70" s="2"/>
      <c r="C70" s="2" t="str">
        <f t="shared" si="1"/>
        <v/>
      </c>
      <c r="D70" s="2"/>
      <c r="E70" s="4"/>
      <c r="F70" s="7"/>
      <c r="G70" s="7"/>
    </row>
    <row r="71" spans="1:7">
      <c r="A71" s="2"/>
      <c r="B71" s="2"/>
      <c r="C71" s="2" t="str">
        <f t="shared" si="1"/>
        <v/>
      </c>
      <c r="D71" s="2"/>
      <c r="E71" s="4"/>
      <c r="F71" s="7"/>
      <c r="G71" s="7"/>
    </row>
    <row r="72" spans="1:7">
      <c r="A72" s="2"/>
      <c r="B72" s="2"/>
      <c r="C72" s="2" t="str">
        <f t="shared" si="1"/>
        <v/>
      </c>
      <c r="D72" s="2"/>
      <c r="E72" s="4"/>
      <c r="F72" s="7"/>
      <c r="G72" s="7"/>
    </row>
    <row r="73" spans="1:7">
      <c r="A73" s="2"/>
      <c r="B73" s="2"/>
      <c r="C73" s="2" t="str">
        <f t="shared" si="1"/>
        <v/>
      </c>
      <c r="D73" s="2"/>
      <c r="E73" s="4"/>
      <c r="F73" s="7"/>
      <c r="G73" s="7"/>
    </row>
    <row r="74" spans="1:7">
      <c r="A74" s="2"/>
      <c r="B74" s="2"/>
      <c r="C74" s="2" t="str">
        <f t="shared" si="1"/>
        <v/>
      </c>
      <c r="D74" s="2"/>
      <c r="E74" s="4"/>
      <c r="F74" s="7"/>
      <c r="G74" s="7"/>
    </row>
    <row r="75" spans="1:7">
      <c r="A75" s="2"/>
      <c r="B75" s="2"/>
      <c r="C75" s="2" t="str">
        <f t="shared" si="1"/>
        <v/>
      </c>
      <c r="D75" s="2"/>
      <c r="E75" s="4"/>
      <c r="F75" s="7"/>
      <c r="G75" s="7"/>
    </row>
    <row r="76" spans="1:7">
      <c r="A76" s="2"/>
      <c r="B76" s="2"/>
      <c r="C76" s="2" t="str">
        <f t="shared" si="1"/>
        <v/>
      </c>
      <c r="D76" s="2"/>
      <c r="E76" s="4"/>
      <c r="F76" s="7"/>
      <c r="G76" s="7"/>
    </row>
    <row r="77" spans="1:7">
      <c r="A77" s="2"/>
      <c r="B77" s="2"/>
      <c r="C77" s="2" t="str">
        <f t="shared" si="1"/>
        <v/>
      </c>
      <c r="D77" s="2"/>
      <c r="E77" s="4"/>
      <c r="F77" s="7"/>
      <c r="G77" s="7"/>
    </row>
    <row r="78" spans="1:7">
      <c r="A78" s="2"/>
      <c r="B78" s="2"/>
      <c r="C78" s="2" t="str">
        <f t="shared" si="1"/>
        <v/>
      </c>
      <c r="D78" s="2"/>
      <c r="E78" s="4"/>
      <c r="F78" s="7"/>
      <c r="G78" s="7"/>
    </row>
    <row r="79" spans="1:7">
      <c r="A79" s="2"/>
      <c r="B79" s="2"/>
      <c r="C79" s="2" t="str">
        <f t="shared" si="1"/>
        <v/>
      </c>
      <c r="D79" s="2"/>
      <c r="E79" s="4"/>
      <c r="F79" s="7"/>
      <c r="G79" s="7"/>
    </row>
    <row r="80" spans="1:7">
      <c r="A80" s="2"/>
      <c r="B80" s="2"/>
      <c r="C80" s="2" t="str">
        <f t="shared" si="1"/>
        <v/>
      </c>
      <c r="D80" s="2"/>
      <c r="E80" s="4"/>
      <c r="F80" s="7"/>
      <c r="G80" s="7"/>
    </row>
    <row r="81" spans="1:7">
      <c r="A81" s="2"/>
      <c r="B81" s="2"/>
      <c r="C81" s="2" t="str">
        <f t="shared" si="1"/>
        <v/>
      </c>
      <c r="D81" s="2"/>
      <c r="E81" s="4"/>
      <c r="F81" s="7"/>
      <c r="G81" s="7"/>
    </row>
    <row r="82" spans="1:7">
      <c r="A82" s="2"/>
      <c r="B82" s="2"/>
      <c r="C82" s="2" t="str">
        <f t="shared" ref="C82:C113" si="2">IF(B82&lt;&gt;"","O-"&amp;TEXT(ROW()-1,"0000"),"")</f>
        <v/>
      </c>
      <c r="D82" s="2"/>
      <c r="E82" s="4"/>
      <c r="F82" s="7"/>
      <c r="G82" s="7"/>
    </row>
    <row r="83" spans="1:7">
      <c r="A83" s="2"/>
      <c r="B83" s="2"/>
      <c r="C83" s="2" t="str">
        <f t="shared" si="2"/>
        <v/>
      </c>
      <c r="D83" s="2"/>
      <c r="E83" s="4"/>
      <c r="F83" s="7"/>
      <c r="G83" s="7"/>
    </row>
    <row r="84" spans="1:7">
      <c r="A84" s="2"/>
      <c r="B84" s="2"/>
      <c r="C84" s="2" t="str">
        <f t="shared" si="2"/>
        <v/>
      </c>
      <c r="D84" s="2"/>
      <c r="E84" s="4"/>
      <c r="F84" s="7"/>
      <c r="G84" s="7"/>
    </row>
    <row r="85" spans="1:7">
      <c r="A85" s="2"/>
      <c r="B85" s="2"/>
      <c r="C85" s="2" t="str">
        <f t="shared" si="2"/>
        <v/>
      </c>
      <c r="D85" s="2"/>
      <c r="E85" s="4"/>
      <c r="F85" s="7"/>
      <c r="G85" s="7"/>
    </row>
    <row r="86" spans="1:7">
      <c r="A86" s="2"/>
      <c r="B86" s="2"/>
      <c r="C86" s="2" t="str">
        <f t="shared" si="2"/>
        <v/>
      </c>
      <c r="D86" s="2"/>
      <c r="E86" s="4"/>
      <c r="F86" s="7"/>
      <c r="G86" s="7"/>
    </row>
    <row r="87" spans="1:7">
      <c r="A87" s="2"/>
      <c r="B87" s="2"/>
      <c r="C87" s="2" t="str">
        <f t="shared" si="2"/>
        <v/>
      </c>
      <c r="D87" s="2"/>
      <c r="E87" s="4"/>
      <c r="F87" s="7"/>
      <c r="G87" s="7"/>
    </row>
    <row r="88" spans="1:7">
      <c r="A88" s="2"/>
      <c r="B88" s="2"/>
      <c r="C88" s="2" t="str">
        <f t="shared" si="2"/>
        <v/>
      </c>
      <c r="D88" s="2"/>
      <c r="E88" s="4"/>
      <c r="F88" s="7"/>
      <c r="G88" s="7"/>
    </row>
    <row r="89" spans="1:7">
      <c r="A89" s="2"/>
      <c r="B89" s="2"/>
      <c r="C89" s="2" t="str">
        <f t="shared" si="2"/>
        <v/>
      </c>
      <c r="D89" s="2"/>
      <c r="E89" s="4"/>
      <c r="F89" s="7"/>
      <c r="G89" s="7"/>
    </row>
    <row r="90" spans="1:7">
      <c r="A90" s="2"/>
      <c r="B90" s="2"/>
      <c r="C90" s="2" t="str">
        <f t="shared" si="2"/>
        <v/>
      </c>
      <c r="D90" s="2"/>
      <c r="E90" s="4"/>
      <c r="F90" s="7"/>
      <c r="G90" s="7"/>
    </row>
    <row r="91" spans="1:7">
      <c r="A91" s="2"/>
      <c r="B91" s="2"/>
      <c r="C91" s="2" t="str">
        <f t="shared" si="2"/>
        <v/>
      </c>
      <c r="D91" s="2"/>
      <c r="E91" s="4"/>
      <c r="F91" s="7"/>
      <c r="G91" s="7"/>
    </row>
    <row r="92" spans="1:7">
      <c r="A92" s="2"/>
      <c r="B92" s="2"/>
      <c r="C92" s="2" t="str">
        <f t="shared" si="2"/>
        <v/>
      </c>
      <c r="D92" s="2"/>
      <c r="E92" s="4"/>
      <c r="F92" s="7"/>
      <c r="G92" s="7"/>
    </row>
    <row r="93" spans="1:7">
      <c r="A93" s="2"/>
      <c r="B93" s="2"/>
      <c r="C93" s="2" t="str">
        <f t="shared" si="2"/>
        <v/>
      </c>
      <c r="D93" s="2"/>
      <c r="E93" s="4"/>
      <c r="F93" s="7"/>
      <c r="G93" s="7"/>
    </row>
    <row r="94" spans="1:7">
      <c r="A94" s="2"/>
      <c r="B94" s="2"/>
      <c r="C94" s="2" t="str">
        <f t="shared" si="2"/>
        <v/>
      </c>
      <c r="D94" s="2"/>
      <c r="E94" s="4"/>
      <c r="F94" s="7"/>
      <c r="G94" s="7"/>
    </row>
    <row r="95" spans="1:7">
      <c r="A95" s="2"/>
      <c r="B95" s="2"/>
      <c r="C95" s="2" t="str">
        <f t="shared" si="2"/>
        <v/>
      </c>
      <c r="D95" s="2"/>
      <c r="E95" s="4"/>
      <c r="F95" s="7"/>
      <c r="G95" s="7"/>
    </row>
    <row r="96" spans="1:7">
      <c r="A96" s="2"/>
      <c r="B96" s="2"/>
      <c r="C96" s="2" t="str">
        <f t="shared" si="2"/>
        <v/>
      </c>
      <c r="D96" s="2"/>
      <c r="E96" s="4"/>
      <c r="F96" s="7"/>
      <c r="G96" s="7"/>
    </row>
    <row r="97" spans="1:7">
      <c r="A97" s="2"/>
      <c r="B97" s="2"/>
      <c r="C97" s="2" t="str">
        <f t="shared" si="2"/>
        <v/>
      </c>
      <c r="D97" s="2"/>
      <c r="E97" s="4"/>
      <c r="F97" s="7"/>
      <c r="G97" s="7"/>
    </row>
    <row r="98" spans="1:7">
      <c r="A98" s="2"/>
      <c r="B98" s="2"/>
      <c r="C98" s="2" t="str">
        <f t="shared" si="2"/>
        <v/>
      </c>
      <c r="D98" s="2"/>
      <c r="E98" s="4"/>
      <c r="F98" s="7"/>
      <c r="G98" s="7"/>
    </row>
    <row r="99" spans="1:7">
      <c r="A99" s="2"/>
      <c r="B99" s="2"/>
      <c r="C99" s="2" t="str">
        <f t="shared" si="2"/>
        <v/>
      </c>
      <c r="D99" s="2"/>
      <c r="E99" s="4"/>
      <c r="F99" s="7"/>
      <c r="G99" s="7"/>
    </row>
    <row r="100" spans="1:7">
      <c r="A100" s="2"/>
      <c r="B100" s="2"/>
      <c r="C100" s="2" t="str">
        <f t="shared" si="2"/>
        <v/>
      </c>
      <c r="D100" s="2"/>
      <c r="E100" s="4"/>
      <c r="F100" s="7"/>
      <c r="G100" s="7"/>
    </row>
    <row r="101" spans="1:7">
      <c r="A101" s="2"/>
      <c r="B101" s="2"/>
      <c r="C101" s="2" t="str">
        <f t="shared" si="2"/>
        <v/>
      </c>
      <c r="D101" s="2"/>
      <c r="E101" s="4"/>
      <c r="F101" s="7"/>
      <c r="G101" s="7"/>
    </row>
    <row r="102" spans="1:7">
      <c r="A102" s="2"/>
      <c r="B102" s="2"/>
      <c r="C102" s="2" t="str">
        <f t="shared" si="2"/>
        <v/>
      </c>
      <c r="D102" s="2"/>
      <c r="E102" s="4"/>
      <c r="F102" s="7"/>
      <c r="G102" s="7"/>
    </row>
    <row r="103" spans="1:7">
      <c r="A103" s="2"/>
      <c r="B103" s="2"/>
      <c r="C103" s="2" t="str">
        <f t="shared" si="2"/>
        <v/>
      </c>
      <c r="D103" s="2"/>
      <c r="E103" s="4"/>
      <c r="F103" s="7"/>
      <c r="G103" s="7"/>
    </row>
    <row r="104" spans="1:7">
      <c r="A104" s="2"/>
      <c r="B104" s="2"/>
      <c r="C104" s="2" t="str">
        <f t="shared" si="2"/>
        <v/>
      </c>
      <c r="D104" s="2"/>
      <c r="E104" s="4"/>
      <c r="F104" s="7"/>
      <c r="G104" s="7"/>
    </row>
    <row r="105" spans="1:7">
      <c r="A105" s="2"/>
      <c r="B105" s="2"/>
      <c r="C105" s="2" t="str">
        <f t="shared" si="2"/>
        <v/>
      </c>
      <c r="D105" s="2"/>
      <c r="E105" s="4"/>
      <c r="F105" s="7"/>
      <c r="G105" s="7"/>
    </row>
    <row r="106" spans="1:7">
      <c r="A106" s="2"/>
      <c r="B106" s="2"/>
      <c r="C106" s="2" t="str">
        <f t="shared" si="2"/>
        <v/>
      </c>
      <c r="D106" s="2"/>
      <c r="E106" s="4"/>
      <c r="F106" s="7"/>
      <c r="G106" s="7"/>
    </row>
    <row r="107" spans="1:7">
      <c r="A107" s="2"/>
      <c r="B107" s="2"/>
      <c r="C107" s="2" t="str">
        <f t="shared" si="2"/>
        <v/>
      </c>
      <c r="D107" s="2"/>
      <c r="E107" s="4"/>
      <c r="F107" s="7"/>
      <c r="G107" s="7"/>
    </row>
    <row r="108" spans="1:7">
      <c r="A108" s="2"/>
      <c r="B108" s="2"/>
      <c r="C108" s="2" t="str">
        <f t="shared" si="2"/>
        <v/>
      </c>
      <c r="D108" s="2"/>
      <c r="E108" s="4"/>
      <c r="F108" s="7"/>
      <c r="G108" s="7"/>
    </row>
    <row r="109" spans="1:7">
      <c r="A109" s="2"/>
      <c r="B109" s="2"/>
      <c r="C109" s="2" t="str">
        <f t="shared" si="2"/>
        <v/>
      </c>
      <c r="D109" s="2"/>
      <c r="E109" s="4"/>
      <c r="F109" s="7"/>
      <c r="G109" s="7"/>
    </row>
    <row r="110" spans="1:7">
      <c r="A110" s="2"/>
      <c r="B110" s="2"/>
      <c r="C110" s="2" t="str">
        <f t="shared" si="2"/>
        <v/>
      </c>
      <c r="D110" s="2"/>
      <c r="E110" s="4"/>
      <c r="F110" s="7"/>
      <c r="G110" s="7"/>
    </row>
    <row r="111" spans="1:7">
      <c r="A111" s="2"/>
      <c r="B111" s="2"/>
      <c r="C111" s="2" t="str">
        <f t="shared" si="2"/>
        <v/>
      </c>
      <c r="D111" s="2"/>
      <c r="E111" s="4"/>
      <c r="F111" s="7"/>
      <c r="G111" s="7"/>
    </row>
    <row r="112" spans="1:7">
      <c r="A112" s="2"/>
      <c r="B112" s="2"/>
      <c r="C112" s="2" t="str">
        <f t="shared" si="2"/>
        <v/>
      </c>
      <c r="D112" s="2"/>
      <c r="E112" s="4"/>
      <c r="F112" s="7"/>
      <c r="G112" s="7"/>
    </row>
    <row r="113" spans="1:7">
      <c r="A113" s="2"/>
      <c r="B113" s="2"/>
      <c r="C113" s="2" t="str">
        <f t="shared" si="2"/>
        <v/>
      </c>
      <c r="D113" s="2"/>
      <c r="E113" s="4"/>
      <c r="F113" s="7"/>
      <c r="G113" s="7"/>
    </row>
    <row r="114" spans="1:7">
      <c r="A114" s="2"/>
      <c r="B114" s="2"/>
      <c r="C114" s="2" t="str">
        <f t="shared" ref="C114:C145" si="3">IF(B114&lt;&gt;"","O-"&amp;TEXT(ROW()-1,"0000"),"")</f>
        <v/>
      </c>
      <c r="D114" s="2"/>
      <c r="E114" s="4"/>
      <c r="F114" s="7"/>
      <c r="G114" s="7"/>
    </row>
    <row r="115" spans="1:7">
      <c r="A115" s="2"/>
      <c r="B115" s="2"/>
      <c r="C115" s="2" t="str">
        <f t="shared" si="3"/>
        <v/>
      </c>
      <c r="D115" s="2"/>
      <c r="E115" s="4"/>
      <c r="F115" s="7"/>
      <c r="G115" s="7"/>
    </row>
    <row r="116" spans="1:7">
      <c r="A116" s="2"/>
      <c r="B116" s="2"/>
      <c r="C116" s="2" t="str">
        <f t="shared" si="3"/>
        <v/>
      </c>
      <c r="D116" s="2"/>
      <c r="E116" s="4"/>
      <c r="F116" s="7"/>
      <c r="G116" s="7"/>
    </row>
    <row r="117" spans="1:7">
      <c r="A117" s="2"/>
      <c r="B117" s="2"/>
      <c r="C117" s="2" t="str">
        <f t="shared" si="3"/>
        <v/>
      </c>
      <c r="D117" s="2"/>
      <c r="E117" s="4"/>
      <c r="F117" s="7"/>
      <c r="G117" s="7"/>
    </row>
    <row r="118" spans="1:7">
      <c r="A118" s="2"/>
      <c r="B118" s="2"/>
      <c r="C118" s="2" t="str">
        <f t="shared" si="3"/>
        <v/>
      </c>
      <c r="D118" s="2"/>
      <c r="E118" s="4"/>
      <c r="F118" s="7"/>
      <c r="G118" s="7"/>
    </row>
    <row r="119" spans="1:7">
      <c r="A119" s="2"/>
      <c r="B119" s="2"/>
      <c r="C119" s="2" t="str">
        <f t="shared" si="3"/>
        <v/>
      </c>
      <c r="D119" s="2"/>
      <c r="E119" s="4"/>
      <c r="F119" s="7"/>
      <c r="G119" s="7"/>
    </row>
    <row r="120" spans="1:7">
      <c r="A120" s="2"/>
      <c r="B120" s="2"/>
      <c r="C120" s="2" t="str">
        <f t="shared" si="3"/>
        <v/>
      </c>
      <c r="D120" s="2"/>
      <c r="E120" s="4"/>
      <c r="F120" s="7"/>
      <c r="G120" s="7"/>
    </row>
    <row r="121" spans="1:7">
      <c r="A121" s="2"/>
      <c r="B121" s="2"/>
      <c r="C121" s="2" t="str">
        <f t="shared" si="3"/>
        <v/>
      </c>
      <c r="D121" s="2"/>
      <c r="E121" s="4"/>
      <c r="F121" s="7"/>
      <c r="G121" s="7"/>
    </row>
    <row r="122" spans="1:7">
      <c r="A122" s="2"/>
      <c r="B122" s="2"/>
      <c r="C122" s="2" t="str">
        <f t="shared" si="3"/>
        <v/>
      </c>
      <c r="D122" s="2"/>
      <c r="E122" s="4"/>
      <c r="F122" s="7"/>
      <c r="G122" s="7"/>
    </row>
    <row r="123" spans="1:7">
      <c r="A123" s="2"/>
      <c r="B123" s="2"/>
      <c r="C123" s="2" t="str">
        <f t="shared" si="3"/>
        <v/>
      </c>
      <c r="D123" s="2"/>
      <c r="E123" s="4"/>
      <c r="F123" s="7"/>
      <c r="G123" s="7"/>
    </row>
    <row r="124" spans="1:7">
      <c r="A124" s="2"/>
      <c r="B124" s="2"/>
      <c r="C124" s="2" t="str">
        <f t="shared" si="3"/>
        <v/>
      </c>
      <c r="D124" s="2"/>
      <c r="E124" s="4"/>
      <c r="F124" s="7"/>
      <c r="G124" s="7"/>
    </row>
    <row r="125" spans="1:7">
      <c r="A125" s="2"/>
      <c r="B125" s="2"/>
      <c r="C125" s="2" t="str">
        <f t="shared" si="3"/>
        <v/>
      </c>
      <c r="D125" s="2"/>
      <c r="E125" s="4"/>
      <c r="F125" s="7"/>
      <c r="G125" s="7"/>
    </row>
    <row r="126" spans="1:7">
      <c r="A126" s="2"/>
      <c r="B126" s="2"/>
      <c r="C126" s="2" t="str">
        <f t="shared" si="3"/>
        <v/>
      </c>
      <c r="D126" s="2"/>
      <c r="E126" s="4"/>
      <c r="F126" s="7"/>
      <c r="G126" s="7"/>
    </row>
    <row r="127" spans="1:7">
      <c r="A127" s="2"/>
      <c r="B127" s="2"/>
      <c r="C127" s="2" t="str">
        <f t="shared" si="3"/>
        <v/>
      </c>
      <c r="D127" s="2"/>
      <c r="E127" s="4"/>
      <c r="F127" s="7"/>
      <c r="G127" s="7"/>
    </row>
    <row r="128" spans="1:7">
      <c r="A128" s="2"/>
      <c r="B128" s="2"/>
      <c r="C128" s="2" t="str">
        <f t="shared" si="3"/>
        <v/>
      </c>
      <c r="D128" s="2"/>
      <c r="E128" s="4"/>
      <c r="F128" s="7"/>
      <c r="G128" s="7"/>
    </row>
    <row r="129" spans="1:7">
      <c r="A129" s="2"/>
      <c r="B129" s="2"/>
      <c r="C129" s="2" t="str">
        <f t="shared" si="3"/>
        <v/>
      </c>
      <c r="D129" s="2"/>
      <c r="E129" s="4"/>
      <c r="F129" s="7"/>
      <c r="G129" s="7"/>
    </row>
    <row r="130" spans="1:7">
      <c r="A130" s="2"/>
      <c r="B130" s="2"/>
      <c r="C130" s="2" t="str">
        <f t="shared" si="3"/>
        <v/>
      </c>
      <c r="D130" s="2"/>
      <c r="E130" s="4"/>
      <c r="F130" s="7"/>
      <c r="G130" s="7"/>
    </row>
    <row r="131" spans="1:7">
      <c r="A131" s="2"/>
      <c r="B131" s="2"/>
      <c r="C131" s="2" t="str">
        <f t="shared" si="3"/>
        <v/>
      </c>
      <c r="D131" s="2"/>
      <c r="E131" s="4"/>
      <c r="F131" s="7"/>
      <c r="G131" s="7"/>
    </row>
    <row r="132" spans="1:7">
      <c r="A132" s="2"/>
      <c r="B132" s="2"/>
      <c r="C132" s="2" t="str">
        <f t="shared" si="3"/>
        <v/>
      </c>
      <c r="D132" s="2"/>
      <c r="E132" s="4"/>
      <c r="F132" s="7"/>
      <c r="G132" s="7"/>
    </row>
    <row r="133" spans="1:7">
      <c r="A133" s="2"/>
      <c r="B133" s="2"/>
      <c r="C133" s="2" t="str">
        <f t="shared" si="3"/>
        <v/>
      </c>
      <c r="D133" s="2"/>
      <c r="E133" s="4"/>
      <c r="F133" s="7"/>
      <c r="G133" s="7"/>
    </row>
    <row r="134" spans="1:7">
      <c r="A134" s="2"/>
      <c r="B134" s="2"/>
      <c r="C134" s="2" t="str">
        <f t="shared" si="3"/>
        <v/>
      </c>
      <c r="D134" s="2"/>
      <c r="E134" s="4"/>
      <c r="F134" s="7"/>
      <c r="G134" s="7"/>
    </row>
    <row r="135" spans="1:7">
      <c r="A135" s="2"/>
      <c r="B135" s="2"/>
      <c r="C135" s="2" t="str">
        <f t="shared" si="3"/>
        <v/>
      </c>
      <c r="D135" s="2"/>
      <c r="E135" s="4"/>
      <c r="F135" s="7"/>
      <c r="G135" s="7"/>
    </row>
    <row r="136" spans="1:7">
      <c r="A136" s="2"/>
      <c r="B136" s="2"/>
      <c r="C136" s="2" t="str">
        <f t="shared" si="3"/>
        <v/>
      </c>
      <c r="D136" s="2"/>
      <c r="E136" s="4"/>
      <c r="F136" s="7"/>
      <c r="G136" s="7"/>
    </row>
    <row r="137" spans="1:7">
      <c r="A137" s="2"/>
      <c r="B137" s="2"/>
      <c r="C137" s="2" t="str">
        <f t="shared" si="3"/>
        <v/>
      </c>
      <c r="D137" s="2"/>
      <c r="E137" s="4"/>
      <c r="F137" s="7"/>
      <c r="G137" s="7"/>
    </row>
    <row r="138" spans="1:7">
      <c r="A138" s="2"/>
      <c r="B138" s="2"/>
      <c r="C138" s="2" t="str">
        <f t="shared" si="3"/>
        <v/>
      </c>
      <c r="D138" s="2"/>
      <c r="E138" s="4"/>
      <c r="F138" s="7"/>
      <c r="G138" s="7"/>
    </row>
    <row r="139" spans="1:7">
      <c r="A139" s="2"/>
      <c r="B139" s="2"/>
      <c r="C139" s="2" t="str">
        <f t="shared" si="3"/>
        <v/>
      </c>
      <c r="D139" s="2"/>
      <c r="E139" s="4"/>
      <c r="F139" s="7"/>
      <c r="G139" s="7"/>
    </row>
    <row r="140" spans="1:7">
      <c r="A140" s="2"/>
      <c r="B140" s="2"/>
      <c r="C140" s="2" t="str">
        <f t="shared" si="3"/>
        <v/>
      </c>
      <c r="D140" s="2"/>
      <c r="E140" s="4"/>
      <c r="F140" s="7"/>
      <c r="G140" s="7"/>
    </row>
    <row r="141" spans="1:7">
      <c r="A141" s="2"/>
      <c r="B141" s="2"/>
      <c r="C141" s="2" t="str">
        <f t="shared" si="3"/>
        <v/>
      </c>
      <c r="D141" s="2"/>
      <c r="E141" s="4"/>
      <c r="F141" s="7"/>
      <c r="G141" s="7"/>
    </row>
    <row r="142" spans="1:7">
      <c r="A142" s="2"/>
      <c r="B142" s="2"/>
      <c r="C142" s="2" t="str">
        <f t="shared" si="3"/>
        <v/>
      </c>
      <c r="D142" s="2"/>
      <c r="E142" s="4"/>
      <c r="F142" s="7"/>
      <c r="G142" s="7"/>
    </row>
    <row r="143" spans="1:7">
      <c r="A143" s="2"/>
      <c r="B143" s="2"/>
      <c r="C143" s="2" t="str">
        <f t="shared" si="3"/>
        <v/>
      </c>
      <c r="D143" s="2"/>
      <c r="E143" s="4"/>
      <c r="F143" s="7"/>
      <c r="G143" s="7"/>
    </row>
    <row r="144" spans="1:7">
      <c r="A144" s="2"/>
      <c r="B144" s="2"/>
      <c r="C144" s="2" t="str">
        <f t="shared" si="3"/>
        <v/>
      </c>
      <c r="D144" s="2"/>
      <c r="E144" s="4"/>
      <c r="F144" s="7"/>
      <c r="G144" s="7"/>
    </row>
    <row r="145" spans="1:7">
      <c r="A145" s="2"/>
      <c r="B145" s="2"/>
      <c r="C145" s="2" t="str">
        <f t="shared" si="3"/>
        <v/>
      </c>
      <c r="D145" s="2"/>
      <c r="E145" s="4"/>
      <c r="F145" s="7"/>
      <c r="G145" s="7"/>
    </row>
    <row r="146" spans="1:7">
      <c r="A146" s="2"/>
      <c r="B146" s="2"/>
      <c r="C146" s="2" t="str">
        <f t="shared" ref="C146:C177" si="4">IF(B146&lt;&gt;"","O-"&amp;TEXT(ROW()-1,"0000"),"")</f>
        <v/>
      </c>
      <c r="D146" s="2"/>
      <c r="E146" s="4"/>
      <c r="F146" s="7"/>
      <c r="G146" s="7"/>
    </row>
    <row r="147" spans="1:7">
      <c r="A147" s="2"/>
      <c r="B147" s="2"/>
      <c r="C147" s="2" t="str">
        <f t="shared" si="4"/>
        <v/>
      </c>
      <c r="D147" s="2"/>
      <c r="E147" s="4"/>
      <c r="F147" s="7"/>
      <c r="G147" s="7"/>
    </row>
    <row r="148" spans="1:7">
      <c r="A148" s="2"/>
      <c r="B148" s="2"/>
      <c r="C148" s="2" t="str">
        <f t="shared" si="4"/>
        <v/>
      </c>
      <c r="D148" s="2"/>
      <c r="E148" s="4"/>
      <c r="F148" s="7"/>
      <c r="G148" s="7"/>
    </row>
    <row r="149" spans="1:7">
      <c r="A149" s="2"/>
      <c r="B149" s="2"/>
      <c r="C149" s="2" t="str">
        <f t="shared" si="4"/>
        <v/>
      </c>
      <c r="D149" s="2"/>
      <c r="E149" s="4"/>
      <c r="F149" s="7"/>
      <c r="G149" s="7"/>
    </row>
    <row r="150" spans="1:7">
      <c r="A150" s="2"/>
      <c r="B150" s="2"/>
      <c r="C150" s="2" t="str">
        <f t="shared" si="4"/>
        <v/>
      </c>
      <c r="D150" s="2"/>
      <c r="E150" s="4"/>
      <c r="F150" s="7"/>
      <c r="G150" s="7"/>
    </row>
    <row r="151" spans="1:7">
      <c r="A151" s="2"/>
      <c r="B151" s="2"/>
      <c r="C151" s="2" t="str">
        <f t="shared" si="4"/>
        <v/>
      </c>
      <c r="D151" s="2"/>
      <c r="E151" s="4"/>
      <c r="F151" s="7"/>
      <c r="G151" s="7"/>
    </row>
    <row r="152" spans="1:7">
      <c r="A152" s="2"/>
      <c r="B152" s="2"/>
      <c r="C152" s="2" t="str">
        <f t="shared" si="4"/>
        <v/>
      </c>
      <c r="D152" s="2"/>
      <c r="E152" s="4"/>
      <c r="F152" s="7"/>
      <c r="G152" s="7"/>
    </row>
    <row r="153" spans="1:7">
      <c r="A153" s="2"/>
      <c r="B153" s="2"/>
      <c r="C153" s="2" t="str">
        <f t="shared" si="4"/>
        <v/>
      </c>
      <c r="D153" s="2"/>
      <c r="E153" s="4"/>
      <c r="F153" s="7"/>
      <c r="G153" s="7"/>
    </row>
    <row r="154" spans="1:7">
      <c r="A154" s="2"/>
      <c r="B154" s="2"/>
      <c r="C154" s="2" t="str">
        <f t="shared" si="4"/>
        <v/>
      </c>
      <c r="D154" s="2"/>
      <c r="E154" s="4"/>
      <c r="F154" s="7"/>
      <c r="G154" s="7"/>
    </row>
    <row r="155" spans="1:7">
      <c r="A155" s="2"/>
      <c r="B155" s="2"/>
      <c r="C155" s="2" t="str">
        <f t="shared" si="4"/>
        <v/>
      </c>
      <c r="D155" s="2"/>
      <c r="E155" s="4"/>
      <c r="F155" s="7"/>
      <c r="G155" s="7"/>
    </row>
    <row r="156" spans="1:7">
      <c r="A156" s="2"/>
      <c r="B156" s="2"/>
      <c r="C156" s="2" t="str">
        <f t="shared" si="4"/>
        <v/>
      </c>
      <c r="D156" s="2"/>
      <c r="E156" s="4"/>
      <c r="F156" s="7"/>
      <c r="G156" s="7"/>
    </row>
    <row r="157" spans="1:7">
      <c r="A157" s="2"/>
      <c r="B157" s="2"/>
      <c r="C157" s="2" t="str">
        <f t="shared" si="4"/>
        <v/>
      </c>
      <c r="D157" s="2"/>
      <c r="E157" s="4"/>
      <c r="F157" s="7"/>
      <c r="G157" s="7"/>
    </row>
    <row r="158" spans="1:7">
      <c r="A158" s="2"/>
      <c r="B158" s="2"/>
      <c r="C158" s="2" t="str">
        <f t="shared" si="4"/>
        <v/>
      </c>
      <c r="D158" s="2"/>
      <c r="E158" s="4"/>
      <c r="F158" s="7"/>
      <c r="G158" s="7"/>
    </row>
    <row r="159" spans="1:7">
      <c r="A159" s="2"/>
      <c r="B159" s="2"/>
      <c r="C159" s="2" t="str">
        <f t="shared" si="4"/>
        <v/>
      </c>
      <c r="D159" s="2"/>
      <c r="E159" s="4"/>
      <c r="F159" s="7"/>
      <c r="G159" s="7"/>
    </row>
    <row r="160" spans="1:7">
      <c r="A160" s="2"/>
      <c r="B160" s="2"/>
      <c r="C160" s="2" t="str">
        <f t="shared" si="4"/>
        <v/>
      </c>
      <c r="D160" s="2"/>
      <c r="E160" s="4"/>
      <c r="F160" s="7"/>
      <c r="G160" s="7"/>
    </row>
    <row r="161" spans="1:7">
      <c r="A161" s="2"/>
      <c r="B161" s="2"/>
      <c r="C161" s="2" t="str">
        <f t="shared" si="4"/>
        <v/>
      </c>
      <c r="D161" s="2"/>
      <c r="E161" s="4"/>
      <c r="F161" s="7"/>
      <c r="G161" s="7"/>
    </row>
    <row r="162" spans="1:7">
      <c r="A162" s="2"/>
      <c r="B162" s="2"/>
      <c r="C162" s="2" t="str">
        <f t="shared" si="4"/>
        <v/>
      </c>
      <c r="D162" s="2"/>
      <c r="E162" s="4"/>
      <c r="F162" s="7"/>
      <c r="G162" s="7"/>
    </row>
    <row r="163" spans="1:7">
      <c r="A163" s="2"/>
      <c r="B163" s="2"/>
      <c r="C163" s="2" t="str">
        <f t="shared" si="4"/>
        <v/>
      </c>
      <c r="D163" s="2"/>
      <c r="E163" s="4"/>
      <c r="F163" s="7"/>
      <c r="G163" s="7"/>
    </row>
    <row r="164" spans="1:7">
      <c r="A164" s="2"/>
      <c r="B164" s="2"/>
      <c r="C164" s="2" t="str">
        <f t="shared" si="4"/>
        <v/>
      </c>
      <c r="D164" s="2"/>
      <c r="E164" s="4"/>
      <c r="F164" s="7"/>
      <c r="G164" s="7"/>
    </row>
    <row r="165" spans="1:7">
      <c r="A165" s="2"/>
      <c r="B165" s="2"/>
      <c r="C165" s="2" t="str">
        <f t="shared" si="4"/>
        <v/>
      </c>
      <c r="D165" s="2"/>
      <c r="E165" s="4"/>
      <c r="F165" s="7"/>
      <c r="G165" s="7"/>
    </row>
    <row r="166" spans="1:7">
      <c r="A166" s="2"/>
      <c r="B166" s="2"/>
      <c r="C166" s="2" t="str">
        <f t="shared" si="4"/>
        <v/>
      </c>
      <c r="D166" s="2"/>
      <c r="E166" s="4"/>
      <c r="F166" s="7"/>
      <c r="G166" s="7"/>
    </row>
    <row r="167" spans="1:7">
      <c r="A167" s="2"/>
      <c r="B167" s="2"/>
      <c r="C167" s="2" t="str">
        <f t="shared" si="4"/>
        <v/>
      </c>
      <c r="D167" s="2"/>
      <c r="E167" s="4"/>
      <c r="F167" s="7"/>
      <c r="G167" s="7"/>
    </row>
    <row r="168" spans="1:7">
      <c r="A168" s="2"/>
      <c r="B168" s="2"/>
      <c r="C168" s="2" t="str">
        <f t="shared" si="4"/>
        <v/>
      </c>
      <c r="D168" s="2"/>
      <c r="E168" s="4"/>
      <c r="F168" s="7"/>
      <c r="G168" s="7"/>
    </row>
    <row r="169" spans="1:7">
      <c r="A169" s="2"/>
      <c r="B169" s="2"/>
      <c r="C169" s="2" t="str">
        <f t="shared" si="4"/>
        <v/>
      </c>
      <c r="D169" s="2"/>
      <c r="E169" s="4"/>
      <c r="F169" s="7"/>
      <c r="G169" s="7"/>
    </row>
    <row r="170" spans="1:7">
      <c r="A170" s="2"/>
      <c r="B170" s="2"/>
      <c r="C170" s="2" t="str">
        <f t="shared" si="4"/>
        <v/>
      </c>
      <c r="D170" s="2"/>
      <c r="E170" s="4"/>
      <c r="F170" s="7"/>
      <c r="G170" s="7"/>
    </row>
    <row r="171" spans="1:7">
      <c r="A171" s="2"/>
      <c r="B171" s="2"/>
      <c r="C171" s="2" t="str">
        <f t="shared" si="4"/>
        <v/>
      </c>
      <c r="D171" s="2"/>
      <c r="E171" s="4"/>
      <c r="F171" s="7"/>
      <c r="G171" s="7"/>
    </row>
    <row r="172" spans="1:7">
      <c r="A172" s="2"/>
      <c r="B172" s="2"/>
      <c r="C172" s="2" t="str">
        <f t="shared" si="4"/>
        <v/>
      </c>
      <c r="D172" s="2"/>
      <c r="E172" s="4"/>
      <c r="F172" s="7"/>
      <c r="G172" s="7"/>
    </row>
    <row r="173" spans="1:7">
      <c r="A173" s="2"/>
      <c r="B173" s="2"/>
      <c r="C173" s="2" t="str">
        <f t="shared" si="4"/>
        <v/>
      </c>
      <c r="D173" s="2"/>
      <c r="E173" s="4"/>
      <c r="F173" s="7"/>
      <c r="G173" s="7"/>
    </row>
    <row r="174" spans="1:7">
      <c r="A174" s="2"/>
      <c r="B174" s="2"/>
      <c r="C174" s="2" t="str">
        <f t="shared" si="4"/>
        <v/>
      </c>
      <c r="D174" s="2"/>
      <c r="E174" s="4"/>
      <c r="F174" s="7"/>
      <c r="G174" s="7"/>
    </row>
    <row r="175" spans="1:7">
      <c r="A175" s="2"/>
      <c r="B175" s="2"/>
      <c r="C175" s="2" t="str">
        <f t="shared" si="4"/>
        <v/>
      </c>
      <c r="D175" s="2"/>
      <c r="E175" s="4"/>
      <c r="F175" s="7"/>
      <c r="G175" s="7"/>
    </row>
    <row r="176" spans="1:7">
      <c r="A176" s="2"/>
      <c r="B176" s="2"/>
      <c r="C176" s="2" t="str">
        <f t="shared" si="4"/>
        <v/>
      </c>
      <c r="D176" s="2"/>
      <c r="E176" s="4"/>
      <c r="F176" s="7"/>
      <c r="G176" s="7"/>
    </row>
    <row r="177" spans="1:7">
      <c r="A177" s="2"/>
      <c r="B177" s="2"/>
      <c r="C177" s="2" t="str">
        <f t="shared" si="4"/>
        <v/>
      </c>
      <c r="D177" s="2"/>
      <c r="E177" s="4"/>
      <c r="F177" s="7"/>
      <c r="G177" s="7"/>
    </row>
    <row r="178" spans="1:7">
      <c r="A178" s="2"/>
      <c r="B178" s="2"/>
      <c r="C178" s="2" t="str">
        <f t="shared" ref="C178:C200" si="5">IF(B178&lt;&gt;"","O-"&amp;TEXT(ROW()-1,"0000"),"")</f>
        <v/>
      </c>
      <c r="D178" s="2"/>
      <c r="E178" s="4"/>
      <c r="F178" s="7"/>
      <c r="G178" s="7"/>
    </row>
    <row r="179" spans="1:7">
      <c r="A179" s="2"/>
      <c r="B179" s="2"/>
      <c r="C179" s="2" t="str">
        <f t="shared" si="5"/>
        <v/>
      </c>
      <c r="D179" s="2"/>
      <c r="E179" s="4"/>
      <c r="F179" s="7"/>
      <c r="G179" s="7"/>
    </row>
    <row r="180" spans="1:7">
      <c r="A180" s="2"/>
      <c r="B180" s="2"/>
      <c r="C180" s="2" t="str">
        <f t="shared" si="5"/>
        <v/>
      </c>
      <c r="D180" s="2"/>
      <c r="E180" s="4"/>
      <c r="F180" s="7"/>
      <c r="G180" s="7"/>
    </row>
    <row r="181" spans="1:7">
      <c r="A181" s="2"/>
      <c r="B181" s="2"/>
      <c r="C181" s="2" t="str">
        <f t="shared" si="5"/>
        <v/>
      </c>
      <c r="D181" s="2"/>
      <c r="E181" s="4"/>
      <c r="F181" s="7"/>
      <c r="G181" s="7"/>
    </row>
    <row r="182" spans="1:7">
      <c r="A182" s="2"/>
      <c r="B182" s="2"/>
      <c r="C182" s="2" t="str">
        <f t="shared" si="5"/>
        <v/>
      </c>
      <c r="D182" s="2"/>
      <c r="E182" s="4"/>
      <c r="F182" s="7"/>
      <c r="G182" s="7"/>
    </row>
    <row r="183" spans="1:7">
      <c r="A183" s="2"/>
      <c r="B183" s="2"/>
      <c r="C183" s="2" t="str">
        <f t="shared" si="5"/>
        <v/>
      </c>
      <c r="D183" s="2"/>
      <c r="E183" s="4"/>
      <c r="F183" s="7"/>
      <c r="G183" s="7"/>
    </row>
    <row r="184" spans="1:7">
      <c r="A184" s="2"/>
      <c r="B184" s="2"/>
      <c r="C184" s="2" t="str">
        <f t="shared" si="5"/>
        <v/>
      </c>
      <c r="D184" s="2"/>
      <c r="E184" s="4"/>
      <c r="F184" s="7"/>
      <c r="G184" s="7"/>
    </row>
    <row r="185" spans="1:7">
      <c r="A185" s="2"/>
      <c r="B185" s="2"/>
      <c r="C185" s="2" t="str">
        <f t="shared" si="5"/>
        <v/>
      </c>
      <c r="D185" s="2"/>
      <c r="E185" s="4"/>
      <c r="F185" s="7"/>
      <c r="G185" s="7"/>
    </row>
    <row r="186" spans="1:7">
      <c r="A186" s="2"/>
      <c r="B186" s="2"/>
      <c r="C186" s="2" t="str">
        <f t="shared" si="5"/>
        <v/>
      </c>
      <c r="D186" s="2"/>
      <c r="E186" s="4"/>
      <c r="F186" s="7"/>
      <c r="G186" s="7"/>
    </row>
    <row r="187" spans="1:7">
      <c r="A187" s="2"/>
      <c r="B187" s="2"/>
      <c r="C187" s="2" t="str">
        <f t="shared" si="5"/>
        <v/>
      </c>
      <c r="D187" s="2"/>
      <c r="E187" s="4"/>
      <c r="F187" s="7"/>
      <c r="G187" s="7"/>
    </row>
    <row r="188" spans="1:7">
      <c r="A188" s="2"/>
      <c r="B188" s="2"/>
      <c r="C188" s="2" t="str">
        <f t="shared" si="5"/>
        <v/>
      </c>
      <c r="D188" s="2"/>
      <c r="E188" s="4"/>
      <c r="F188" s="7"/>
      <c r="G188" s="7"/>
    </row>
    <row r="189" spans="1:7">
      <c r="A189" s="2"/>
      <c r="B189" s="2"/>
      <c r="C189" s="2" t="str">
        <f t="shared" si="5"/>
        <v/>
      </c>
      <c r="D189" s="2"/>
      <c r="E189" s="4"/>
      <c r="F189" s="7"/>
      <c r="G189" s="7"/>
    </row>
    <row r="190" spans="1:7">
      <c r="A190" s="2"/>
      <c r="B190" s="2"/>
      <c r="C190" s="2" t="str">
        <f t="shared" si="5"/>
        <v/>
      </c>
      <c r="D190" s="2"/>
      <c r="E190" s="4"/>
      <c r="F190" s="7"/>
      <c r="G190" s="7"/>
    </row>
    <row r="191" spans="1:7">
      <c r="A191" s="2"/>
      <c r="B191" s="2"/>
      <c r="C191" s="2" t="str">
        <f t="shared" si="5"/>
        <v/>
      </c>
      <c r="D191" s="2"/>
      <c r="E191" s="4"/>
      <c r="F191" s="7"/>
      <c r="G191" s="7"/>
    </row>
    <row r="192" spans="1:7">
      <c r="A192" s="2"/>
      <c r="B192" s="2"/>
      <c r="C192" s="2" t="str">
        <f t="shared" si="5"/>
        <v/>
      </c>
      <c r="D192" s="2"/>
      <c r="E192" s="4"/>
      <c r="F192" s="7"/>
      <c r="G192" s="7"/>
    </row>
    <row r="193" spans="1:7">
      <c r="A193" s="2"/>
      <c r="B193" s="2"/>
      <c r="C193" s="2" t="str">
        <f t="shared" si="5"/>
        <v/>
      </c>
      <c r="D193" s="2"/>
      <c r="E193" s="4"/>
      <c r="F193" s="7"/>
      <c r="G193" s="7"/>
    </row>
    <row r="194" spans="1:7">
      <c r="A194" s="2"/>
      <c r="B194" s="2"/>
      <c r="C194" s="2" t="str">
        <f t="shared" si="5"/>
        <v/>
      </c>
      <c r="D194" s="2"/>
      <c r="E194" s="4"/>
      <c r="F194" s="7"/>
      <c r="G194" s="7"/>
    </row>
    <row r="195" spans="1:7">
      <c r="A195" s="2"/>
      <c r="B195" s="2"/>
      <c r="C195" s="2" t="str">
        <f t="shared" si="5"/>
        <v/>
      </c>
      <c r="D195" s="2"/>
      <c r="E195" s="4"/>
      <c r="F195" s="7"/>
      <c r="G195" s="7"/>
    </row>
    <row r="196" spans="1:7">
      <c r="A196" s="2"/>
      <c r="B196" s="2"/>
      <c r="C196" s="2" t="str">
        <f t="shared" si="5"/>
        <v/>
      </c>
      <c r="D196" s="2"/>
      <c r="E196" s="4"/>
      <c r="F196" s="7"/>
      <c r="G196" s="7"/>
    </row>
    <row r="197" spans="1:7">
      <c r="A197" s="2"/>
      <c r="B197" s="2"/>
      <c r="C197" s="2" t="str">
        <f t="shared" si="5"/>
        <v/>
      </c>
      <c r="D197" s="2"/>
      <c r="E197" s="4"/>
      <c r="F197" s="7"/>
      <c r="G197" s="7"/>
    </row>
    <row r="198" spans="1:7">
      <c r="A198" s="2"/>
      <c r="B198" s="2"/>
      <c r="C198" s="2" t="str">
        <f t="shared" si="5"/>
        <v/>
      </c>
      <c r="D198" s="2"/>
      <c r="E198" s="4"/>
      <c r="F198" s="7"/>
      <c r="G198" s="7"/>
    </row>
    <row r="199" spans="1:7">
      <c r="A199" s="2"/>
      <c r="B199" s="2"/>
      <c r="C199" s="2" t="str">
        <f t="shared" si="5"/>
        <v/>
      </c>
      <c r="D199" s="2"/>
      <c r="E199" s="4"/>
      <c r="F199" s="7"/>
      <c r="G199" s="7"/>
    </row>
    <row r="200" spans="1:7">
      <c r="A200" s="2"/>
      <c r="B200" s="2"/>
      <c r="C200" s="2" t="str">
        <f t="shared" si="5"/>
        <v/>
      </c>
      <c r="D200" s="2"/>
      <c r="E200" s="4"/>
      <c r="F200" s="7"/>
      <c r="G200" s="7"/>
    </row>
    <row r="201" spans="1:7">
      <c r="A201" s="2"/>
      <c r="B201" s="2"/>
      <c r="C201" s="2"/>
      <c r="D201" s="2"/>
      <c r="E201" s="4"/>
      <c r="F201" s="7"/>
      <c r="G201" s="7"/>
    </row>
    <row r="202" spans="1:7">
      <c r="A202" s="2"/>
      <c r="B202" s="2"/>
      <c r="C202" s="2"/>
      <c r="D202" s="2"/>
      <c r="E202" s="4"/>
      <c r="F202" s="7"/>
      <c r="G202" s="7"/>
    </row>
    <row r="203" spans="1:7">
      <c r="A203" s="2"/>
      <c r="B203" s="2"/>
      <c r="C203" s="2"/>
      <c r="D203" s="2"/>
      <c r="E203" s="4"/>
      <c r="F203" s="7"/>
      <c r="G203" s="7"/>
    </row>
    <row r="204" spans="1:7">
      <c r="A204" s="2"/>
      <c r="B204" s="2"/>
      <c r="C204" s="2"/>
      <c r="D204" s="2"/>
      <c r="E204" s="4"/>
      <c r="F204" s="7"/>
      <c r="G204" s="7"/>
    </row>
    <row r="205" spans="1:7">
      <c r="A205" s="2"/>
      <c r="B205" s="2"/>
      <c r="C205" s="2"/>
      <c r="D205" s="2"/>
      <c r="E205" s="4"/>
      <c r="F205" s="7"/>
      <c r="G205" s="7"/>
    </row>
    <row r="206" spans="1:7">
      <c r="A206" s="2"/>
      <c r="B206" s="2"/>
      <c r="C206" s="2"/>
      <c r="D206" s="2"/>
      <c r="E206" s="4"/>
      <c r="F206" s="7"/>
      <c r="G206" s="7"/>
    </row>
    <row r="207" spans="1:7">
      <c r="A207" s="2"/>
      <c r="B207" s="2"/>
      <c r="C207" s="2"/>
      <c r="D207" s="2"/>
      <c r="E207" s="4"/>
      <c r="F207" s="7"/>
      <c r="G207" s="7"/>
    </row>
    <row r="208" spans="1:7">
      <c r="A208" s="2"/>
      <c r="B208" s="2"/>
      <c r="C208" s="2"/>
      <c r="D208" s="2"/>
      <c r="E208" s="4"/>
      <c r="F208" s="7"/>
      <c r="G208" s="7"/>
    </row>
    <row r="209" spans="1:7">
      <c r="A209" s="2"/>
      <c r="B209" s="2"/>
      <c r="C209" s="2"/>
      <c r="D209" s="2"/>
      <c r="E209" s="4"/>
      <c r="F209" s="7"/>
      <c r="G209" s="7"/>
    </row>
    <row r="210" spans="1:7">
      <c r="A210" s="2"/>
      <c r="B210" s="2"/>
      <c r="C210" s="2"/>
      <c r="D210" s="2"/>
      <c r="E210" s="4"/>
      <c r="F210" s="7"/>
      <c r="G210" s="7"/>
    </row>
    <row r="211" spans="1:7">
      <c r="A211" s="2"/>
      <c r="B211" s="2"/>
      <c r="C211" s="2"/>
      <c r="D211" s="2"/>
      <c r="E211" s="4"/>
      <c r="F211" s="7"/>
      <c r="G211" s="7"/>
    </row>
    <row r="212" spans="1:7">
      <c r="A212" s="2"/>
      <c r="B212" s="2"/>
      <c r="C212" s="2"/>
      <c r="D212" s="2"/>
      <c r="E212" s="4"/>
      <c r="F212" s="7"/>
      <c r="G212" s="7"/>
    </row>
    <row r="213" spans="1:7">
      <c r="A213" s="2"/>
      <c r="B213" s="2"/>
      <c r="C213" s="2"/>
      <c r="D213" s="2"/>
      <c r="E213" s="4"/>
      <c r="F213" s="7"/>
      <c r="G213" s="7"/>
    </row>
    <row r="214" spans="1:7">
      <c r="A214" s="2"/>
      <c r="B214" s="2"/>
      <c r="C214" s="2"/>
      <c r="D214" s="2"/>
      <c r="E214" s="4"/>
      <c r="F214" s="7"/>
      <c r="G214" s="7"/>
    </row>
    <row r="215" spans="1:7">
      <c r="A215" s="2"/>
      <c r="B215" s="2"/>
      <c r="C215" s="2"/>
      <c r="D215" s="2"/>
      <c r="E215" s="4"/>
      <c r="F215" s="7"/>
      <c r="G215" s="7"/>
    </row>
    <row r="216" spans="1:7">
      <c r="A216" s="2"/>
      <c r="B216" s="2"/>
      <c r="C216" s="2"/>
      <c r="D216" s="2"/>
      <c r="E216" s="4"/>
      <c r="F216" s="7"/>
      <c r="G216" s="7"/>
    </row>
    <row r="217" spans="1:7">
      <c r="A217" s="2"/>
      <c r="B217" s="2"/>
      <c r="C217" s="2"/>
      <c r="D217" s="2"/>
      <c r="E217" s="4"/>
      <c r="F217" s="7"/>
      <c r="G217" s="7"/>
    </row>
    <row r="218" spans="1:7">
      <c r="A218" s="2"/>
      <c r="B218" s="2"/>
      <c r="C218" s="2"/>
      <c r="D218" s="2"/>
      <c r="E218" s="4"/>
      <c r="F218" s="7"/>
      <c r="G218" s="7"/>
    </row>
    <row r="219" spans="1:7">
      <c r="A219" s="2"/>
      <c r="B219" s="2"/>
      <c r="C219" s="2"/>
      <c r="D219" s="2"/>
      <c r="E219" s="4"/>
      <c r="F219" s="7"/>
      <c r="G219" s="7"/>
    </row>
    <row r="220" spans="1:7">
      <c r="A220" s="2"/>
      <c r="B220" s="2"/>
      <c r="C220" s="2"/>
      <c r="D220" s="2"/>
      <c r="E220" s="4"/>
      <c r="F220" s="7"/>
      <c r="G220" s="7"/>
    </row>
    <row r="221" spans="1:7">
      <c r="A221" s="2"/>
      <c r="B221" s="2"/>
      <c r="C221" s="2"/>
      <c r="D221" s="2"/>
      <c r="E221" s="4"/>
      <c r="F221" s="7"/>
      <c r="G221" s="7"/>
    </row>
    <row r="222" spans="1:7">
      <c r="A222" s="2"/>
      <c r="B222" s="2"/>
      <c r="C222" s="2"/>
      <c r="D222" s="2"/>
      <c r="E222" s="4"/>
      <c r="F222" s="7"/>
      <c r="G222" s="7"/>
    </row>
    <row r="223" spans="1:7">
      <c r="A223" s="2"/>
      <c r="B223" s="2"/>
      <c r="C223" s="2"/>
      <c r="D223" s="2"/>
      <c r="E223" s="4"/>
      <c r="F223" s="7"/>
      <c r="G223" s="7"/>
    </row>
    <row r="224" spans="1:7">
      <c r="A224" s="2"/>
      <c r="B224" s="2"/>
      <c r="C224" s="2"/>
      <c r="D224" s="2"/>
      <c r="E224" s="4"/>
      <c r="F224" s="7"/>
      <c r="G224" s="7"/>
    </row>
    <row r="225" spans="1:7">
      <c r="A225" s="2"/>
      <c r="B225" s="2"/>
      <c r="C225" s="2"/>
      <c r="D225" s="2"/>
      <c r="E225" s="4"/>
      <c r="F225" s="7"/>
      <c r="G225" s="7"/>
    </row>
    <row r="226" spans="1:7">
      <c r="A226" s="2"/>
      <c r="B226" s="2"/>
      <c r="C226" s="2"/>
      <c r="D226" s="2"/>
      <c r="E226" s="4"/>
      <c r="F226" s="7"/>
      <c r="G226" s="7"/>
    </row>
    <row r="227" spans="1:7">
      <c r="A227" s="2"/>
      <c r="B227" s="2"/>
      <c r="C227" s="2"/>
      <c r="D227" s="2"/>
      <c r="E227" s="4"/>
      <c r="F227" s="7"/>
      <c r="G227" s="7"/>
    </row>
    <row r="228" spans="1:7">
      <c r="A228" s="2"/>
      <c r="B228" s="2"/>
      <c r="C228" s="2"/>
      <c r="D228" s="2"/>
      <c r="E228" s="4"/>
      <c r="F228" s="7"/>
      <c r="G228" s="7"/>
    </row>
    <row r="229" spans="1:7">
      <c r="A229" s="2"/>
      <c r="B229" s="2"/>
      <c r="C229" s="2"/>
      <c r="D229" s="2"/>
      <c r="E229" s="4"/>
      <c r="F229" s="7"/>
      <c r="G229" s="7"/>
    </row>
    <row r="230" spans="1:7">
      <c r="A230" s="2"/>
      <c r="B230" s="2"/>
      <c r="C230" s="2"/>
      <c r="D230" s="2"/>
      <c r="E230" s="4"/>
      <c r="F230" s="7"/>
      <c r="G230" s="7"/>
    </row>
    <row r="231" spans="1:7">
      <c r="A231" s="2"/>
      <c r="B231" s="2"/>
      <c r="C231" s="2"/>
      <c r="D231" s="2"/>
      <c r="E231" s="4"/>
      <c r="F231" s="7"/>
      <c r="G231" s="7"/>
    </row>
    <row r="232" spans="1:7">
      <c r="A232" s="2"/>
      <c r="B232" s="2"/>
      <c r="C232" s="2"/>
      <c r="D232" s="2"/>
      <c r="E232" s="4"/>
      <c r="F232" s="7"/>
      <c r="G232" s="7"/>
    </row>
    <row r="233" spans="1:7">
      <c r="A233" s="2"/>
      <c r="B233" s="2"/>
      <c r="C233" s="2"/>
      <c r="D233" s="2"/>
      <c r="E233" s="4"/>
      <c r="F233" s="7"/>
      <c r="G233" s="7"/>
    </row>
    <row r="234" spans="1:7">
      <c r="A234" s="2"/>
      <c r="B234" s="2"/>
      <c r="C234" s="2"/>
      <c r="D234" s="2"/>
      <c r="E234" s="4"/>
      <c r="F234" s="7"/>
      <c r="G234" s="7"/>
    </row>
    <row r="235" spans="1:7">
      <c r="A235" s="2"/>
      <c r="B235" s="2"/>
      <c r="C235" s="2"/>
      <c r="D235" s="2"/>
      <c r="E235" s="4"/>
      <c r="F235" s="7"/>
      <c r="G235" s="7"/>
    </row>
    <row r="236" spans="1:7">
      <c r="A236" s="2"/>
      <c r="B236" s="2"/>
      <c r="C236" s="2"/>
      <c r="D236" s="2"/>
      <c r="E236" s="4"/>
      <c r="F236" s="7"/>
      <c r="G236" s="7"/>
    </row>
    <row r="237" spans="1:7">
      <c r="A237" s="2"/>
      <c r="B237" s="2"/>
      <c r="C237" s="2"/>
      <c r="D237" s="2"/>
      <c r="E237" s="4"/>
      <c r="F237" s="7"/>
      <c r="G237" s="7"/>
    </row>
    <row r="238" spans="1:7">
      <c r="A238" s="2"/>
      <c r="B238" s="2"/>
      <c r="C238" s="2"/>
      <c r="D238" s="2"/>
      <c r="E238" s="4"/>
      <c r="F238" s="7"/>
      <c r="G238" s="7"/>
    </row>
    <row r="239" spans="1:7">
      <c r="A239" s="2"/>
      <c r="B239" s="2"/>
      <c r="C239" s="2"/>
      <c r="D239" s="2"/>
      <c r="E239" s="4"/>
      <c r="F239" s="7"/>
      <c r="G239" s="7"/>
    </row>
    <row r="240" spans="1:7">
      <c r="A240" s="2"/>
      <c r="B240" s="2"/>
      <c r="C240" s="2"/>
      <c r="D240" s="2"/>
      <c r="E240" s="4"/>
      <c r="F240" s="7"/>
      <c r="G240" s="7"/>
    </row>
    <row r="241" spans="1:7">
      <c r="A241" s="2"/>
      <c r="B241" s="2"/>
      <c r="C241" s="2"/>
      <c r="D241" s="2"/>
      <c r="E241" s="4"/>
      <c r="F241" s="7"/>
      <c r="G241" s="7"/>
    </row>
    <row r="242" spans="1:7">
      <c r="A242" s="2"/>
      <c r="B242" s="2"/>
      <c r="C242" s="2"/>
      <c r="D242" s="2"/>
      <c r="E242" s="4"/>
      <c r="F242" s="7"/>
      <c r="G242" s="7"/>
    </row>
    <row r="243" spans="1:7">
      <c r="A243" s="2"/>
      <c r="B243" s="2"/>
      <c r="C243" s="2"/>
      <c r="D243" s="2"/>
      <c r="E243" s="4"/>
      <c r="F243" s="7"/>
      <c r="G243" s="7"/>
    </row>
    <row r="244" spans="1:7">
      <c r="A244" s="2"/>
      <c r="B244" s="2"/>
      <c r="C244" s="2"/>
      <c r="D244" s="2"/>
      <c r="E244" s="4"/>
      <c r="F244" s="7"/>
      <c r="G244" s="7"/>
    </row>
    <row r="245" spans="1:7">
      <c r="A245" s="2"/>
      <c r="B245" s="2"/>
      <c r="C245" s="2"/>
      <c r="D245" s="2"/>
      <c r="E245" s="4"/>
      <c r="F245" s="7"/>
      <c r="G245" s="7"/>
    </row>
    <row r="246" spans="1:7">
      <c r="A246" s="2"/>
      <c r="B246" s="2"/>
      <c r="C246" s="2"/>
      <c r="D246" s="2"/>
      <c r="E246" s="4"/>
      <c r="F246" s="7"/>
      <c r="G246" s="7"/>
    </row>
    <row r="247" spans="1:7">
      <c r="A247" s="2"/>
      <c r="B247" s="2"/>
      <c r="C247" s="2"/>
      <c r="D247" s="2"/>
      <c r="E247" s="4"/>
      <c r="F247" s="7"/>
      <c r="G247" s="7"/>
    </row>
    <row r="248" spans="1:7">
      <c r="A248" s="2"/>
      <c r="B248" s="2"/>
      <c r="C248" s="2"/>
      <c r="D248" s="2"/>
      <c r="E248" s="4"/>
      <c r="F248" s="7"/>
      <c r="G248" s="7"/>
    </row>
    <row r="249" spans="1:7">
      <c r="A249" s="2"/>
      <c r="B249" s="2"/>
      <c r="C249" s="2"/>
      <c r="D249" s="2"/>
      <c r="E249" s="4"/>
      <c r="F249" s="7"/>
      <c r="G249" s="7"/>
    </row>
    <row r="250" spans="1:7">
      <c r="A250" s="2"/>
      <c r="B250" s="2"/>
      <c r="C250" s="2"/>
      <c r="D250" s="2"/>
      <c r="E250" s="4"/>
      <c r="F250" s="7"/>
      <c r="G250" s="7"/>
    </row>
    <row r="251" spans="1:7">
      <c r="A251" s="2"/>
      <c r="B251" s="2"/>
      <c r="C251" s="2"/>
      <c r="D251" s="2"/>
      <c r="E251" s="4"/>
      <c r="F251" s="7"/>
      <c r="G251" s="7"/>
    </row>
    <row r="252" spans="1:7">
      <c r="A252" s="2"/>
      <c r="B252" s="2"/>
      <c r="C252" s="2"/>
      <c r="D252" s="2"/>
      <c r="E252" s="4"/>
      <c r="F252" s="7"/>
      <c r="G252" s="7"/>
    </row>
    <row r="253" spans="1:7">
      <c r="A253" s="2"/>
      <c r="B253" s="2"/>
      <c r="C253" s="2"/>
      <c r="D253" s="2"/>
      <c r="E253" s="4"/>
      <c r="F253" s="7"/>
      <c r="G253" s="7"/>
    </row>
    <row r="254" spans="1:7">
      <c r="A254" s="2"/>
      <c r="B254" s="2"/>
      <c r="C254" s="2"/>
      <c r="D254" s="2"/>
      <c r="E254" s="4"/>
      <c r="F254" s="7"/>
      <c r="G254" s="7"/>
    </row>
    <row r="255" spans="1:7">
      <c r="A255" s="2"/>
      <c r="B255" s="2"/>
      <c r="C255" s="2"/>
      <c r="D255" s="2"/>
      <c r="E255" s="4"/>
      <c r="F255" s="7"/>
      <c r="G255" s="7"/>
    </row>
    <row r="256" spans="1:7">
      <c r="A256" s="2"/>
      <c r="B256" s="2"/>
      <c r="C256" s="2"/>
      <c r="D256" s="2"/>
      <c r="E256" s="4"/>
      <c r="F256" s="7"/>
      <c r="G256" s="7"/>
    </row>
    <row r="257" spans="1:7">
      <c r="A257" s="2"/>
      <c r="B257" s="2"/>
      <c r="C257" s="2"/>
      <c r="D257" s="2"/>
      <c r="E257" s="4"/>
      <c r="F257" s="7"/>
      <c r="G257" s="7"/>
    </row>
    <row r="258" spans="1:7">
      <c r="A258" s="2"/>
      <c r="B258" s="2"/>
      <c r="C258" s="2"/>
      <c r="D258" s="2"/>
      <c r="E258" s="4"/>
      <c r="F258" s="7"/>
      <c r="G258" s="7"/>
    </row>
    <row r="259" spans="1:7">
      <c r="A259" s="2"/>
      <c r="B259" s="2"/>
      <c r="C259" s="2"/>
      <c r="D259" s="2"/>
      <c r="E259" s="4"/>
      <c r="F259" s="7"/>
      <c r="G259" s="7"/>
    </row>
    <row r="260" spans="1:7">
      <c r="A260" s="2"/>
      <c r="B260" s="2"/>
      <c r="C260" s="2"/>
      <c r="D260" s="2"/>
      <c r="E260" s="4"/>
      <c r="F260" s="7"/>
      <c r="G260" s="7"/>
    </row>
    <row r="261" spans="1:7">
      <c r="A261" s="2"/>
      <c r="B261" s="2"/>
      <c r="C261" s="2"/>
      <c r="D261" s="2"/>
      <c r="E261" s="4"/>
      <c r="F261" s="7"/>
      <c r="G261" s="7"/>
    </row>
    <row r="262" spans="1:7">
      <c r="A262" s="2"/>
      <c r="B262" s="2"/>
      <c r="C262" s="2"/>
      <c r="D262" s="2"/>
      <c r="E262" s="4"/>
      <c r="F262" s="7"/>
      <c r="G262" s="7"/>
    </row>
    <row r="263" spans="1:7">
      <c r="A263" s="2"/>
      <c r="B263" s="2"/>
      <c r="C263" s="2"/>
      <c r="D263" s="2"/>
      <c r="E263" s="4"/>
      <c r="F263" s="7"/>
      <c r="G263" s="7"/>
    </row>
    <row r="264" spans="1:7">
      <c r="A264" s="2"/>
      <c r="B264" s="2"/>
      <c r="C264" s="2"/>
      <c r="D264" s="2"/>
      <c r="E264" s="4"/>
      <c r="F264" s="7"/>
      <c r="G264" s="7"/>
    </row>
    <row r="265" spans="1:7">
      <c r="A265" s="2"/>
      <c r="B265" s="2"/>
      <c r="C265" s="2"/>
      <c r="D265" s="2"/>
      <c r="E265" s="4"/>
      <c r="F265" s="7"/>
      <c r="G265" s="7"/>
    </row>
    <row r="266" spans="1:7">
      <c r="A266" s="2"/>
      <c r="B266" s="2"/>
      <c r="C266" s="2"/>
      <c r="D266" s="2"/>
      <c r="E266" s="4"/>
      <c r="F266" s="7"/>
      <c r="G266" s="7"/>
    </row>
    <row r="267" spans="1:7">
      <c r="A267" s="2"/>
      <c r="B267" s="2"/>
      <c r="C267" s="2"/>
      <c r="D267" s="2"/>
      <c r="E267" s="4"/>
      <c r="F267" s="7"/>
      <c r="G267" s="7"/>
    </row>
    <row r="268" spans="1:7">
      <c r="A268" s="2"/>
      <c r="B268" s="2"/>
      <c r="C268" s="2"/>
      <c r="D268" s="2"/>
      <c r="E268" s="4"/>
      <c r="F268" s="7"/>
      <c r="G268" s="7"/>
    </row>
    <row r="269" spans="1:7">
      <c r="A269" s="2"/>
      <c r="B269" s="2"/>
      <c r="C269" s="2"/>
      <c r="D269" s="2"/>
      <c r="E269" s="4"/>
      <c r="F269" s="7"/>
      <c r="G269" s="7"/>
    </row>
    <row r="270" spans="1:7">
      <c r="A270" s="2"/>
      <c r="B270" s="2"/>
      <c r="C270" s="2"/>
      <c r="D270" s="2"/>
      <c r="E270" s="4"/>
      <c r="F270" s="7"/>
      <c r="G270" s="7"/>
    </row>
    <row r="271" spans="1:7">
      <c r="A271" s="2"/>
      <c r="B271" s="2"/>
      <c r="C271" s="2"/>
      <c r="D271" s="2"/>
      <c r="E271" s="4"/>
      <c r="F271" s="7"/>
      <c r="G271" s="7"/>
    </row>
    <row r="272" spans="1:7">
      <c r="A272" s="2"/>
      <c r="B272" s="2"/>
      <c r="C272" s="2"/>
      <c r="D272" s="2"/>
      <c r="E272" s="4"/>
      <c r="F272" s="7"/>
      <c r="G272" s="7"/>
    </row>
    <row r="273" spans="1:7">
      <c r="A273" s="2"/>
      <c r="B273" s="2"/>
      <c r="C273" s="2"/>
      <c r="D273" s="2"/>
      <c r="E273" s="4"/>
      <c r="F273" s="7"/>
      <c r="G273" s="7"/>
    </row>
    <row r="274" spans="1:7">
      <c r="A274" s="2"/>
      <c r="B274" s="2"/>
      <c r="C274" s="2"/>
      <c r="D274" s="2"/>
      <c r="E274" s="4"/>
      <c r="F274" s="7"/>
      <c r="G274" s="7"/>
    </row>
    <row r="275" spans="1:7">
      <c r="A275" s="2"/>
      <c r="B275" s="2"/>
      <c r="C275" s="2"/>
      <c r="D275" s="2"/>
      <c r="E275" s="4"/>
      <c r="F275" s="7"/>
      <c r="G275" s="7"/>
    </row>
    <row r="276" spans="1:7">
      <c r="A276" s="2"/>
      <c r="B276" s="2"/>
      <c r="C276" s="2"/>
      <c r="D276" s="2"/>
      <c r="E276" s="4"/>
      <c r="F276" s="7"/>
      <c r="G276" s="7"/>
    </row>
    <row r="277" spans="1:7">
      <c r="A277" s="2"/>
      <c r="B277" s="2"/>
      <c r="C277" s="2"/>
      <c r="D277" s="2"/>
      <c r="E277" s="4"/>
      <c r="F277" s="7"/>
      <c r="G277" s="7"/>
    </row>
    <row r="278" spans="1:7">
      <c r="A278" s="2"/>
      <c r="B278" s="2"/>
      <c r="C278" s="2"/>
      <c r="D278" s="2"/>
      <c r="E278" s="4"/>
      <c r="F278" s="7"/>
      <c r="G278" s="7"/>
    </row>
    <row r="279" spans="1:7">
      <c r="A279" s="2"/>
      <c r="B279" s="2"/>
      <c r="C279" s="2"/>
      <c r="D279" s="2"/>
      <c r="E279" s="4"/>
      <c r="F279" s="7"/>
      <c r="G279" s="7"/>
    </row>
    <row r="280" spans="1:7">
      <c r="A280" s="2"/>
      <c r="B280" s="2"/>
      <c r="C280" s="2"/>
      <c r="D280" s="2"/>
      <c r="E280" s="4"/>
      <c r="F280" s="7"/>
      <c r="G280" s="7"/>
    </row>
    <row r="281" spans="1:7">
      <c r="A281" s="2"/>
      <c r="B281" s="2"/>
      <c r="C281" s="2"/>
      <c r="D281" s="2"/>
      <c r="E281" s="4"/>
      <c r="F281" s="7"/>
      <c r="G281" s="7"/>
    </row>
    <row r="282" spans="1:7">
      <c r="A282" s="2"/>
      <c r="B282" s="2"/>
      <c r="C282" s="2"/>
      <c r="D282" s="2"/>
      <c r="E282" s="4"/>
      <c r="F282" s="7"/>
      <c r="G282" s="7"/>
    </row>
    <row r="283" spans="1:7">
      <c r="A283" s="2"/>
      <c r="B283" s="2"/>
      <c r="C283" s="2"/>
      <c r="D283" s="2"/>
      <c r="E283" s="4"/>
      <c r="F283" s="7"/>
      <c r="G283" s="7"/>
    </row>
    <row r="284" spans="1:7">
      <c r="A284" s="2"/>
      <c r="B284" s="2"/>
      <c r="C284" s="2"/>
      <c r="D284" s="2"/>
      <c r="E284" s="4"/>
      <c r="F284" s="7"/>
      <c r="G284" s="7"/>
    </row>
    <row r="285" spans="1:7">
      <c r="A285" s="2"/>
      <c r="B285" s="2"/>
      <c r="C285" s="2"/>
      <c r="D285" s="2"/>
      <c r="E285" s="4"/>
      <c r="F285" s="7"/>
      <c r="G285" s="7"/>
    </row>
    <row r="286" spans="1:7">
      <c r="A286" s="2"/>
      <c r="B286" s="2"/>
      <c r="C286" s="2"/>
      <c r="D286" s="2"/>
      <c r="E286" s="4"/>
      <c r="F286" s="7"/>
      <c r="G286" s="7"/>
    </row>
    <row r="287" spans="1:7">
      <c r="A287" s="2"/>
      <c r="B287" s="2"/>
      <c r="C287" s="2"/>
      <c r="D287" s="2"/>
      <c r="E287" s="4"/>
      <c r="F287" s="7"/>
      <c r="G287" s="7"/>
    </row>
    <row r="288" spans="1:7">
      <c r="A288" s="2"/>
      <c r="B288" s="2"/>
      <c r="C288" s="2"/>
      <c r="D288" s="2"/>
      <c r="E288" s="4"/>
      <c r="F288" s="7"/>
      <c r="G288" s="7"/>
    </row>
    <row r="289" spans="1:7">
      <c r="A289" s="2"/>
      <c r="B289" s="2"/>
      <c r="C289" s="2"/>
      <c r="D289" s="2"/>
      <c r="E289" s="4"/>
      <c r="F289" s="7"/>
      <c r="G289" s="7"/>
    </row>
    <row r="290" spans="1:7">
      <c r="A290" s="2"/>
      <c r="B290" s="2"/>
      <c r="C290" s="2"/>
      <c r="D290" s="2"/>
      <c r="E290" s="4"/>
      <c r="F290" s="7"/>
      <c r="G290" s="7"/>
    </row>
    <row r="291" spans="1:7">
      <c r="A291" s="2"/>
      <c r="B291" s="2"/>
      <c r="C291" s="2"/>
      <c r="D291" s="2"/>
      <c r="E291" s="4"/>
      <c r="F291" s="7"/>
      <c r="G291" s="7"/>
    </row>
    <row r="292" spans="1:7">
      <c r="A292" s="2"/>
      <c r="B292" s="2"/>
      <c r="C292" s="2"/>
      <c r="D292" s="2"/>
      <c r="E292" s="4"/>
      <c r="F292" s="7"/>
      <c r="G292" s="7"/>
    </row>
    <row r="293" spans="1:7">
      <c r="A293" s="2"/>
      <c r="B293" s="2"/>
      <c r="C293" s="2"/>
      <c r="D293" s="2"/>
      <c r="E293" s="4"/>
      <c r="F293" s="7"/>
      <c r="G293" s="7"/>
    </row>
    <row r="294" spans="1:7">
      <c r="A294" s="2"/>
      <c r="B294" s="2"/>
      <c r="C294" s="2"/>
      <c r="D294" s="2"/>
      <c r="E294" s="4"/>
      <c r="F294" s="7"/>
      <c r="G294" s="7"/>
    </row>
    <row r="295" spans="1:7">
      <c r="A295" s="2"/>
      <c r="B295" s="2"/>
      <c r="C295" s="2"/>
      <c r="D295" s="2"/>
      <c r="E295" s="4"/>
      <c r="F295" s="7"/>
      <c r="G295" s="7"/>
    </row>
    <row r="296" spans="1:7">
      <c r="A296" s="2"/>
      <c r="B296" s="2"/>
      <c r="C296" s="2"/>
      <c r="D296" s="2"/>
      <c r="E296" s="4"/>
      <c r="F296" s="7"/>
      <c r="G296" s="7"/>
    </row>
    <row r="297" spans="1:7">
      <c r="A297" s="2"/>
      <c r="B297" s="2"/>
      <c r="C297" s="2"/>
      <c r="D297" s="2"/>
      <c r="E297" s="4"/>
      <c r="F297" s="7"/>
      <c r="G297" s="7"/>
    </row>
    <row r="298" spans="1:7">
      <c r="A298" s="2"/>
      <c r="B298" s="2"/>
      <c r="C298" s="2"/>
      <c r="D298" s="2"/>
      <c r="E298" s="4"/>
      <c r="F298" s="7"/>
      <c r="G298" s="7"/>
    </row>
    <row r="299" spans="1:7">
      <c r="A299" s="2"/>
      <c r="B299" s="2"/>
      <c r="C299" s="2"/>
      <c r="D299" s="2"/>
      <c r="E299" s="4"/>
      <c r="F299" s="7"/>
      <c r="G299" s="7"/>
    </row>
    <row r="300" spans="1:7">
      <c r="A300" s="2"/>
      <c r="B300" s="2"/>
      <c r="C300" s="2"/>
      <c r="D300" s="2"/>
      <c r="E300" s="4"/>
      <c r="F300" s="7"/>
      <c r="G300" s="7"/>
    </row>
    <row r="301" spans="1:7">
      <c r="A301" s="2"/>
      <c r="B301" s="2"/>
      <c r="C301" s="2"/>
      <c r="D301" s="2"/>
      <c r="E301" s="4"/>
      <c r="F301" s="7"/>
      <c r="G301" s="7"/>
    </row>
    <row r="302" spans="1:7">
      <c r="A302" s="2"/>
      <c r="B302" s="2"/>
      <c r="C302" s="2"/>
      <c r="D302" s="2"/>
      <c r="E302" s="4"/>
      <c r="F302" s="7"/>
      <c r="G302" s="7"/>
    </row>
    <row r="303" spans="1:7">
      <c r="A303" s="2"/>
      <c r="B303" s="2"/>
      <c r="C303" s="2"/>
      <c r="D303" s="2"/>
      <c r="E303" s="4"/>
      <c r="F303" s="7"/>
      <c r="G303" s="7"/>
    </row>
    <row r="304" spans="1:7">
      <c r="A304" s="2"/>
      <c r="B304" s="2"/>
      <c r="C304" s="2"/>
      <c r="D304" s="2"/>
      <c r="E304" s="4"/>
      <c r="F304" s="7"/>
      <c r="G304" s="7"/>
    </row>
    <row r="305" spans="1:7">
      <c r="A305" s="2"/>
      <c r="B305" s="2"/>
      <c r="C305" s="2"/>
      <c r="D305" s="2"/>
      <c r="E305" s="4"/>
      <c r="F305" s="7"/>
      <c r="G305" s="7"/>
    </row>
    <row r="306" spans="1:7">
      <c r="A306" s="2"/>
      <c r="B306" s="2"/>
      <c r="C306" s="2"/>
      <c r="D306" s="2"/>
      <c r="E306" s="4"/>
      <c r="F306" s="7"/>
      <c r="G306" s="7"/>
    </row>
    <row r="307" spans="1:7">
      <c r="A307" s="2"/>
      <c r="B307" s="2"/>
      <c r="C307" s="2"/>
      <c r="D307" s="2"/>
      <c r="E307" s="4"/>
      <c r="F307" s="7"/>
      <c r="G307" s="7"/>
    </row>
    <row r="308" spans="1:7">
      <c r="A308" s="2"/>
      <c r="B308" s="2"/>
      <c r="C308" s="2"/>
      <c r="D308" s="2"/>
      <c r="E308" s="4"/>
      <c r="F308" s="7"/>
      <c r="G308" s="7"/>
    </row>
    <row r="309" spans="1:7">
      <c r="A309" s="2"/>
      <c r="B309" s="2"/>
      <c r="C309" s="2"/>
      <c r="D309" s="2"/>
      <c r="E309" s="4"/>
      <c r="F309" s="7"/>
      <c r="G309" s="7"/>
    </row>
    <row r="310" spans="1:7">
      <c r="A310" s="2"/>
      <c r="B310" s="2"/>
      <c r="C310" s="2"/>
      <c r="D310" s="2"/>
      <c r="E310" s="4"/>
      <c r="F310" s="7"/>
      <c r="G310" s="7"/>
    </row>
    <row r="311" spans="1:7">
      <c r="A311" s="2"/>
      <c r="B311" s="2"/>
      <c r="C311" s="2"/>
      <c r="D311" s="2"/>
      <c r="E311" s="4"/>
      <c r="F311" s="7"/>
      <c r="G311" s="7"/>
    </row>
    <row r="312" spans="1:7">
      <c r="A312" s="2"/>
      <c r="B312" s="2"/>
      <c r="C312" s="2"/>
      <c r="D312" s="2"/>
      <c r="E312" s="4"/>
      <c r="F312" s="7"/>
      <c r="G312" s="7"/>
    </row>
    <row r="313" spans="1:7">
      <c r="A313" s="2"/>
      <c r="B313" s="2"/>
      <c r="C313" s="2"/>
      <c r="D313" s="2"/>
      <c r="E313" s="4"/>
      <c r="F313" s="7"/>
      <c r="G313" s="7"/>
    </row>
    <row r="314" spans="1:7">
      <c r="A314" s="2"/>
      <c r="B314" s="2"/>
      <c r="C314" s="2"/>
      <c r="D314" s="2"/>
      <c r="E314" s="4"/>
      <c r="F314" s="7"/>
      <c r="G314" s="7"/>
    </row>
    <row r="315" spans="1:7">
      <c r="A315" s="2"/>
      <c r="B315" s="2"/>
      <c r="C315" s="2"/>
      <c r="D315" s="2"/>
      <c r="E315" s="4"/>
      <c r="F315" s="7"/>
      <c r="G315" s="7"/>
    </row>
    <row r="316" spans="1:7">
      <c r="A316" s="2"/>
      <c r="B316" s="2"/>
      <c r="C316" s="2"/>
      <c r="D316" s="2"/>
      <c r="E316" s="4"/>
      <c r="F316" s="7"/>
      <c r="G316" s="7"/>
    </row>
    <row r="317" spans="1:7">
      <c r="A317" s="2"/>
      <c r="B317" s="2"/>
      <c r="C317" s="2"/>
      <c r="D317" s="2"/>
      <c r="E317" s="4"/>
      <c r="F317" s="7"/>
      <c r="G317" s="7"/>
    </row>
    <row r="318" spans="1:7">
      <c r="A318" s="2"/>
      <c r="B318" s="2"/>
      <c r="C318" s="2"/>
      <c r="D318" s="2"/>
      <c r="E318" s="4"/>
      <c r="F318" s="7"/>
      <c r="G318" s="7"/>
    </row>
    <row r="319" spans="1:7">
      <c r="A319" s="2"/>
      <c r="B319" s="2"/>
      <c r="C319" s="2"/>
      <c r="D319" s="2"/>
      <c r="E319" s="4"/>
      <c r="F319" s="7"/>
      <c r="G319" s="7"/>
    </row>
    <row r="320" spans="1:7">
      <c r="A320" s="2"/>
      <c r="B320" s="2"/>
      <c r="C320" s="2"/>
      <c r="D320" s="2"/>
      <c r="E320" s="4"/>
      <c r="F320" s="7"/>
      <c r="G320" s="7"/>
    </row>
    <row r="321" spans="1:7">
      <c r="A321" s="2"/>
      <c r="B321" s="2"/>
      <c r="C321" s="2"/>
      <c r="D321" s="2"/>
      <c r="E321" s="4"/>
      <c r="F321" s="7"/>
      <c r="G321" s="7"/>
    </row>
    <row r="322" spans="1:7">
      <c r="A322" s="2"/>
      <c r="B322" s="2"/>
      <c r="C322" s="2"/>
      <c r="D322" s="2"/>
      <c r="E322" s="4"/>
      <c r="F322" s="7"/>
      <c r="G322" s="7"/>
    </row>
    <row r="323" spans="1:7">
      <c r="A323" s="2"/>
      <c r="B323" s="2"/>
      <c r="C323" s="2"/>
      <c r="D323" s="2"/>
      <c r="E323" s="4"/>
      <c r="F323" s="7"/>
      <c r="G323" s="7"/>
    </row>
    <row r="324" spans="1:7">
      <c r="A324" s="2"/>
      <c r="B324" s="2"/>
      <c r="C324" s="2"/>
      <c r="D324" s="2"/>
      <c r="E324" s="4"/>
      <c r="F324" s="7"/>
      <c r="G324" s="7"/>
    </row>
    <row r="325" spans="1:7">
      <c r="A325" s="2"/>
      <c r="B325" s="2"/>
      <c r="C325" s="2"/>
      <c r="D325" s="2"/>
      <c r="E325" s="4"/>
      <c r="F325" s="7"/>
      <c r="G325" s="7"/>
    </row>
    <row r="326" spans="1:7">
      <c r="A326" s="2"/>
      <c r="B326" s="2"/>
      <c r="C326" s="2"/>
      <c r="D326" s="2"/>
      <c r="E326" s="4"/>
      <c r="F326" s="7"/>
      <c r="G326" s="7"/>
    </row>
    <row r="327" spans="1:7">
      <c r="A327" s="2"/>
      <c r="B327" s="2"/>
      <c r="C327" s="2"/>
      <c r="D327" s="2"/>
      <c r="E327" s="4"/>
      <c r="F327" s="7"/>
      <c r="G327" s="7"/>
    </row>
    <row r="328" spans="1:7">
      <c r="A328" s="2"/>
      <c r="B328" s="2"/>
      <c r="C328" s="2"/>
      <c r="D328" s="2"/>
      <c r="E328" s="4"/>
      <c r="F328" s="7"/>
      <c r="G328" s="7"/>
    </row>
    <row r="329" spans="1:7">
      <c r="A329" s="2"/>
      <c r="B329" s="2"/>
      <c r="C329" s="2"/>
      <c r="D329" s="2"/>
      <c r="E329" s="4"/>
      <c r="F329" s="7"/>
      <c r="G329" s="7"/>
    </row>
    <row r="330" spans="1:7">
      <c r="A330" s="2"/>
      <c r="B330" s="2"/>
      <c r="C330" s="2"/>
      <c r="D330" s="2"/>
      <c r="E330" s="4"/>
      <c r="F330" s="7"/>
      <c r="G330" s="7"/>
    </row>
    <row r="331" spans="1:7">
      <c r="A331" s="2"/>
      <c r="B331" s="2"/>
      <c r="C331" s="2"/>
      <c r="D331" s="2"/>
      <c r="E331" s="4"/>
      <c r="F331" s="7"/>
      <c r="G331" s="7"/>
    </row>
    <row r="332" spans="1:7">
      <c r="A332" s="2"/>
      <c r="B332" s="2"/>
      <c r="C332" s="2"/>
      <c r="D332" s="2"/>
      <c r="E332" s="4"/>
      <c r="F332" s="7"/>
      <c r="G332" s="7"/>
    </row>
    <row r="333" spans="1:7">
      <c r="A333" s="2"/>
      <c r="B333" s="2"/>
      <c r="C333" s="2"/>
      <c r="D333" s="2"/>
      <c r="E333" s="4"/>
      <c r="F333" s="7"/>
      <c r="G333" s="7"/>
    </row>
    <row r="334" spans="1:7">
      <c r="A334" s="2"/>
      <c r="B334" s="2"/>
      <c r="C334" s="2"/>
      <c r="D334" s="2"/>
      <c r="E334" s="4"/>
      <c r="F334" s="7"/>
      <c r="G334" s="7"/>
    </row>
    <row r="335" spans="1:7">
      <c r="A335" s="2"/>
      <c r="B335" s="2"/>
      <c r="C335" s="2"/>
      <c r="D335" s="2"/>
      <c r="E335" s="4"/>
      <c r="F335" s="7"/>
      <c r="G335" s="7"/>
    </row>
    <row r="336" spans="1:7">
      <c r="A336" s="2"/>
      <c r="B336" s="2"/>
      <c r="C336" s="2"/>
      <c r="D336" s="2"/>
      <c r="E336" s="4"/>
      <c r="F336" s="7"/>
      <c r="G336" s="7"/>
    </row>
    <row r="337" spans="1:7">
      <c r="A337" s="2"/>
      <c r="B337" s="2"/>
      <c r="C337" s="2"/>
      <c r="D337" s="2"/>
      <c r="E337" s="4"/>
      <c r="F337" s="7"/>
      <c r="G337" s="7"/>
    </row>
    <row r="338" spans="1:7">
      <c r="A338" s="2"/>
      <c r="B338" s="2"/>
      <c r="C338" s="2"/>
      <c r="D338" s="2"/>
      <c r="E338" s="4"/>
      <c r="F338" s="7"/>
      <c r="G338" s="7"/>
    </row>
    <row r="339" spans="1:7">
      <c r="A339" s="2"/>
      <c r="B339" s="2"/>
      <c r="C339" s="2"/>
      <c r="D339" s="2"/>
      <c r="E339" s="4"/>
      <c r="F339" s="7"/>
      <c r="G339" s="7"/>
    </row>
    <row r="340" spans="1:7">
      <c r="A340" s="2"/>
      <c r="B340" s="2"/>
      <c r="C340" s="2"/>
      <c r="D340" s="2"/>
      <c r="E340" s="4"/>
      <c r="F340" s="7"/>
      <c r="G340" s="7"/>
    </row>
    <row r="341" spans="1:7">
      <c r="A341" s="2"/>
      <c r="B341" s="2"/>
      <c r="C341" s="2"/>
      <c r="D341" s="2"/>
      <c r="E341" s="4"/>
      <c r="F341" s="7"/>
      <c r="G341" s="7"/>
    </row>
    <row r="342" spans="1:7">
      <c r="A342" s="2"/>
      <c r="B342" s="2"/>
      <c r="C342" s="2"/>
      <c r="D342" s="2"/>
      <c r="E342" s="4"/>
      <c r="F342" s="7"/>
      <c r="G342" s="7"/>
    </row>
    <row r="343" spans="1:7">
      <c r="A343" s="2"/>
      <c r="B343" s="2"/>
      <c r="C343" s="2"/>
      <c r="D343" s="2"/>
      <c r="E343" s="4"/>
      <c r="F343" s="7"/>
      <c r="G343" s="7"/>
    </row>
    <row r="344" spans="1:7">
      <c r="A344" s="2"/>
      <c r="B344" s="2"/>
      <c r="C344" s="2"/>
      <c r="D344" s="2"/>
      <c r="E344" s="4"/>
      <c r="F344" s="7"/>
      <c r="G344" s="7"/>
    </row>
    <row r="345" spans="1:7">
      <c r="A345" s="2"/>
      <c r="B345" s="2"/>
      <c r="C345" s="2"/>
      <c r="D345" s="2"/>
      <c r="E345" s="4"/>
      <c r="F345" s="7"/>
      <c r="G345" s="7"/>
    </row>
    <row r="346" spans="1:7">
      <c r="A346" s="2"/>
      <c r="B346" s="2"/>
      <c r="C346" s="2"/>
      <c r="D346" s="2"/>
      <c r="E346" s="4"/>
      <c r="F346" s="7"/>
      <c r="G346" s="7"/>
    </row>
    <row r="347" spans="1:7">
      <c r="A347" s="2"/>
      <c r="B347" s="2"/>
      <c r="C347" s="2"/>
      <c r="D347" s="2"/>
      <c r="E347" s="4"/>
      <c r="F347" s="7"/>
      <c r="G347" s="7"/>
    </row>
    <row r="348" spans="1:7">
      <c r="A348" s="2"/>
      <c r="B348" s="2"/>
      <c r="C348" s="2"/>
      <c r="D348" s="2"/>
      <c r="E348" s="4"/>
      <c r="F348" s="7"/>
      <c r="G348" s="7"/>
    </row>
    <row r="349" spans="1:7">
      <c r="A349" s="2"/>
      <c r="B349" s="2"/>
      <c r="C349" s="2"/>
      <c r="D349" s="2"/>
      <c r="E349" s="4"/>
      <c r="F349" s="7"/>
      <c r="G349" s="7"/>
    </row>
    <row r="350" spans="1:7">
      <c r="A350" s="2"/>
      <c r="B350" s="2"/>
      <c r="C350" s="2"/>
      <c r="D350" s="2"/>
      <c r="E350" s="4"/>
      <c r="F350" s="7"/>
      <c r="G350" s="7"/>
    </row>
    <row r="351" spans="1:7">
      <c r="A351" s="2"/>
      <c r="B351" s="2"/>
      <c r="C351" s="2"/>
      <c r="D351" s="2"/>
      <c r="E351" s="4"/>
      <c r="F351" s="7"/>
      <c r="G351" s="7"/>
    </row>
    <row r="352" spans="1:7">
      <c r="A352" s="2"/>
      <c r="B352" s="2"/>
      <c r="C352" s="2"/>
      <c r="D352" s="2"/>
      <c r="E352" s="4"/>
      <c r="F352" s="7"/>
      <c r="G352" s="7"/>
    </row>
    <row r="353" spans="1:7">
      <c r="A353" s="2"/>
      <c r="B353" s="2"/>
      <c r="C353" s="2"/>
      <c r="D353" s="2"/>
      <c r="E353" s="4"/>
      <c r="F353" s="7"/>
      <c r="G353" s="7"/>
    </row>
    <row r="354" spans="1:7">
      <c r="A354" s="2"/>
      <c r="B354" s="2"/>
      <c r="C354" s="2"/>
      <c r="D354" s="2"/>
      <c r="E354" s="4"/>
      <c r="F354" s="7"/>
      <c r="G354" s="7"/>
    </row>
    <row r="355" spans="1:7">
      <c r="A355" s="2"/>
      <c r="B355" s="2"/>
      <c r="C355" s="2"/>
      <c r="D355" s="2"/>
      <c r="E355" s="4"/>
      <c r="F355" s="7"/>
      <c r="G355" s="7"/>
    </row>
    <row r="356" spans="1:7">
      <c r="A356" s="2"/>
      <c r="B356" s="2"/>
      <c r="C356" s="2"/>
      <c r="D356" s="2"/>
      <c r="E356" s="4"/>
      <c r="F356" s="7"/>
      <c r="G356" s="7"/>
    </row>
    <row r="357" spans="1:7">
      <c r="A357" s="2"/>
      <c r="B357" s="2"/>
      <c r="C357" s="2"/>
      <c r="D357" s="2"/>
      <c r="E357" s="4"/>
      <c r="F357" s="7"/>
      <c r="G357" s="7"/>
    </row>
    <row r="358" spans="1:7">
      <c r="A358" s="2"/>
      <c r="B358" s="2"/>
      <c r="C358" s="2"/>
      <c r="D358" s="2"/>
      <c r="E358" s="4"/>
      <c r="F358" s="7"/>
      <c r="G358" s="7"/>
    </row>
    <row r="359" spans="1:7">
      <c r="A359" s="2"/>
      <c r="B359" s="2"/>
      <c r="C359" s="2"/>
      <c r="D359" s="2"/>
      <c r="E359" s="4"/>
      <c r="F359" s="7"/>
      <c r="G359" s="7"/>
    </row>
    <row r="360" spans="1:7">
      <c r="A360" s="2"/>
      <c r="B360" s="2"/>
      <c r="C360" s="2"/>
      <c r="D360" s="2"/>
      <c r="E360" s="4"/>
      <c r="F360" s="7"/>
      <c r="G360" s="7"/>
    </row>
    <row r="361" spans="1:7">
      <c r="A361" s="2"/>
      <c r="B361" s="2"/>
      <c r="C361" s="2"/>
      <c r="D361" s="2"/>
      <c r="E361" s="4"/>
      <c r="F361" s="7"/>
      <c r="G361" s="7"/>
    </row>
    <row r="362" spans="1:7">
      <c r="A362" s="2"/>
      <c r="B362" s="2"/>
      <c r="C362" s="2"/>
      <c r="D362" s="2"/>
      <c r="E362" s="4"/>
      <c r="F362" s="7"/>
      <c r="G362" s="7"/>
    </row>
    <row r="363" spans="1:7">
      <c r="A363" s="2"/>
      <c r="B363" s="2"/>
      <c r="C363" s="2"/>
      <c r="D363" s="2"/>
      <c r="E363" s="4"/>
      <c r="F363" s="7"/>
      <c r="G363" s="7"/>
    </row>
    <row r="364" spans="1:7">
      <c r="A364" s="2"/>
      <c r="B364" s="2"/>
      <c r="C364" s="2"/>
      <c r="D364" s="2"/>
      <c r="E364" s="4"/>
      <c r="F364" s="7"/>
      <c r="G364" s="7"/>
    </row>
    <row r="365" spans="1:7">
      <c r="A365" s="2"/>
      <c r="B365" s="2"/>
      <c r="C365" s="2"/>
      <c r="D365" s="2"/>
      <c r="E365" s="4"/>
      <c r="F365" s="7"/>
      <c r="G365" s="7"/>
    </row>
    <row r="366" spans="1:7">
      <c r="A366" s="2"/>
      <c r="B366" s="2"/>
      <c r="C366" s="2"/>
      <c r="D366" s="2"/>
      <c r="E366" s="4"/>
      <c r="F366" s="7"/>
      <c r="G366" s="7"/>
    </row>
    <row r="367" spans="1:7">
      <c r="A367" s="2"/>
      <c r="B367" s="2"/>
      <c r="C367" s="2"/>
      <c r="D367" s="2"/>
      <c r="E367" s="4"/>
      <c r="F367" s="7"/>
      <c r="G367" s="7"/>
    </row>
    <row r="368" spans="1:7">
      <c r="A368" s="2"/>
      <c r="B368" s="2"/>
      <c r="C368" s="2"/>
      <c r="D368" s="2"/>
      <c r="E368" s="4"/>
      <c r="F368" s="7"/>
      <c r="G368" s="7"/>
    </row>
    <row r="369" spans="1:7">
      <c r="A369" s="2"/>
      <c r="B369" s="2"/>
      <c r="C369" s="2"/>
      <c r="D369" s="2"/>
      <c r="E369" s="4"/>
      <c r="F369" s="7"/>
      <c r="G369" s="7"/>
    </row>
    <row r="370" spans="1:7">
      <c r="A370" s="2"/>
      <c r="B370" s="2"/>
      <c r="C370" s="2"/>
      <c r="D370" s="2"/>
      <c r="E370" s="4"/>
      <c r="F370" s="7"/>
      <c r="G370" s="7"/>
    </row>
    <row r="371" spans="1:7">
      <c r="A371" s="2"/>
      <c r="B371" s="2"/>
      <c r="C371" s="2"/>
      <c r="D371" s="2"/>
      <c r="E371" s="4"/>
      <c r="F371" s="7"/>
      <c r="G371" s="7"/>
    </row>
    <row r="372" spans="1:7">
      <c r="A372" s="2"/>
      <c r="B372" s="2"/>
      <c r="C372" s="2"/>
      <c r="D372" s="2"/>
      <c r="E372" s="4"/>
      <c r="F372" s="7"/>
      <c r="G372" s="7"/>
    </row>
    <row r="373" spans="1:7">
      <c r="A373" s="2"/>
      <c r="B373" s="2"/>
      <c r="C373" s="2"/>
      <c r="D373" s="2"/>
      <c r="E373" s="4"/>
      <c r="F373" s="7"/>
      <c r="G373" s="7"/>
    </row>
    <row r="374" spans="1:7">
      <c r="A374" s="2"/>
      <c r="B374" s="2"/>
      <c r="C374" s="2"/>
      <c r="D374" s="2"/>
      <c r="E374" s="4"/>
      <c r="F374" s="7"/>
      <c r="G374" s="7"/>
    </row>
    <row r="375" spans="1:7">
      <c r="A375" s="2"/>
      <c r="B375" s="2"/>
      <c r="C375" s="2"/>
      <c r="D375" s="2"/>
      <c r="E375" s="4"/>
      <c r="F375" s="7"/>
      <c r="G375" s="7"/>
    </row>
    <row r="376" spans="1:7">
      <c r="A376" s="2"/>
      <c r="B376" s="2"/>
      <c r="C376" s="2"/>
      <c r="D376" s="2"/>
      <c r="E376" s="4"/>
      <c r="F376" s="7"/>
      <c r="G376" s="7"/>
    </row>
    <row r="377" spans="1:7">
      <c r="A377" s="2"/>
      <c r="B377" s="2"/>
      <c r="C377" s="2"/>
      <c r="D377" s="2"/>
      <c r="E377" s="4"/>
      <c r="F377" s="7"/>
      <c r="G377" s="7"/>
    </row>
    <row r="378" spans="1:7">
      <c r="A378" s="2"/>
      <c r="B378" s="2"/>
      <c r="C378" s="2"/>
      <c r="D378" s="2"/>
      <c r="E378" s="4"/>
      <c r="F378" s="7"/>
      <c r="G378" s="7"/>
    </row>
    <row r="379" spans="1:7">
      <c r="A379" s="2"/>
      <c r="B379" s="2"/>
      <c r="C379" s="2"/>
      <c r="D379" s="2"/>
      <c r="E379" s="4"/>
      <c r="F379" s="7"/>
      <c r="G379" s="7"/>
    </row>
    <row r="380" spans="1:7">
      <c r="A380" s="2"/>
      <c r="B380" s="2"/>
      <c r="C380" s="2"/>
      <c r="D380" s="2"/>
      <c r="E380" s="4"/>
      <c r="F380" s="7"/>
      <c r="G380" s="7"/>
    </row>
    <row r="381" spans="1:7">
      <c r="A381" s="2"/>
      <c r="B381" s="2"/>
      <c r="C381" s="2"/>
      <c r="D381" s="2"/>
      <c r="E381" s="4"/>
      <c r="F381" s="7"/>
      <c r="G381" s="7"/>
    </row>
    <row r="382" spans="1:7">
      <c r="A382" s="2"/>
      <c r="B382" s="2"/>
      <c r="C382" s="2"/>
      <c r="D382" s="2"/>
      <c r="E382" s="4"/>
      <c r="F382" s="7"/>
      <c r="G382" s="7"/>
    </row>
    <row r="383" spans="1:7">
      <c r="A383" s="2"/>
      <c r="B383" s="2"/>
      <c r="C383" s="2"/>
      <c r="D383" s="2"/>
      <c r="E383" s="4"/>
      <c r="F383" s="7"/>
      <c r="G383" s="7"/>
    </row>
    <row r="384" spans="1:7">
      <c r="A384" s="2"/>
      <c r="B384" s="2"/>
      <c r="C384" s="2"/>
      <c r="D384" s="2"/>
      <c r="E384" s="4"/>
      <c r="F384" s="7"/>
      <c r="G384" s="7"/>
    </row>
    <row r="385" spans="1:7">
      <c r="A385" s="2"/>
      <c r="B385" s="2"/>
      <c r="C385" s="2"/>
      <c r="D385" s="2"/>
      <c r="E385" s="4"/>
      <c r="F385" s="7"/>
      <c r="G385" s="7"/>
    </row>
    <row r="386" spans="1:7">
      <c r="A386" s="2"/>
      <c r="B386" s="2"/>
      <c r="C386" s="2"/>
      <c r="D386" s="2"/>
      <c r="E386" s="4"/>
      <c r="F386" s="7"/>
      <c r="G386" s="7"/>
    </row>
    <row r="387" spans="1:7">
      <c r="A387" s="2"/>
      <c r="B387" s="2"/>
      <c r="C387" s="2"/>
      <c r="D387" s="2"/>
      <c r="E387" s="4"/>
      <c r="F387" s="7"/>
      <c r="G387" s="7"/>
    </row>
    <row r="388" spans="1:7">
      <c r="A388" s="2"/>
      <c r="B388" s="2"/>
      <c r="C388" s="2"/>
      <c r="D388" s="2"/>
      <c r="E388" s="4"/>
      <c r="F388" s="7"/>
      <c r="G388" s="7"/>
    </row>
    <row r="389" spans="1:7">
      <c r="A389" s="2"/>
      <c r="B389" s="2"/>
      <c r="C389" s="2"/>
      <c r="D389" s="2"/>
      <c r="E389" s="4"/>
      <c r="F389" s="7"/>
      <c r="G389" s="7"/>
    </row>
    <row r="390" spans="1:7">
      <c r="A390" s="2"/>
      <c r="B390" s="2"/>
      <c r="C390" s="2"/>
      <c r="D390" s="2"/>
      <c r="E390" s="4"/>
      <c r="F390" s="7"/>
      <c r="G390" s="7"/>
    </row>
    <row r="391" spans="1:7">
      <c r="A391" s="2"/>
      <c r="B391" s="2"/>
      <c r="C391" s="2"/>
      <c r="D391" s="2"/>
      <c r="E391" s="4"/>
      <c r="F391" s="7"/>
      <c r="G391" s="7"/>
    </row>
    <row r="392" spans="1:7">
      <c r="A392" s="2"/>
      <c r="B392" s="2"/>
      <c r="C392" s="2"/>
      <c r="D392" s="2"/>
      <c r="E392" s="4"/>
      <c r="F392" s="7"/>
      <c r="G392" s="7"/>
    </row>
    <row r="393" spans="1:7">
      <c r="A393" s="2"/>
      <c r="B393" s="2"/>
      <c r="C393" s="2"/>
      <c r="D393" s="2"/>
      <c r="E393" s="4"/>
      <c r="F393" s="7"/>
      <c r="G393" s="7"/>
    </row>
    <row r="394" spans="1:7">
      <c r="A394" s="2"/>
      <c r="B394" s="2"/>
      <c r="C394" s="2"/>
      <c r="D394" s="2"/>
      <c r="E394" s="4"/>
      <c r="F394" s="7"/>
      <c r="G394" s="7"/>
    </row>
    <row r="395" spans="1:7">
      <c r="A395" s="2"/>
      <c r="B395" s="2"/>
      <c r="C395" s="2"/>
      <c r="D395" s="2"/>
      <c r="E395" s="4"/>
      <c r="F395" s="7"/>
      <c r="G395" s="7"/>
    </row>
    <row r="396" spans="1:7">
      <c r="A396" s="2"/>
      <c r="B396" s="2"/>
      <c r="C396" s="2"/>
      <c r="D396" s="2"/>
      <c r="E396" s="4"/>
      <c r="F396" s="7"/>
      <c r="G396" s="7"/>
    </row>
    <row r="397" spans="1:7">
      <c r="A397" s="2"/>
      <c r="B397" s="2"/>
      <c r="C397" s="2"/>
      <c r="D397" s="2"/>
      <c r="E397" s="4"/>
      <c r="F397" s="7"/>
      <c r="G397" s="7"/>
    </row>
    <row r="398" spans="1:7">
      <c r="A398" s="2"/>
      <c r="B398" s="2"/>
      <c r="C398" s="2"/>
      <c r="D398" s="2"/>
      <c r="E398" s="4"/>
      <c r="F398" s="7"/>
      <c r="G398" s="7"/>
    </row>
    <row r="399" spans="1:7">
      <c r="A399" s="2"/>
      <c r="B399" s="2"/>
      <c r="C399" s="2"/>
      <c r="D399" s="2"/>
      <c r="E399" s="4"/>
      <c r="F399" s="7"/>
      <c r="G399" s="7"/>
    </row>
    <row r="400" spans="1:7">
      <c r="A400" s="2"/>
      <c r="B400" s="2"/>
      <c r="C400" s="2"/>
      <c r="D400" s="2"/>
      <c r="E400" s="4"/>
      <c r="F400" s="7"/>
      <c r="G400" s="7"/>
    </row>
    <row r="401" spans="1:7">
      <c r="A401" s="2"/>
      <c r="B401" s="2"/>
      <c r="C401" s="2"/>
      <c r="D401" s="2"/>
      <c r="E401" s="4"/>
      <c r="F401" s="7"/>
      <c r="G401" s="7"/>
    </row>
    <row r="402" spans="1:7">
      <c r="A402" s="2"/>
      <c r="B402" s="2"/>
      <c r="C402" s="2"/>
      <c r="D402" s="2"/>
      <c r="E402" s="4"/>
      <c r="F402" s="7"/>
      <c r="G402" s="7"/>
    </row>
    <row r="403" spans="1:7">
      <c r="A403" s="2"/>
      <c r="B403" s="2"/>
      <c r="C403" s="2"/>
      <c r="D403" s="2"/>
      <c r="E403" s="4"/>
      <c r="F403" s="7"/>
      <c r="G403" s="7"/>
    </row>
    <row r="404" spans="1:7">
      <c r="A404" s="2"/>
      <c r="B404" s="2"/>
      <c r="C404" s="2"/>
      <c r="D404" s="2"/>
      <c r="E404" s="4"/>
      <c r="F404" s="7"/>
      <c r="G404" s="7"/>
    </row>
    <row r="405" spans="1:7">
      <c r="A405" s="2"/>
      <c r="B405" s="2"/>
      <c r="C405" s="2"/>
      <c r="D405" s="2"/>
      <c r="E405" s="4"/>
      <c r="F405" s="7"/>
      <c r="G405" s="7"/>
    </row>
    <row r="406" spans="1:7">
      <c r="A406" s="2"/>
      <c r="B406" s="2"/>
      <c r="C406" s="2"/>
      <c r="D406" s="2"/>
      <c r="E406" s="4"/>
      <c r="F406" s="7"/>
      <c r="G406" s="7"/>
    </row>
    <row r="407" spans="1:7">
      <c r="A407" s="2"/>
      <c r="B407" s="2"/>
      <c r="C407" s="2"/>
      <c r="D407" s="2"/>
      <c r="E407" s="4"/>
      <c r="F407" s="7"/>
      <c r="G407" s="7"/>
    </row>
    <row r="408" spans="1:7">
      <c r="A408" s="2"/>
      <c r="B408" s="2"/>
      <c r="C408" s="2"/>
      <c r="D408" s="2"/>
      <c r="E408" s="4"/>
      <c r="F408" s="7"/>
      <c r="G408" s="7"/>
    </row>
    <row r="409" spans="1:7">
      <c r="A409" s="2"/>
      <c r="B409" s="2"/>
      <c r="C409" s="2"/>
      <c r="D409" s="2"/>
      <c r="E409" s="4"/>
      <c r="F409" s="7"/>
      <c r="G409" s="7"/>
    </row>
    <row r="410" spans="1:7">
      <c r="A410" s="2"/>
      <c r="B410" s="2"/>
      <c r="C410" s="2"/>
      <c r="D410" s="2"/>
      <c r="E410" s="4"/>
      <c r="F410" s="7"/>
      <c r="G410" s="7"/>
    </row>
    <row r="411" spans="1:7">
      <c r="A411" s="2"/>
      <c r="B411" s="2"/>
      <c r="C411" s="2"/>
      <c r="D411" s="2"/>
      <c r="E411" s="4"/>
      <c r="F411" s="7"/>
      <c r="G411" s="7"/>
    </row>
    <row r="412" spans="1:7">
      <c r="A412" s="2"/>
      <c r="B412" s="2"/>
      <c r="C412" s="2"/>
      <c r="D412" s="2"/>
      <c r="E412" s="4"/>
      <c r="F412" s="7"/>
      <c r="G412" s="7"/>
    </row>
    <row r="413" spans="1:7">
      <c r="A413" s="2"/>
      <c r="B413" s="2"/>
      <c r="C413" s="2"/>
      <c r="D413" s="2"/>
      <c r="E413" s="4"/>
      <c r="F413" s="7"/>
      <c r="G413" s="7"/>
    </row>
    <row r="414" spans="1:7">
      <c r="A414" s="2"/>
      <c r="B414" s="2"/>
      <c r="C414" s="2"/>
      <c r="D414" s="2"/>
      <c r="E414" s="4"/>
      <c r="F414" s="7"/>
      <c r="G414" s="7"/>
    </row>
    <row r="415" spans="1:7">
      <c r="A415" s="2"/>
      <c r="B415" s="2"/>
      <c r="C415" s="2"/>
      <c r="D415" s="2"/>
      <c r="E415" s="4"/>
      <c r="F415" s="7"/>
      <c r="G415" s="7"/>
    </row>
    <row r="416" spans="1:7">
      <c r="A416" s="2"/>
      <c r="B416" s="2"/>
      <c r="C416" s="2"/>
      <c r="D416" s="2"/>
      <c r="E416" s="4"/>
      <c r="F416" s="7"/>
      <c r="G416" s="7"/>
    </row>
    <row r="417" spans="1:7">
      <c r="A417" s="2"/>
      <c r="B417" s="2"/>
      <c r="C417" s="2"/>
      <c r="D417" s="2"/>
      <c r="E417" s="4"/>
      <c r="F417" s="7"/>
      <c r="G417" s="7"/>
    </row>
    <row r="418" spans="1:7">
      <c r="A418" s="2"/>
      <c r="B418" s="2"/>
      <c r="C418" s="2"/>
      <c r="D418" s="2"/>
      <c r="E418" s="4"/>
      <c r="F418" s="7"/>
      <c r="G418" s="7"/>
    </row>
    <row r="419" spans="1:7">
      <c r="A419" s="2"/>
      <c r="B419" s="2"/>
      <c r="C419" s="2"/>
      <c r="D419" s="2"/>
      <c r="E419" s="4"/>
      <c r="F419" s="7"/>
      <c r="G419" s="7"/>
    </row>
    <row r="420" spans="1:7">
      <c r="A420" s="2"/>
      <c r="B420" s="2"/>
      <c r="C420" s="2"/>
      <c r="D420" s="2"/>
      <c r="E420" s="4"/>
      <c r="F420" s="7"/>
      <c r="G420" s="7"/>
    </row>
    <row r="421" spans="1:7">
      <c r="A421" s="2"/>
      <c r="B421" s="2"/>
      <c r="C421" s="2"/>
      <c r="D421" s="2"/>
      <c r="E421" s="4"/>
      <c r="F421" s="7"/>
      <c r="G421" s="7"/>
    </row>
    <row r="422" spans="1:7">
      <c r="A422" s="2"/>
      <c r="B422" s="2"/>
      <c r="C422" s="2"/>
      <c r="D422" s="2"/>
      <c r="E422" s="4"/>
      <c r="F422" s="7"/>
      <c r="G422" s="7"/>
    </row>
    <row r="423" spans="1:7">
      <c r="A423" s="2"/>
      <c r="B423" s="2"/>
      <c r="C423" s="2"/>
      <c r="D423" s="2"/>
      <c r="E423" s="4"/>
      <c r="F423" s="7"/>
      <c r="G423" s="7"/>
    </row>
    <row r="424" spans="1:7">
      <c r="A424" s="2"/>
      <c r="B424" s="2"/>
      <c r="C424" s="2"/>
      <c r="D424" s="2"/>
      <c r="E424" s="4"/>
      <c r="F424" s="7"/>
      <c r="G424" s="7"/>
    </row>
    <row r="425" spans="1:7">
      <c r="A425" s="2"/>
      <c r="B425" s="2"/>
      <c r="C425" s="2"/>
      <c r="D425" s="2"/>
      <c r="E425" s="4"/>
      <c r="F425" s="7"/>
      <c r="G425" s="7"/>
    </row>
    <row r="426" spans="1:7">
      <c r="A426" s="2"/>
      <c r="B426" s="2"/>
      <c r="C426" s="2"/>
      <c r="D426" s="2"/>
      <c r="E426" s="4"/>
      <c r="F426" s="7"/>
      <c r="G426" s="7"/>
    </row>
    <row r="427" spans="1:7">
      <c r="A427" s="2"/>
      <c r="B427" s="2"/>
      <c r="C427" s="2"/>
      <c r="D427" s="2"/>
      <c r="E427" s="4"/>
      <c r="F427" s="7"/>
      <c r="G427" s="7"/>
    </row>
    <row r="428" spans="1:7">
      <c r="A428" s="2"/>
      <c r="B428" s="2"/>
      <c r="C428" s="2"/>
      <c r="D428" s="2"/>
      <c r="E428" s="4"/>
      <c r="F428" s="7"/>
      <c r="G428" s="7"/>
    </row>
    <row r="429" spans="1:7">
      <c r="A429" s="2"/>
      <c r="B429" s="2"/>
      <c r="C429" s="2"/>
      <c r="D429" s="2"/>
      <c r="E429" s="4"/>
      <c r="F429" s="7"/>
      <c r="G429" s="7"/>
    </row>
    <row r="430" spans="1:7">
      <c r="A430" s="2"/>
      <c r="B430" s="2"/>
      <c r="C430" s="2"/>
      <c r="D430" s="2"/>
      <c r="E430" s="4"/>
      <c r="F430" s="7"/>
      <c r="G430" s="7"/>
    </row>
    <row r="431" spans="1:7">
      <c r="A431" s="2"/>
      <c r="B431" s="2"/>
      <c r="C431" s="2"/>
      <c r="D431" s="2"/>
      <c r="E431" s="4"/>
      <c r="F431" s="7"/>
      <c r="G431" s="7"/>
    </row>
    <row r="432" spans="1:7">
      <c r="A432" s="2"/>
      <c r="B432" s="2"/>
      <c r="C432" s="2"/>
      <c r="D432" s="2"/>
      <c r="E432" s="4"/>
      <c r="F432" s="7"/>
      <c r="G432" s="7"/>
    </row>
    <row r="433" spans="1:7">
      <c r="A433" s="2"/>
      <c r="B433" s="2"/>
      <c r="C433" s="2"/>
      <c r="D433" s="2"/>
      <c r="E433" s="4"/>
      <c r="F433" s="7"/>
      <c r="G433" s="7"/>
    </row>
    <row r="434" spans="1:7">
      <c r="A434" s="2"/>
      <c r="B434" s="2"/>
      <c r="C434" s="2"/>
      <c r="D434" s="2"/>
      <c r="E434" s="4"/>
      <c r="F434" s="7"/>
      <c r="G434" s="7"/>
    </row>
    <row r="435" spans="1:7">
      <c r="A435" s="2"/>
      <c r="B435" s="2"/>
      <c r="C435" s="2"/>
      <c r="D435" s="2"/>
      <c r="E435" s="4"/>
      <c r="F435" s="7"/>
      <c r="G435" s="7"/>
    </row>
    <row r="436" spans="1:7">
      <c r="A436" s="2"/>
      <c r="B436" s="2"/>
      <c r="C436" s="2"/>
      <c r="D436" s="2"/>
      <c r="E436" s="4"/>
      <c r="F436" s="7"/>
      <c r="G436" s="7"/>
    </row>
    <row r="437" spans="1:7">
      <c r="A437" s="2"/>
      <c r="B437" s="2"/>
      <c r="C437" s="2"/>
      <c r="D437" s="2"/>
      <c r="E437" s="4"/>
      <c r="F437" s="7"/>
      <c r="G437" s="7"/>
    </row>
    <row r="438" spans="1:7">
      <c r="A438" s="2"/>
      <c r="B438" s="2"/>
      <c r="C438" s="2"/>
      <c r="D438" s="2"/>
      <c r="E438" s="4"/>
      <c r="F438" s="7"/>
      <c r="G438" s="7"/>
    </row>
    <row r="439" spans="1:7">
      <c r="A439" s="2"/>
      <c r="B439" s="2"/>
      <c r="C439" s="2"/>
      <c r="D439" s="2"/>
      <c r="E439" s="4"/>
      <c r="F439" s="7"/>
      <c r="G439" s="7"/>
    </row>
    <row r="440" spans="1:7">
      <c r="A440" s="2"/>
      <c r="B440" s="2"/>
      <c r="C440" s="2"/>
      <c r="D440" s="2"/>
      <c r="E440" s="4"/>
      <c r="F440" s="7"/>
      <c r="G440" s="7"/>
    </row>
    <row r="441" spans="1:7">
      <c r="A441" s="2"/>
      <c r="B441" s="2"/>
      <c r="C441" s="2"/>
      <c r="D441" s="2"/>
      <c r="E441" s="4"/>
      <c r="F441" s="7"/>
      <c r="G441" s="7"/>
    </row>
    <row r="442" spans="1:7">
      <c r="A442" s="2"/>
      <c r="B442" s="2"/>
      <c r="C442" s="2"/>
      <c r="D442" s="2"/>
      <c r="E442" s="4"/>
      <c r="F442" s="7"/>
      <c r="G442" s="7"/>
    </row>
    <row r="443" spans="1:7">
      <c r="A443" s="2"/>
      <c r="B443" s="2"/>
      <c r="C443" s="2"/>
      <c r="D443" s="2"/>
      <c r="E443" s="4"/>
      <c r="F443" s="7"/>
      <c r="G443" s="7"/>
    </row>
    <row r="444" spans="1:7">
      <c r="A444" s="2"/>
      <c r="B444" s="2"/>
      <c r="C444" s="2"/>
      <c r="D444" s="2"/>
      <c r="E444" s="4"/>
      <c r="F444" s="7"/>
      <c r="G444" s="7"/>
    </row>
    <row r="445" spans="1:7">
      <c r="A445" s="2"/>
      <c r="B445" s="2"/>
      <c r="C445" s="2"/>
      <c r="D445" s="2"/>
      <c r="E445" s="4"/>
      <c r="F445" s="7"/>
      <c r="G445" s="7"/>
    </row>
    <row r="446" spans="1:7">
      <c r="A446" s="2"/>
      <c r="B446" s="2"/>
      <c r="C446" s="2"/>
      <c r="D446" s="2"/>
      <c r="E446" s="4"/>
      <c r="F446" s="7"/>
      <c r="G446" s="7"/>
    </row>
    <row r="447" spans="1:7">
      <c r="A447" s="2"/>
      <c r="B447" s="2"/>
      <c r="C447" s="2"/>
      <c r="D447" s="2"/>
      <c r="E447" s="4"/>
      <c r="F447" s="7"/>
      <c r="G447" s="7"/>
    </row>
    <row r="448" spans="1:7">
      <c r="A448" s="2"/>
      <c r="B448" s="2"/>
      <c r="C448" s="2"/>
      <c r="D448" s="2"/>
      <c r="E448" s="4"/>
      <c r="F448" s="7"/>
      <c r="G448" s="7"/>
    </row>
    <row r="449" spans="1:7">
      <c r="A449" s="2"/>
      <c r="B449" s="2"/>
      <c r="C449" s="2"/>
      <c r="D449" s="2"/>
      <c r="E449" s="4"/>
      <c r="F449" s="7"/>
      <c r="G449" s="7"/>
    </row>
    <row r="450" spans="1:7">
      <c r="A450" s="2"/>
      <c r="B450" s="2"/>
      <c r="C450" s="2"/>
      <c r="D450" s="2"/>
      <c r="E450" s="4"/>
      <c r="F450" s="7"/>
      <c r="G450" s="7"/>
    </row>
    <row r="451" spans="1:7">
      <c r="A451" s="2"/>
      <c r="B451" s="2"/>
      <c r="C451" s="2"/>
      <c r="D451" s="2"/>
      <c r="E451" s="4"/>
      <c r="F451" s="7"/>
      <c r="G451" s="7"/>
    </row>
    <row r="452" spans="1:7">
      <c r="A452" s="2"/>
      <c r="B452" s="2"/>
      <c r="C452" s="2"/>
      <c r="D452" s="2"/>
      <c r="E452" s="4"/>
      <c r="F452" s="7"/>
      <c r="G452" s="7"/>
    </row>
    <row r="453" spans="1:7">
      <c r="A453" s="2"/>
      <c r="B453" s="2"/>
      <c r="C453" s="2"/>
      <c r="D453" s="2"/>
      <c r="E453" s="4"/>
      <c r="F453" s="7"/>
      <c r="G453" s="7"/>
    </row>
    <row r="454" spans="1:7">
      <c r="A454" s="2"/>
      <c r="B454" s="2"/>
      <c r="C454" s="2"/>
      <c r="D454" s="2"/>
      <c r="E454" s="4"/>
      <c r="F454" s="7"/>
      <c r="G454" s="7"/>
    </row>
    <row r="455" spans="1:7">
      <c r="A455" s="2"/>
      <c r="B455" s="2"/>
      <c r="C455" s="2"/>
      <c r="D455" s="2"/>
      <c r="E455" s="4"/>
      <c r="F455" s="7"/>
      <c r="G455" s="7"/>
    </row>
    <row r="456" spans="1:7">
      <c r="A456" s="2"/>
      <c r="B456" s="2"/>
      <c r="C456" s="2"/>
      <c r="D456" s="2"/>
      <c r="E456" s="4"/>
      <c r="F456" s="7"/>
      <c r="G456" s="7"/>
    </row>
    <row r="457" spans="1:7">
      <c r="A457" s="2"/>
      <c r="B457" s="2"/>
      <c r="C457" s="2"/>
      <c r="D457" s="2"/>
      <c r="E457" s="4"/>
      <c r="F457" s="7"/>
      <c r="G457" s="7"/>
    </row>
    <row r="458" spans="1:7">
      <c r="A458" s="2"/>
      <c r="B458" s="2"/>
      <c r="C458" s="2"/>
      <c r="D458" s="2"/>
      <c r="E458" s="4"/>
      <c r="F458" s="7"/>
      <c r="G458" s="7"/>
    </row>
    <row r="459" spans="1:7">
      <c r="A459" s="2"/>
      <c r="B459" s="2"/>
      <c r="C459" s="2"/>
      <c r="D459" s="2"/>
      <c r="E459" s="4"/>
      <c r="F459" s="7"/>
      <c r="G459" s="7"/>
    </row>
    <row r="460" spans="1:7">
      <c r="A460" s="2"/>
      <c r="B460" s="2"/>
      <c r="C460" s="2"/>
      <c r="D460" s="2"/>
      <c r="E460" s="4"/>
      <c r="F460" s="7"/>
      <c r="G460" s="7"/>
    </row>
    <row r="461" spans="1:7">
      <c r="A461" s="2"/>
      <c r="B461" s="2"/>
      <c r="C461" s="2"/>
      <c r="D461" s="2"/>
      <c r="E461" s="4"/>
      <c r="F461" s="7"/>
      <c r="G461" s="7"/>
    </row>
    <row r="462" spans="1:7">
      <c r="A462" s="2"/>
      <c r="B462" s="2"/>
      <c r="C462" s="2"/>
      <c r="D462" s="2"/>
      <c r="E462" s="4"/>
      <c r="F462" s="7"/>
      <c r="G462" s="7"/>
    </row>
    <row r="463" spans="1:7">
      <c r="A463" s="2"/>
      <c r="B463" s="2"/>
      <c r="C463" s="2"/>
      <c r="D463" s="2"/>
      <c r="E463" s="4"/>
      <c r="F463" s="7"/>
      <c r="G463" s="7"/>
    </row>
    <row r="464" spans="1:7">
      <c r="A464" s="2"/>
      <c r="B464" s="2"/>
      <c r="C464" s="2"/>
      <c r="D464" s="2"/>
      <c r="E464" s="4"/>
      <c r="F464" s="7"/>
      <c r="G464" s="7"/>
    </row>
    <row r="465" spans="1:7">
      <c r="A465" s="2"/>
      <c r="B465" s="2"/>
      <c r="C465" s="2"/>
      <c r="D465" s="2"/>
      <c r="E465" s="4"/>
      <c r="F465" s="7"/>
      <c r="G465" s="7"/>
    </row>
    <row r="466" spans="1:7">
      <c r="A466" s="2"/>
      <c r="B466" s="2"/>
      <c r="C466" s="2"/>
      <c r="D466" s="2"/>
      <c r="E466" s="4"/>
      <c r="F466" s="7"/>
      <c r="G466" s="7"/>
    </row>
    <row r="467" spans="1:7">
      <c r="A467" s="2"/>
      <c r="B467" s="2"/>
      <c r="C467" s="2"/>
      <c r="D467" s="2"/>
      <c r="E467" s="4"/>
      <c r="F467" s="7"/>
      <c r="G467" s="7"/>
    </row>
    <row r="468" spans="1:7">
      <c r="A468" s="2"/>
      <c r="B468" s="2"/>
      <c r="C468" s="2"/>
      <c r="D468" s="2"/>
      <c r="E468" s="4"/>
      <c r="F468" s="7"/>
      <c r="G468" s="7"/>
    </row>
    <row r="469" spans="1:7">
      <c r="A469" s="2"/>
      <c r="B469" s="2"/>
      <c r="C469" s="2"/>
      <c r="D469" s="2"/>
      <c r="E469" s="4"/>
      <c r="F469" s="7"/>
      <c r="G469" s="7"/>
    </row>
    <row r="470" spans="1:7">
      <c r="A470" s="2"/>
      <c r="B470" s="2"/>
      <c r="C470" s="2"/>
      <c r="D470" s="2"/>
      <c r="E470" s="4"/>
      <c r="F470" s="7"/>
      <c r="G470" s="7"/>
    </row>
    <row r="471" spans="1:7">
      <c r="A471" s="2"/>
      <c r="B471" s="2"/>
      <c r="C471" s="2"/>
      <c r="D471" s="2"/>
      <c r="E471" s="4"/>
      <c r="F471" s="7"/>
      <c r="G471" s="7"/>
    </row>
    <row r="472" spans="1:7">
      <c r="A472" s="2"/>
      <c r="B472" s="2"/>
      <c r="C472" s="2"/>
      <c r="D472" s="2"/>
      <c r="E472" s="4"/>
      <c r="F472" s="7"/>
      <c r="G472" s="7"/>
    </row>
    <row r="473" spans="1:7">
      <c r="A473" s="2"/>
      <c r="B473" s="2"/>
      <c r="C473" s="2"/>
      <c r="D473" s="2"/>
      <c r="E473" s="4"/>
      <c r="F473" s="7"/>
      <c r="G473" s="7"/>
    </row>
    <row r="474" spans="1:7">
      <c r="A474" s="2"/>
      <c r="B474" s="2"/>
      <c r="C474" s="2"/>
      <c r="D474" s="2"/>
      <c r="E474" s="4"/>
      <c r="F474" s="7"/>
      <c r="G474" s="7"/>
    </row>
    <row r="475" spans="1:7">
      <c r="A475" s="2"/>
      <c r="B475" s="2"/>
      <c r="C475" s="2"/>
      <c r="D475" s="2"/>
      <c r="E475" s="4"/>
      <c r="F475" s="7"/>
      <c r="G475" s="7"/>
    </row>
    <row r="476" spans="1:7">
      <c r="A476" s="2"/>
      <c r="B476" s="2"/>
      <c r="C476" s="2"/>
      <c r="D476" s="2"/>
      <c r="E476" s="4"/>
      <c r="F476" s="7"/>
      <c r="G476" s="7"/>
    </row>
    <row r="477" spans="1:7">
      <c r="A477" s="2"/>
      <c r="B477" s="2"/>
      <c r="C477" s="2"/>
      <c r="D477" s="2"/>
      <c r="E477" s="4"/>
      <c r="F477" s="7"/>
      <c r="G477" s="7"/>
    </row>
    <row r="478" spans="1:7">
      <c r="A478" s="2"/>
      <c r="B478" s="2"/>
      <c r="C478" s="2"/>
      <c r="D478" s="2"/>
      <c r="E478" s="4"/>
      <c r="F478" s="7"/>
      <c r="G478" s="7"/>
    </row>
    <row r="479" spans="1:7">
      <c r="A479" s="2"/>
      <c r="B479" s="2"/>
      <c r="C479" s="2"/>
      <c r="D479" s="2"/>
      <c r="E479" s="4"/>
      <c r="F479" s="7"/>
      <c r="G479" s="7"/>
    </row>
    <row r="480" spans="1:7">
      <c r="A480" s="2"/>
      <c r="B480" s="2"/>
      <c r="C480" s="2"/>
      <c r="D480" s="2"/>
      <c r="E480" s="4"/>
      <c r="F480" s="7"/>
      <c r="G480" s="7"/>
    </row>
    <row r="481" spans="1:7">
      <c r="A481" s="2"/>
      <c r="B481" s="2"/>
      <c r="C481" s="2"/>
      <c r="D481" s="2"/>
      <c r="E481" s="4"/>
      <c r="F481" s="7"/>
      <c r="G481" s="7"/>
    </row>
    <row r="482" spans="1:7">
      <c r="A482" s="2"/>
      <c r="B482" s="2"/>
      <c r="C482" s="2"/>
      <c r="D482" s="2"/>
      <c r="E482" s="4"/>
      <c r="F482" s="7"/>
      <c r="G482" s="7"/>
    </row>
    <row r="483" spans="1:7">
      <c r="A483" s="2"/>
      <c r="B483" s="2"/>
      <c r="C483" s="2"/>
      <c r="D483" s="2"/>
      <c r="E483" s="4"/>
      <c r="F483" s="7"/>
      <c r="G483" s="7"/>
    </row>
    <row r="484" spans="1:7">
      <c r="A484" s="2"/>
      <c r="B484" s="2"/>
      <c r="C484" s="2"/>
      <c r="D484" s="2"/>
      <c r="E484" s="4"/>
      <c r="F484" s="7"/>
      <c r="G484" s="7"/>
    </row>
    <row r="485" spans="1:7">
      <c r="A485" s="2"/>
      <c r="B485" s="2"/>
      <c r="C485" s="2"/>
      <c r="D485" s="2"/>
      <c r="E485" s="4"/>
      <c r="F485" s="7"/>
      <c r="G485" s="7"/>
    </row>
    <row r="486" spans="1:7">
      <c r="A486" s="2"/>
      <c r="B486" s="2"/>
      <c r="C486" s="2"/>
      <c r="D486" s="2"/>
      <c r="E486" s="4"/>
      <c r="F486" s="7"/>
      <c r="G486" s="7"/>
    </row>
    <row r="487" spans="1:7">
      <c r="A487" s="2"/>
      <c r="B487" s="2"/>
      <c r="C487" s="2"/>
      <c r="D487" s="2"/>
      <c r="E487" s="4"/>
      <c r="F487" s="7"/>
      <c r="G487" s="7"/>
    </row>
    <row r="488" spans="1:7">
      <c r="A488" s="2"/>
      <c r="B488" s="2"/>
      <c r="C488" s="2"/>
      <c r="D488" s="2"/>
      <c r="E488" s="4"/>
      <c r="F488" s="7"/>
      <c r="G488" s="7"/>
    </row>
    <row r="489" spans="1:7">
      <c r="A489" s="2"/>
      <c r="B489" s="2"/>
      <c r="C489" s="2"/>
      <c r="D489" s="2"/>
      <c r="E489" s="4"/>
      <c r="F489" s="7"/>
      <c r="G489" s="7"/>
    </row>
    <row r="490" spans="1:7">
      <c r="A490" s="2"/>
      <c r="B490" s="2"/>
      <c r="C490" s="2"/>
      <c r="D490" s="2"/>
      <c r="E490" s="4"/>
      <c r="F490" s="7"/>
      <c r="G490" s="7"/>
    </row>
    <row r="491" spans="1:7">
      <c r="A491" s="2"/>
      <c r="B491" s="2"/>
      <c r="C491" s="2"/>
      <c r="D491" s="2"/>
      <c r="E491" s="4"/>
      <c r="F491" s="7"/>
      <c r="G491" s="7"/>
    </row>
    <row r="492" spans="1:7">
      <c r="A492" s="2"/>
      <c r="B492" s="2"/>
      <c r="C492" s="2"/>
      <c r="D492" s="2"/>
      <c r="E492" s="4"/>
      <c r="F492" s="7"/>
      <c r="G492" s="7"/>
    </row>
    <row r="493" spans="1:7">
      <c r="A493" s="2"/>
      <c r="B493" s="2"/>
      <c r="C493" s="2"/>
      <c r="D493" s="2"/>
      <c r="E493" s="4"/>
      <c r="F493" s="7"/>
      <c r="G493" s="7"/>
    </row>
    <row r="494" spans="1:7">
      <c r="A494" s="2"/>
      <c r="B494" s="2"/>
      <c r="C494" s="2"/>
      <c r="D494" s="2"/>
      <c r="E494" s="4"/>
      <c r="F494" s="7"/>
      <c r="G494" s="7"/>
    </row>
    <row r="495" spans="1:7">
      <c r="A495" s="2"/>
      <c r="B495" s="2"/>
      <c r="C495" s="2"/>
      <c r="D495" s="2"/>
      <c r="E495" s="4"/>
      <c r="F495" s="7"/>
      <c r="G495" s="7"/>
    </row>
    <row r="496" spans="1:7">
      <c r="A496" s="2"/>
      <c r="B496" s="2"/>
      <c r="C496" s="2"/>
      <c r="D496" s="2"/>
      <c r="E496" s="4"/>
      <c r="F496" s="7"/>
      <c r="G496" s="7"/>
    </row>
    <row r="497" spans="1:7">
      <c r="A497" s="2"/>
      <c r="B497" s="2"/>
      <c r="C497" s="2"/>
      <c r="D497" s="2"/>
      <c r="E497" s="4"/>
      <c r="F497" s="7"/>
      <c r="G497" s="7"/>
    </row>
    <row r="498" spans="1:7">
      <c r="A498" s="2"/>
      <c r="B498" s="2"/>
      <c r="C498" s="2"/>
      <c r="D498" s="2"/>
      <c r="E498" s="4"/>
      <c r="F498" s="7"/>
      <c r="G498" s="7"/>
    </row>
    <row r="499" spans="1:7">
      <c r="A499" s="2"/>
      <c r="B499" s="2"/>
      <c r="C499" s="2"/>
      <c r="D499" s="2"/>
      <c r="E499" s="4"/>
      <c r="F499" s="7"/>
      <c r="G499" s="7"/>
    </row>
    <row r="500" spans="1:7">
      <c r="A500" s="2"/>
      <c r="B500" s="2"/>
      <c r="C500" s="2"/>
      <c r="D500" s="2"/>
      <c r="E500" s="4"/>
      <c r="F500" s="7"/>
      <c r="G500" s="7"/>
    </row>
    <row r="501" spans="1:7">
      <c r="A501" s="2"/>
      <c r="B501" s="2"/>
      <c r="C501" s="2"/>
      <c r="D501" s="2"/>
      <c r="E501" s="4"/>
      <c r="F501" s="7"/>
      <c r="G501" s="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>
      <selection activeCell="E20" sqref="E20"/>
    </sheetView>
  </sheetViews>
  <sheetFormatPr defaultRowHeight="13.8"/>
  <cols>
    <col min="1" max="3" width="18" customWidth="1"/>
    <col min="4" max="4" width="22" customWidth="1"/>
    <col min="5" max="5" width="18" customWidth="1"/>
  </cols>
  <sheetData>
    <row r="1" spans="1:5">
      <c r="A1" s="1" t="s">
        <v>5</v>
      </c>
      <c r="B1" s="1" t="s">
        <v>6</v>
      </c>
      <c r="C1" s="1" t="s">
        <v>61</v>
      </c>
      <c r="D1" s="1" t="s">
        <v>82</v>
      </c>
      <c r="E1" s="1" t="s">
        <v>83</v>
      </c>
    </row>
    <row r="2" spans="1:5">
      <c r="A2" s="2" t="s">
        <v>37</v>
      </c>
      <c r="B2" s="2" t="s">
        <v>14</v>
      </c>
      <c r="C2" s="2" t="s">
        <v>66</v>
      </c>
      <c r="D2" s="4">
        <v>46255</v>
      </c>
      <c r="E2" s="9">
        <f>IF(OR(A2="",B2="",C2=""),"",IFERROR(LOOKUP(2,1/((Order_History!$A$2:$A$1000=A2)*(Order_History!$B$2:$B$1000=B2)*(Order_History!$C$2:$C$1000=C2)),Order_History!$F$2:$F$1000),""))</f>
        <v>0</v>
      </c>
    </row>
    <row r="3" spans="1:5">
      <c r="A3" s="2" t="s">
        <v>38</v>
      </c>
      <c r="B3" s="2" t="s">
        <v>15</v>
      </c>
      <c r="C3" s="2" t="s">
        <v>67</v>
      </c>
      <c r="D3" s="4">
        <v>46255</v>
      </c>
      <c r="E3" s="9">
        <f>IF(OR(A3="",B3="",C3=""),"",IFERROR(LOOKUP(2,1/((Order_History!$A$2:$A$1000=A3)*(Order_History!$B$2:$B$1000=B3)*(Order_History!$C$2:$C$1000=C3)),Order_History!$F$2:$F$1000),""))</f>
        <v>0</v>
      </c>
    </row>
    <row r="4" spans="1:5">
      <c r="A4" s="2" t="s">
        <v>39</v>
      </c>
      <c r="B4" s="2" t="s">
        <v>16</v>
      </c>
      <c r="C4" s="2" t="s">
        <v>68</v>
      </c>
      <c r="D4" s="4">
        <v>46255</v>
      </c>
      <c r="E4" s="9">
        <f>IF(OR(A4="",B4="",C4=""),"",IFERROR(LOOKUP(2,1/((Order_History!$A$2:$A$1000=A4)*(Order_History!$B$2:$B$1000=B4)*(Order_History!$C$2:$C$1000=C4)),Order_History!$F$2:$F$1000),""))</f>
        <v>0</v>
      </c>
    </row>
    <row r="5" spans="1:5">
      <c r="A5" s="2" t="s">
        <v>40</v>
      </c>
      <c r="B5" s="2" t="s">
        <v>17</v>
      </c>
      <c r="C5" s="2" t="s">
        <v>69</v>
      </c>
      <c r="D5" s="4">
        <v>46255</v>
      </c>
      <c r="E5" s="9">
        <f>IF(OR(A5="",B5="",C5=""),"",IFERROR(LOOKUP(2,1/((Order_History!$A$2:$A$1000=A5)*(Order_History!$B$2:$B$1000=B5)*(Order_History!$C$2:$C$1000=C5)),Order_History!$F$2:$F$1000),""))</f>
        <v>0</v>
      </c>
    </row>
    <row r="6" spans="1:5">
      <c r="A6" s="2" t="s">
        <v>41</v>
      </c>
      <c r="B6" s="2" t="s">
        <v>18</v>
      </c>
      <c r="C6" s="2" t="s">
        <v>70</v>
      </c>
      <c r="D6" s="4">
        <v>46249</v>
      </c>
      <c r="E6" s="9">
        <f>IF(OR(A6="",B6="",C6=""),"",IFERROR(LOOKUP(2,1/((Order_History!$A$2:$A$1000=A6)*(Order_History!$B$2:$B$1000=B6)*(Order_History!$C$2:$C$1000=C6)),Order_History!$F$2:$F$1000),""))</f>
        <v>0</v>
      </c>
    </row>
    <row r="7" spans="1:5">
      <c r="A7" s="2" t="s">
        <v>42</v>
      </c>
      <c r="B7" s="2" t="s">
        <v>19</v>
      </c>
      <c r="C7" s="2" t="s">
        <v>71</v>
      </c>
      <c r="D7" s="4">
        <v>46248</v>
      </c>
      <c r="E7" s="9">
        <f>IF(OR(A7="",B7="",C7=""),"",IFERROR(LOOKUP(2,1/((Order_History!$A$2:$A$1000=A7)*(Order_History!$B$2:$B$1000=B7)*(Order_History!$C$2:$C$1000=C7)),Order_History!$F$2:$F$1000),""))</f>
        <v>0</v>
      </c>
    </row>
    <row r="8" spans="1:5">
      <c r="A8" s="2" t="s">
        <v>43</v>
      </c>
      <c r="B8" s="2" t="s">
        <v>20</v>
      </c>
      <c r="C8" s="2" t="s">
        <v>72</v>
      </c>
      <c r="D8" s="4">
        <v>46248</v>
      </c>
      <c r="E8" s="9">
        <f>IF(OR(A8="",B8="",C8=""),"",IFERROR(LOOKUP(2,1/((Order_History!$A$2:$A$1000=A8)*(Order_History!$B$2:$B$1000=B8)*(Order_History!$C$2:$C$1000=C8)),Order_History!$F$2:$F$1000),""))</f>
        <v>0</v>
      </c>
    </row>
    <row r="9" spans="1:5">
      <c r="A9" s="2" t="s">
        <v>44</v>
      </c>
      <c r="B9" s="2" t="s">
        <v>21</v>
      </c>
      <c r="C9" s="2" t="s">
        <v>73</v>
      </c>
      <c r="D9" s="4">
        <v>46249</v>
      </c>
      <c r="E9" s="9">
        <f>IF(OR(A9="",B9="",C9=""),"",IFERROR(LOOKUP(2,1/((Order_History!$A$2:$A$1000=A9)*(Order_History!$B$2:$B$1000=B9)*(Order_History!$C$2:$C$1000=C9)),Order_History!$F$2:$F$1000),""))</f>
        <v>0</v>
      </c>
    </row>
    <row r="10" spans="1:5">
      <c r="A10" s="2" t="s">
        <v>45</v>
      </c>
      <c r="B10" s="2" t="s">
        <v>22</v>
      </c>
      <c r="C10" s="2" t="s">
        <v>74</v>
      </c>
      <c r="D10" s="4">
        <v>46253</v>
      </c>
      <c r="E10" s="9">
        <f>IF(OR(A10="",B10="",C10=""),"",IFERROR(LOOKUP(2,1/((Order_History!$A$2:$A$1000=A10)*(Order_History!$B$2:$B$1000=B10)*(Order_History!$C$2:$C$1000=C10)),Order_History!$F$2:$F$1000),""))</f>
        <v>0</v>
      </c>
    </row>
    <row r="11" spans="1:5">
      <c r="A11" s="2" t="s">
        <v>46</v>
      </c>
      <c r="B11" s="2" t="s">
        <v>23</v>
      </c>
      <c r="C11" s="2" t="s">
        <v>75</v>
      </c>
      <c r="D11" s="4">
        <v>46257</v>
      </c>
      <c r="E11" s="9">
        <f>IF(OR(A11="",B11="",C11=""),"",IFERROR(LOOKUP(2,1/((Order_History!$A$2:$A$1000=A11)*(Order_History!$B$2:$B$1000=B11)*(Order_History!$C$2:$C$1000=C11)),Order_History!$F$2:$F$1000),""))</f>
        <v>0</v>
      </c>
    </row>
    <row r="12" spans="1:5">
      <c r="A12" s="2" t="s">
        <v>51</v>
      </c>
      <c r="B12" s="2" t="s">
        <v>28</v>
      </c>
      <c r="C12" s="2" t="s">
        <v>76</v>
      </c>
      <c r="D12" s="4">
        <v>46258</v>
      </c>
      <c r="E12" s="9">
        <f>IF(OR(A12="",B12="",C12=""),"",IFERROR(LOOKUP(2,1/((Order_History!$A$2:$A$1000=A12)*(Order_History!$B$2:$B$1000=B12)*(Order_History!$C$2:$C$1000=C12)),Order_History!$F$2:$F$1000),""))</f>
        <v>0</v>
      </c>
    </row>
    <row r="13" spans="1:5">
      <c r="A13" s="2" t="s">
        <v>53</v>
      </c>
      <c r="B13" s="2" t="s">
        <v>30</v>
      </c>
      <c r="C13" s="2" t="s">
        <v>77</v>
      </c>
      <c r="D13" s="4">
        <v>46258</v>
      </c>
      <c r="E13" s="9">
        <f>IF(OR(A13="",B13="",C13=""),"",IFERROR(LOOKUP(2,1/((Order_History!$A$2:$A$1000=A13)*(Order_History!$B$2:$B$1000=B13)*(Order_History!$C$2:$C$1000=C13)),Order_History!$F$2:$F$1000),""))</f>
        <v>0</v>
      </c>
    </row>
    <row r="14" spans="1:5">
      <c r="A14" s="2" t="s">
        <v>54</v>
      </c>
      <c r="B14" s="2" t="s">
        <v>31</v>
      </c>
      <c r="C14" s="2" t="s">
        <v>78</v>
      </c>
      <c r="D14" s="4">
        <v>46261</v>
      </c>
      <c r="E14" s="9">
        <f>IF(OR(A14="",B14="",C14=""),"",IFERROR(LOOKUP(2,1/((Order_History!$A$2:$A$1000=A14)*(Order_History!$B$2:$B$1000=B14)*(Order_History!$C$2:$C$1000=C14)),Order_History!$F$2:$F$1000),""))</f>
        <v>0</v>
      </c>
    </row>
    <row r="15" spans="1:5">
      <c r="A15" s="2" t="s">
        <v>52</v>
      </c>
      <c r="B15" s="2" t="s">
        <v>29</v>
      </c>
      <c r="C15" s="2" t="s">
        <v>79</v>
      </c>
      <c r="D15" s="4">
        <v>46261</v>
      </c>
      <c r="E15" s="9">
        <f>IF(OR(A15="",B15="",C15=""),"",IFERROR(LOOKUP(2,1/((Order_History!$A$2:$A$1000=A15)*(Order_History!$B$2:$B$1000=B15)*(Order_History!$C$2:$C$1000=C15)),Order_History!$F$2:$F$1000),""))</f>
        <v>0</v>
      </c>
    </row>
    <row r="16" spans="1:5">
      <c r="A16" s="2" t="s">
        <v>100</v>
      </c>
      <c r="B16" s="2" t="s">
        <v>32</v>
      </c>
      <c r="C16" s="2" t="s">
        <v>98</v>
      </c>
      <c r="D16" s="4">
        <v>46269</v>
      </c>
      <c r="E16" s="9">
        <f>IF(OR(A16="",B16="",C16=""),"",IFERROR(LOOKUP(2,1/((Order_History!$A$2:$A$1000=A16)*(Order_History!$B$2:$B$1000=B16)*(Order_History!$C$2:$C$1000=C16)),Order_History!$F$2:$F$1000),""))</f>
        <v>22000000</v>
      </c>
    </row>
    <row r="17" spans="1:5">
      <c r="A17" s="2" t="s">
        <v>101</v>
      </c>
      <c r="B17" s="2" t="s">
        <v>32</v>
      </c>
      <c r="C17" s="2" t="s">
        <v>99</v>
      </c>
      <c r="D17" s="4">
        <v>46271</v>
      </c>
      <c r="E17" s="9">
        <f>IF(OR(A17="",B17="",C17=""),"",IFERROR(LOOKUP(2,1/((Order_History!$A$2:$A$1000=A17)*(Order_History!$B$2:$B$1000=B17)*(Order_History!$C$2:$C$1000=C17)),Order_History!$F$2:$F$1000),""))</f>
        <v>23000000</v>
      </c>
    </row>
    <row r="18" spans="1:5">
      <c r="A18" s="2" t="s">
        <v>96</v>
      </c>
      <c r="B18" s="2" t="s">
        <v>102</v>
      </c>
      <c r="C18" s="2" t="s">
        <v>105</v>
      </c>
      <c r="D18" s="4">
        <v>46284</v>
      </c>
      <c r="E18" s="9">
        <f>IF(OR(A18="",B18="",C18=""),"",IFERROR(LOOKUP(2,1/((Order_History!$A$2:$A$1000=A18)*(Order_History!$B$2:$B$1000=B18)*(Order_History!$C$2:$C$1000=C18)),Order_History!$F$2:$F$1000),""))</f>
        <v>0</v>
      </c>
    </row>
    <row r="19" spans="1:5">
      <c r="A19" s="2" t="s">
        <v>97</v>
      </c>
      <c r="B19" s="2" t="s">
        <v>103</v>
      </c>
      <c r="C19" s="2" t="s">
        <v>106</v>
      </c>
      <c r="D19" s="4">
        <v>46284</v>
      </c>
      <c r="E19" s="9">
        <f>IF(OR(A19="",B19="",C19=""),"",IFERROR(LOOKUP(2,1/((Order_History!$A$2:$A$1000=A19)*(Order_History!$B$2:$B$1000=B19)*(Order_History!$C$2:$C$1000=C19)),Order_History!$F$2:$F$1000),""))</f>
        <v>0</v>
      </c>
    </row>
    <row r="20" spans="1:5">
      <c r="A20" s="2" t="s">
        <v>108</v>
      </c>
      <c r="B20" s="2" t="s">
        <v>107</v>
      </c>
      <c r="C20" s="2" t="s">
        <v>109</v>
      </c>
      <c r="D20" s="4">
        <v>46283</v>
      </c>
      <c r="E20" s="9">
        <f>IF(OR(A20="",B20="",C20=""),"",IFERROR(LOOKUP(2,1/((Order_History!$A$2:$A$1000=A20)*(Order_History!$B$2:$B$1000=B20)*(Order_History!$C$2:$C$1000=C20)),Order_History!$F$2:$F$1000),""))</f>
        <v>0</v>
      </c>
    </row>
    <row r="21" spans="1:5">
      <c r="A21" s="2"/>
      <c r="B21" s="2"/>
      <c r="C21" s="2"/>
      <c r="D21" s="4"/>
      <c r="E21" s="9" t="str">
        <f>IF(OR(A21="",B21="",C21=""),"",IFERROR(LOOKUP(2,1/((Order_History!$A$2:$A$1000=A21)*(Order_History!$B$2:$B$1000=B21)*(Order_History!$C$2:$C$1000=C21)),Order_History!$F$2:$F$1000),""))</f>
        <v/>
      </c>
    </row>
    <row r="22" spans="1:5">
      <c r="A22" s="2"/>
      <c r="B22" s="2"/>
      <c r="C22" s="2"/>
      <c r="D22" s="4"/>
      <c r="E22" s="9" t="str">
        <f>IF(OR(A22="",B22="",C22=""),"",IFERROR(LOOKUP(2,1/((Order_History!$A$2:$A$1000=A22)*(Order_History!$B$2:$B$1000=B22)*(Order_History!$C$2:$C$1000=C22)),Order_History!$F$2:$F$1000),""))</f>
        <v/>
      </c>
    </row>
    <row r="23" spans="1:5">
      <c r="A23" s="2"/>
      <c r="B23" s="2"/>
      <c r="C23" s="2"/>
      <c r="D23" s="4"/>
      <c r="E23" s="9" t="str">
        <f>IF(OR(A23="",B23="",C23=""),"",IFERROR(LOOKUP(2,1/((Order_History!$A$2:$A$1000=A23)*(Order_History!$B$2:$B$1000=B23)*(Order_History!$C$2:$C$1000=C23)),Order_History!$F$2:$F$1000),""))</f>
        <v/>
      </c>
    </row>
    <row r="24" spans="1:5">
      <c r="A24" s="2"/>
      <c r="B24" s="2"/>
      <c r="C24" s="2"/>
      <c r="D24" s="4"/>
      <c r="E24" s="9" t="str">
        <f>IF(OR(A24="",B24="",C24=""),"",IFERROR(LOOKUP(2,1/((Order_History!$A$2:$A$1000=A24)*(Order_History!$B$2:$B$1000=B24)*(Order_History!$C$2:$C$1000=C24)),Order_History!$F$2:$F$1000),""))</f>
        <v/>
      </c>
    </row>
    <row r="25" spans="1:5">
      <c r="A25" s="2"/>
      <c r="B25" s="2"/>
      <c r="C25" s="2"/>
      <c r="D25" s="4"/>
      <c r="E25" s="9" t="str">
        <f>IF(C25="","",IFERROR(INDEX(Order_History!$F:$F,MATCH(C25,Order_History!$C:$C,0)),""))</f>
        <v/>
      </c>
    </row>
    <row r="26" spans="1:5">
      <c r="A26" s="2"/>
      <c r="B26" s="2"/>
      <c r="C26" s="2"/>
      <c r="D26" s="4"/>
      <c r="E26" s="9" t="str">
        <f>IF(C26="","",IFERROR(INDEX(Order_History!$F:$F,MATCH(C26,Order_History!$C:$C,0)),""))</f>
        <v/>
      </c>
    </row>
    <row r="27" spans="1:5">
      <c r="A27" s="2"/>
      <c r="B27" s="2"/>
      <c r="C27" s="2"/>
      <c r="D27" s="4"/>
      <c r="E27" s="9" t="str">
        <f>IF(C27="","",IFERROR(INDEX(Order_History!$F:$F,MATCH(C27,Order_History!$C:$C,0)),""))</f>
        <v/>
      </c>
    </row>
    <row r="28" spans="1:5">
      <c r="A28" s="2"/>
      <c r="B28" s="2"/>
      <c r="C28" s="2"/>
      <c r="D28" s="4"/>
      <c r="E28" s="9" t="str">
        <f>IF(C28="","",IFERROR(INDEX(Order_History!$F:$F,MATCH(C28,Order_History!$C:$C,0)),""))</f>
        <v/>
      </c>
    </row>
    <row r="29" spans="1:5">
      <c r="A29" s="2"/>
      <c r="B29" s="2"/>
      <c r="C29" s="2"/>
      <c r="D29" s="4"/>
      <c r="E29" s="9" t="str">
        <f>IF(C29="","",IFERROR(INDEX(Order_History!$F:$F,MATCH(C29,Order_History!$C:$C,0)),""))</f>
        <v/>
      </c>
    </row>
    <row r="30" spans="1:5">
      <c r="A30" s="2"/>
      <c r="B30" s="2"/>
      <c r="C30" s="2"/>
      <c r="D30" s="4"/>
      <c r="E30" s="9" t="str">
        <f>IF(C30="","",IFERROR(INDEX(Order_History!$F:$F,MATCH(C30,Order_History!$C:$C,0)),""))</f>
        <v/>
      </c>
    </row>
    <row r="31" spans="1:5">
      <c r="A31" s="2"/>
      <c r="B31" s="2"/>
      <c r="C31" s="2"/>
      <c r="D31" s="4"/>
      <c r="E31" s="9" t="str">
        <f>IF(C31="","",IFERROR(INDEX(Order_History!$F:$F,MATCH(C31,Order_History!$C:$C,0)),""))</f>
        <v/>
      </c>
    </row>
    <row r="32" spans="1:5">
      <c r="A32" s="2"/>
      <c r="B32" s="2"/>
      <c r="C32" s="2"/>
      <c r="D32" s="4"/>
      <c r="E32" s="9" t="str">
        <f>IF(C32="","",IFERROR(INDEX(Order_History!$F:$F,MATCH(C32,Order_History!$C:$C,0)),""))</f>
        <v/>
      </c>
    </row>
    <row r="33" spans="1:5">
      <c r="A33" s="2"/>
      <c r="B33" s="2"/>
      <c r="C33" s="2"/>
      <c r="D33" s="4"/>
      <c r="E33" s="9" t="str">
        <f>IF(C33="","",IFERROR(INDEX(Order_History!$F:$F,MATCH(C33,Order_History!$C:$C,0)),""))</f>
        <v/>
      </c>
    </row>
    <row r="34" spans="1:5">
      <c r="A34" s="2"/>
      <c r="B34" s="2"/>
      <c r="C34" s="2"/>
      <c r="D34" s="4"/>
      <c r="E34" s="9" t="str">
        <f>IF(C34="","",IFERROR(INDEX(Order_History!$F:$F,MATCH(C34,Order_History!$C:$C,0)),""))</f>
        <v/>
      </c>
    </row>
    <row r="35" spans="1:5">
      <c r="A35" s="2"/>
      <c r="B35" s="2"/>
      <c r="C35" s="2"/>
      <c r="D35" s="4"/>
      <c r="E35" s="9" t="str">
        <f>IF(C35="","",IFERROR(INDEX(Order_History!$F:$F,MATCH(C35,Order_History!$C:$C,0)),""))</f>
        <v/>
      </c>
    </row>
    <row r="36" spans="1:5">
      <c r="A36" s="2"/>
      <c r="B36" s="2"/>
      <c r="C36" s="2"/>
      <c r="D36" s="4"/>
      <c r="E36" s="9" t="str">
        <f>IF(C36="","",IFERROR(INDEX(Order_History!$F:$F,MATCH(C36,Order_History!$C:$C,0)),""))</f>
        <v/>
      </c>
    </row>
    <row r="37" spans="1:5">
      <c r="A37" s="2"/>
      <c r="B37" s="2"/>
      <c r="C37" s="2"/>
      <c r="D37" s="4"/>
      <c r="E37" s="9" t="str">
        <f>IF(C37="","",IFERROR(INDEX(Order_History!$F:$F,MATCH(C37,Order_History!$C:$C,0)),""))</f>
        <v/>
      </c>
    </row>
    <row r="38" spans="1:5">
      <c r="A38" s="2"/>
      <c r="B38" s="2"/>
      <c r="C38" s="2"/>
      <c r="D38" s="4"/>
      <c r="E38" s="9" t="str">
        <f>IF(C38="","",IFERROR(INDEX(Order_History!$F:$F,MATCH(C38,Order_History!$C:$C,0)),""))</f>
        <v/>
      </c>
    </row>
    <row r="39" spans="1:5">
      <c r="A39" s="2"/>
      <c r="B39" s="2"/>
      <c r="C39" s="2"/>
      <c r="D39" s="4"/>
      <c r="E39" s="9" t="str">
        <f>IF(C39="","",IFERROR(INDEX(Order_History!$F:$F,MATCH(C39,Order_History!$C:$C,0)),""))</f>
        <v/>
      </c>
    </row>
    <row r="40" spans="1:5">
      <c r="A40" s="2"/>
      <c r="B40" s="2"/>
      <c r="C40" s="2"/>
      <c r="D40" s="4"/>
      <c r="E40" s="9" t="str">
        <f>IF(C40="","",IFERROR(INDEX(Order_History!$F:$F,MATCH(C40,Order_History!$C:$C,0)),""))</f>
        <v/>
      </c>
    </row>
    <row r="41" spans="1:5">
      <c r="A41" s="2"/>
      <c r="B41" s="2"/>
      <c r="C41" s="2"/>
      <c r="D41" s="4"/>
      <c r="E41" s="9" t="str">
        <f>IF(C41="","",IFERROR(INDEX(Order_History!$F:$F,MATCH(C41,Order_History!$C:$C,0)),""))</f>
        <v/>
      </c>
    </row>
    <row r="42" spans="1:5">
      <c r="A42" s="2"/>
      <c r="B42" s="2"/>
      <c r="C42" s="2"/>
      <c r="D42" s="4"/>
      <c r="E42" s="9" t="str">
        <f>IF(C42="","",IFERROR(INDEX(Order_History!$F:$F,MATCH(C42,Order_History!$C:$C,0)),""))</f>
        <v/>
      </c>
    </row>
    <row r="43" spans="1:5">
      <c r="A43" s="2"/>
      <c r="B43" s="2"/>
      <c r="C43" s="2"/>
      <c r="D43" s="4"/>
      <c r="E43" s="9" t="str">
        <f>IF(C43="","",IFERROR(INDEX(Order_History!$F:$F,MATCH(C43,Order_History!$C:$C,0)),""))</f>
        <v/>
      </c>
    </row>
    <row r="44" spans="1:5">
      <c r="A44" s="2"/>
      <c r="B44" s="2"/>
      <c r="C44" s="2"/>
      <c r="D44" s="4"/>
      <c r="E44" s="9" t="str">
        <f>IF(C44="","",IFERROR(INDEX(Order_History!$F:$F,MATCH(C44,Order_History!$C:$C,0)),""))</f>
        <v/>
      </c>
    </row>
    <row r="45" spans="1:5">
      <c r="A45" s="2"/>
      <c r="B45" s="2"/>
      <c r="C45" s="2"/>
      <c r="D45" s="4"/>
      <c r="E45" s="9" t="str">
        <f>IF(C45="","",IFERROR(INDEX(Order_History!$F:$F,MATCH(C45,Order_History!$C:$C,0)),""))</f>
        <v/>
      </c>
    </row>
    <row r="46" spans="1:5">
      <c r="A46" s="2"/>
      <c r="B46" s="2"/>
      <c r="C46" s="2"/>
      <c r="D46" s="4"/>
      <c r="E46" s="9" t="str">
        <f>IF(C46="","",IFERROR(INDEX(Order_History!$F:$F,MATCH(C46,Order_History!$C:$C,0)),""))</f>
        <v/>
      </c>
    </row>
    <row r="47" spans="1:5">
      <c r="A47" s="2"/>
      <c r="B47" s="2"/>
      <c r="C47" s="2"/>
      <c r="D47" s="4"/>
      <c r="E47" s="9" t="str">
        <f>IF(C47="","",IFERROR(INDEX(Order_History!$F:$F,MATCH(C47,Order_History!$C:$C,0)),""))</f>
        <v/>
      </c>
    </row>
    <row r="48" spans="1:5">
      <c r="A48" s="2"/>
      <c r="B48" s="2"/>
      <c r="C48" s="2"/>
      <c r="D48" s="4"/>
      <c r="E48" s="9" t="str">
        <f>IF(C48="","",IFERROR(INDEX(Order_History!$F:$F,MATCH(C48,Order_History!$C:$C,0)),""))</f>
        <v/>
      </c>
    </row>
    <row r="49" spans="1:5">
      <c r="A49" s="2"/>
      <c r="B49" s="2"/>
      <c r="C49" s="2"/>
      <c r="D49" s="4"/>
      <c r="E49" s="9" t="str">
        <f>IF(C49="","",IFERROR(INDEX(Order_History!$F:$F,MATCH(C49,Order_History!$C:$C,0)),""))</f>
        <v/>
      </c>
    </row>
    <row r="50" spans="1:5">
      <c r="A50" s="2"/>
      <c r="B50" s="2"/>
      <c r="C50" s="2"/>
      <c r="D50" s="4"/>
      <c r="E50" s="9" t="str">
        <f>IF(C50="","",IFERROR(INDEX(Order_History!$F:$F,MATCH(C50,Order_History!$C:$C,0)),""))</f>
        <v/>
      </c>
    </row>
    <row r="51" spans="1:5">
      <c r="A51" s="2"/>
      <c r="B51" s="2"/>
      <c r="C51" s="2"/>
      <c r="D51" s="4"/>
      <c r="E51" s="9" t="str">
        <f>IF(C51="","",IFERROR(INDEX(Order_History!$F:$F,MATCH(C51,Order_History!$C:$C,0)),""))</f>
        <v/>
      </c>
    </row>
    <row r="52" spans="1:5">
      <c r="A52" s="2"/>
      <c r="B52" s="2"/>
      <c r="C52" s="2"/>
      <c r="D52" s="4"/>
      <c r="E52" s="9" t="str">
        <f>IF(C52="","",IFERROR(INDEX(Order_History!$F:$F,MATCH(C52,Order_History!$C:$C,0)),""))</f>
        <v/>
      </c>
    </row>
    <row r="53" spans="1:5">
      <c r="A53" s="2"/>
      <c r="B53" s="2"/>
      <c r="C53" s="2"/>
      <c r="D53" s="4"/>
      <c r="E53" s="9" t="str">
        <f>IF(C53="","",IFERROR(INDEX(Order_History!$F:$F,MATCH(C53,Order_History!$C:$C,0)),""))</f>
        <v/>
      </c>
    </row>
    <row r="54" spans="1:5">
      <c r="A54" s="2"/>
      <c r="B54" s="2"/>
      <c r="C54" s="2"/>
      <c r="D54" s="4"/>
      <c r="E54" s="9" t="str">
        <f>IF(C54="","",IFERROR(INDEX(Order_History!$F:$F,MATCH(C54,Order_History!$C:$C,0)),""))</f>
        <v/>
      </c>
    </row>
    <row r="55" spans="1:5">
      <c r="A55" s="2"/>
      <c r="B55" s="2"/>
      <c r="C55" s="2"/>
      <c r="D55" s="4"/>
      <c r="E55" s="9" t="str">
        <f>IF(C55="","",IFERROR(INDEX(Order_History!$F:$F,MATCH(C55,Order_History!$C:$C,0)),""))</f>
        <v/>
      </c>
    </row>
    <row r="56" spans="1:5">
      <c r="A56" s="2"/>
      <c r="B56" s="2"/>
      <c r="C56" s="2"/>
      <c r="D56" s="4"/>
      <c r="E56" s="9" t="str">
        <f>IF(C56="","",IFERROR(INDEX(Order_History!$F:$F,MATCH(C56,Order_History!$C:$C,0)),""))</f>
        <v/>
      </c>
    </row>
    <row r="57" spans="1:5">
      <c r="A57" s="2"/>
      <c r="B57" s="2"/>
      <c r="C57" s="2"/>
      <c r="D57" s="4"/>
      <c r="E57" s="9" t="str">
        <f>IF(C57="","",IFERROR(INDEX(Order_History!$F:$F,MATCH(C57,Order_History!$C:$C,0)),""))</f>
        <v/>
      </c>
    </row>
    <row r="58" spans="1:5">
      <c r="A58" s="2"/>
      <c r="B58" s="2"/>
      <c r="C58" s="2"/>
      <c r="D58" s="4"/>
      <c r="E58" s="9" t="str">
        <f>IF(C58="","",IFERROR(INDEX(Order_History!$F:$F,MATCH(C58,Order_History!$C:$C,0)),""))</f>
        <v/>
      </c>
    </row>
    <row r="59" spans="1:5">
      <c r="A59" s="2"/>
      <c r="B59" s="2"/>
      <c r="C59" s="2"/>
      <c r="D59" s="4"/>
      <c r="E59" s="9" t="str">
        <f>IF(C59="","",IFERROR(INDEX(Order_History!$F:$F,MATCH(C59,Order_History!$C:$C,0)),""))</f>
        <v/>
      </c>
    </row>
    <row r="60" spans="1:5">
      <c r="A60" s="2"/>
      <c r="B60" s="2"/>
      <c r="C60" s="2"/>
      <c r="D60" s="4"/>
      <c r="E60" s="9" t="str">
        <f>IF(C60="","",IFERROR(INDEX(Order_History!$F:$F,MATCH(C60,Order_History!$C:$C,0)),""))</f>
        <v/>
      </c>
    </row>
    <row r="61" spans="1:5">
      <c r="A61" s="2"/>
      <c r="B61" s="2"/>
      <c r="C61" s="2"/>
      <c r="D61" s="4"/>
      <c r="E61" s="9" t="str">
        <f>IF(C61="","",IFERROR(INDEX(Order_History!$F:$F,MATCH(C61,Order_History!$C:$C,0)),""))</f>
        <v/>
      </c>
    </row>
    <row r="62" spans="1:5">
      <c r="A62" s="2"/>
      <c r="B62" s="2"/>
      <c r="C62" s="2"/>
      <c r="D62" s="4"/>
      <c r="E62" s="9" t="str">
        <f>IF(C62="","",IFERROR(INDEX(Order_History!$F:$F,MATCH(C62,Order_History!$C:$C,0)),""))</f>
        <v/>
      </c>
    </row>
    <row r="63" spans="1:5">
      <c r="A63" s="2"/>
      <c r="B63" s="2"/>
      <c r="C63" s="2"/>
      <c r="D63" s="4"/>
      <c r="E63" s="9" t="str">
        <f>IF(C63="","",IFERROR(INDEX(Order_History!$F:$F,MATCH(C63,Order_History!$C:$C,0)),""))</f>
        <v/>
      </c>
    </row>
    <row r="64" spans="1:5">
      <c r="A64" s="2"/>
      <c r="B64" s="2"/>
      <c r="C64" s="2"/>
      <c r="D64" s="4"/>
      <c r="E64" s="9" t="str">
        <f>IF(C64="","",IFERROR(INDEX(Order_History!$F:$F,MATCH(C64,Order_History!$C:$C,0)),""))</f>
        <v/>
      </c>
    </row>
    <row r="65" spans="1:5">
      <c r="A65" s="2"/>
      <c r="B65" s="2"/>
      <c r="C65" s="2"/>
      <c r="D65" s="4"/>
      <c r="E65" s="9" t="str">
        <f>IF(C65="","",IFERROR(INDEX(Order_History!$F:$F,MATCH(C65,Order_History!$C:$C,0)),""))</f>
        <v/>
      </c>
    </row>
    <row r="66" spans="1:5">
      <c r="A66" s="2"/>
      <c r="B66" s="2"/>
      <c r="C66" s="2"/>
      <c r="D66" s="4"/>
      <c r="E66" s="9" t="str">
        <f>IF(C66="","",IFERROR(INDEX(Order_History!$F:$F,MATCH(C66,Order_History!$C:$C,0)),""))</f>
        <v/>
      </c>
    </row>
    <row r="67" spans="1:5">
      <c r="A67" s="2"/>
      <c r="B67" s="2"/>
      <c r="C67" s="2"/>
      <c r="D67" s="4"/>
      <c r="E67" s="9" t="str">
        <f>IF(C67="","",IFERROR(INDEX(Order_History!$F:$F,MATCH(C67,Order_History!$C:$C,0)),""))</f>
        <v/>
      </c>
    </row>
    <row r="68" spans="1:5">
      <c r="A68" s="2"/>
      <c r="B68" s="2"/>
      <c r="C68" s="2"/>
      <c r="D68" s="4"/>
      <c r="E68" s="9" t="str">
        <f>IF(C68="","",IFERROR(INDEX(Order_History!$F:$F,MATCH(C68,Order_History!$C:$C,0)),""))</f>
        <v/>
      </c>
    </row>
    <row r="69" spans="1:5">
      <c r="A69" s="2"/>
      <c r="B69" s="2"/>
      <c r="C69" s="2"/>
      <c r="D69" s="4"/>
      <c r="E69" s="9" t="str">
        <f>IF(C69="","",IFERROR(INDEX(Order_History!$F:$F,MATCH(C69,Order_History!$C:$C,0)),""))</f>
        <v/>
      </c>
    </row>
    <row r="70" spans="1:5">
      <c r="A70" s="2"/>
      <c r="B70" s="2"/>
      <c r="C70" s="2"/>
      <c r="D70" s="4"/>
      <c r="E70" s="9" t="str">
        <f>IF(C70="","",IFERROR(INDEX(Order_History!$F:$F,MATCH(C70,Order_History!$C:$C,0)),""))</f>
        <v/>
      </c>
    </row>
    <row r="71" spans="1:5">
      <c r="A71" s="2"/>
      <c r="B71" s="2"/>
      <c r="C71" s="2"/>
      <c r="D71" s="4"/>
      <c r="E71" s="9" t="str">
        <f>IF(C71="","",IFERROR(INDEX(Order_History!$F:$F,MATCH(C71,Order_History!$C:$C,0)),""))</f>
        <v/>
      </c>
    </row>
    <row r="72" spans="1:5">
      <c r="A72" s="2"/>
      <c r="B72" s="2"/>
      <c r="C72" s="2"/>
      <c r="D72" s="4"/>
      <c r="E72" s="9" t="str">
        <f>IF(C72="","",IFERROR(INDEX(Order_History!$F:$F,MATCH(C72,Order_History!$C:$C,0)),""))</f>
        <v/>
      </c>
    </row>
    <row r="73" spans="1:5">
      <c r="A73" s="2"/>
      <c r="B73" s="2"/>
      <c r="C73" s="2"/>
      <c r="D73" s="4"/>
      <c r="E73" s="9" t="str">
        <f>IF(C73="","",IFERROR(INDEX(Order_History!$F:$F,MATCH(C73,Order_History!$C:$C,0)),""))</f>
        <v/>
      </c>
    </row>
    <row r="74" spans="1:5">
      <c r="A74" s="2"/>
      <c r="B74" s="2"/>
      <c r="C74" s="2"/>
      <c r="D74" s="4"/>
      <c r="E74" s="9" t="str">
        <f>IF(C74="","",IFERROR(INDEX(Order_History!$F:$F,MATCH(C74,Order_History!$C:$C,0)),""))</f>
        <v/>
      </c>
    </row>
    <row r="75" spans="1:5">
      <c r="A75" s="2"/>
      <c r="B75" s="2"/>
      <c r="C75" s="2"/>
      <c r="D75" s="4"/>
      <c r="E75" s="9" t="str">
        <f>IF(C75="","",IFERROR(INDEX(Order_History!$F:$F,MATCH(C75,Order_History!$C:$C,0)),""))</f>
        <v/>
      </c>
    </row>
    <row r="76" spans="1:5">
      <c r="A76" s="2"/>
      <c r="B76" s="2"/>
      <c r="C76" s="2"/>
      <c r="D76" s="4"/>
      <c r="E76" s="9" t="str">
        <f>IF(C76="","",IFERROR(INDEX(Order_History!$F:$F,MATCH(C76,Order_History!$C:$C,0)),""))</f>
        <v/>
      </c>
    </row>
    <row r="77" spans="1:5">
      <c r="A77" s="2"/>
      <c r="B77" s="2"/>
      <c r="C77" s="2"/>
      <c r="D77" s="4"/>
      <c r="E77" s="9" t="str">
        <f>IF(C77="","",IFERROR(INDEX(Order_History!$F:$F,MATCH(C77,Order_History!$C:$C,0)),""))</f>
        <v/>
      </c>
    </row>
    <row r="78" spans="1:5">
      <c r="A78" s="2"/>
      <c r="B78" s="2"/>
      <c r="C78" s="2"/>
      <c r="D78" s="4"/>
      <c r="E78" s="9" t="str">
        <f>IF(C78="","",IFERROR(INDEX(Order_History!$F:$F,MATCH(C78,Order_History!$C:$C,0)),""))</f>
        <v/>
      </c>
    </row>
    <row r="79" spans="1:5">
      <c r="A79" s="2"/>
      <c r="B79" s="2"/>
      <c r="C79" s="2"/>
      <c r="D79" s="4"/>
      <c r="E79" s="9" t="str">
        <f>IF(C79="","",IFERROR(INDEX(Order_History!$F:$F,MATCH(C79,Order_History!$C:$C,0)),""))</f>
        <v/>
      </c>
    </row>
    <row r="80" spans="1:5">
      <c r="A80" s="2"/>
      <c r="B80" s="2"/>
      <c r="C80" s="2"/>
      <c r="D80" s="4"/>
      <c r="E80" s="9" t="str">
        <f>IF(C80="","",IFERROR(INDEX(Order_History!$F:$F,MATCH(C80,Order_History!$C:$C,0)),""))</f>
        <v/>
      </c>
    </row>
    <row r="81" spans="1:5">
      <c r="A81" s="2"/>
      <c r="B81" s="2"/>
      <c r="C81" s="2"/>
      <c r="D81" s="4"/>
      <c r="E81" s="9" t="str">
        <f>IF(C81="","",IFERROR(INDEX(Order_History!$F:$F,MATCH(C81,Order_History!$C:$C,0)),""))</f>
        <v/>
      </c>
    </row>
    <row r="82" spans="1:5">
      <c r="A82" s="2"/>
      <c r="B82" s="2"/>
      <c r="C82" s="2"/>
      <c r="D82" s="4"/>
      <c r="E82" s="9" t="str">
        <f>IF(C82="","",IFERROR(INDEX(Order_History!$F:$F,MATCH(C82,Order_History!$C:$C,0)),""))</f>
        <v/>
      </c>
    </row>
    <row r="83" spans="1:5">
      <c r="A83" s="2"/>
      <c r="B83" s="2"/>
      <c r="C83" s="2"/>
      <c r="D83" s="4"/>
      <c r="E83" s="9" t="str">
        <f>IF(C83="","",IFERROR(INDEX(Order_History!$F:$F,MATCH(C83,Order_History!$C:$C,0)),""))</f>
        <v/>
      </c>
    </row>
    <row r="84" spans="1:5">
      <c r="A84" s="2"/>
      <c r="B84" s="2"/>
      <c r="C84" s="2"/>
      <c r="D84" s="4"/>
      <c r="E84" s="9" t="str">
        <f>IF(C84="","",IFERROR(INDEX(Order_History!$F:$F,MATCH(C84,Order_History!$C:$C,0)),""))</f>
        <v/>
      </c>
    </row>
    <row r="85" spans="1:5">
      <c r="A85" s="2"/>
      <c r="B85" s="2"/>
      <c r="C85" s="2"/>
      <c r="D85" s="4"/>
      <c r="E85" s="9" t="str">
        <f>IF(C85="","",IFERROR(INDEX(Order_History!$F:$F,MATCH(C85,Order_History!$C:$C,0)),""))</f>
        <v/>
      </c>
    </row>
    <row r="86" spans="1:5">
      <c r="A86" s="2"/>
      <c r="B86" s="2"/>
      <c r="C86" s="2"/>
      <c r="D86" s="4"/>
      <c r="E86" s="9" t="str">
        <f>IF(C86="","",IFERROR(INDEX(Order_History!$F:$F,MATCH(C86,Order_History!$C:$C,0)),""))</f>
        <v/>
      </c>
    </row>
    <row r="87" spans="1:5">
      <c r="A87" s="2"/>
      <c r="B87" s="2"/>
      <c r="C87" s="2"/>
      <c r="D87" s="4"/>
      <c r="E87" s="9" t="str">
        <f>IF(C87="","",IFERROR(INDEX(Order_History!$F:$F,MATCH(C87,Order_History!$C:$C,0)),""))</f>
        <v/>
      </c>
    </row>
    <row r="88" spans="1:5">
      <c r="A88" s="2"/>
      <c r="B88" s="2"/>
      <c r="C88" s="2"/>
      <c r="D88" s="4"/>
      <c r="E88" s="9" t="str">
        <f>IF(C88="","",IFERROR(INDEX(Order_History!$F:$F,MATCH(C88,Order_History!$C:$C,0)),""))</f>
        <v/>
      </c>
    </row>
    <row r="89" spans="1:5">
      <c r="A89" s="2"/>
      <c r="B89" s="2"/>
      <c r="C89" s="2"/>
      <c r="D89" s="4"/>
      <c r="E89" s="9" t="str">
        <f>IF(C89="","",IFERROR(INDEX(Order_History!$F:$F,MATCH(C89,Order_History!$C:$C,0)),""))</f>
        <v/>
      </c>
    </row>
    <row r="90" spans="1:5">
      <c r="A90" s="2"/>
      <c r="B90" s="2"/>
      <c r="C90" s="2"/>
      <c r="D90" s="4"/>
      <c r="E90" s="9" t="str">
        <f>IF(C90="","",IFERROR(INDEX(Order_History!$F:$F,MATCH(C90,Order_History!$C:$C,0)),""))</f>
        <v/>
      </c>
    </row>
    <row r="91" spans="1:5">
      <c r="A91" s="2"/>
      <c r="B91" s="2"/>
      <c r="C91" s="2"/>
      <c r="D91" s="4"/>
      <c r="E91" s="9" t="str">
        <f>IF(C91="","",IFERROR(INDEX(Order_History!$F:$F,MATCH(C91,Order_History!$C:$C,0)),""))</f>
        <v/>
      </c>
    </row>
    <row r="92" spans="1:5">
      <c r="A92" s="2"/>
      <c r="B92" s="2"/>
      <c r="C92" s="2"/>
      <c r="D92" s="4"/>
      <c r="E92" s="9" t="str">
        <f>IF(C92="","",IFERROR(INDEX(Order_History!$F:$F,MATCH(C92,Order_History!$C:$C,0)),""))</f>
        <v/>
      </c>
    </row>
    <row r="93" spans="1:5">
      <c r="A93" s="2"/>
      <c r="B93" s="2"/>
      <c r="C93" s="2"/>
      <c r="D93" s="4"/>
      <c r="E93" s="9" t="str">
        <f>IF(C93="","",IFERROR(INDEX(Order_History!$F:$F,MATCH(C93,Order_History!$C:$C,0)),""))</f>
        <v/>
      </c>
    </row>
    <row r="94" spans="1:5">
      <c r="A94" s="2"/>
      <c r="B94" s="2"/>
      <c r="C94" s="2"/>
      <c r="D94" s="4"/>
      <c r="E94" s="9" t="str">
        <f>IF(C94="","",IFERROR(INDEX(Order_History!$F:$F,MATCH(C94,Order_History!$C:$C,0)),""))</f>
        <v/>
      </c>
    </row>
    <row r="95" spans="1:5">
      <c r="A95" s="2"/>
      <c r="B95" s="2"/>
      <c r="C95" s="2"/>
      <c r="D95" s="4"/>
      <c r="E95" s="9" t="str">
        <f>IF(C95="","",IFERROR(INDEX(Order_History!$F:$F,MATCH(C95,Order_History!$C:$C,0)),""))</f>
        <v/>
      </c>
    </row>
    <row r="96" spans="1:5">
      <c r="A96" s="2"/>
      <c r="B96" s="2"/>
      <c r="C96" s="2"/>
      <c r="D96" s="4"/>
      <c r="E96" s="9" t="str">
        <f>IF(C96="","",IFERROR(INDEX(Order_History!$F:$F,MATCH(C96,Order_History!$C:$C,0)),""))</f>
        <v/>
      </c>
    </row>
    <row r="97" spans="1:5">
      <c r="A97" s="2"/>
      <c r="B97" s="2"/>
      <c r="C97" s="2"/>
      <c r="D97" s="4"/>
      <c r="E97" s="9" t="str">
        <f>IF(C97="","",IFERROR(INDEX(Order_History!$F:$F,MATCH(C97,Order_History!$C:$C,0)),""))</f>
        <v/>
      </c>
    </row>
    <row r="98" spans="1:5">
      <c r="A98" s="2"/>
      <c r="B98" s="2"/>
      <c r="C98" s="2"/>
      <c r="D98" s="4"/>
      <c r="E98" s="9" t="str">
        <f>IF(C98="","",IFERROR(INDEX(Order_History!$F:$F,MATCH(C98,Order_History!$C:$C,0)),""))</f>
        <v/>
      </c>
    </row>
    <row r="99" spans="1:5">
      <c r="A99" s="2"/>
      <c r="B99" s="2"/>
      <c r="C99" s="2"/>
      <c r="D99" s="4"/>
      <c r="E99" s="9" t="str">
        <f>IF(C99="","",IFERROR(INDEX(Order_History!$F:$F,MATCH(C99,Order_History!$C:$C,0)),""))</f>
        <v/>
      </c>
    </row>
    <row r="100" spans="1:5">
      <c r="A100" s="2"/>
      <c r="B100" s="2"/>
      <c r="C100" s="2"/>
      <c r="D100" s="4"/>
      <c r="E100" s="9" t="str">
        <f>IF(C100="","",IFERROR(INDEX(Order_History!$F:$F,MATCH(C100,Order_History!$C:$C,0)),""))</f>
        <v/>
      </c>
    </row>
    <row r="101" spans="1:5">
      <c r="A101" s="2"/>
      <c r="B101" s="2"/>
      <c r="C101" s="2"/>
      <c r="D101" s="4"/>
      <c r="E101" s="9" t="str">
        <f>IF(C101="","",IFERROR(INDEX(Order_History!$F:$F,MATCH(C101,Order_History!$C:$C,0)),""))</f>
        <v/>
      </c>
    </row>
    <row r="102" spans="1:5">
      <c r="A102" s="2"/>
      <c r="B102" s="2"/>
      <c r="C102" s="2"/>
      <c r="D102" s="4"/>
      <c r="E102" s="9" t="str">
        <f>IF(C102="","",IFERROR(INDEX(Order_History!$F:$F,MATCH(C102,Order_History!$C:$C,0)),""))</f>
        <v/>
      </c>
    </row>
    <row r="103" spans="1:5">
      <c r="A103" s="2"/>
      <c r="B103" s="2"/>
      <c r="C103" s="2"/>
      <c r="D103" s="4"/>
      <c r="E103" s="9" t="str">
        <f>IF(C103="","",IFERROR(INDEX(Order_History!$F:$F,MATCH(C103,Order_History!$C:$C,0)),""))</f>
        <v/>
      </c>
    </row>
    <row r="104" spans="1:5">
      <c r="A104" s="2"/>
      <c r="B104" s="2"/>
      <c r="C104" s="2"/>
      <c r="D104" s="4"/>
      <c r="E104" s="9" t="str">
        <f>IF(C104="","",IFERROR(INDEX(Order_History!$F:$F,MATCH(C104,Order_History!$C:$C,0)),""))</f>
        <v/>
      </c>
    </row>
    <row r="105" spans="1:5">
      <c r="A105" s="2"/>
      <c r="B105" s="2"/>
      <c r="C105" s="2"/>
      <c r="D105" s="4"/>
      <c r="E105" s="9" t="str">
        <f>IF(C105="","",IFERROR(INDEX(Order_History!$F:$F,MATCH(C105,Order_History!$C:$C,0)),""))</f>
        <v/>
      </c>
    </row>
    <row r="106" spans="1:5">
      <c r="A106" s="2"/>
      <c r="B106" s="2"/>
      <c r="C106" s="2"/>
      <c r="D106" s="4"/>
      <c r="E106" s="9" t="str">
        <f>IF(C106="","",IFERROR(INDEX(Order_History!$F:$F,MATCH(C106,Order_History!$C:$C,0)),""))</f>
        <v/>
      </c>
    </row>
    <row r="107" spans="1:5">
      <c r="A107" s="2"/>
      <c r="B107" s="2"/>
      <c r="C107" s="2"/>
      <c r="D107" s="4"/>
      <c r="E107" s="9" t="str">
        <f>IF(C107="","",IFERROR(INDEX(Order_History!$F:$F,MATCH(C107,Order_History!$C:$C,0)),""))</f>
        <v/>
      </c>
    </row>
    <row r="108" spans="1:5">
      <c r="A108" s="2"/>
      <c r="B108" s="2"/>
      <c r="C108" s="2"/>
      <c r="D108" s="4"/>
      <c r="E108" s="9" t="str">
        <f>IF(C108="","",IFERROR(INDEX(Order_History!$F:$F,MATCH(C108,Order_History!$C:$C,0)),""))</f>
        <v/>
      </c>
    </row>
    <row r="109" spans="1:5">
      <c r="A109" s="2"/>
      <c r="B109" s="2"/>
      <c r="C109" s="2"/>
      <c r="D109" s="4"/>
      <c r="E109" s="9" t="str">
        <f>IF(C109="","",IFERROR(INDEX(Order_History!$F:$F,MATCH(C109,Order_History!$C:$C,0)),""))</f>
        <v/>
      </c>
    </row>
    <row r="110" spans="1:5">
      <c r="A110" s="2"/>
      <c r="B110" s="2"/>
      <c r="C110" s="2"/>
      <c r="D110" s="4"/>
      <c r="E110" s="9" t="str">
        <f>IF(C110="","",IFERROR(INDEX(Order_History!$F:$F,MATCH(C110,Order_History!$C:$C,0)),""))</f>
        <v/>
      </c>
    </row>
    <row r="111" spans="1:5">
      <c r="A111" s="2"/>
      <c r="B111" s="2"/>
      <c r="C111" s="2"/>
      <c r="D111" s="4"/>
      <c r="E111" s="9" t="str">
        <f>IF(C111="","",IFERROR(INDEX(Order_History!$F:$F,MATCH(C111,Order_History!$C:$C,0)),""))</f>
        <v/>
      </c>
    </row>
    <row r="112" spans="1:5">
      <c r="A112" s="2"/>
      <c r="B112" s="2"/>
      <c r="C112" s="2"/>
      <c r="D112" s="4"/>
      <c r="E112" s="9" t="str">
        <f>IF(C112="","",IFERROR(INDEX(Order_History!$F:$F,MATCH(C112,Order_History!$C:$C,0)),""))</f>
        <v/>
      </c>
    </row>
    <row r="113" spans="1:5">
      <c r="A113" s="2"/>
      <c r="B113" s="2"/>
      <c r="C113" s="2"/>
      <c r="D113" s="4"/>
      <c r="E113" s="9" t="str">
        <f>IF(C113="","",IFERROR(INDEX(Order_History!$F:$F,MATCH(C113,Order_History!$C:$C,0)),""))</f>
        <v/>
      </c>
    </row>
    <row r="114" spans="1:5">
      <c r="A114" s="2"/>
      <c r="B114" s="2"/>
      <c r="C114" s="2"/>
      <c r="D114" s="4"/>
      <c r="E114" s="9" t="str">
        <f>IF(C114="","",IFERROR(INDEX(Order_History!$F:$F,MATCH(C114,Order_History!$C:$C,0)),""))</f>
        <v/>
      </c>
    </row>
    <row r="115" spans="1:5">
      <c r="A115" s="2"/>
      <c r="B115" s="2"/>
      <c r="C115" s="2"/>
      <c r="D115" s="4"/>
      <c r="E115" s="9" t="str">
        <f>IF(C115="","",IFERROR(INDEX(Order_History!$F:$F,MATCH(C115,Order_History!$C:$C,0)),""))</f>
        <v/>
      </c>
    </row>
    <row r="116" spans="1:5">
      <c r="A116" s="2"/>
      <c r="B116" s="2"/>
      <c r="C116" s="2"/>
      <c r="D116" s="4"/>
      <c r="E116" s="9" t="str">
        <f>IF(C116="","",IFERROR(INDEX(Order_History!$F:$F,MATCH(C116,Order_History!$C:$C,0)),""))</f>
        <v/>
      </c>
    </row>
    <row r="117" spans="1:5">
      <c r="A117" s="2"/>
      <c r="B117" s="2"/>
      <c r="C117" s="2"/>
      <c r="D117" s="4"/>
      <c r="E117" s="9" t="str">
        <f>IF(C117="","",IFERROR(INDEX(Order_History!$F:$F,MATCH(C117,Order_History!$C:$C,0)),""))</f>
        <v/>
      </c>
    </row>
    <row r="118" spans="1:5">
      <c r="A118" s="2"/>
      <c r="B118" s="2"/>
      <c r="C118" s="2"/>
      <c r="D118" s="4"/>
      <c r="E118" s="9" t="str">
        <f>IF(C118="","",IFERROR(INDEX(Order_History!$F:$F,MATCH(C118,Order_History!$C:$C,0)),""))</f>
        <v/>
      </c>
    </row>
    <row r="119" spans="1:5">
      <c r="A119" s="2"/>
      <c r="B119" s="2"/>
      <c r="C119" s="2"/>
      <c r="D119" s="4"/>
      <c r="E119" s="9" t="str">
        <f>IF(C119="","",IFERROR(INDEX(Order_History!$F:$F,MATCH(C119,Order_History!$C:$C,0)),""))</f>
        <v/>
      </c>
    </row>
    <row r="120" spans="1:5">
      <c r="A120" s="2"/>
      <c r="B120" s="2"/>
      <c r="C120" s="2"/>
      <c r="D120" s="4"/>
      <c r="E120" s="9" t="str">
        <f>IF(C120="","",IFERROR(INDEX(Order_History!$F:$F,MATCH(C120,Order_History!$C:$C,0)),""))</f>
        <v/>
      </c>
    </row>
    <row r="121" spans="1:5">
      <c r="A121" s="2"/>
      <c r="B121" s="2"/>
      <c r="C121" s="2"/>
      <c r="D121" s="4"/>
      <c r="E121" s="9" t="str">
        <f>IF(C121="","",IFERROR(INDEX(Order_History!$F:$F,MATCH(C121,Order_History!$C:$C,0)),""))</f>
        <v/>
      </c>
    </row>
    <row r="122" spans="1:5">
      <c r="A122" s="2"/>
      <c r="B122" s="2"/>
      <c r="C122" s="2"/>
      <c r="D122" s="4"/>
      <c r="E122" s="9" t="str">
        <f>IF(C122="","",IFERROR(INDEX(Order_History!$F:$F,MATCH(C122,Order_History!$C:$C,0)),""))</f>
        <v/>
      </c>
    </row>
    <row r="123" spans="1:5">
      <c r="A123" s="2"/>
      <c r="B123" s="2"/>
      <c r="C123" s="2"/>
      <c r="D123" s="4"/>
      <c r="E123" s="9" t="str">
        <f>IF(C123="","",IFERROR(INDEX(Order_History!$F:$F,MATCH(C123,Order_History!$C:$C,0)),""))</f>
        <v/>
      </c>
    </row>
    <row r="124" spans="1:5">
      <c r="A124" s="2"/>
      <c r="B124" s="2"/>
      <c r="C124" s="2"/>
      <c r="D124" s="4"/>
      <c r="E124" s="9" t="str">
        <f>IF(C124="","",IFERROR(INDEX(Order_History!$F:$F,MATCH(C124,Order_History!$C:$C,0)),""))</f>
        <v/>
      </c>
    </row>
    <row r="125" spans="1:5">
      <c r="A125" s="2"/>
      <c r="B125" s="2"/>
      <c r="C125" s="2"/>
      <c r="D125" s="4"/>
      <c r="E125" s="9" t="str">
        <f>IF(C125="","",IFERROR(INDEX(Order_History!$F:$F,MATCH(C125,Order_History!$C:$C,0)),""))</f>
        <v/>
      </c>
    </row>
    <row r="126" spans="1:5">
      <c r="A126" s="2"/>
      <c r="B126" s="2"/>
      <c r="C126" s="2"/>
      <c r="D126" s="4"/>
      <c r="E126" s="9" t="str">
        <f>IF(C126="","",IFERROR(INDEX(Order_History!$F:$F,MATCH(C126,Order_History!$C:$C,0)),""))</f>
        <v/>
      </c>
    </row>
    <row r="127" spans="1:5">
      <c r="A127" s="2"/>
      <c r="B127" s="2"/>
      <c r="C127" s="2"/>
      <c r="D127" s="4"/>
      <c r="E127" s="9" t="str">
        <f>IF(C127="","",IFERROR(INDEX(Order_History!$F:$F,MATCH(C127,Order_History!$C:$C,0)),""))</f>
        <v/>
      </c>
    </row>
    <row r="128" spans="1:5">
      <c r="A128" s="2"/>
      <c r="B128" s="2"/>
      <c r="C128" s="2"/>
      <c r="D128" s="4"/>
      <c r="E128" s="9" t="str">
        <f>IF(C128="","",IFERROR(INDEX(Order_History!$F:$F,MATCH(C128,Order_History!$C:$C,0)),""))</f>
        <v/>
      </c>
    </row>
    <row r="129" spans="1:5">
      <c r="A129" s="2"/>
      <c r="B129" s="2"/>
      <c r="C129" s="2"/>
      <c r="D129" s="4"/>
      <c r="E129" s="9" t="str">
        <f>IF(C129="","",IFERROR(INDEX(Order_History!$F:$F,MATCH(C129,Order_History!$C:$C,0)),""))</f>
        <v/>
      </c>
    </row>
    <row r="130" spans="1:5">
      <c r="A130" s="2"/>
      <c r="B130" s="2"/>
      <c r="C130" s="2"/>
      <c r="D130" s="4"/>
      <c r="E130" s="9" t="str">
        <f>IF(C130="","",IFERROR(INDEX(Order_History!$F:$F,MATCH(C130,Order_History!$C:$C,0)),""))</f>
        <v/>
      </c>
    </row>
    <row r="131" spans="1:5">
      <c r="A131" s="2"/>
      <c r="B131" s="2"/>
      <c r="C131" s="2"/>
      <c r="D131" s="4"/>
      <c r="E131" s="9" t="str">
        <f>IF(C131="","",IFERROR(INDEX(Order_History!$F:$F,MATCH(C131,Order_History!$C:$C,0)),""))</f>
        <v/>
      </c>
    </row>
    <row r="132" spans="1:5">
      <c r="A132" s="2"/>
      <c r="B132" s="2"/>
      <c r="C132" s="2"/>
      <c r="D132" s="4"/>
      <c r="E132" s="9" t="str">
        <f>IF(C132="","",IFERROR(INDEX(Order_History!$F:$F,MATCH(C132,Order_History!$C:$C,0)),""))</f>
        <v/>
      </c>
    </row>
    <row r="133" spans="1:5">
      <c r="A133" s="2"/>
      <c r="B133" s="2"/>
      <c r="C133" s="2"/>
      <c r="D133" s="4"/>
      <c r="E133" s="9" t="str">
        <f>IF(C133="","",IFERROR(INDEX(Order_History!$F:$F,MATCH(C133,Order_History!$C:$C,0)),""))</f>
        <v/>
      </c>
    </row>
    <row r="134" spans="1:5">
      <c r="A134" s="2"/>
      <c r="B134" s="2"/>
      <c r="C134" s="2"/>
      <c r="D134" s="4"/>
      <c r="E134" s="9" t="str">
        <f>IF(C134="","",IFERROR(INDEX(Order_History!$F:$F,MATCH(C134,Order_History!$C:$C,0)),""))</f>
        <v/>
      </c>
    </row>
    <row r="135" spans="1:5">
      <c r="A135" s="2"/>
      <c r="B135" s="2"/>
      <c r="C135" s="2"/>
      <c r="D135" s="4"/>
      <c r="E135" s="9" t="str">
        <f>IF(C135="","",IFERROR(INDEX(Order_History!$F:$F,MATCH(C135,Order_History!$C:$C,0)),""))</f>
        <v/>
      </c>
    </row>
    <row r="136" spans="1:5">
      <c r="A136" s="2"/>
      <c r="B136" s="2"/>
      <c r="C136" s="2"/>
      <c r="D136" s="4"/>
      <c r="E136" s="9" t="str">
        <f>IF(C136="","",IFERROR(INDEX(Order_History!$F:$F,MATCH(C136,Order_History!$C:$C,0)),""))</f>
        <v/>
      </c>
    </row>
    <row r="137" spans="1:5">
      <c r="A137" s="2"/>
      <c r="B137" s="2"/>
      <c r="C137" s="2"/>
      <c r="D137" s="4"/>
      <c r="E137" s="9" t="str">
        <f>IF(C137="","",IFERROR(INDEX(Order_History!$F:$F,MATCH(C137,Order_History!$C:$C,0)),""))</f>
        <v/>
      </c>
    </row>
    <row r="138" spans="1:5">
      <c r="A138" s="2"/>
      <c r="B138" s="2"/>
      <c r="C138" s="2"/>
      <c r="D138" s="4"/>
      <c r="E138" s="9" t="str">
        <f>IF(C138="","",IFERROR(INDEX(Order_History!$F:$F,MATCH(C138,Order_History!$C:$C,0)),""))</f>
        <v/>
      </c>
    </row>
    <row r="139" spans="1:5">
      <c r="A139" s="2"/>
      <c r="B139" s="2"/>
      <c r="C139" s="2"/>
      <c r="D139" s="4"/>
      <c r="E139" s="9" t="str">
        <f>IF(C139="","",IFERROR(INDEX(Order_History!$F:$F,MATCH(C139,Order_History!$C:$C,0)),""))</f>
        <v/>
      </c>
    </row>
    <row r="140" spans="1:5">
      <c r="A140" s="2"/>
      <c r="B140" s="2"/>
      <c r="C140" s="2"/>
      <c r="D140" s="4"/>
      <c r="E140" s="9" t="str">
        <f>IF(C140="","",IFERROR(INDEX(Order_History!$F:$F,MATCH(C140,Order_History!$C:$C,0)),""))</f>
        <v/>
      </c>
    </row>
    <row r="141" spans="1:5">
      <c r="A141" s="2"/>
      <c r="B141" s="2"/>
      <c r="C141" s="2"/>
      <c r="D141" s="4"/>
      <c r="E141" s="9" t="str">
        <f>IF(C141="","",IFERROR(INDEX(Order_History!$F:$F,MATCH(C141,Order_History!$C:$C,0)),""))</f>
        <v/>
      </c>
    </row>
    <row r="142" spans="1:5">
      <c r="A142" s="2"/>
      <c r="B142" s="2"/>
      <c r="C142" s="2"/>
      <c r="D142" s="4"/>
      <c r="E142" s="9" t="str">
        <f>IF(C142="","",IFERROR(INDEX(Order_History!$F:$F,MATCH(C142,Order_History!$C:$C,0)),""))</f>
        <v/>
      </c>
    </row>
    <row r="143" spans="1:5">
      <c r="A143" s="2"/>
      <c r="B143" s="2"/>
      <c r="C143" s="2"/>
      <c r="D143" s="4"/>
      <c r="E143" s="9" t="str">
        <f>IF(C143="","",IFERROR(INDEX(Order_History!$F:$F,MATCH(C143,Order_History!$C:$C,0)),""))</f>
        <v/>
      </c>
    </row>
    <row r="144" spans="1:5">
      <c r="A144" s="2"/>
      <c r="B144" s="2"/>
      <c r="C144" s="2"/>
      <c r="D144" s="4"/>
      <c r="E144" s="9" t="str">
        <f>IF(C144="","",IFERROR(INDEX(Order_History!$F:$F,MATCH(C144,Order_History!$C:$C,0)),""))</f>
        <v/>
      </c>
    </row>
    <row r="145" spans="1:5">
      <c r="A145" s="2"/>
      <c r="B145" s="2"/>
      <c r="C145" s="2"/>
      <c r="D145" s="4"/>
      <c r="E145" s="9" t="str">
        <f>IF(C145="","",IFERROR(INDEX(Order_History!$F:$F,MATCH(C145,Order_History!$C:$C,0)),""))</f>
        <v/>
      </c>
    </row>
    <row r="146" spans="1:5">
      <c r="A146" s="2"/>
      <c r="B146" s="2"/>
      <c r="C146" s="2"/>
      <c r="D146" s="4"/>
      <c r="E146" s="9" t="str">
        <f>IF(C146="","",IFERROR(INDEX(Order_History!$F:$F,MATCH(C146,Order_History!$C:$C,0)),""))</f>
        <v/>
      </c>
    </row>
    <row r="147" spans="1:5">
      <c r="A147" s="2"/>
      <c r="B147" s="2"/>
      <c r="C147" s="2"/>
      <c r="D147" s="4"/>
      <c r="E147" s="9" t="str">
        <f>IF(C147="","",IFERROR(INDEX(Order_History!$F:$F,MATCH(C147,Order_History!$C:$C,0)),""))</f>
        <v/>
      </c>
    </row>
    <row r="148" spans="1:5">
      <c r="A148" s="2"/>
      <c r="B148" s="2"/>
      <c r="C148" s="2"/>
      <c r="D148" s="4"/>
      <c r="E148" s="9" t="str">
        <f>IF(C148="","",IFERROR(INDEX(Order_History!$F:$F,MATCH(C148,Order_History!$C:$C,0)),""))</f>
        <v/>
      </c>
    </row>
    <row r="149" spans="1:5">
      <c r="A149" s="2"/>
      <c r="B149" s="2"/>
      <c r="C149" s="2"/>
      <c r="D149" s="4"/>
      <c r="E149" s="9" t="str">
        <f>IF(C149="","",IFERROR(INDEX(Order_History!$F:$F,MATCH(C149,Order_History!$C:$C,0)),""))</f>
        <v/>
      </c>
    </row>
    <row r="150" spans="1:5">
      <c r="A150" s="2"/>
      <c r="B150" s="2"/>
      <c r="C150" s="2"/>
      <c r="D150" s="4"/>
      <c r="E150" s="9" t="str">
        <f>IF(C150="","",IFERROR(INDEX(Order_History!$F:$F,MATCH(C150,Order_History!$C:$C,0)),""))</f>
        <v/>
      </c>
    </row>
    <row r="151" spans="1:5">
      <c r="A151" s="2"/>
      <c r="B151" s="2"/>
      <c r="C151" s="2"/>
      <c r="D151" s="4"/>
      <c r="E151" s="9" t="str">
        <f>IF(C151="","",IFERROR(INDEX(Order_History!$F:$F,MATCH(C151,Order_History!$C:$C,0)),""))</f>
        <v/>
      </c>
    </row>
    <row r="152" spans="1:5">
      <c r="A152" s="2"/>
      <c r="B152" s="2"/>
      <c r="C152" s="2"/>
      <c r="D152" s="4"/>
      <c r="E152" s="9" t="str">
        <f>IF(C152="","",IFERROR(INDEX(Order_History!$F:$F,MATCH(C152,Order_History!$C:$C,0)),""))</f>
        <v/>
      </c>
    </row>
    <row r="153" spans="1:5">
      <c r="A153" s="2"/>
      <c r="B153" s="2"/>
      <c r="C153" s="2"/>
      <c r="D153" s="4"/>
      <c r="E153" s="9" t="str">
        <f>IF(C153="","",IFERROR(INDEX(Order_History!$F:$F,MATCH(C153,Order_History!$C:$C,0)),""))</f>
        <v/>
      </c>
    </row>
    <row r="154" spans="1:5">
      <c r="A154" s="2"/>
      <c r="B154" s="2"/>
      <c r="C154" s="2"/>
      <c r="D154" s="4"/>
      <c r="E154" s="9" t="str">
        <f>IF(C154="","",IFERROR(INDEX(Order_History!$F:$F,MATCH(C154,Order_History!$C:$C,0)),""))</f>
        <v/>
      </c>
    </row>
    <row r="155" spans="1:5">
      <c r="A155" s="2"/>
      <c r="B155" s="2"/>
      <c r="C155" s="2"/>
      <c r="D155" s="4"/>
      <c r="E155" s="9" t="str">
        <f>IF(C155="","",IFERROR(INDEX(Order_History!$F:$F,MATCH(C155,Order_History!$C:$C,0)),""))</f>
        <v/>
      </c>
    </row>
    <row r="156" spans="1:5">
      <c r="A156" s="2"/>
      <c r="B156" s="2"/>
      <c r="C156" s="2"/>
      <c r="D156" s="4"/>
      <c r="E156" s="9" t="str">
        <f>IF(C156="","",IFERROR(INDEX(Order_History!$F:$F,MATCH(C156,Order_History!$C:$C,0)),""))</f>
        <v/>
      </c>
    </row>
    <row r="157" spans="1:5">
      <c r="A157" s="2"/>
      <c r="B157" s="2"/>
      <c r="C157" s="2"/>
      <c r="D157" s="4"/>
      <c r="E157" s="9" t="str">
        <f>IF(C157="","",IFERROR(INDEX(Order_History!$F:$F,MATCH(C157,Order_History!$C:$C,0)),""))</f>
        <v/>
      </c>
    </row>
    <row r="158" spans="1:5">
      <c r="A158" s="2"/>
      <c r="B158" s="2"/>
      <c r="C158" s="2"/>
      <c r="D158" s="4"/>
      <c r="E158" s="9" t="str">
        <f>IF(C158="","",IFERROR(INDEX(Order_History!$F:$F,MATCH(C158,Order_History!$C:$C,0)),""))</f>
        <v/>
      </c>
    </row>
    <row r="159" spans="1:5">
      <c r="A159" s="2"/>
      <c r="B159" s="2"/>
      <c r="C159" s="2"/>
      <c r="D159" s="4"/>
      <c r="E159" s="9" t="str">
        <f>IF(C159="","",IFERROR(INDEX(Order_History!$F:$F,MATCH(C159,Order_History!$C:$C,0)),""))</f>
        <v/>
      </c>
    </row>
    <row r="160" spans="1:5">
      <c r="A160" s="2"/>
      <c r="B160" s="2"/>
      <c r="C160" s="2"/>
      <c r="D160" s="4"/>
      <c r="E160" s="9" t="str">
        <f>IF(C160="","",IFERROR(INDEX(Order_History!$F:$F,MATCH(C160,Order_History!$C:$C,0)),""))</f>
        <v/>
      </c>
    </row>
    <row r="161" spans="1:5">
      <c r="A161" s="2"/>
      <c r="B161" s="2"/>
      <c r="C161" s="2"/>
      <c r="D161" s="4"/>
      <c r="E161" s="9" t="str">
        <f>IF(C161="","",IFERROR(INDEX(Order_History!$F:$F,MATCH(C161,Order_History!$C:$C,0)),""))</f>
        <v/>
      </c>
    </row>
    <row r="162" spans="1:5">
      <c r="A162" s="2"/>
      <c r="B162" s="2"/>
      <c r="C162" s="2"/>
      <c r="D162" s="4"/>
      <c r="E162" s="9" t="str">
        <f>IF(C162="","",IFERROR(INDEX(Order_History!$F:$F,MATCH(C162,Order_History!$C:$C,0)),""))</f>
        <v/>
      </c>
    </row>
    <row r="163" spans="1:5">
      <c r="A163" s="2"/>
      <c r="B163" s="2"/>
      <c r="C163" s="2"/>
      <c r="D163" s="4"/>
      <c r="E163" s="9" t="str">
        <f>IF(C163="","",IFERROR(INDEX(Order_History!$F:$F,MATCH(C163,Order_History!$C:$C,0)),""))</f>
        <v/>
      </c>
    </row>
    <row r="164" spans="1:5">
      <c r="A164" s="2"/>
      <c r="B164" s="2"/>
      <c r="C164" s="2"/>
      <c r="D164" s="4"/>
      <c r="E164" s="9" t="str">
        <f>IF(C164="","",IFERROR(INDEX(Order_History!$F:$F,MATCH(C164,Order_History!$C:$C,0)),""))</f>
        <v/>
      </c>
    </row>
    <row r="165" spans="1:5">
      <c r="A165" s="2"/>
      <c r="B165" s="2"/>
      <c r="C165" s="2"/>
      <c r="D165" s="4"/>
      <c r="E165" s="9" t="str">
        <f>IF(C165="","",IFERROR(INDEX(Order_History!$F:$F,MATCH(C165,Order_History!$C:$C,0)),""))</f>
        <v/>
      </c>
    </row>
    <row r="166" spans="1:5">
      <c r="A166" s="2"/>
      <c r="B166" s="2"/>
      <c r="C166" s="2"/>
      <c r="D166" s="4"/>
      <c r="E166" s="9" t="str">
        <f>IF(C166="","",IFERROR(INDEX(Order_History!$F:$F,MATCH(C166,Order_History!$C:$C,0)),""))</f>
        <v/>
      </c>
    </row>
    <row r="167" spans="1:5">
      <c r="A167" s="2"/>
      <c r="B167" s="2"/>
      <c r="C167" s="2"/>
      <c r="D167" s="4"/>
      <c r="E167" s="9" t="str">
        <f>IF(C167="","",IFERROR(INDEX(Order_History!$F:$F,MATCH(C167,Order_History!$C:$C,0)),""))</f>
        <v/>
      </c>
    </row>
    <row r="168" spans="1:5">
      <c r="A168" s="2"/>
      <c r="B168" s="2"/>
      <c r="C168" s="2"/>
      <c r="D168" s="4"/>
      <c r="E168" s="9" t="str">
        <f>IF(C168="","",IFERROR(INDEX(Order_History!$F:$F,MATCH(C168,Order_History!$C:$C,0)),""))</f>
        <v/>
      </c>
    </row>
    <row r="169" spans="1:5">
      <c r="A169" s="2"/>
      <c r="B169" s="2"/>
      <c r="C169" s="2"/>
      <c r="D169" s="4"/>
      <c r="E169" s="9" t="str">
        <f>IF(C169="","",IFERROR(INDEX(Order_History!$F:$F,MATCH(C169,Order_History!$C:$C,0)),""))</f>
        <v/>
      </c>
    </row>
    <row r="170" spans="1:5">
      <c r="A170" s="2"/>
      <c r="B170" s="2"/>
      <c r="C170" s="2"/>
      <c r="D170" s="4"/>
      <c r="E170" s="9" t="str">
        <f>IF(C170="","",IFERROR(INDEX(Order_History!$F:$F,MATCH(C170,Order_History!$C:$C,0)),""))</f>
        <v/>
      </c>
    </row>
    <row r="171" spans="1:5">
      <c r="A171" s="2"/>
      <c r="B171" s="2"/>
      <c r="C171" s="2"/>
      <c r="D171" s="4"/>
      <c r="E171" s="9" t="str">
        <f>IF(C171="","",IFERROR(INDEX(Order_History!$F:$F,MATCH(C171,Order_History!$C:$C,0)),""))</f>
        <v/>
      </c>
    </row>
    <row r="172" spans="1:5">
      <c r="A172" s="2"/>
      <c r="B172" s="2"/>
      <c r="C172" s="2"/>
      <c r="D172" s="4"/>
      <c r="E172" s="9" t="str">
        <f>IF(C172="","",IFERROR(INDEX(Order_History!$F:$F,MATCH(C172,Order_History!$C:$C,0)),""))</f>
        <v/>
      </c>
    </row>
    <row r="173" spans="1:5">
      <c r="A173" s="2"/>
      <c r="B173" s="2"/>
      <c r="C173" s="2"/>
      <c r="D173" s="4"/>
      <c r="E173" s="9" t="str">
        <f>IF(C173="","",IFERROR(INDEX(Order_History!$F:$F,MATCH(C173,Order_History!$C:$C,0)),""))</f>
        <v/>
      </c>
    </row>
    <row r="174" spans="1:5">
      <c r="A174" s="2"/>
      <c r="B174" s="2"/>
      <c r="C174" s="2"/>
      <c r="D174" s="4"/>
      <c r="E174" s="9" t="str">
        <f>IF(C174="","",IFERROR(INDEX(Order_History!$F:$F,MATCH(C174,Order_History!$C:$C,0)),""))</f>
        <v/>
      </c>
    </row>
    <row r="175" spans="1:5">
      <c r="A175" s="2"/>
      <c r="B175" s="2"/>
      <c r="C175" s="2"/>
      <c r="D175" s="4"/>
      <c r="E175" s="9" t="str">
        <f>IF(C175="","",IFERROR(INDEX(Order_History!$F:$F,MATCH(C175,Order_History!$C:$C,0)),""))</f>
        <v/>
      </c>
    </row>
    <row r="176" spans="1:5">
      <c r="A176" s="2"/>
      <c r="B176" s="2"/>
      <c r="C176" s="2"/>
      <c r="D176" s="4"/>
      <c r="E176" s="9" t="str">
        <f>IF(C176="","",IFERROR(INDEX(Order_History!$F:$F,MATCH(C176,Order_History!$C:$C,0)),""))</f>
        <v/>
      </c>
    </row>
    <row r="177" spans="1:5">
      <c r="A177" s="2"/>
      <c r="B177" s="2"/>
      <c r="C177" s="2"/>
      <c r="D177" s="4"/>
      <c r="E177" s="9" t="str">
        <f>IF(C177="","",IFERROR(INDEX(Order_History!$F:$F,MATCH(C177,Order_History!$C:$C,0)),""))</f>
        <v/>
      </c>
    </row>
    <row r="178" spans="1:5">
      <c r="A178" s="2"/>
      <c r="B178" s="2"/>
      <c r="C178" s="2"/>
      <c r="D178" s="4"/>
      <c r="E178" s="9" t="str">
        <f>IF(C178="","",IFERROR(INDEX(Order_History!$F:$F,MATCH(C178,Order_History!$C:$C,0)),""))</f>
        <v/>
      </c>
    </row>
    <row r="179" spans="1:5">
      <c r="A179" s="2"/>
      <c r="B179" s="2"/>
      <c r="C179" s="2"/>
      <c r="D179" s="4"/>
      <c r="E179" s="9" t="str">
        <f>IF(C179="","",IFERROR(INDEX(Order_History!$F:$F,MATCH(C179,Order_History!$C:$C,0)),""))</f>
        <v/>
      </c>
    </row>
    <row r="180" spans="1:5">
      <c r="A180" s="2"/>
      <c r="B180" s="2"/>
      <c r="C180" s="2"/>
      <c r="D180" s="4"/>
      <c r="E180" s="9" t="str">
        <f>IF(C180="","",IFERROR(INDEX(Order_History!$F:$F,MATCH(C180,Order_History!$C:$C,0)),""))</f>
        <v/>
      </c>
    </row>
    <row r="181" spans="1:5">
      <c r="A181" s="2"/>
      <c r="B181" s="2"/>
      <c r="C181" s="2"/>
      <c r="D181" s="4"/>
      <c r="E181" s="9" t="str">
        <f>IF(C181="","",IFERROR(INDEX(Order_History!$F:$F,MATCH(C181,Order_History!$C:$C,0)),""))</f>
        <v/>
      </c>
    </row>
    <row r="182" spans="1:5">
      <c r="A182" s="2"/>
      <c r="B182" s="2"/>
      <c r="C182" s="2"/>
      <c r="D182" s="4"/>
      <c r="E182" s="9" t="str">
        <f>IF(C182="","",IFERROR(INDEX(Order_History!$F:$F,MATCH(C182,Order_History!$C:$C,0)),""))</f>
        <v/>
      </c>
    </row>
    <row r="183" spans="1:5">
      <c r="A183" s="2"/>
      <c r="B183" s="2"/>
      <c r="C183" s="2"/>
      <c r="D183" s="4"/>
      <c r="E183" s="9" t="str">
        <f>IF(C183="","",IFERROR(INDEX(Order_History!$F:$F,MATCH(C183,Order_History!$C:$C,0)),""))</f>
        <v/>
      </c>
    </row>
    <row r="184" spans="1:5">
      <c r="A184" s="2"/>
      <c r="B184" s="2"/>
      <c r="C184" s="2"/>
      <c r="D184" s="4"/>
      <c r="E184" s="9" t="str">
        <f>IF(C184="","",IFERROR(INDEX(Order_History!$F:$F,MATCH(C184,Order_History!$C:$C,0)),""))</f>
        <v/>
      </c>
    </row>
    <row r="185" spans="1:5">
      <c r="A185" s="2"/>
      <c r="B185" s="2"/>
      <c r="C185" s="2"/>
      <c r="D185" s="4"/>
      <c r="E185" s="9" t="str">
        <f>IF(C185="","",IFERROR(INDEX(Order_History!$F:$F,MATCH(C185,Order_History!$C:$C,0)),""))</f>
        <v/>
      </c>
    </row>
    <row r="186" spans="1:5">
      <c r="A186" s="2"/>
      <c r="B186" s="2"/>
      <c r="C186" s="2"/>
      <c r="D186" s="4"/>
      <c r="E186" s="9" t="str">
        <f>IF(C186="","",IFERROR(INDEX(Order_History!$F:$F,MATCH(C186,Order_History!$C:$C,0)),""))</f>
        <v/>
      </c>
    </row>
    <row r="187" spans="1:5">
      <c r="A187" s="2"/>
      <c r="B187" s="2"/>
      <c r="C187" s="2"/>
      <c r="D187" s="4"/>
      <c r="E187" s="9" t="str">
        <f>IF(C187="","",IFERROR(INDEX(Order_History!$F:$F,MATCH(C187,Order_History!$C:$C,0)),""))</f>
        <v/>
      </c>
    </row>
    <row r="188" spans="1:5">
      <c r="A188" s="2"/>
      <c r="B188" s="2"/>
      <c r="C188" s="2"/>
      <c r="D188" s="4"/>
      <c r="E188" s="9" t="str">
        <f>IF(C188="","",IFERROR(INDEX(Order_History!$F:$F,MATCH(C188,Order_History!$C:$C,0)),""))</f>
        <v/>
      </c>
    </row>
    <row r="189" spans="1:5">
      <c r="A189" s="2"/>
      <c r="B189" s="2"/>
      <c r="C189" s="2"/>
      <c r="D189" s="4"/>
      <c r="E189" s="9" t="str">
        <f>IF(C189="","",IFERROR(INDEX(Order_History!$F:$F,MATCH(C189,Order_History!$C:$C,0)),""))</f>
        <v/>
      </c>
    </row>
    <row r="190" spans="1:5">
      <c r="A190" s="2"/>
      <c r="B190" s="2"/>
      <c r="C190" s="2"/>
      <c r="D190" s="4"/>
      <c r="E190" s="9" t="str">
        <f>IF(C190="","",IFERROR(INDEX(Order_History!$F:$F,MATCH(C190,Order_History!$C:$C,0)),""))</f>
        <v/>
      </c>
    </row>
    <row r="191" spans="1:5">
      <c r="A191" s="2"/>
      <c r="B191" s="2"/>
      <c r="C191" s="2"/>
      <c r="D191" s="4"/>
      <c r="E191" s="9" t="str">
        <f>IF(C191="","",IFERROR(INDEX(Order_History!$F:$F,MATCH(C191,Order_History!$C:$C,0)),""))</f>
        <v/>
      </c>
    </row>
    <row r="192" spans="1:5">
      <c r="A192" s="2"/>
      <c r="B192" s="2"/>
      <c r="C192" s="2"/>
      <c r="D192" s="4"/>
      <c r="E192" s="9" t="str">
        <f>IF(C192="","",IFERROR(INDEX(Order_History!$F:$F,MATCH(C192,Order_History!$C:$C,0)),""))</f>
        <v/>
      </c>
    </row>
    <row r="193" spans="1:5">
      <c r="A193" s="2"/>
      <c r="B193" s="2"/>
      <c r="C193" s="2"/>
      <c r="D193" s="4"/>
      <c r="E193" s="9" t="str">
        <f>IF(C193="","",IFERROR(INDEX(Order_History!$F:$F,MATCH(C193,Order_History!$C:$C,0)),""))</f>
        <v/>
      </c>
    </row>
    <row r="194" spans="1:5">
      <c r="A194" s="2"/>
      <c r="B194" s="2"/>
      <c r="C194" s="2"/>
      <c r="D194" s="4"/>
      <c r="E194" s="9" t="str">
        <f>IF(C194="","",IFERROR(INDEX(Order_History!$F:$F,MATCH(C194,Order_History!$C:$C,0)),""))</f>
        <v/>
      </c>
    </row>
    <row r="195" spans="1:5">
      <c r="A195" s="2"/>
      <c r="B195" s="2"/>
      <c r="C195" s="2"/>
      <c r="D195" s="4"/>
      <c r="E195" s="9" t="str">
        <f>IF(C195="","",IFERROR(INDEX(Order_History!$F:$F,MATCH(C195,Order_History!$C:$C,0)),""))</f>
        <v/>
      </c>
    </row>
    <row r="196" spans="1:5">
      <c r="A196" s="2"/>
      <c r="B196" s="2"/>
      <c r="C196" s="2"/>
      <c r="D196" s="4"/>
      <c r="E196" s="9" t="str">
        <f>IF(C196="","",IFERROR(INDEX(Order_History!$F:$F,MATCH(C196,Order_History!$C:$C,0)),""))</f>
        <v/>
      </c>
    </row>
    <row r="197" spans="1:5">
      <c r="A197" s="2"/>
      <c r="B197" s="2"/>
      <c r="C197" s="2"/>
      <c r="D197" s="4"/>
      <c r="E197" s="9" t="str">
        <f>IF(C197="","",IFERROR(INDEX(Order_History!$F:$F,MATCH(C197,Order_History!$C:$C,0)),""))</f>
        <v/>
      </c>
    </row>
    <row r="198" spans="1:5">
      <c r="A198" s="2"/>
      <c r="B198" s="2"/>
      <c r="C198" s="2"/>
      <c r="D198" s="4"/>
      <c r="E198" s="9" t="str">
        <f>IF(C198="","",IFERROR(INDEX(Order_History!$F:$F,MATCH(C198,Order_History!$C:$C,0)),""))</f>
        <v/>
      </c>
    </row>
    <row r="199" spans="1:5">
      <c r="A199" s="2"/>
      <c r="B199" s="2"/>
      <c r="C199" s="2"/>
      <c r="D199" s="4"/>
      <c r="E199" s="9" t="str">
        <f>IF(C199="","",IFERROR(INDEX(Order_History!$F:$F,MATCH(C199,Order_History!$C:$C,0)),""))</f>
        <v/>
      </c>
    </row>
    <row r="200" spans="1:5">
      <c r="A200" s="2"/>
      <c r="B200" s="2"/>
      <c r="C200" s="2"/>
      <c r="D200" s="4"/>
      <c r="E200" s="9" t="str">
        <f>IF(C200="","",IFERROR(INDEX(Order_History!$F:$F,MATCH(C200,Order_History!$C:$C,0)),""))</f>
        <v/>
      </c>
    </row>
    <row r="201" spans="1:5">
      <c r="A201" s="2"/>
      <c r="B201" s="2"/>
      <c r="C201" s="2"/>
      <c r="D201" s="4"/>
      <c r="E201" s="9"/>
    </row>
    <row r="202" spans="1:5">
      <c r="A202" s="2"/>
      <c r="B202" s="2"/>
      <c r="C202" s="2"/>
      <c r="D202" s="4"/>
      <c r="E202" s="9"/>
    </row>
    <row r="203" spans="1:5">
      <c r="A203" s="2"/>
      <c r="B203" s="2"/>
      <c r="C203" s="2"/>
      <c r="D203" s="4"/>
      <c r="E203" s="9"/>
    </row>
    <row r="204" spans="1:5">
      <c r="A204" s="2"/>
      <c r="B204" s="2"/>
      <c r="C204" s="2"/>
      <c r="D204" s="4"/>
      <c r="E204" s="9"/>
    </row>
    <row r="205" spans="1:5">
      <c r="A205" s="2"/>
      <c r="B205" s="2"/>
      <c r="C205" s="2"/>
      <c r="D205" s="4"/>
      <c r="E205" s="9"/>
    </row>
    <row r="206" spans="1:5">
      <c r="A206" s="2"/>
      <c r="B206" s="2"/>
      <c r="C206" s="2"/>
      <c r="D206" s="4"/>
      <c r="E206" s="9"/>
    </row>
    <row r="207" spans="1:5">
      <c r="A207" s="2"/>
      <c r="B207" s="2"/>
      <c r="C207" s="2"/>
      <c r="D207" s="4"/>
      <c r="E207" s="9"/>
    </row>
    <row r="208" spans="1:5">
      <c r="A208" s="2"/>
      <c r="B208" s="2"/>
      <c r="C208" s="2"/>
      <c r="D208" s="4"/>
      <c r="E208" s="9"/>
    </row>
    <row r="209" spans="1:5">
      <c r="A209" s="2"/>
      <c r="B209" s="2"/>
      <c r="C209" s="2"/>
      <c r="D209" s="4"/>
      <c r="E209" s="9"/>
    </row>
    <row r="210" spans="1:5">
      <c r="A210" s="2"/>
      <c r="B210" s="2"/>
      <c r="C210" s="2"/>
      <c r="D210" s="4"/>
      <c r="E210" s="9"/>
    </row>
    <row r="211" spans="1:5">
      <c r="A211" s="2"/>
      <c r="B211" s="2"/>
      <c r="C211" s="2"/>
      <c r="D211" s="4"/>
      <c r="E211" s="9"/>
    </row>
    <row r="212" spans="1:5">
      <c r="A212" s="2"/>
      <c r="B212" s="2"/>
      <c r="C212" s="2"/>
      <c r="D212" s="4"/>
      <c r="E212" s="9"/>
    </row>
    <row r="213" spans="1:5">
      <c r="A213" s="2"/>
      <c r="B213" s="2"/>
      <c r="C213" s="2"/>
      <c r="D213" s="4"/>
      <c r="E213" s="9"/>
    </row>
    <row r="214" spans="1:5">
      <c r="A214" s="2"/>
      <c r="B214" s="2"/>
      <c r="C214" s="2"/>
      <c r="D214" s="4"/>
      <c r="E214" s="9"/>
    </row>
    <row r="215" spans="1:5">
      <c r="A215" s="2"/>
      <c r="B215" s="2"/>
      <c r="C215" s="2"/>
      <c r="D215" s="4"/>
      <c r="E215" s="9"/>
    </row>
    <row r="216" spans="1:5">
      <c r="A216" s="2"/>
      <c r="B216" s="2"/>
      <c r="C216" s="2"/>
      <c r="D216" s="4"/>
      <c r="E216" s="9"/>
    </row>
    <row r="217" spans="1:5">
      <c r="A217" s="2"/>
      <c r="B217" s="2"/>
      <c r="C217" s="2"/>
      <c r="D217" s="4"/>
      <c r="E217" s="9"/>
    </row>
    <row r="218" spans="1:5">
      <c r="A218" s="2"/>
      <c r="B218" s="2"/>
      <c r="C218" s="2"/>
      <c r="D218" s="4"/>
      <c r="E218" s="9"/>
    </row>
    <row r="219" spans="1:5">
      <c r="A219" s="2"/>
      <c r="B219" s="2"/>
      <c r="C219" s="2"/>
      <c r="D219" s="4"/>
      <c r="E219" s="9"/>
    </row>
    <row r="220" spans="1:5">
      <c r="A220" s="2"/>
      <c r="B220" s="2"/>
      <c r="C220" s="2"/>
      <c r="D220" s="4"/>
      <c r="E220" s="9"/>
    </row>
    <row r="221" spans="1:5">
      <c r="A221" s="2"/>
      <c r="B221" s="2"/>
      <c r="C221" s="2"/>
      <c r="D221" s="4"/>
      <c r="E221" s="9"/>
    </row>
    <row r="222" spans="1:5">
      <c r="A222" s="2"/>
      <c r="B222" s="2"/>
      <c r="C222" s="2"/>
      <c r="D222" s="4"/>
      <c r="E222" s="9"/>
    </row>
    <row r="223" spans="1:5">
      <c r="A223" s="2"/>
      <c r="B223" s="2"/>
      <c r="C223" s="2"/>
      <c r="D223" s="4"/>
      <c r="E223" s="9"/>
    </row>
    <row r="224" spans="1:5">
      <c r="A224" s="2"/>
      <c r="B224" s="2"/>
      <c r="C224" s="2"/>
      <c r="D224" s="4"/>
      <c r="E224" s="9"/>
    </row>
    <row r="225" spans="1:5">
      <c r="A225" s="2"/>
      <c r="B225" s="2"/>
      <c r="C225" s="2"/>
      <c r="D225" s="4"/>
      <c r="E225" s="9"/>
    </row>
    <row r="226" spans="1:5">
      <c r="A226" s="2"/>
      <c r="B226" s="2"/>
      <c r="C226" s="2"/>
      <c r="D226" s="4"/>
      <c r="E226" s="9"/>
    </row>
    <row r="227" spans="1:5">
      <c r="A227" s="2"/>
      <c r="B227" s="2"/>
      <c r="C227" s="2"/>
      <c r="D227" s="4"/>
      <c r="E227" s="9"/>
    </row>
    <row r="228" spans="1:5">
      <c r="A228" s="2"/>
      <c r="B228" s="2"/>
      <c r="C228" s="2"/>
      <c r="D228" s="4"/>
      <c r="E228" s="9"/>
    </row>
    <row r="229" spans="1:5">
      <c r="A229" s="2"/>
      <c r="B229" s="2"/>
      <c r="C229" s="2"/>
      <c r="D229" s="4"/>
      <c r="E229" s="9"/>
    </row>
    <row r="230" spans="1:5">
      <c r="A230" s="2"/>
      <c r="B230" s="2"/>
      <c r="C230" s="2"/>
      <c r="D230" s="4"/>
      <c r="E230" s="9"/>
    </row>
    <row r="231" spans="1:5">
      <c r="A231" s="2"/>
      <c r="B231" s="2"/>
      <c r="C231" s="2"/>
      <c r="D231" s="4"/>
      <c r="E231" s="9"/>
    </row>
    <row r="232" spans="1:5">
      <c r="A232" s="2"/>
      <c r="B232" s="2"/>
      <c r="C232" s="2"/>
      <c r="D232" s="4"/>
      <c r="E232" s="9"/>
    </row>
    <row r="233" spans="1:5">
      <c r="A233" s="2"/>
      <c r="B233" s="2"/>
      <c r="C233" s="2"/>
      <c r="D233" s="4"/>
      <c r="E233" s="9"/>
    </row>
    <row r="234" spans="1:5">
      <c r="A234" s="2"/>
      <c r="B234" s="2"/>
      <c r="C234" s="2"/>
      <c r="D234" s="4"/>
      <c r="E234" s="9"/>
    </row>
    <row r="235" spans="1:5">
      <c r="A235" s="2"/>
      <c r="B235" s="2"/>
      <c r="C235" s="2"/>
      <c r="D235" s="4"/>
      <c r="E235" s="9"/>
    </row>
    <row r="236" spans="1:5">
      <c r="A236" s="2"/>
      <c r="B236" s="2"/>
      <c r="C236" s="2"/>
      <c r="D236" s="4"/>
      <c r="E236" s="9"/>
    </row>
    <row r="237" spans="1:5">
      <c r="A237" s="2"/>
      <c r="B237" s="2"/>
      <c r="C237" s="2"/>
      <c r="D237" s="4"/>
      <c r="E237" s="9"/>
    </row>
    <row r="238" spans="1:5">
      <c r="A238" s="2"/>
      <c r="B238" s="2"/>
      <c r="C238" s="2"/>
      <c r="D238" s="4"/>
      <c r="E238" s="9"/>
    </row>
    <row r="239" spans="1:5">
      <c r="A239" s="2"/>
      <c r="B239" s="2"/>
      <c r="C239" s="2"/>
      <c r="D239" s="4"/>
      <c r="E239" s="9"/>
    </row>
    <row r="240" spans="1:5">
      <c r="A240" s="2"/>
      <c r="B240" s="2"/>
      <c r="C240" s="2"/>
      <c r="D240" s="4"/>
      <c r="E240" s="9"/>
    </row>
    <row r="241" spans="1:5">
      <c r="A241" s="2"/>
      <c r="B241" s="2"/>
      <c r="C241" s="2"/>
      <c r="D241" s="4"/>
      <c r="E241" s="9"/>
    </row>
    <row r="242" spans="1:5">
      <c r="A242" s="2"/>
      <c r="B242" s="2"/>
      <c r="C242" s="2"/>
      <c r="D242" s="4"/>
      <c r="E242" s="9"/>
    </row>
    <row r="243" spans="1:5">
      <c r="A243" s="2"/>
      <c r="B243" s="2"/>
      <c r="C243" s="2"/>
      <c r="D243" s="4"/>
      <c r="E243" s="9"/>
    </row>
    <row r="244" spans="1:5">
      <c r="A244" s="2"/>
      <c r="B244" s="2"/>
      <c r="C244" s="2"/>
      <c r="D244" s="4"/>
      <c r="E244" s="9"/>
    </row>
    <row r="245" spans="1:5">
      <c r="A245" s="2"/>
      <c r="B245" s="2"/>
      <c r="C245" s="2"/>
      <c r="D245" s="4"/>
      <c r="E245" s="9"/>
    </row>
    <row r="246" spans="1:5">
      <c r="A246" s="2"/>
      <c r="B246" s="2"/>
      <c r="C246" s="2"/>
      <c r="D246" s="4"/>
      <c r="E246" s="9"/>
    </row>
    <row r="247" spans="1:5">
      <c r="A247" s="2"/>
      <c r="B247" s="2"/>
      <c r="C247" s="2"/>
      <c r="D247" s="4"/>
      <c r="E247" s="9"/>
    </row>
    <row r="248" spans="1:5">
      <c r="A248" s="2"/>
      <c r="B248" s="2"/>
      <c r="C248" s="2"/>
      <c r="D248" s="4"/>
      <c r="E248" s="9"/>
    </row>
    <row r="249" spans="1:5">
      <c r="A249" s="2"/>
      <c r="B249" s="2"/>
      <c r="C249" s="2"/>
      <c r="D249" s="4"/>
      <c r="E249" s="9"/>
    </row>
    <row r="250" spans="1:5">
      <c r="A250" s="2"/>
      <c r="B250" s="2"/>
      <c r="C250" s="2"/>
      <c r="D250" s="4"/>
      <c r="E250" s="9"/>
    </row>
    <row r="251" spans="1:5">
      <c r="A251" s="2"/>
      <c r="B251" s="2"/>
      <c r="C251" s="2"/>
      <c r="D251" s="4"/>
      <c r="E251" s="9"/>
    </row>
    <row r="252" spans="1:5">
      <c r="A252" s="2"/>
      <c r="B252" s="2"/>
      <c r="C252" s="2"/>
      <c r="D252" s="4"/>
      <c r="E252" s="9"/>
    </row>
    <row r="253" spans="1:5">
      <c r="A253" s="2"/>
      <c r="B253" s="2"/>
      <c r="C253" s="2"/>
      <c r="D253" s="4"/>
      <c r="E253" s="9"/>
    </row>
    <row r="254" spans="1:5">
      <c r="A254" s="2"/>
      <c r="B254" s="2"/>
      <c r="C254" s="2"/>
      <c r="D254" s="4"/>
      <c r="E254" s="9"/>
    </row>
    <row r="255" spans="1:5">
      <c r="A255" s="2"/>
      <c r="B255" s="2"/>
      <c r="C255" s="2"/>
      <c r="D255" s="4"/>
      <c r="E255" s="9"/>
    </row>
    <row r="256" spans="1:5">
      <c r="A256" s="2"/>
      <c r="B256" s="2"/>
      <c r="C256" s="2"/>
      <c r="D256" s="4"/>
      <c r="E256" s="9"/>
    </row>
    <row r="257" spans="1:5">
      <c r="A257" s="2"/>
      <c r="B257" s="2"/>
      <c r="C257" s="2"/>
      <c r="D257" s="4"/>
      <c r="E257" s="9"/>
    </row>
    <row r="258" spans="1:5">
      <c r="A258" s="2"/>
      <c r="B258" s="2"/>
      <c r="C258" s="2"/>
      <c r="D258" s="4"/>
      <c r="E258" s="9"/>
    </row>
    <row r="259" spans="1:5">
      <c r="A259" s="2"/>
      <c r="B259" s="2"/>
      <c r="C259" s="2"/>
      <c r="D259" s="4"/>
      <c r="E259" s="9"/>
    </row>
    <row r="260" spans="1:5">
      <c r="A260" s="2"/>
      <c r="B260" s="2"/>
      <c r="C260" s="2"/>
      <c r="D260" s="4"/>
      <c r="E260" s="9"/>
    </row>
    <row r="261" spans="1:5">
      <c r="A261" s="2"/>
      <c r="B261" s="2"/>
      <c r="C261" s="2"/>
      <c r="D261" s="4"/>
      <c r="E261" s="9"/>
    </row>
    <row r="262" spans="1:5">
      <c r="A262" s="2"/>
      <c r="B262" s="2"/>
      <c r="C262" s="2"/>
      <c r="D262" s="4"/>
      <c r="E262" s="9"/>
    </row>
    <row r="263" spans="1:5">
      <c r="A263" s="2"/>
      <c r="B263" s="2"/>
      <c r="C263" s="2"/>
      <c r="D263" s="4"/>
      <c r="E263" s="9"/>
    </row>
    <row r="264" spans="1:5">
      <c r="A264" s="2"/>
      <c r="B264" s="2"/>
      <c r="C264" s="2"/>
      <c r="D264" s="4"/>
      <c r="E264" s="9"/>
    </row>
    <row r="265" spans="1:5">
      <c r="A265" s="2"/>
      <c r="B265" s="2"/>
      <c r="C265" s="2"/>
      <c r="D265" s="4"/>
      <c r="E265" s="9"/>
    </row>
    <row r="266" spans="1:5">
      <c r="A266" s="2"/>
      <c r="B266" s="2"/>
      <c r="C266" s="2"/>
      <c r="D266" s="4"/>
      <c r="E266" s="9"/>
    </row>
    <row r="267" spans="1:5">
      <c r="A267" s="2"/>
      <c r="B267" s="2"/>
      <c r="C267" s="2"/>
      <c r="D267" s="4"/>
      <c r="E267" s="9"/>
    </row>
    <row r="268" spans="1:5">
      <c r="A268" s="2"/>
      <c r="B268" s="2"/>
      <c r="C268" s="2"/>
      <c r="D268" s="4"/>
      <c r="E268" s="9"/>
    </row>
    <row r="269" spans="1:5">
      <c r="A269" s="2"/>
      <c r="B269" s="2"/>
      <c r="C269" s="2"/>
      <c r="D269" s="4"/>
      <c r="E269" s="9"/>
    </row>
    <row r="270" spans="1:5">
      <c r="A270" s="2"/>
      <c r="B270" s="2"/>
      <c r="C270" s="2"/>
      <c r="D270" s="4"/>
      <c r="E270" s="9"/>
    </row>
    <row r="271" spans="1:5">
      <c r="A271" s="2"/>
      <c r="B271" s="2"/>
      <c r="C271" s="2"/>
      <c r="D271" s="4"/>
      <c r="E271" s="9"/>
    </row>
    <row r="272" spans="1:5">
      <c r="A272" s="2"/>
      <c r="B272" s="2"/>
      <c r="C272" s="2"/>
      <c r="D272" s="4"/>
      <c r="E272" s="9"/>
    </row>
    <row r="273" spans="1:5">
      <c r="A273" s="2"/>
      <c r="B273" s="2"/>
      <c r="C273" s="2"/>
      <c r="D273" s="4"/>
      <c r="E273" s="9"/>
    </row>
    <row r="274" spans="1:5">
      <c r="A274" s="2"/>
      <c r="B274" s="2"/>
      <c r="C274" s="2"/>
      <c r="D274" s="4"/>
      <c r="E274" s="9"/>
    </row>
    <row r="275" spans="1:5">
      <c r="A275" s="2"/>
      <c r="B275" s="2"/>
      <c r="C275" s="2"/>
      <c r="D275" s="4"/>
      <c r="E275" s="9"/>
    </row>
    <row r="276" spans="1:5">
      <c r="A276" s="2"/>
      <c r="B276" s="2"/>
      <c r="C276" s="2"/>
      <c r="D276" s="4"/>
      <c r="E276" s="9"/>
    </row>
    <row r="277" spans="1:5">
      <c r="A277" s="2"/>
      <c r="B277" s="2"/>
      <c r="C277" s="2"/>
      <c r="D277" s="4"/>
      <c r="E277" s="9"/>
    </row>
    <row r="278" spans="1:5">
      <c r="A278" s="2"/>
      <c r="B278" s="2"/>
      <c r="C278" s="2"/>
      <c r="D278" s="4"/>
      <c r="E278" s="9"/>
    </row>
    <row r="279" spans="1:5">
      <c r="A279" s="2"/>
      <c r="B279" s="2"/>
      <c r="C279" s="2"/>
      <c r="D279" s="4"/>
      <c r="E279" s="9"/>
    </row>
    <row r="280" spans="1:5">
      <c r="A280" s="2"/>
      <c r="B280" s="2"/>
      <c r="C280" s="2"/>
      <c r="D280" s="4"/>
      <c r="E280" s="9"/>
    </row>
    <row r="281" spans="1:5">
      <c r="A281" s="2"/>
      <c r="B281" s="2"/>
      <c r="C281" s="2"/>
      <c r="D281" s="4"/>
      <c r="E281" s="9"/>
    </row>
    <row r="282" spans="1:5">
      <c r="A282" s="2"/>
      <c r="B282" s="2"/>
      <c r="C282" s="2"/>
      <c r="D282" s="4"/>
      <c r="E282" s="9"/>
    </row>
    <row r="283" spans="1:5">
      <c r="A283" s="2"/>
      <c r="B283" s="2"/>
      <c r="C283" s="2"/>
      <c r="D283" s="4"/>
      <c r="E283" s="9"/>
    </row>
    <row r="284" spans="1:5">
      <c r="A284" s="2"/>
      <c r="B284" s="2"/>
      <c r="C284" s="2"/>
      <c r="D284" s="4"/>
      <c r="E284" s="9"/>
    </row>
    <row r="285" spans="1:5">
      <c r="A285" s="2"/>
      <c r="B285" s="2"/>
      <c r="C285" s="2"/>
      <c r="D285" s="4"/>
      <c r="E285" s="9"/>
    </row>
    <row r="286" spans="1:5">
      <c r="A286" s="2"/>
      <c r="B286" s="2"/>
      <c r="C286" s="2"/>
      <c r="D286" s="4"/>
      <c r="E286" s="9"/>
    </row>
    <row r="287" spans="1:5">
      <c r="A287" s="2"/>
      <c r="B287" s="2"/>
      <c r="C287" s="2"/>
      <c r="D287" s="4"/>
      <c r="E287" s="9"/>
    </row>
    <row r="288" spans="1:5">
      <c r="A288" s="2"/>
      <c r="B288" s="2"/>
      <c r="C288" s="2"/>
      <c r="D288" s="4"/>
      <c r="E288" s="9"/>
    </row>
    <row r="289" spans="1:5">
      <c r="A289" s="2"/>
      <c r="B289" s="2"/>
      <c r="C289" s="2"/>
      <c r="D289" s="4"/>
      <c r="E289" s="9"/>
    </row>
    <row r="290" spans="1:5">
      <c r="A290" s="2"/>
      <c r="B290" s="2"/>
      <c r="C290" s="2"/>
      <c r="D290" s="4"/>
      <c r="E290" s="9"/>
    </row>
    <row r="291" spans="1:5">
      <c r="A291" s="2"/>
      <c r="B291" s="2"/>
      <c r="C291" s="2"/>
      <c r="D291" s="4"/>
      <c r="E291" s="9"/>
    </row>
    <row r="292" spans="1:5">
      <c r="A292" s="2"/>
      <c r="B292" s="2"/>
      <c r="C292" s="2"/>
      <c r="D292" s="4"/>
      <c r="E292" s="9"/>
    </row>
    <row r="293" spans="1:5">
      <c r="A293" s="2"/>
      <c r="B293" s="2"/>
      <c r="C293" s="2"/>
      <c r="D293" s="4"/>
      <c r="E293" s="9"/>
    </row>
    <row r="294" spans="1:5">
      <c r="A294" s="2"/>
      <c r="B294" s="2"/>
      <c r="C294" s="2"/>
      <c r="D294" s="4"/>
      <c r="E294" s="9"/>
    </row>
    <row r="295" spans="1:5">
      <c r="A295" s="2"/>
      <c r="B295" s="2"/>
      <c r="C295" s="2"/>
      <c r="D295" s="4"/>
      <c r="E295" s="9"/>
    </row>
    <row r="296" spans="1:5">
      <c r="A296" s="2"/>
      <c r="B296" s="2"/>
      <c r="C296" s="2"/>
      <c r="D296" s="4"/>
      <c r="E296" s="9"/>
    </row>
    <row r="297" spans="1:5">
      <c r="A297" s="2"/>
      <c r="B297" s="2"/>
      <c r="C297" s="2"/>
      <c r="D297" s="4"/>
      <c r="E297" s="9"/>
    </row>
    <row r="298" spans="1:5">
      <c r="A298" s="2"/>
      <c r="B298" s="2"/>
      <c r="C298" s="2"/>
      <c r="D298" s="4"/>
      <c r="E298" s="9"/>
    </row>
    <row r="299" spans="1:5">
      <c r="A299" s="2"/>
      <c r="B299" s="2"/>
      <c r="C299" s="2"/>
      <c r="D299" s="4"/>
      <c r="E299" s="9"/>
    </row>
    <row r="300" spans="1:5">
      <c r="A300" s="2"/>
      <c r="B300" s="2"/>
      <c r="C300" s="2"/>
      <c r="D300" s="4"/>
      <c r="E300" s="9"/>
    </row>
    <row r="301" spans="1:5">
      <c r="A301" s="2"/>
      <c r="B301" s="2"/>
      <c r="C301" s="2"/>
      <c r="D301" s="4"/>
      <c r="E301" s="9"/>
    </row>
    <row r="302" spans="1:5">
      <c r="A302" s="2"/>
      <c r="B302" s="2"/>
      <c r="C302" s="2"/>
      <c r="D302" s="4"/>
      <c r="E302" s="9"/>
    </row>
    <row r="303" spans="1:5">
      <c r="A303" s="2"/>
      <c r="B303" s="2"/>
      <c r="C303" s="2"/>
      <c r="D303" s="4"/>
      <c r="E303" s="9"/>
    </row>
    <row r="304" spans="1:5">
      <c r="A304" s="2"/>
      <c r="B304" s="2"/>
      <c r="C304" s="2"/>
      <c r="D304" s="4"/>
      <c r="E304" s="9"/>
    </row>
    <row r="305" spans="1:5">
      <c r="A305" s="2"/>
      <c r="B305" s="2"/>
      <c r="C305" s="2"/>
      <c r="D305" s="4"/>
      <c r="E305" s="9"/>
    </row>
    <row r="306" spans="1:5">
      <c r="A306" s="2"/>
      <c r="B306" s="2"/>
      <c r="C306" s="2"/>
      <c r="D306" s="4"/>
      <c r="E306" s="9"/>
    </row>
    <row r="307" spans="1:5">
      <c r="A307" s="2"/>
      <c r="B307" s="2"/>
      <c r="C307" s="2"/>
      <c r="D307" s="4"/>
      <c r="E307" s="9"/>
    </row>
    <row r="308" spans="1:5">
      <c r="A308" s="2"/>
      <c r="B308" s="2"/>
      <c r="C308" s="2"/>
      <c r="D308" s="4"/>
      <c r="E308" s="9"/>
    </row>
    <row r="309" spans="1:5">
      <c r="A309" s="2"/>
      <c r="B309" s="2"/>
      <c r="C309" s="2"/>
      <c r="D309" s="4"/>
      <c r="E309" s="9"/>
    </row>
    <row r="310" spans="1:5">
      <c r="A310" s="2"/>
      <c r="B310" s="2"/>
      <c r="C310" s="2"/>
      <c r="D310" s="4"/>
      <c r="E310" s="9"/>
    </row>
    <row r="311" spans="1:5">
      <c r="A311" s="2"/>
      <c r="B311" s="2"/>
      <c r="C311" s="2"/>
      <c r="D311" s="4"/>
      <c r="E311" s="9"/>
    </row>
    <row r="312" spans="1:5">
      <c r="A312" s="2"/>
      <c r="B312" s="2"/>
      <c r="C312" s="2"/>
      <c r="D312" s="4"/>
      <c r="E312" s="9"/>
    </row>
    <row r="313" spans="1:5">
      <c r="A313" s="2"/>
      <c r="B313" s="2"/>
      <c r="C313" s="2"/>
      <c r="D313" s="4"/>
      <c r="E313" s="9"/>
    </row>
    <row r="314" spans="1:5">
      <c r="A314" s="2"/>
      <c r="B314" s="2"/>
      <c r="C314" s="2"/>
      <c r="D314" s="4"/>
      <c r="E314" s="9"/>
    </row>
    <row r="315" spans="1:5">
      <c r="A315" s="2"/>
      <c r="B315" s="2"/>
      <c r="C315" s="2"/>
      <c r="D315" s="4"/>
      <c r="E315" s="9"/>
    </row>
    <row r="316" spans="1:5">
      <c r="A316" s="2"/>
      <c r="B316" s="2"/>
      <c r="C316" s="2"/>
      <c r="D316" s="4"/>
      <c r="E316" s="9"/>
    </row>
    <row r="317" spans="1:5">
      <c r="A317" s="2"/>
      <c r="B317" s="2"/>
      <c r="C317" s="2"/>
      <c r="D317" s="4"/>
      <c r="E317" s="9"/>
    </row>
    <row r="318" spans="1:5">
      <c r="A318" s="2"/>
      <c r="B318" s="2"/>
      <c r="C318" s="2"/>
      <c r="D318" s="4"/>
      <c r="E318" s="9"/>
    </row>
    <row r="319" spans="1:5">
      <c r="A319" s="2"/>
      <c r="B319" s="2"/>
      <c r="C319" s="2"/>
      <c r="D319" s="4"/>
      <c r="E319" s="9"/>
    </row>
    <row r="320" spans="1:5">
      <c r="A320" s="2"/>
      <c r="B320" s="2"/>
      <c r="C320" s="2"/>
      <c r="D320" s="4"/>
      <c r="E320" s="9"/>
    </row>
    <row r="321" spans="1:5">
      <c r="A321" s="2"/>
      <c r="B321" s="2"/>
      <c r="C321" s="2"/>
      <c r="D321" s="4"/>
      <c r="E321" s="9"/>
    </row>
    <row r="322" spans="1:5">
      <c r="A322" s="2"/>
      <c r="B322" s="2"/>
      <c r="C322" s="2"/>
      <c r="D322" s="4"/>
      <c r="E322" s="9"/>
    </row>
    <row r="323" spans="1:5">
      <c r="A323" s="2"/>
      <c r="B323" s="2"/>
      <c r="C323" s="2"/>
      <c r="D323" s="4"/>
      <c r="E323" s="9"/>
    </row>
    <row r="324" spans="1:5">
      <c r="A324" s="2"/>
      <c r="B324" s="2"/>
      <c r="C324" s="2"/>
      <c r="D324" s="4"/>
      <c r="E324" s="9"/>
    </row>
    <row r="325" spans="1:5">
      <c r="A325" s="2"/>
      <c r="B325" s="2"/>
      <c r="C325" s="2"/>
      <c r="D325" s="4"/>
      <c r="E325" s="9"/>
    </row>
    <row r="326" spans="1:5">
      <c r="A326" s="2"/>
      <c r="B326" s="2"/>
      <c r="C326" s="2"/>
      <c r="D326" s="4"/>
      <c r="E326" s="9"/>
    </row>
    <row r="327" spans="1:5">
      <c r="A327" s="2"/>
      <c r="B327" s="2"/>
      <c r="C327" s="2"/>
      <c r="D327" s="4"/>
      <c r="E327" s="9"/>
    </row>
    <row r="328" spans="1:5">
      <c r="A328" s="2"/>
      <c r="B328" s="2"/>
      <c r="C328" s="2"/>
      <c r="D328" s="4"/>
      <c r="E328" s="9"/>
    </row>
    <row r="329" spans="1:5">
      <c r="A329" s="2"/>
      <c r="B329" s="2"/>
      <c r="C329" s="2"/>
      <c r="D329" s="4"/>
      <c r="E329" s="9"/>
    </row>
    <row r="330" spans="1:5">
      <c r="A330" s="2"/>
      <c r="B330" s="2"/>
      <c r="C330" s="2"/>
      <c r="D330" s="4"/>
      <c r="E330" s="9"/>
    </row>
    <row r="331" spans="1:5">
      <c r="A331" s="2"/>
      <c r="B331" s="2"/>
      <c r="C331" s="2"/>
      <c r="D331" s="4"/>
      <c r="E331" s="9"/>
    </row>
    <row r="332" spans="1:5">
      <c r="A332" s="2"/>
      <c r="B332" s="2"/>
      <c r="C332" s="2"/>
      <c r="D332" s="4"/>
      <c r="E332" s="9"/>
    </row>
    <row r="333" spans="1:5">
      <c r="A333" s="2"/>
      <c r="B333" s="2"/>
      <c r="C333" s="2"/>
      <c r="D333" s="4"/>
      <c r="E333" s="9"/>
    </row>
    <row r="334" spans="1:5">
      <c r="A334" s="2"/>
      <c r="B334" s="2"/>
      <c r="C334" s="2"/>
      <c r="D334" s="4"/>
      <c r="E334" s="9"/>
    </row>
    <row r="335" spans="1:5">
      <c r="A335" s="2"/>
      <c r="B335" s="2"/>
      <c r="C335" s="2"/>
      <c r="D335" s="4"/>
      <c r="E335" s="9"/>
    </row>
    <row r="336" spans="1:5">
      <c r="A336" s="2"/>
      <c r="B336" s="2"/>
      <c r="C336" s="2"/>
      <c r="D336" s="4"/>
      <c r="E336" s="9"/>
    </row>
    <row r="337" spans="1:5">
      <c r="A337" s="2"/>
      <c r="B337" s="2"/>
      <c r="C337" s="2"/>
      <c r="D337" s="4"/>
      <c r="E337" s="9"/>
    </row>
    <row r="338" spans="1:5">
      <c r="A338" s="2"/>
      <c r="B338" s="2"/>
      <c r="C338" s="2"/>
      <c r="D338" s="4"/>
      <c r="E338" s="9"/>
    </row>
    <row r="339" spans="1:5">
      <c r="A339" s="2"/>
      <c r="B339" s="2"/>
      <c r="C339" s="2"/>
      <c r="D339" s="4"/>
      <c r="E339" s="9"/>
    </row>
    <row r="340" spans="1:5">
      <c r="A340" s="2"/>
      <c r="B340" s="2"/>
      <c r="C340" s="2"/>
      <c r="D340" s="4"/>
      <c r="E340" s="9"/>
    </row>
    <row r="341" spans="1:5">
      <c r="A341" s="2"/>
      <c r="B341" s="2"/>
      <c r="C341" s="2"/>
      <c r="D341" s="4"/>
      <c r="E341" s="9"/>
    </row>
    <row r="342" spans="1:5">
      <c r="A342" s="2"/>
      <c r="B342" s="2"/>
      <c r="C342" s="2"/>
      <c r="D342" s="4"/>
      <c r="E342" s="9"/>
    </row>
    <row r="343" spans="1:5">
      <c r="A343" s="2"/>
      <c r="B343" s="2"/>
      <c r="C343" s="2"/>
      <c r="D343" s="4"/>
      <c r="E343" s="9"/>
    </row>
    <row r="344" spans="1:5">
      <c r="A344" s="2"/>
      <c r="B344" s="2"/>
      <c r="C344" s="2"/>
      <c r="D344" s="4"/>
      <c r="E344" s="9"/>
    </row>
    <row r="345" spans="1:5">
      <c r="A345" s="2"/>
      <c r="B345" s="2"/>
      <c r="C345" s="2"/>
      <c r="D345" s="4"/>
      <c r="E345" s="9"/>
    </row>
    <row r="346" spans="1:5">
      <c r="A346" s="2"/>
      <c r="B346" s="2"/>
      <c r="C346" s="2"/>
      <c r="D346" s="4"/>
      <c r="E346" s="9"/>
    </row>
    <row r="347" spans="1:5">
      <c r="A347" s="2"/>
      <c r="B347" s="2"/>
      <c r="C347" s="2"/>
      <c r="D347" s="4"/>
      <c r="E347" s="9"/>
    </row>
    <row r="348" spans="1:5">
      <c r="A348" s="2"/>
      <c r="B348" s="2"/>
      <c r="C348" s="2"/>
      <c r="D348" s="4"/>
      <c r="E348" s="9"/>
    </row>
    <row r="349" spans="1:5">
      <c r="A349" s="2"/>
      <c r="B349" s="2"/>
      <c r="C349" s="2"/>
      <c r="D349" s="4"/>
      <c r="E349" s="9"/>
    </row>
    <row r="350" spans="1:5">
      <c r="A350" s="2"/>
      <c r="B350" s="2"/>
      <c r="C350" s="2"/>
      <c r="D350" s="4"/>
      <c r="E350" s="9"/>
    </row>
    <row r="351" spans="1:5">
      <c r="A351" s="2"/>
      <c r="B351" s="2"/>
      <c r="C351" s="2"/>
      <c r="D351" s="4"/>
      <c r="E351" s="9"/>
    </row>
    <row r="352" spans="1:5">
      <c r="A352" s="2"/>
      <c r="B352" s="2"/>
      <c r="C352" s="2"/>
      <c r="D352" s="4"/>
      <c r="E352" s="9"/>
    </row>
    <row r="353" spans="1:5">
      <c r="A353" s="2"/>
      <c r="B353" s="2"/>
      <c r="C353" s="2"/>
      <c r="D353" s="4"/>
      <c r="E353" s="9"/>
    </row>
    <row r="354" spans="1:5">
      <c r="A354" s="2"/>
      <c r="B354" s="2"/>
      <c r="C354" s="2"/>
      <c r="D354" s="4"/>
      <c r="E354" s="9"/>
    </row>
    <row r="355" spans="1:5">
      <c r="A355" s="2"/>
      <c r="B355" s="2"/>
      <c r="C355" s="2"/>
      <c r="D355" s="4"/>
      <c r="E355" s="9"/>
    </row>
    <row r="356" spans="1:5">
      <c r="A356" s="2"/>
      <c r="B356" s="2"/>
      <c r="C356" s="2"/>
      <c r="D356" s="4"/>
      <c r="E356" s="9"/>
    </row>
    <row r="357" spans="1:5">
      <c r="A357" s="2"/>
      <c r="B357" s="2"/>
      <c r="C357" s="2"/>
      <c r="D357" s="4"/>
      <c r="E357" s="9"/>
    </row>
    <row r="358" spans="1:5">
      <c r="A358" s="2"/>
      <c r="B358" s="2"/>
      <c r="C358" s="2"/>
      <c r="D358" s="4"/>
      <c r="E358" s="9"/>
    </row>
    <row r="359" spans="1:5">
      <c r="A359" s="2"/>
      <c r="B359" s="2"/>
      <c r="C359" s="2"/>
      <c r="D359" s="4"/>
      <c r="E359" s="9"/>
    </row>
    <row r="360" spans="1:5">
      <c r="A360" s="2"/>
      <c r="B360" s="2"/>
      <c r="C360" s="2"/>
      <c r="D360" s="4"/>
      <c r="E360" s="9"/>
    </row>
    <row r="361" spans="1:5">
      <c r="A361" s="2"/>
      <c r="B361" s="2"/>
      <c r="C361" s="2"/>
      <c r="D361" s="4"/>
      <c r="E361" s="9"/>
    </row>
    <row r="362" spans="1:5">
      <c r="A362" s="2"/>
      <c r="B362" s="2"/>
      <c r="C362" s="2"/>
      <c r="D362" s="4"/>
      <c r="E362" s="9"/>
    </row>
    <row r="363" spans="1:5">
      <c r="A363" s="2"/>
      <c r="B363" s="2"/>
      <c r="C363" s="2"/>
      <c r="D363" s="4"/>
      <c r="E363" s="9"/>
    </row>
    <row r="364" spans="1:5">
      <c r="A364" s="2"/>
      <c r="B364" s="2"/>
      <c r="C364" s="2"/>
      <c r="D364" s="4"/>
      <c r="E364" s="9"/>
    </row>
    <row r="365" spans="1:5">
      <c r="A365" s="2"/>
      <c r="B365" s="2"/>
      <c r="C365" s="2"/>
      <c r="D365" s="4"/>
      <c r="E365" s="9"/>
    </row>
    <row r="366" spans="1:5">
      <c r="A366" s="2"/>
      <c r="B366" s="2"/>
      <c r="C366" s="2"/>
      <c r="D366" s="4"/>
      <c r="E366" s="9"/>
    </row>
    <row r="367" spans="1:5">
      <c r="A367" s="2"/>
      <c r="B367" s="2"/>
      <c r="C367" s="2"/>
      <c r="D367" s="4"/>
      <c r="E367" s="9"/>
    </row>
    <row r="368" spans="1:5">
      <c r="A368" s="2"/>
      <c r="B368" s="2"/>
      <c r="C368" s="2"/>
      <c r="D368" s="4"/>
      <c r="E368" s="9"/>
    </row>
    <row r="369" spans="1:5">
      <c r="A369" s="2"/>
      <c r="B369" s="2"/>
      <c r="C369" s="2"/>
      <c r="D369" s="4"/>
      <c r="E369" s="9"/>
    </row>
    <row r="370" spans="1:5">
      <c r="A370" s="2"/>
      <c r="B370" s="2"/>
      <c r="C370" s="2"/>
      <c r="D370" s="4"/>
      <c r="E370" s="9"/>
    </row>
    <row r="371" spans="1:5">
      <c r="A371" s="2"/>
      <c r="B371" s="2"/>
      <c r="C371" s="2"/>
      <c r="D371" s="4"/>
      <c r="E371" s="9"/>
    </row>
    <row r="372" spans="1:5">
      <c r="A372" s="2"/>
      <c r="B372" s="2"/>
      <c r="C372" s="2"/>
      <c r="D372" s="4"/>
      <c r="E372" s="9"/>
    </row>
    <row r="373" spans="1:5">
      <c r="A373" s="2"/>
      <c r="B373" s="2"/>
      <c r="C373" s="2"/>
      <c r="D373" s="4"/>
      <c r="E373" s="9"/>
    </row>
    <row r="374" spans="1:5">
      <c r="A374" s="2"/>
      <c r="B374" s="2"/>
      <c r="C374" s="2"/>
      <c r="D374" s="4"/>
      <c r="E374" s="9"/>
    </row>
    <row r="375" spans="1:5">
      <c r="A375" s="2"/>
      <c r="B375" s="2"/>
      <c r="C375" s="2"/>
      <c r="D375" s="4"/>
      <c r="E375" s="9"/>
    </row>
    <row r="376" spans="1:5">
      <c r="A376" s="2"/>
      <c r="B376" s="2"/>
      <c r="C376" s="2"/>
      <c r="D376" s="4"/>
      <c r="E376" s="9"/>
    </row>
    <row r="377" spans="1:5">
      <c r="A377" s="2"/>
      <c r="B377" s="2"/>
      <c r="C377" s="2"/>
      <c r="D377" s="4"/>
      <c r="E377" s="9"/>
    </row>
    <row r="378" spans="1:5">
      <c r="A378" s="2"/>
      <c r="B378" s="2"/>
      <c r="C378" s="2"/>
      <c r="D378" s="4"/>
      <c r="E378" s="9"/>
    </row>
    <row r="379" spans="1:5">
      <c r="A379" s="2"/>
      <c r="B379" s="2"/>
      <c r="C379" s="2"/>
      <c r="D379" s="4"/>
      <c r="E379" s="9"/>
    </row>
    <row r="380" spans="1:5">
      <c r="A380" s="2"/>
      <c r="B380" s="2"/>
      <c r="C380" s="2"/>
      <c r="D380" s="4"/>
      <c r="E380" s="9"/>
    </row>
    <row r="381" spans="1:5">
      <c r="A381" s="2"/>
      <c r="B381" s="2"/>
      <c r="C381" s="2"/>
      <c r="D381" s="4"/>
      <c r="E381" s="9"/>
    </row>
    <row r="382" spans="1:5">
      <c r="A382" s="2"/>
      <c r="B382" s="2"/>
      <c r="C382" s="2"/>
      <c r="D382" s="4"/>
      <c r="E382" s="9"/>
    </row>
    <row r="383" spans="1:5">
      <c r="A383" s="2"/>
      <c r="B383" s="2"/>
      <c r="C383" s="2"/>
      <c r="D383" s="4"/>
      <c r="E383" s="9"/>
    </row>
    <row r="384" spans="1:5">
      <c r="A384" s="2"/>
      <c r="B384" s="2"/>
      <c r="C384" s="2"/>
      <c r="D384" s="4"/>
      <c r="E384" s="9"/>
    </row>
    <row r="385" spans="1:5">
      <c r="A385" s="2"/>
      <c r="B385" s="2"/>
      <c r="C385" s="2"/>
      <c r="D385" s="4"/>
      <c r="E385" s="9"/>
    </row>
    <row r="386" spans="1:5">
      <c r="A386" s="2"/>
      <c r="B386" s="2"/>
      <c r="C386" s="2"/>
      <c r="D386" s="4"/>
      <c r="E386" s="9"/>
    </row>
    <row r="387" spans="1:5">
      <c r="A387" s="2"/>
      <c r="B387" s="2"/>
      <c r="C387" s="2"/>
      <c r="D387" s="4"/>
      <c r="E387" s="9"/>
    </row>
    <row r="388" spans="1:5">
      <c r="A388" s="2"/>
      <c r="B388" s="2"/>
      <c r="C388" s="2"/>
      <c r="D388" s="4"/>
      <c r="E388" s="9"/>
    </row>
    <row r="389" spans="1:5">
      <c r="A389" s="2"/>
      <c r="B389" s="2"/>
      <c r="C389" s="2"/>
      <c r="D389" s="4"/>
      <c r="E389" s="9"/>
    </row>
    <row r="390" spans="1:5">
      <c r="A390" s="2"/>
      <c r="B390" s="2"/>
      <c r="C390" s="2"/>
      <c r="D390" s="4"/>
      <c r="E390" s="9"/>
    </row>
    <row r="391" spans="1:5">
      <c r="A391" s="2"/>
      <c r="B391" s="2"/>
      <c r="C391" s="2"/>
      <c r="D391" s="4"/>
      <c r="E391" s="9"/>
    </row>
    <row r="392" spans="1:5">
      <c r="A392" s="2"/>
      <c r="B392" s="2"/>
      <c r="C392" s="2"/>
      <c r="D392" s="4"/>
      <c r="E392" s="9"/>
    </row>
    <row r="393" spans="1:5">
      <c r="A393" s="2"/>
      <c r="B393" s="2"/>
      <c r="C393" s="2"/>
      <c r="D393" s="4"/>
      <c r="E393" s="9"/>
    </row>
    <row r="394" spans="1:5">
      <c r="A394" s="2"/>
      <c r="B394" s="2"/>
      <c r="C394" s="2"/>
      <c r="D394" s="4"/>
      <c r="E394" s="9"/>
    </row>
    <row r="395" spans="1:5">
      <c r="A395" s="2"/>
      <c r="B395" s="2"/>
      <c r="C395" s="2"/>
      <c r="D395" s="4"/>
      <c r="E395" s="9"/>
    </row>
    <row r="396" spans="1:5">
      <c r="A396" s="2"/>
      <c r="B396" s="2"/>
      <c r="C396" s="2"/>
      <c r="D396" s="4"/>
      <c r="E396" s="9"/>
    </row>
    <row r="397" spans="1:5">
      <c r="A397" s="2"/>
      <c r="B397" s="2"/>
      <c r="C397" s="2"/>
      <c r="D397" s="4"/>
      <c r="E397" s="9"/>
    </row>
    <row r="398" spans="1:5">
      <c r="A398" s="2"/>
      <c r="B398" s="2"/>
      <c r="C398" s="2"/>
      <c r="D398" s="4"/>
      <c r="E398" s="9"/>
    </row>
    <row r="399" spans="1:5">
      <c r="A399" s="2"/>
      <c r="B399" s="2"/>
      <c r="C399" s="2"/>
      <c r="D399" s="4"/>
      <c r="E399" s="9"/>
    </row>
    <row r="400" spans="1:5">
      <c r="A400" s="2"/>
      <c r="B400" s="2"/>
      <c r="C400" s="2"/>
      <c r="D400" s="4"/>
      <c r="E400" s="9"/>
    </row>
    <row r="401" spans="1:5">
      <c r="A401" s="2"/>
      <c r="B401" s="2"/>
      <c r="C401" s="2"/>
      <c r="D401" s="4"/>
      <c r="E401" s="9"/>
    </row>
    <row r="402" spans="1:5">
      <c r="A402" s="2"/>
      <c r="B402" s="2"/>
      <c r="C402" s="2"/>
      <c r="D402" s="4"/>
      <c r="E402" s="9"/>
    </row>
    <row r="403" spans="1:5">
      <c r="A403" s="2"/>
      <c r="B403" s="2"/>
      <c r="C403" s="2"/>
      <c r="D403" s="4"/>
      <c r="E403" s="9"/>
    </row>
    <row r="404" spans="1:5">
      <c r="A404" s="2"/>
      <c r="B404" s="2"/>
      <c r="C404" s="2"/>
      <c r="D404" s="4"/>
      <c r="E404" s="9"/>
    </row>
    <row r="405" spans="1:5">
      <c r="A405" s="2"/>
      <c r="B405" s="2"/>
      <c r="C405" s="2"/>
      <c r="D405" s="4"/>
      <c r="E405" s="9"/>
    </row>
    <row r="406" spans="1:5">
      <c r="A406" s="2"/>
      <c r="B406" s="2"/>
      <c r="C406" s="2"/>
      <c r="D406" s="4"/>
      <c r="E406" s="9"/>
    </row>
    <row r="407" spans="1:5">
      <c r="A407" s="2"/>
      <c r="B407" s="2"/>
      <c r="C407" s="2"/>
      <c r="D407" s="4"/>
      <c r="E407" s="9"/>
    </row>
    <row r="408" spans="1:5">
      <c r="A408" s="2"/>
      <c r="B408" s="2"/>
      <c r="C408" s="2"/>
      <c r="D408" s="4"/>
      <c r="E408" s="9"/>
    </row>
    <row r="409" spans="1:5">
      <c r="A409" s="2"/>
      <c r="B409" s="2"/>
      <c r="C409" s="2"/>
      <c r="D409" s="4"/>
      <c r="E409" s="9"/>
    </row>
    <row r="410" spans="1:5">
      <c r="A410" s="2"/>
      <c r="B410" s="2"/>
      <c r="C410" s="2"/>
      <c r="D410" s="4"/>
      <c r="E410" s="9"/>
    </row>
    <row r="411" spans="1:5">
      <c r="A411" s="2"/>
      <c r="B411" s="2"/>
      <c r="C411" s="2"/>
      <c r="D411" s="4"/>
      <c r="E411" s="9"/>
    </row>
    <row r="412" spans="1:5">
      <c r="A412" s="2"/>
      <c r="B412" s="2"/>
      <c r="C412" s="2"/>
      <c r="D412" s="4"/>
      <c r="E412" s="9"/>
    </row>
    <row r="413" spans="1:5">
      <c r="A413" s="2"/>
      <c r="B413" s="2"/>
      <c r="C413" s="2"/>
      <c r="D413" s="4"/>
      <c r="E413" s="9"/>
    </row>
    <row r="414" spans="1:5">
      <c r="A414" s="2"/>
      <c r="B414" s="2"/>
      <c r="C414" s="2"/>
      <c r="D414" s="4"/>
      <c r="E414" s="9"/>
    </row>
    <row r="415" spans="1:5">
      <c r="A415" s="2"/>
      <c r="B415" s="2"/>
      <c r="C415" s="2"/>
      <c r="D415" s="4"/>
      <c r="E415" s="9"/>
    </row>
    <row r="416" spans="1:5">
      <c r="A416" s="2"/>
      <c r="B416" s="2"/>
      <c r="C416" s="2"/>
      <c r="D416" s="4"/>
      <c r="E416" s="9"/>
    </row>
    <row r="417" spans="1:5">
      <c r="A417" s="2"/>
      <c r="B417" s="2"/>
      <c r="C417" s="2"/>
      <c r="D417" s="4"/>
      <c r="E417" s="9"/>
    </row>
    <row r="418" spans="1:5">
      <c r="A418" s="2"/>
      <c r="B418" s="2"/>
      <c r="C418" s="2"/>
      <c r="D418" s="4"/>
      <c r="E418" s="9"/>
    </row>
    <row r="419" spans="1:5">
      <c r="A419" s="2"/>
      <c r="B419" s="2"/>
      <c r="C419" s="2"/>
      <c r="D419" s="4"/>
      <c r="E419" s="9"/>
    </row>
    <row r="420" spans="1:5">
      <c r="A420" s="2"/>
      <c r="B420" s="2"/>
      <c r="C420" s="2"/>
      <c r="D420" s="4"/>
      <c r="E420" s="9"/>
    </row>
    <row r="421" spans="1:5">
      <c r="A421" s="2"/>
      <c r="B421" s="2"/>
      <c r="C421" s="2"/>
      <c r="D421" s="4"/>
      <c r="E421" s="9"/>
    </row>
    <row r="422" spans="1:5">
      <c r="A422" s="2"/>
      <c r="B422" s="2"/>
      <c r="C422" s="2"/>
      <c r="D422" s="4"/>
      <c r="E422" s="9"/>
    </row>
    <row r="423" spans="1:5">
      <c r="A423" s="2"/>
      <c r="B423" s="2"/>
      <c r="C423" s="2"/>
      <c r="D423" s="4"/>
      <c r="E423" s="9"/>
    </row>
    <row r="424" spans="1:5">
      <c r="A424" s="2"/>
      <c r="B424" s="2"/>
      <c r="C424" s="2"/>
      <c r="D424" s="4"/>
      <c r="E424" s="9"/>
    </row>
    <row r="425" spans="1:5">
      <c r="A425" s="2"/>
      <c r="B425" s="2"/>
      <c r="C425" s="2"/>
      <c r="D425" s="4"/>
      <c r="E425" s="9"/>
    </row>
    <row r="426" spans="1:5">
      <c r="A426" s="2"/>
      <c r="B426" s="2"/>
      <c r="C426" s="2"/>
      <c r="D426" s="4"/>
      <c r="E426" s="9"/>
    </row>
    <row r="427" spans="1:5">
      <c r="A427" s="2"/>
      <c r="B427" s="2"/>
      <c r="C427" s="2"/>
      <c r="D427" s="4"/>
      <c r="E427" s="9"/>
    </row>
    <row r="428" spans="1:5">
      <c r="A428" s="2"/>
      <c r="B428" s="2"/>
      <c r="C428" s="2"/>
      <c r="D428" s="4"/>
      <c r="E428" s="9"/>
    </row>
    <row r="429" spans="1:5">
      <c r="A429" s="2"/>
      <c r="B429" s="2"/>
      <c r="C429" s="2"/>
      <c r="D429" s="4"/>
      <c r="E429" s="9"/>
    </row>
    <row r="430" spans="1:5">
      <c r="A430" s="2"/>
      <c r="B430" s="2"/>
      <c r="C430" s="2"/>
      <c r="D430" s="4"/>
      <c r="E430" s="9"/>
    </row>
    <row r="431" spans="1:5">
      <c r="A431" s="2"/>
      <c r="B431" s="2"/>
      <c r="C431" s="2"/>
      <c r="D431" s="4"/>
      <c r="E431" s="9"/>
    </row>
    <row r="432" spans="1:5">
      <c r="A432" s="2"/>
      <c r="B432" s="2"/>
      <c r="C432" s="2"/>
      <c r="D432" s="4"/>
      <c r="E432" s="9"/>
    </row>
    <row r="433" spans="1:5">
      <c r="A433" s="2"/>
      <c r="B433" s="2"/>
      <c r="C433" s="2"/>
      <c r="D433" s="4"/>
      <c r="E433" s="9"/>
    </row>
    <row r="434" spans="1:5">
      <c r="A434" s="2"/>
      <c r="B434" s="2"/>
      <c r="C434" s="2"/>
      <c r="D434" s="4"/>
      <c r="E434" s="9"/>
    </row>
    <row r="435" spans="1:5">
      <c r="A435" s="2"/>
      <c r="B435" s="2"/>
      <c r="C435" s="2"/>
      <c r="D435" s="4"/>
      <c r="E435" s="9"/>
    </row>
    <row r="436" spans="1:5">
      <c r="A436" s="2"/>
      <c r="B436" s="2"/>
      <c r="C436" s="2"/>
      <c r="D436" s="4"/>
      <c r="E436" s="9"/>
    </row>
    <row r="437" spans="1:5">
      <c r="A437" s="2"/>
      <c r="B437" s="2"/>
      <c r="C437" s="2"/>
      <c r="D437" s="4"/>
      <c r="E437" s="9"/>
    </row>
    <row r="438" spans="1:5">
      <c r="A438" s="2"/>
      <c r="B438" s="2"/>
      <c r="C438" s="2"/>
      <c r="D438" s="4"/>
      <c r="E438" s="9"/>
    </row>
    <row r="439" spans="1:5">
      <c r="A439" s="2"/>
      <c r="B439" s="2"/>
      <c r="C439" s="2"/>
      <c r="D439" s="4"/>
      <c r="E439" s="9"/>
    </row>
    <row r="440" spans="1:5">
      <c r="A440" s="2"/>
      <c r="B440" s="2"/>
      <c r="C440" s="2"/>
      <c r="D440" s="4"/>
      <c r="E440" s="9"/>
    </row>
    <row r="441" spans="1:5">
      <c r="A441" s="2"/>
      <c r="B441" s="2"/>
      <c r="C441" s="2"/>
      <c r="D441" s="4"/>
      <c r="E441" s="9"/>
    </row>
    <row r="442" spans="1:5">
      <c r="A442" s="2"/>
      <c r="B442" s="2"/>
      <c r="C442" s="2"/>
      <c r="D442" s="4"/>
      <c r="E442" s="9"/>
    </row>
    <row r="443" spans="1:5">
      <c r="A443" s="2"/>
      <c r="B443" s="2"/>
      <c r="C443" s="2"/>
      <c r="D443" s="4"/>
      <c r="E443" s="9"/>
    </row>
    <row r="444" spans="1:5">
      <c r="A444" s="2"/>
      <c r="B444" s="2"/>
      <c r="C444" s="2"/>
      <c r="D444" s="4"/>
      <c r="E444" s="9"/>
    </row>
    <row r="445" spans="1:5">
      <c r="A445" s="2"/>
      <c r="B445" s="2"/>
      <c r="C445" s="2"/>
      <c r="D445" s="4"/>
      <c r="E445" s="9"/>
    </row>
    <row r="446" spans="1:5">
      <c r="A446" s="2"/>
      <c r="B446" s="2"/>
      <c r="C446" s="2"/>
      <c r="D446" s="4"/>
      <c r="E446" s="9"/>
    </row>
    <row r="447" spans="1:5">
      <c r="A447" s="2"/>
      <c r="B447" s="2"/>
      <c r="C447" s="2"/>
      <c r="D447" s="4"/>
      <c r="E447" s="9"/>
    </row>
    <row r="448" spans="1:5">
      <c r="A448" s="2"/>
      <c r="B448" s="2"/>
      <c r="C448" s="2"/>
      <c r="D448" s="4"/>
      <c r="E448" s="9"/>
    </row>
    <row r="449" spans="1:5">
      <c r="A449" s="2"/>
      <c r="B449" s="2"/>
      <c r="C449" s="2"/>
      <c r="D449" s="4"/>
      <c r="E449" s="9"/>
    </row>
    <row r="450" spans="1:5">
      <c r="A450" s="2"/>
      <c r="B450" s="2"/>
      <c r="C450" s="2"/>
      <c r="D450" s="4"/>
      <c r="E450" s="9"/>
    </row>
    <row r="451" spans="1:5">
      <c r="A451" s="2"/>
      <c r="B451" s="2"/>
      <c r="C451" s="2"/>
      <c r="D451" s="4"/>
      <c r="E451" s="9"/>
    </row>
    <row r="452" spans="1:5">
      <c r="A452" s="2"/>
      <c r="B452" s="2"/>
      <c r="C452" s="2"/>
      <c r="D452" s="4"/>
      <c r="E452" s="9"/>
    </row>
    <row r="453" spans="1:5">
      <c r="A453" s="2"/>
      <c r="B453" s="2"/>
      <c r="C453" s="2"/>
      <c r="D453" s="4"/>
      <c r="E453" s="9"/>
    </row>
    <row r="454" spans="1:5">
      <c r="A454" s="2"/>
      <c r="B454" s="2"/>
      <c r="C454" s="2"/>
      <c r="D454" s="4"/>
      <c r="E454" s="9"/>
    </row>
    <row r="455" spans="1:5">
      <c r="A455" s="2"/>
      <c r="B455" s="2"/>
      <c r="C455" s="2"/>
      <c r="D455" s="4"/>
      <c r="E455" s="9"/>
    </row>
    <row r="456" spans="1:5">
      <c r="A456" s="2"/>
      <c r="B456" s="2"/>
      <c r="C456" s="2"/>
      <c r="D456" s="4"/>
      <c r="E456" s="9"/>
    </row>
    <row r="457" spans="1:5">
      <c r="A457" s="2"/>
      <c r="B457" s="2"/>
      <c r="C457" s="2"/>
      <c r="D457" s="4"/>
      <c r="E457" s="9"/>
    </row>
    <row r="458" spans="1:5">
      <c r="A458" s="2"/>
      <c r="B458" s="2"/>
      <c r="C458" s="2"/>
      <c r="D458" s="4"/>
      <c r="E458" s="9"/>
    </row>
    <row r="459" spans="1:5">
      <c r="A459" s="2"/>
      <c r="B459" s="2"/>
      <c r="C459" s="2"/>
      <c r="D459" s="4"/>
      <c r="E459" s="9"/>
    </row>
    <row r="460" spans="1:5">
      <c r="A460" s="2"/>
      <c r="B460" s="2"/>
      <c r="C460" s="2"/>
      <c r="D460" s="4"/>
      <c r="E460" s="9"/>
    </row>
    <row r="461" spans="1:5">
      <c r="A461" s="2"/>
      <c r="B461" s="2"/>
      <c r="C461" s="2"/>
      <c r="D461" s="4"/>
      <c r="E461" s="9"/>
    </row>
    <row r="462" spans="1:5">
      <c r="A462" s="2"/>
      <c r="B462" s="2"/>
      <c r="C462" s="2"/>
      <c r="D462" s="4"/>
      <c r="E462" s="9"/>
    </row>
    <row r="463" spans="1:5">
      <c r="A463" s="2"/>
      <c r="B463" s="2"/>
      <c r="C463" s="2"/>
      <c r="D463" s="4"/>
      <c r="E463" s="9"/>
    </row>
    <row r="464" spans="1:5">
      <c r="A464" s="2"/>
      <c r="B464" s="2"/>
      <c r="C464" s="2"/>
      <c r="D464" s="4"/>
      <c r="E464" s="9"/>
    </row>
    <row r="465" spans="1:5">
      <c r="A465" s="2"/>
      <c r="B465" s="2"/>
      <c r="C465" s="2"/>
      <c r="D465" s="4"/>
      <c r="E465" s="9"/>
    </row>
    <row r="466" spans="1:5">
      <c r="A466" s="2"/>
      <c r="B466" s="2"/>
      <c r="C466" s="2"/>
      <c r="D466" s="4"/>
      <c r="E466" s="9"/>
    </row>
    <row r="467" spans="1:5">
      <c r="A467" s="2"/>
      <c r="B467" s="2"/>
      <c r="C467" s="2"/>
      <c r="D467" s="4"/>
      <c r="E467" s="9"/>
    </row>
    <row r="468" spans="1:5">
      <c r="A468" s="2"/>
      <c r="B468" s="2"/>
      <c r="C468" s="2"/>
      <c r="D468" s="4"/>
      <c r="E468" s="9"/>
    </row>
    <row r="469" spans="1:5">
      <c r="A469" s="2"/>
      <c r="B469" s="2"/>
      <c r="C469" s="2"/>
      <c r="D469" s="4"/>
      <c r="E469" s="9"/>
    </row>
    <row r="470" spans="1:5">
      <c r="A470" s="2"/>
      <c r="B470" s="2"/>
      <c r="C470" s="2"/>
      <c r="D470" s="4"/>
      <c r="E470" s="9"/>
    </row>
    <row r="471" spans="1:5">
      <c r="A471" s="2"/>
      <c r="B471" s="2"/>
      <c r="C471" s="2"/>
      <c r="D471" s="4"/>
      <c r="E471" s="9"/>
    </row>
    <row r="472" spans="1:5">
      <c r="A472" s="2"/>
      <c r="B472" s="2"/>
      <c r="C472" s="2"/>
      <c r="D472" s="4"/>
      <c r="E472" s="9"/>
    </row>
    <row r="473" spans="1:5">
      <c r="A473" s="2"/>
      <c r="B473" s="2"/>
      <c r="C473" s="2"/>
      <c r="D473" s="4"/>
      <c r="E473" s="9"/>
    </row>
    <row r="474" spans="1:5">
      <c r="A474" s="2"/>
      <c r="B474" s="2"/>
      <c r="C474" s="2"/>
      <c r="D474" s="4"/>
      <c r="E474" s="9"/>
    </row>
    <row r="475" spans="1:5">
      <c r="A475" s="2"/>
      <c r="B475" s="2"/>
      <c r="C475" s="2"/>
      <c r="D475" s="4"/>
      <c r="E475" s="9"/>
    </row>
    <row r="476" spans="1:5">
      <c r="A476" s="2"/>
      <c r="B476" s="2"/>
      <c r="C476" s="2"/>
      <c r="D476" s="4"/>
      <c r="E476" s="9"/>
    </row>
    <row r="477" spans="1:5">
      <c r="A477" s="2"/>
      <c r="B477" s="2"/>
      <c r="C477" s="2"/>
      <c r="D477" s="4"/>
      <c r="E477" s="9"/>
    </row>
    <row r="478" spans="1:5">
      <c r="A478" s="2"/>
      <c r="B478" s="2"/>
      <c r="C478" s="2"/>
      <c r="D478" s="4"/>
      <c r="E478" s="9"/>
    </row>
    <row r="479" spans="1:5">
      <c r="A479" s="2"/>
      <c r="B479" s="2"/>
      <c r="C479" s="2"/>
      <c r="D479" s="4"/>
      <c r="E479" s="9"/>
    </row>
    <row r="480" spans="1:5">
      <c r="A480" s="2"/>
      <c r="B480" s="2"/>
      <c r="C480" s="2"/>
      <c r="D480" s="4"/>
      <c r="E480" s="9"/>
    </row>
    <row r="481" spans="1:5">
      <c r="A481" s="2"/>
      <c r="B481" s="2"/>
      <c r="C481" s="2"/>
      <c r="D481" s="4"/>
      <c r="E481" s="9"/>
    </row>
    <row r="482" spans="1:5">
      <c r="A482" s="2"/>
      <c r="B482" s="2"/>
      <c r="C482" s="2"/>
      <c r="D482" s="4"/>
      <c r="E482" s="9"/>
    </row>
    <row r="483" spans="1:5">
      <c r="A483" s="2"/>
      <c r="B483" s="2"/>
      <c r="C483" s="2"/>
      <c r="D483" s="4"/>
      <c r="E483" s="9"/>
    </row>
    <row r="484" spans="1:5">
      <c r="A484" s="2"/>
      <c r="B484" s="2"/>
      <c r="C484" s="2"/>
      <c r="D484" s="4"/>
      <c r="E484" s="9"/>
    </row>
    <row r="485" spans="1:5">
      <c r="A485" s="2"/>
      <c r="B485" s="2"/>
      <c r="C485" s="2"/>
      <c r="D485" s="4"/>
      <c r="E485" s="9"/>
    </row>
    <row r="486" spans="1:5">
      <c r="A486" s="2"/>
      <c r="B486" s="2"/>
      <c r="C486" s="2"/>
      <c r="D486" s="4"/>
      <c r="E486" s="9"/>
    </row>
    <row r="487" spans="1:5">
      <c r="A487" s="2"/>
      <c r="B487" s="2"/>
      <c r="C487" s="2"/>
      <c r="D487" s="4"/>
      <c r="E487" s="9"/>
    </row>
    <row r="488" spans="1:5">
      <c r="A488" s="2"/>
      <c r="B488" s="2"/>
      <c r="C488" s="2"/>
      <c r="D488" s="4"/>
      <c r="E488" s="9"/>
    </row>
    <row r="489" spans="1:5">
      <c r="A489" s="2"/>
      <c r="B489" s="2"/>
      <c r="C489" s="2"/>
      <c r="D489" s="4"/>
      <c r="E489" s="9"/>
    </row>
    <row r="490" spans="1:5">
      <c r="A490" s="2"/>
      <c r="B490" s="2"/>
      <c r="C490" s="2"/>
      <c r="D490" s="4"/>
      <c r="E490" s="9"/>
    </row>
    <row r="491" spans="1:5">
      <c r="A491" s="2"/>
      <c r="B491" s="2"/>
      <c r="C491" s="2"/>
      <c r="D491" s="4"/>
      <c r="E491" s="9"/>
    </row>
    <row r="492" spans="1:5">
      <c r="A492" s="2"/>
      <c r="B492" s="2"/>
      <c r="C492" s="2"/>
      <c r="D492" s="4"/>
      <c r="E492" s="9"/>
    </row>
    <row r="493" spans="1:5">
      <c r="A493" s="2"/>
      <c r="B493" s="2"/>
      <c r="C493" s="2"/>
      <c r="D493" s="4"/>
      <c r="E493" s="9"/>
    </row>
    <row r="494" spans="1:5">
      <c r="A494" s="2"/>
      <c r="B494" s="2"/>
      <c r="C494" s="2"/>
      <c r="D494" s="4"/>
      <c r="E494" s="9"/>
    </row>
    <row r="495" spans="1:5">
      <c r="A495" s="2"/>
      <c r="B495" s="2"/>
      <c r="C495" s="2"/>
      <c r="D495" s="4"/>
      <c r="E495" s="9"/>
    </row>
    <row r="496" spans="1:5">
      <c r="A496" s="2"/>
      <c r="B496" s="2"/>
      <c r="C496" s="2"/>
      <c r="D496" s="4"/>
      <c r="E496" s="9"/>
    </row>
    <row r="497" spans="1:5">
      <c r="A497" s="2"/>
      <c r="B497" s="2"/>
      <c r="C497" s="2"/>
      <c r="D497" s="4"/>
      <c r="E497" s="9"/>
    </row>
    <row r="498" spans="1:5">
      <c r="A498" s="2"/>
      <c r="B498" s="2"/>
      <c r="C498" s="2"/>
      <c r="D498" s="4"/>
      <c r="E498" s="9"/>
    </row>
    <row r="499" spans="1:5">
      <c r="A499" s="2"/>
      <c r="B499" s="2"/>
      <c r="C499" s="2"/>
      <c r="D499" s="4"/>
      <c r="E499" s="9"/>
    </row>
    <row r="500" spans="1:5">
      <c r="A500" s="2"/>
      <c r="B500" s="2"/>
      <c r="C500" s="2"/>
      <c r="D500" s="4"/>
      <c r="E500" s="9"/>
    </row>
    <row r="501" spans="1:5">
      <c r="A501" s="2"/>
      <c r="B501" s="2"/>
      <c r="C501" s="2"/>
      <c r="D501" s="4"/>
      <c r="E501" s="9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01"/>
  <sheetViews>
    <sheetView workbookViewId="0">
      <selection activeCell="Q20" sqref="Q20"/>
    </sheetView>
  </sheetViews>
  <sheetFormatPr defaultRowHeight="13.8"/>
  <cols>
    <col min="1" max="3" width="18" customWidth="1"/>
    <col min="4" max="5" width="22" customWidth="1"/>
    <col min="6" max="12" width="16" customWidth="1"/>
    <col min="13" max="14" width="12" customWidth="1"/>
    <col min="15" max="15" width="16" customWidth="1"/>
    <col min="16" max="16" width="14" customWidth="1"/>
    <col min="17" max="18" width="20" customWidth="1"/>
  </cols>
  <sheetData>
    <row r="1" spans="1:18" ht="27.6">
      <c r="A1" s="1" t="s">
        <v>5</v>
      </c>
      <c r="B1" s="1" t="s">
        <v>6</v>
      </c>
      <c r="C1" s="1" t="s">
        <v>58</v>
      </c>
      <c r="D1" s="1" t="s">
        <v>56</v>
      </c>
      <c r="E1" s="1" t="s">
        <v>84</v>
      </c>
      <c r="F1" s="1" t="s">
        <v>83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34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</row>
    <row r="2" spans="1:18">
      <c r="A2" s="2" t="str">
        <f>IF(Sell_History!A2="","",Sell_History!A2)</f>
        <v>L-0001</v>
      </c>
      <c r="B2" s="2" t="str">
        <f>IF(Sell_History!B2="","",Sell_History!B2)</f>
        <v>TP03077</v>
      </c>
      <c r="C2" s="8" t="str">
        <f>IF(A2="","",IFERROR(IF(INDEX(Buy_History!$D:$D,MATCH(A2,Buy_History!$A:$A,0))="",A2,INDEX(Buy_History!$D:$D,MATCH(A2,Buy_History!$A:$A,0))),A2))</f>
        <v>L-0001</v>
      </c>
      <c r="D2" s="13">
        <f>IF(C2="","",IFERROR(INDEX(Buy_History!$C:$C,MATCH(C2,Buy_History!$A:$A,0)),""))</f>
        <v>46253</v>
      </c>
      <c r="E2" s="13">
        <f>IF(A2="","",IFERROR(SUMIFS(Sell_History!$D:$D,Sell_History!$A:$A,A2,Sell_History!$B:$B,B2),""))</f>
        <v>46255</v>
      </c>
      <c r="F2" s="9" t="str">
        <f>IF(A2="","",IF(SUMIFS(Sell_History!$E:$E,Sell_History!$A:$A,A2,Sell_History!$B:$B,B2)=0,"",SUMIFS(Sell_History!$E:$E,Sell_History!$A:$A,A2,Sell_History!$B:$B,B2)))</f>
        <v/>
      </c>
      <c r="G2" s="9">
        <f>IF(C2="","",IFERROR(INDEX(Buy_History!$E:$E,MATCH(C2,Buy_History!$A:$A,0)),""))</f>
        <v>0</v>
      </c>
      <c r="H2" s="9">
        <f>IF(C2="","",IFERROR(SUMIFS(Raw_Observations!$D:$D,Raw_Observations!$A:$A,C2,Raw_Observations!$B:$B,B2),""))</f>
        <v>4653638</v>
      </c>
      <c r="I2" s="9">
        <f t="shared" ref="I2:I33" si="0">IF(H2="","",IF(OR(F2="",G2="",G2=0),H2,H2*F2/G2))</f>
        <v>4653638</v>
      </c>
      <c r="J2" s="9">
        <f>IFERROR(LOOKUP(2,1/((Order_History!$A$2:$A$200=A2)*(Order_History!$B$2:$B$200=B2)*(Order_History!$E$2:$E$200&lt;=E2)),Order_History!$G$2:$G$200),"")</f>
        <v>4656111.1321041733</v>
      </c>
      <c r="K2" s="10">
        <f>IF(C2="","",IFERROR(SUMIFS(Pricing!$G:$G,Pricing!$A:$A,C2,Pricing!$B:$B,B2),""))</f>
        <v>0.02</v>
      </c>
      <c r="L2" s="11">
        <f t="shared" ref="L2:L33" si="1">IF(OR(I2="",J2=""),"",J2-I2)</f>
        <v>2473.1321041733027</v>
      </c>
      <c r="M2" s="7">
        <v>0</v>
      </c>
      <c r="N2" s="7">
        <v>0</v>
      </c>
      <c r="O2" s="11">
        <f t="shared" ref="O2:O33" si="2">IF(L2="","",L2-M2-N2)</f>
        <v>2473.1321041733027</v>
      </c>
      <c r="P2" s="14">
        <f t="shared" ref="P2:P33" si="3">IF(OR(O2="",I2=""),"",O2/I2)</f>
        <v>5.3144058566078896E-4</v>
      </c>
      <c r="Q2" s="15">
        <f t="shared" ref="Q2:Q33" si="4">IF(OR(D2="",E2=""),"",MAX(1,ROUNDUP(E2-D2,0)))</f>
        <v>2</v>
      </c>
      <c r="R2" s="12">
        <f t="shared" ref="R2:R33" si="5">IF(OR(P2="",Q2=""),"",(1+P2)^(365/Q2)-1)</f>
        <v>0.10181866277553753</v>
      </c>
    </row>
    <row r="3" spans="1:18">
      <c r="A3" s="2" t="str">
        <f>IF(Sell_History!A3="","",Sell_History!A3)</f>
        <v>L-0002</v>
      </c>
      <c r="B3" s="2" t="str">
        <f>IF(Sell_History!B3="","",Sell_History!B3)</f>
        <v>TP03085</v>
      </c>
      <c r="C3" s="8" t="str">
        <f>IF(A3="","",IFERROR(IF(INDEX(Buy_History!$D:$D,MATCH(A3,Buy_History!$A:$A,0))="",A3,INDEX(Buy_History!$D:$D,MATCH(A3,Buy_History!$A:$A,0))),A3))</f>
        <v>L-0002</v>
      </c>
      <c r="D3" s="13">
        <f>IF(C3="","",IFERROR(INDEX(Buy_History!$C:$C,MATCH(C3,Buy_History!$A:$A,0)),""))</f>
        <v>46253</v>
      </c>
      <c r="E3" s="13">
        <f>IF(A3="","",IFERROR(SUMIFS(Sell_History!$D:$D,Sell_History!$A:$A,A3,Sell_History!$B:$B,B3),""))</f>
        <v>46255</v>
      </c>
      <c r="F3" s="9" t="str">
        <f>IF(A3="","",IF(SUMIFS(Sell_History!$E:$E,Sell_History!$A:$A,A3,Sell_History!$B:$B,B3)=0,"",SUMIFS(Sell_History!$E:$E,Sell_History!$A:$A,A3,Sell_History!$B:$B,B3)))</f>
        <v/>
      </c>
      <c r="G3" s="9">
        <f>IF(C3="","",IFERROR(INDEX(Buy_History!$E:$E,MATCH(C3,Buy_History!$A:$A,0)),""))</f>
        <v>0</v>
      </c>
      <c r="H3" s="9">
        <f>IF(C3="","",IFERROR(SUMIFS(Raw_Observations!$D:$D,Raw_Observations!$A:$A,C3,Raw_Observations!$B:$B,B3),""))</f>
        <v>3508365</v>
      </c>
      <c r="I3" s="9">
        <f t="shared" si="0"/>
        <v>3508365</v>
      </c>
      <c r="J3" s="9">
        <f>IFERROR(LOOKUP(2,1/((Order_History!$A$2:$A$200=A3)*(Order_History!$B$2:$B$200=B3)*(Order_History!$E$2:$E$200&lt;=E3)),Order_History!$G$2:$G$200),"")</f>
        <v>3510101.0952620143</v>
      </c>
      <c r="K3" s="10">
        <f>IF(C3="","",IFERROR(SUMIFS(Pricing!$G:$G,Pricing!$A:$A,C3,Pricing!$B:$B,B3),""))</f>
        <v>0.02</v>
      </c>
      <c r="L3" s="11">
        <f t="shared" si="1"/>
        <v>1736.0952620143071</v>
      </c>
      <c r="M3" s="7">
        <v>0</v>
      </c>
      <c r="N3" s="7">
        <v>0</v>
      </c>
      <c r="O3" s="11">
        <f t="shared" si="2"/>
        <v>1736.0952620143071</v>
      </c>
      <c r="P3" s="14">
        <f t="shared" si="3"/>
        <v>4.9484453926951927E-4</v>
      </c>
      <c r="Q3" s="15">
        <f t="shared" si="4"/>
        <v>2</v>
      </c>
      <c r="R3" s="12">
        <f t="shared" si="5"/>
        <v>9.4488128367689939E-2</v>
      </c>
    </row>
    <row r="4" spans="1:18">
      <c r="A4" s="2" t="str">
        <f>IF(Sell_History!A4="","",Sell_History!A4)</f>
        <v>L-0003</v>
      </c>
      <c r="B4" s="2" t="str">
        <f>IF(Sell_History!B4="","",Sell_History!B4)</f>
        <v>TP03093</v>
      </c>
      <c r="C4" s="8" t="str">
        <f>IF(A4="","",IFERROR(IF(INDEX(Buy_History!$D:$D,MATCH(A4,Buy_History!$A:$A,0))="",A4,INDEX(Buy_History!$D:$D,MATCH(A4,Buy_History!$A:$A,0))),A4))</f>
        <v>L-0003</v>
      </c>
      <c r="D4" s="13">
        <f>IF(C4="","",IFERROR(INDEX(Buy_History!$C:$C,MATCH(C4,Buy_History!$A:$A,0)),""))</f>
        <v>46253</v>
      </c>
      <c r="E4" s="13">
        <f>IF(A4="","",IFERROR(SUMIFS(Sell_History!$D:$D,Sell_History!$A:$A,A4,Sell_History!$B:$B,B4),""))</f>
        <v>46255</v>
      </c>
      <c r="F4" s="9" t="str">
        <f>IF(A4="","",IF(SUMIFS(Sell_History!$E:$E,Sell_History!$A:$A,A4,Sell_History!$B:$B,B4)=0,"",SUMIFS(Sell_History!$E:$E,Sell_History!$A:$A,A4,Sell_History!$B:$B,B4)))</f>
        <v/>
      </c>
      <c r="G4" s="9">
        <f>IF(C4="","",IFERROR(INDEX(Buy_History!$E:$E,MATCH(C4,Buy_History!$A:$A,0)),""))</f>
        <v>0</v>
      </c>
      <c r="H4" s="9">
        <f>IF(C4="","",IFERROR(SUMIFS(Raw_Observations!$D:$D,Raw_Observations!$A:$A,C4,Raw_Observations!$B:$B,B4),""))</f>
        <v>4610986</v>
      </c>
      <c r="I4" s="9">
        <f t="shared" si="0"/>
        <v>4610986</v>
      </c>
      <c r="J4" s="9">
        <f>IFERROR(LOOKUP(2,1/((Order_History!$A$2:$A$200=A4)*(Order_History!$B$2:$B$200=B4)*(Order_History!$E$2:$E$200&lt;=E4)),Order_History!$G$2:$G$200),"")</f>
        <v>4613275.525775387</v>
      </c>
      <c r="K4" s="10">
        <f>IF(C4="","",IFERROR(SUMIFS(Pricing!$G:$G,Pricing!$A:$A,C4,Pricing!$B:$B,B4),""))</f>
        <v>0.02</v>
      </c>
      <c r="L4" s="11">
        <f t="shared" si="1"/>
        <v>2289.5257753869519</v>
      </c>
      <c r="M4" s="7">
        <v>0</v>
      </c>
      <c r="N4" s="7">
        <v>0</v>
      </c>
      <c r="O4" s="11">
        <f t="shared" si="2"/>
        <v>2289.5257753869519</v>
      </c>
      <c r="P4" s="14">
        <f t="shared" si="3"/>
        <v>4.9653713444086623E-4</v>
      </c>
      <c r="Q4" s="15">
        <f t="shared" si="4"/>
        <v>2</v>
      </c>
      <c r="R4" s="12">
        <f t="shared" si="5"/>
        <v>9.4826098906491962E-2</v>
      </c>
    </row>
    <row r="5" spans="1:18">
      <c r="A5" s="2" t="str">
        <f>IF(Sell_History!A5="","",Sell_History!A5)</f>
        <v>L-0004</v>
      </c>
      <c r="B5" s="2" t="str">
        <f>IF(Sell_History!B5="","",Sell_History!B5)</f>
        <v>TP03104</v>
      </c>
      <c r="C5" s="8" t="str">
        <f>IF(A5="","",IFERROR(IF(INDEX(Buy_History!$D:$D,MATCH(A5,Buy_History!$A:$A,0))="",A5,INDEX(Buy_History!$D:$D,MATCH(A5,Buy_History!$A:$A,0))),A5))</f>
        <v>L-0004</v>
      </c>
      <c r="D5" s="13">
        <f>IF(C5="","",IFERROR(INDEX(Buy_History!$C:$C,MATCH(C5,Buy_History!$A:$A,0)),""))</f>
        <v>46253</v>
      </c>
      <c r="E5" s="13">
        <f>IF(A5="","",IFERROR(SUMIFS(Sell_History!$D:$D,Sell_History!$A:$A,A5,Sell_History!$B:$B,B5),""))</f>
        <v>46255</v>
      </c>
      <c r="F5" s="9" t="str">
        <f>IF(A5="","",IF(SUMIFS(Sell_History!$E:$E,Sell_History!$A:$A,A5,Sell_History!$B:$B,B5)=0,"",SUMIFS(Sell_History!$E:$E,Sell_History!$A:$A,A5,Sell_History!$B:$B,B5)))</f>
        <v/>
      </c>
      <c r="G5" s="9">
        <f>IF(C5="","",IFERROR(INDEX(Buy_History!$E:$E,MATCH(C5,Buy_History!$A:$A,0)),""))</f>
        <v>0</v>
      </c>
      <c r="H5" s="9">
        <f>IF(C5="","",IFERROR(SUMIFS(Raw_Observations!$D:$D,Raw_Observations!$A:$A,C5,Raw_Observations!$B:$B,B5),""))</f>
        <v>3508456</v>
      </c>
      <c r="I5" s="9">
        <f t="shared" si="0"/>
        <v>3508456</v>
      </c>
      <c r="J5" s="9">
        <f>IFERROR(LOOKUP(2,1/((Order_History!$A$2:$A$200=A5)*(Order_History!$B$2:$B$200=B5)*(Order_History!$E$2:$E$200&lt;=E5)),Order_History!$G$2:$G$200),"")</f>
        <v>3510101.0952620143</v>
      </c>
      <c r="K5" s="10">
        <f>IF(C5="","",IFERROR(SUMIFS(Pricing!$G:$G,Pricing!$A:$A,C5,Pricing!$B:$B,B5),""))</f>
        <v>0.02</v>
      </c>
      <c r="L5" s="11">
        <f t="shared" si="1"/>
        <v>1645.0952620143071</v>
      </c>
      <c r="M5" s="7">
        <v>0</v>
      </c>
      <c r="N5" s="7">
        <v>0</v>
      </c>
      <c r="O5" s="11">
        <f t="shared" si="2"/>
        <v>1645.0952620143071</v>
      </c>
      <c r="P5" s="14">
        <f t="shared" si="3"/>
        <v>4.6889436892305533E-4</v>
      </c>
      <c r="Q5" s="15">
        <f t="shared" si="4"/>
        <v>2</v>
      </c>
      <c r="R5" s="12">
        <f t="shared" si="5"/>
        <v>8.931947477793778E-2</v>
      </c>
    </row>
    <row r="6" spans="1:18">
      <c r="A6" s="2" t="str">
        <f>IF(Sell_History!A6="","",Sell_History!A6)</f>
        <v>L-0005</v>
      </c>
      <c r="B6" s="2" t="str">
        <f>IF(Sell_History!B6="","",Sell_History!B6)</f>
        <v>TP00964</v>
      </c>
      <c r="C6" s="8" t="str">
        <f>IF(A6="","",IFERROR(IF(INDEX(Buy_History!$D:$D,MATCH(A6,Buy_History!$A:$A,0))="",A6,INDEX(Buy_History!$D:$D,MATCH(A6,Buy_History!$A:$A,0))),A6))</f>
        <v>L-0005</v>
      </c>
      <c r="D6" s="13">
        <f>IF(C6="","",IFERROR(INDEX(Buy_History!$C:$C,MATCH(C6,Buy_History!$A:$A,0)),""))</f>
        <v>46245</v>
      </c>
      <c r="E6" s="13">
        <f>IF(A6="","",IFERROR(SUMIFS(Sell_History!$D:$D,Sell_History!$A:$A,A6,Sell_History!$B:$B,B6),""))</f>
        <v>46249</v>
      </c>
      <c r="F6" s="9" t="str">
        <f>IF(A6="","",IF(SUMIFS(Sell_History!$E:$E,Sell_History!$A:$A,A6,Sell_History!$B:$B,B6)=0,"",SUMIFS(Sell_History!$E:$E,Sell_History!$A:$A,A6,Sell_History!$B:$B,B6)))</f>
        <v/>
      </c>
      <c r="G6" s="9">
        <f>IF(C6="","",IFERROR(INDEX(Buy_History!$E:$E,MATCH(C6,Buy_History!$A:$A,0)),""))</f>
        <v>0</v>
      </c>
      <c r="H6" s="9">
        <f>IF(C6="","",IFERROR(SUMIFS(Raw_Observations!$D:$D,Raw_Observations!$A:$A,C6,Raw_Observations!$B:$B,B6),""))</f>
        <v>6671860</v>
      </c>
      <c r="I6" s="9">
        <f t="shared" si="0"/>
        <v>6671860</v>
      </c>
      <c r="J6" s="9">
        <f>IFERROR(LOOKUP(2,1/((Order_History!$A$2:$A$200=A6)*(Order_History!$B$2:$B$200=B6)*(Order_History!$E$2:$E$200&lt;=E6)),Order_History!$G$2:$G$200),"")</f>
        <v>6673000</v>
      </c>
      <c r="K6" s="10">
        <f>IF(C6="","",IFERROR(SUMIFS(Pricing!$G:$G,Pricing!$A:$A,C6,Pricing!$B:$B,B6),""))</f>
        <v>2E-3</v>
      </c>
      <c r="L6" s="11">
        <f t="shared" si="1"/>
        <v>1140</v>
      </c>
      <c r="M6" s="7">
        <v>0</v>
      </c>
      <c r="N6" s="7">
        <v>0</v>
      </c>
      <c r="O6" s="11">
        <f t="shared" si="2"/>
        <v>1140</v>
      </c>
      <c r="P6" s="14">
        <f t="shared" si="3"/>
        <v>1.7086689468903725E-4</v>
      </c>
      <c r="Q6" s="15">
        <f t="shared" si="4"/>
        <v>4</v>
      </c>
      <c r="R6" s="12">
        <f t="shared" si="5"/>
        <v>1.5712434564267408E-2</v>
      </c>
    </row>
    <row r="7" spans="1:18">
      <c r="A7" s="2" t="str">
        <f>IF(Sell_History!A7="","",Sell_History!A7)</f>
        <v>L-0006</v>
      </c>
      <c r="B7" s="2" t="str">
        <f>IF(Sell_History!B7="","",Sell_History!B7)</f>
        <v>TP03429</v>
      </c>
      <c r="C7" s="8" t="str">
        <f>IF(A7="","",IFERROR(IF(INDEX(Buy_History!$D:$D,MATCH(A7,Buy_History!$A:$A,0))="",A7,INDEX(Buy_History!$D:$D,MATCH(A7,Buy_History!$A:$A,0))),A7))</f>
        <v>L-0006</v>
      </c>
      <c r="D7" s="13">
        <f>IF(C7="","",IFERROR(INDEX(Buy_History!$C:$C,MATCH(C7,Buy_History!$A:$A,0)),""))</f>
        <v>46247</v>
      </c>
      <c r="E7" s="13">
        <f>IF(A7="","",IFERROR(SUMIFS(Sell_History!$D:$D,Sell_History!$A:$A,A7,Sell_History!$B:$B,B7),""))</f>
        <v>46248</v>
      </c>
      <c r="F7" s="9" t="str">
        <f>IF(A7="","",IF(SUMIFS(Sell_History!$E:$E,Sell_History!$A:$A,A7,Sell_History!$B:$B,B7)=0,"",SUMIFS(Sell_History!$E:$E,Sell_History!$A:$A,A7,Sell_History!$B:$B,B7)))</f>
        <v/>
      </c>
      <c r="G7" s="9">
        <f>IF(C7="","",IFERROR(INDEX(Buy_History!$E:$E,MATCH(C7,Buy_History!$A:$A,0)),""))</f>
        <v>0</v>
      </c>
      <c r="H7" s="9">
        <f>IF(C7="","",IFERROR(SUMIFS(Raw_Observations!$D:$D,Raw_Observations!$A:$A,C7,Raw_Observations!$B:$B,B7),""))</f>
        <v>20060000</v>
      </c>
      <c r="I7" s="9">
        <f t="shared" si="0"/>
        <v>20060000</v>
      </c>
      <c r="J7" s="9">
        <f>IFERROR(LOOKUP(2,1/((Order_History!$A$2:$A$200=A7)*(Order_History!$B$2:$B$200=B7)*(Order_History!$E$2:$E$200&lt;=E7)),Order_History!$G$2:$G$200),"")</f>
        <v>20074367</v>
      </c>
      <c r="K7" s="10">
        <f>IF(C7="","",IFERROR(SUMIFS(Pricing!$G:$G,Pricing!$A:$A,C7,Pricing!$B:$B,B7),""))</f>
        <v>3.0000000000000001E-3</v>
      </c>
      <c r="L7" s="11">
        <f t="shared" si="1"/>
        <v>14367</v>
      </c>
      <c r="M7" s="7">
        <v>0</v>
      </c>
      <c r="N7" s="7">
        <v>0</v>
      </c>
      <c r="O7" s="11">
        <f t="shared" si="2"/>
        <v>14367</v>
      </c>
      <c r="P7" s="14">
        <f t="shared" si="3"/>
        <v>7.1620139581256227E-4</v>
      </c>
      <c r="Q7" s="15">
        <f t="shared" si="4"/>
        <v>1</v>
      </c>
      <c r="R7" s="12">
        <f t="shared" si="5"/>
        <v>0.29864308916155702</v>
      </c>
    </row>
    <row r="8" spans="1:18">
      <c r="A8" s="2" t="str">
        <f>IF(Sell_History!A8="","",Sell_History!A8)</f>
        <v>L-0007</v>
      </c>
      <c r="B8" s="2" t="str">
        <f>IF(Sell_History!B8="","",Sell_History!B8)</f>
        <v>TP00537</v>
      </c>
      <c r="C8" s="8" t="str">
        <f>IF(A8="","",IFERROR(IF(INDEX(Buy_History!$D:$D,MATCH(A8,Buy_History!$A:$A,0))="",A8,INDEX(Buy_History!$D:$D,MATCH(A8,Buy_History!$A:$A,0))),A8))</f>
        <v>L-0007</v>
      </c>
      <c r="D8" s="13">
        <f>IF(C8="","",IFERROR(INDEX(Buy_History!$C:$C,MATCH(C8,Buy_History!$A:$A,0)),""))</f>
        <v>46248</v>
      </c>
      <c r="E8" s="13">
        <f>IF(A8="","",IFERROR(SUMIFS(Sell_History!$D:$D,Sell_History!$A:$A,A8,Sell_History!$B:$B,B8),""))</f>
        <v>46248</v>
      </c>
      <c r="F8" s="9" t="str">
        <f>IF(A8="","",IF(SUMIFS(Sell_History!$E:$E,Sell_History!$A:$A,A8,Sell_History!$B:$B,B8)=0,"",SUMIFS(Sell_History!$E:$E,Sell_History!$A:$A,A8,Sell_History!$B:$B,B8)))</f>
        <v/>
      </c>
      <c r="G8" s="9">
        <f>IF(C8="","",IFERROR(INDEX(Buy_History!$E:$E,MATCH(C8,Buy_History!$A:$A,0)),""))</f>
        <v>0</v>
      </c>
      <c r="H8" s="9">
        <f>IF(C8="","",IFERROR(SUMIFS(Raw_Observations!$D:$D,Raw_Observations!$A:$A,C8,Raw_Observations!$B:$B,B8),""))</f>
        <v>29685213</v>
      </c>
      <c r="I8" s="9">
        <f t="shared" si="0"/>
        <v>29685213</v>
      </c>
      <c r="J8" s="9">
        <f>IFERROR(LOOKUP(2,1/((Order_History!$A$2:$A$200=A8)*(Order_History!$B$2:$B$200=B8)*(Order_History!$E$2:$E$200&lt;=E8)),Order_History!$G$2:$G$200),"")</f>
        <v>29702912</v>
      </c>
      <c r="K8" s="10">
        <f>IF(C8="","",IFERROR(SUMIFS(Pricing!$G:$G,Pricing!$A:$A,C8,Pricing!$B:$B,B8),""))</f>
        <v>3.3999999999999998E-3</v>
      </c>
      <c r="L8" s="11">
        <f t="shared" si="1"/>
        <v>17699</v>
      </c>
      <c r="M8" s="7">
        <v>0</v>
      </c>
      <c r="N8" s="7">
        <v>0</v>
      </c>
      <c r="O8" s="11">
        <f t="shared" si="2"/>
        <v>17699</v>
      </c>
      <c r="P8" s="14">
        <f t="shared" si="3"/>
        <v>5.9622277259725233E-4</v>
      </c>
      <c r="Q8" s="15">
        <f t="shared" si="4"/>
        <v>1</v>
      </c>
      <c r="R8" s="12">
        <f t="shared" si="5"/>
        <v>0.24303561227829884</v>
      </c>
    </row>
    <row r="9" spans="1:18">
      <c r="A9" s="2" t="str">
        <f>IF(Sell_History!A9="","",Sell_History!A9)</f>
        <v>L-0008</v>
      </c>
      <c r="B9" s="2" t="str">
        <f>IF(Sell_History!B9="","",Sell_History!B9)</f>
        <v>TP01034</v>
      </c>
      <c r="C9" s="8" t="str">
        <f>IF(A9="","",IFERROR(IF(INDEX(Buy_History!$D:$D,MATCH(A9,Buy_History!$A:$A,0))="",A9,INDEX(Buy_History!$D:$D,MATCH(A9,Buy_History!$A:$A,0))),A9))</f>
        <v>L-0008</v>
      </c>
      <c r="D9" s="13">
        <f>IF(C9="","",IFERROR(INDEX(Buy_History!$C:$C,MATCH(C9,Buy_History!$A:$A,0)),""))</f>
        <v>46248</v>
      </c>
      <c r="E9" s="13">
        <f>IF(A9="","",IFERROR(SUMIFS(Sell_History!$D:$D,Sell_History!$A:$A,A9,Sell_History!$B:$B,B9),""))</f>
        <v>46249</v>
      </c>
      <c r="F9" s="9" t="str">
        <f>IF(A9="","",IF(SUMIFS(Sell_History!$E:$E,Sell_History!$A:$A,A9,Sell_History!$B:$B,B9)=0,"",SUMIFS(Sell_History!$E:$E,Sell_History!$A:$A,A9,Sell_History!$B:$B,B9)))</f>
        <v/>
      </c>
      <c r="G9" s="9">
        <f>IF(C9="","",IFERROR(INDEX(Buy_History!$E:$E,MATCH(C9,Buy_History!$A:$A,0)),""))</f>
        <v>0</v>
      </c>
      <c r="H9" s="9">
        <f>IF(C9="","",IFERROR(SUMIFS(Raw_Observations!$D:$D,Raw_Observations!$A:$A,C9,Raw_Observations!$B:$B,B9),""))</f>
        <v>30046000</v>
      </c>
      <c r="I9" s="9">
        <f t="shared" si="0"/>
        <v>30046000</v>
      </c>
      <c r="J9" s="9">
        <f>IFERROR(LOOKUP(2,1/((Order_History!$A$2:$A$200=A9)*(Order_History!$B$2:$B$200=B9)*(Order_History!$E$2:$E$200&lt;=E9)),Order_History!$G$2:$G$200),"")</f>
        <v>30067117</v>
      </c>
      <c r="K9" s="10">
        <f>IF(C9="","",IFERROR(SUMIFS(Pricing!$G:$G,Pricing!$A:$A,C9,Pricing!$B:$B,B9),""))</f>
        <v>3.0000000000000001E-3</v>
      </c>
      <c r="L9" s="11">
        <f t="shared" si="1"/>
        <v>21117</v>
      </c>
      <c r="M9" s="7">
        <v>0</v>
      </c>
      <c r="N9" s="7">
        <v>0</v>
      </c>
      <c r="O9" s="11">
        <f t="shared" si="2"/>
        <v>21117</v>
      </c>
      <c r="P9" s="14">
        <f t="shared" si="3"/>
        <v>7.0282233908007725E-4</v>
      </c>
      <c r="Q9" s="15">
        <f t="shared" si="4"/>
        <v>1</v>
      </c>
      <c r="R9" s="12">
        <f t="shared" si="5"/>
        <v>0.29232128677309266</v>
      </c>
    </row>
    <row r="10" spans="1:18">
      <c r="A10" s="2" t="str">
        <f>IF(Sell_History!A10="","",Sell_History!A10)</f>
        <v>L-0009</v>
      </c>
      <c r="B10" s="2" t="str">
        <f>IF(Sell_History!B10="","",Sell_History!B10)</f>
        <v>TP00945</v>
      </c>
      <c r="C10" s="8" t="str">
        <f>IF(A10="","",IFERROR(IF(INDEX(Buy_History!$D:$D,MATCH(A10,Buy_History!$A:$A,0))="",A10,INDEX(Buy_History!$D:$D,MATCH(A10,Buy_History!$A:$A,0))),A10))</f>
        <v>L-0009</v>
      </c>
      <c r="D10" s="13">
        <f>IF(C10="","",IFERROR(INDEX(Buy_History!$C:$C,MATCH(C10,Buy_History!$A:$A,0)),""))</f>
        <v>46251</v>
      </c>
      <c r="E10" s="13">
        <f>IF(A10="","",IFERROR(SUMIFS(Sell_History!$D:$D,Sell_History!$A:$A,A10,Sell_History!$B:$B,B10),""))</f>
        <v>46253</v>
      </c>
      <c r="F10" s="9" t="str">
        <f>IF(A10="","",IF(SUMIFS(Sell_History!$E:$E,Sell_History!$A:$A,A10,Sell_History!$B:$B,B10)=0,"",SUMIFS(Sell_History!$E:$E,Sell_History!$A:$A,A10,Sell_History!$B:$B,B10)))</f>
        <v/>
      </c>
      <c r="G10" s="9">
        <f>IF(C10="","",IFERROR(INDEX(Buy_History!$E:$E,MATCH(C10,Buy_History!$A:$A,0)),""))</f>
        <v>0</v>
      </c>
      <c r="H10" s="9">
        <f>IF(C10="","",IFERROR(SUMIFS(Raw_Observations!$D:$D,Raw_Observations!$A:$A,C10,Raw_Observations!$B:$B,B10),""))</f>
        <v>20064000</v>
      </c>
      <c r="I10" s="9">
        <f t="shared" si="0"/>
        <v>20064000</v>
      </c>
      <c r="J10" s="9">
        <f>IFERROR(LOOKUP(2,1/((Order_History!$A$2:$A$200=A10)*(Order_History!$B$2:$B$200=B10)*(Order_History!$E$2:$E$200&lt;=E10)),Order_History!$G$2:$G$200),"")</f>
        <v>20087893</v>
      </c>
      <c r="K10" s="10">
        <f>IF(C10="","",IFERROR(SUMIFS(Pricing!$G:$G,Pricing!$A:$A,C10,Pricing!$B:$B,B10),""))</f>
        <v>0.01</v>
      </c>
      <c r="L10" s="11">
        <f t="shared" si="1"/>
        <v>23893</v>
      </c>
      <c r="M10" s="7">
        <v>0</v>
      </c>
      <c r="N10" s="7">
        <v>0</v>
      </c>
      <c r="O10" s="11">
        <f t="shared" si="2"/>
        <v>23893</v>
      </c>
      <c r="P10" s="14">
        <f t="shared" si="3"/>
        <v>1.1908393141945774E-3</v>
      </c>
      <c r="Q10" s="15">
        <f t="shared" si="4"/>
        <v>2</v>
      </c>
      <c r="R10" s="12">
        <f t="shared" si="5"/>
        <v>0.2425911991488634</v>
      </c>
    </row>
    <row r="11" spans="1:18">
      <c r="A11" s="2" t="str">
        <f>IF(Sell_History!A11="","",Sell_History!A11)</f>
        <v>L-0010</v>
      </c>
      <c r="B11" s="2" t="str">
        <f>IF(Sell_History!B11="","",Sell_History!B11)</f>
        <v>TP00558</v>
      </c>
      <c r="C11" s="8" t="str">
        <f>IF(A11="","",IFERROR(IF(INDEX(Buy_History!$D:$D,MATCH(A11,Buy_History!$A:$A,0))="",A11,INDEX(Buy_History!$D:$D,MATCH(A11,Buy_History!$A:$A,0))),A11))</f>
        <v>L-0010</v>
      </c>
      <c r="D11" s="13">
        <f>IF(C11="","",IFERROR(INDEX(Buy_History!$C:$C,MATCH(C11,Buy_History!$A:$A,0)),""))</f>
        <v>46256</v>
      </c>
      <c r="E11" s="13">
        <f>IF(A11="","",IFERROR(SUMIFS(Sell_History!$D:$D,Sell_History!$A:$A,A11,Sell_History!$B:$B,B11),""))</f>
        <v>46257</v>
      </c>
      <c r="F11" s="9" t="str">
        <f>IF(A11="","",IF(SUMIFS(Sell_History!$E:$E,Sell_History!$A:$A,A11,Sell_History!$B:$B,B11)=0,"",SUMIFS(Sell_History!$E:$E,Sell_History!$A:$A,A11,Sell_History!$B:$B,B11)))</f>
        <v/>
      </c>
      <c r="G11" s="9">
        <f>IF(C11="","",IFERROR(INDEX(Buy_History!$E:$E,MATCH(C11,Buy_History!$A:$A,0)),""))</f>
        <v>0</v>
      </c>
      <c r="H11" s="9">
        <f>IF(C11="","",IFERROR(SUMIFS(Raw_Observations!$D:$D,Raw_Observations!$A:$A,C11,Raw_Observations!$B:$B,B11),""))</f>
        <v>50217550</v>
      </c>
      <c r="I11" s="9">
        <f t="shared" si="0"/>
        <v>50217550</v>
      </c>
      <c r="J11" s="9">
        <f>IFERROR(LOOKUP(2,1/((Order_History!$A$2:$A$200=A11)*(Order_History!$B$2:$B$200=B11)*(Order_History!$E$2:$E$200&lt;=E11)),Order_History!$G$2:$G$200),"")</f>
        <v>50229267.883190483</v>
      </c>
      <c r="K11" s="10">
        <f>IF(C11="","",IFERROR(SUMIFS(Pricing!$G:$G,Pricing!$A:$A,C11,Pricing!$B:$B,B11),""))</f>
        <v>1.7000000000000001E-2</v>
      </c>
      <c r="L11" s="11">
        <f t="shared" si="1"/>
        <v>11717.883190482855</v>
      </c>
      <c r="M11" s="7">
        <v>0</v>
      </c>
      <c r="N11" s="7">
        <v>0</v>
      </c>
      <c r="O11" s="11">
        <f t="shared" si="2"/>
        <v>11717.883190482855</v>
      </c>
      <c r="P11" s="14">
        <f t="shared" si="3"/>
        <v>2.3334239106612836E-4</v>
      </c>
      <c r="Q11" s="15">
        <f t="shared" si="4"/>
        <v>1</v>
      </c>
      <c r="R11" s="12">
        <f t="shared" si="5"/>
        <v>8.8891316092242212E-2</v>
      </c>
    </row>
    <row r="12" spans="1:18">
      <c r="A12" s="2" t="str">
        <f>IF(Sell_History!A12="","",Sell_History!A12)</f>
        <v>L-0015</v>
      </c>
      <c r="B12" s="2" t="str">
        <f>IF(Sell_History!B12="","",Sell_History!B12)</f>
        <v>TP01953</v>
      </c>
      <c r="C12" s="8" t="str">
        <f>IF(A12="","",IFERROR(IF(INDEX(Buy_History!$D:$D,MATCH(A12,Buy_History!$A:$A,0))="",A12,INDEX(Buy_History!$D:$D,MATCH(A12,Buy_History!$A:$A,0))),A12))</f>
        <v>L-0015</v>
      </c>
      <c r="D12" s="13">
        <f>IF(C12="","",IFERROR(INDEX(Buy_History!$C:$C,MATCH(C12,Buy_History!$A:$A,0)),""))</f>
        <v>46257</v>
      </c>
      <c r="E12" s="13">
        <f>IF(A12="","",IFERROR(SUMIFS(Sell_History!$D:$D,Sell_History!$A:$A,A12,Sell_History!$B:$B,B12),""))</f>
        <v>46258</v>
      </c>
      <c r="F12" s="9" t="str">
        <f>IF(A12="","",IF(SUMIFS(Sell_History!$E:$E,Sell_History!$A:$A,A12,Sell_History!$B:$B,B12)=0,"",SUMIFS(Sell_History!$E:$E,Sell_History!$A:$A,A12,Sell_History!$B:$B,B12)))</f>
        <v/>
      </c>
      <c r="G12" s="9">
        <f>IF(C12="","",IFERROR(INDEX(Buy_History!$E:$E,MATCH(C12,Buy_History!$A:$A,0)),""))</f>
        <v>0</v>
      </c>
      <c r="H12" s="9">
        <f>IF(C12="","",IFERROR(SUMIFS(Raw_Observations!$D:$D,Raw_Observations!$A:$A,C12,Raw_Observations!$B:$B,B12),""))</f>
        <v>15950000</v>
      </c>
      <c r="I12" s="9">
        <f t="shared" si="0"/>
        <v>15950000</v>
      </c>
      <c r="J12" s="9">
        <f>IFERROR(LOOKUP(2,1/((Order_History!$A$2:$A$200=A12)*(Order_History!$B$2:$B$200=B12)*(Order_History!$E$2:$E$200&lt;=E12)),Order_History!$G$2:$G$200),"")</f>
        <v>15961777</v>
      </c>
      <c r="K12" s="10">
        <f>IF(C12="","",IFERROR(SUMIFS(Pricing!$G:$G,Pricing!$A:$A,C12,Pricing!$B:$B,B12),""))</f>
        <v>0.01</v>
      </c>
      <c r="L12" s="11">
        <f t="shared" si="1"/>
        <v>11777</v>
      </c>
      <c r="M12" s="7">
        <v>0</v>
      </c>
      <c r="N12" s="7">
        <v>0</v>
      </c>
      <c r="O12" s="11">
        <f t="shared" si="2"/>
        <v>11777</v>
      </c>
      <c r="P12" s="14">
        <f t="shared" si="3"/>
        <v>7.3836990595611287E-4</v>
      </c>
      <c r="Q12" s="15">
        <f t="shared" si="4"/>
        <v>1</v>
      </c>
      <c r="R12" s="12">
        <f t="shared" si="5"/>
        <v>0.3091859965871151</v>
      </c>
    </row>
    <row r="13" spans="1:18">
      <c r="A13" s="2" t="str">
        <f>IF(Sell_History!A13="","",Sell_History!A13)</f>
        <v>L-0017</v>
      </c>
      <c r="B13" s="2" t="str">
        <f>IF(Sell_History!B13="","",Sell_History!B13)</f>
        <v>TP01961</v>
      </c>
      <c r="C13" s="8" t="str">
        <f>IF(A13="","",IFERROR(IF(INDEX(Buy_History!$D:$D,MATCH(A13,Buy_History!$A:$A,0))="",A13,INDEX(Buy_History!$D:$D,MATCH(A13,Buy_History!$A:$A,0))),A13))</f>
        <v>L-0017</v>
      </c>
      <c r="D13" s="13">
        <f>IF(C13="","",IFERROR(INDEX(Buy_History!$C:$C,MATCH(C13,Buy_History!$A:$A,0)),""))</f>
        <v>46257</v>
      </c>
      <c r="E13" s="13">
        <f>IF(A13="","",IFERROR(SUMIFS(Sell_History!$D:$D,Sell_History!$A:$A,A13,Sell_History!$B:$B,B13),""))</f>
        <v>46258</v>
      </c>
      <c r="F13" s="9" t="str">
        <f>IF(A13="","",IF(SUMIFS(Sell_History!$E:$E,Sell_History!$A:$A,A13,Sell_History!$B:$B,B13)=0,"",SUMIFS(Sell_History!$E:$E,Sell_History!$A:$A,A13,Sell_History!$B:$B,B13)))</f>
        <v/>
      </c>
      <c r="G13" s="9">
        <f>IF(C13="","",IFERROR(INDEX(Buy_History!$E:$E,MATCH(C13,Buy_History!$A:$A,0)),""))</f>
        <v>0</v>
      </c>
      <c r="H13" s="9">
        <f>IF(C13="","",IFERROR(SUMIFS(Raw_Observations!$D:$D,Raw_Observations!$A:$A,C13,Raw_Observations!$B:$B,B13),""))</f>
        <v>5111466</v>
      </c>
      <c r="I13" s="9">
        <f t="shared" si="0"/>
        <v>5111466</v>
      </c>
      <c r="J13" s="9">
        <f>IFERROR(LOOKUP(2,1/((Order_History!$A$2:$A$200=A13)*(Order_History!$B$2:$B$200=B13)*(Order_History!$E$2:$E$200&lt;=E13)),Order_History!$G$2:$G$200),"")</f>
        <v>5113209</v>
      </c>
      <c r="K13" s="10">
        <f>IF(C13="","",IFERROR(SUMIFS(Pricing!$G:$G,Pricing!$A:$A,C13,Pricing!$B:$B,B13),""))</f>
        <v>1.2E-2</v>
      </c>
      <c r="L13" s="11">
        <f t="shared" si="1"/>
        <v>1743</v>
      </c>
      <c r="M13" s="7">
        <v>0</v>
      </c>
      <c r="N13" s="7">
        <v>0</v>
      </c>
      <c r="O13" s="11">
        <f t="shared" si="2"/>
        <v>1743</v>
      </c>
      <c r="P13" s="14">
        <f t="shared" si="3"/>
        <v>3.4099806200412955E-4</v>
      </c>
      <c r="Q13" s="15">
        <f t="shared" si="4"/>
        <v>1</v>
      </c>
      <c r="R13" s="12">
        <f t="shared" si="5"/>
        <v>0.13251755166424406</v>
      </c>
    </row>
    <row r="14" spans="1:18">
      <c r="A14" s="2" t="str">
        <f>IF(Sell_History!A14="","",Sell_History!A14)</f>
        <v>L-0018</v>
      </c>
      <c r="B14" s="2" t="str">
        <f>IF(Sell_History!B14="","",Sell_History!B14)</f>
        <v>TP01114</v>
      </c>
      <c r="C14" s="8" t="str">
        <f>IF(A14="","",IFERROR(IF(INDEX(Buy_History!$D:$D,MATCH(A14,Buy_History!$A:$A,0))="",A14,INDEX(Buy_History!$D:$D,MATCH(A14,Buy_History!$A:$A,0))),A14))</f>
        <v>L-0018</v>
      </c>
      <c r="D14" s="13">
        <f>IF(C14="","",IFERROR(INDEX(Buy_History!$C:$C,MATCH(C14,Buy_History!$A:$A,0)),""))</f>
        <v>46258</v>
      </c>
      <c r="E14" s="13">
        <f>IF(A14="","",IFERROR(SUMIFS(Sell_History!$D:$D,Sell_History!$A:$A,A14,Sell_History!$B:$B,B14),""))</f>
        <v>46261</v>
      </c>
      <c r="F14" s="9" t="str">
        <f>IF(A14="","",IF(SUMIFS(Sell_History!$E:$E,Sell_History!$A:$A,A14,Sell_History!$B:$B,B14)=0,"",SUMIFS(Sell_History!$E:$E,Sell_History!$A:$A,A14,Sell_History!$B:$B,B14)))</f>
        <v/>
      </c>
      <c r="G14" s="9">
        <f>IF(C14="","",IFERROR(INDEX(Buy_History!$E:$E,MATCH(C14,Buy_History!$A:$A,0)),""))</f>
        <v>0</v>
      </c>
      <c r="H14" s="9">
        <f>IF(C14="","",IFERROR(SUMIFS(Raw_Observations!$D:$D,Raw_Observations!$A:$A,C14,Raw_Observations!$B:$B,B14),""))</f>
        <v>35282685</v>
      </c>
      <c r="I14" s="9">
        <f t="shared" si="0"/>
        <v>35282685</v>
      </c>
      <c r="J14" s="9">
        <f>IFERROR(LOOKUP(2,1/((Order_History!$A$2:$A$200=A14)*(Order_History!$B$2:$B$200=B14)*(Order_History!$E$2:$E$200&lt;=E14)),Order_History!$G$2:$G$200),"")</f>
        <v>35311000</v>
      </c>
      <c r="K14" s="10">
        <f>IF(C14="","",IFERROR(SUMIFS(Pricing!$G:$G,Pricing!$A:$A,C14,Pricing!$B:$B,B14),""))</f>
        <v>1.2E-2</v>
      </c>
      <c r="L14" s="11">
        <f t="shared" si="1"/>
        <v>28315</v>
      </c>
      <c r="M14" s="7">
        <v>0</v>
      </c>
      <c r="N14" s="7">
        <v>0</v>
      </c>
      <c r="O14" s="11">
        <f t="shared" si="2"/>
        <v>28315</v>
      </c>
      <c r="P14" s="14">
        <f t="shared" si="3"/>
        <v>8.0251828907012038E-4</v>
      </c>
      <c r="Q14" s="15">
        <f t="shared" si="4"/>
        <v>3</v>
      </c>
      <c r="R14" s="12">
        <f t="shared" si="5"/>
        <v>0.10252231366517695</v>
      </c>
    </row>
    <row r="15" spans="1:18">
      <c r="A15" s="2" t="str">
        <f>IF(Sell_History!A15="","",Sell_History!A15)</f>
        <v>L-0016</v>
      </c>
      <c r="B15" s="2" t="str">
        <f>IF(Sell_History!B15="","",Sell_History!B15)</f>
        <v>TP01959</v>
      </c>
      <c r="C15" s="8" t="str">
        <f>IF(A15="","",IFERROR(IF(INDEX(Buy_History!$D:$D,MATCH(A15,Buy_History!$A:$A,0))="",A15,INDEX(Buy_History!$D:$D,MATCH(A15,Buy_History!$A:$A,0))),A15))</f>
        <v>L-0016</v>
      </c>
      <c r="D15" s="13">
        <f>IF(C15="","",IFERROR(INDEX(Buy_History!$C:$C,MATCH(C15,Buy_History!$A:$A,0)),""))</f>
        <v>46257</v>
      </c>
      <c r="E15" s="13">
        <f>IF(A15="","",IFERROR(SUMIFS(Sell_History!$D:$D,Sell_History!$A:$A,A15,Sell_History!$B:$B,B15),""))</f>
        <v>46261</v>
      </c>
      <c r="F15" s="9" t="str">
        <f>IF(A15="","",IF(SUMIFS(Sell_History!$E:$E,Sell_History!$A:$A,A15,Sell_History!$B:$B,B15)=0,"",SUMIFS(Sell_History!$E:$E,Sell_History!$A:$A,A15,Sell_History!$B:$B,B15)))</f>
        <v/>
      </c>
      <c r="G15" s="9">
        <f>IF(C15="","",IFERROR(INDEX(Buy_History!$E:$E,MATCH(C15,Buy_History!$A:$A,0)),""))</f>
        <v>0</v>
      </c>
      <c r="H15" s="9">
        <f>IF(C15="","",IFERROR(SUMIFS(Raw_Observations!$D:$D,Raw_Observations!$A:$A,C15,Raw_Observations!$B:$B,B15),""))</f>
        <v>7010000</v>
      </c>
      <c r="I15" s="9">
        <f t="shared" si="0"/>
        <v>7010000</v>
      </c>
      <c r="J15" s="9">
        <f>IFERROR(LOOKUP(2,1/((Order_History!$A$2:$A$200=A15)*(Order_History!$B$2:$B$200=B15)*(Order_History!$E$2:$E$200&lt;=E15)),Order_History!$G$2:$G$200),"")</f>
        <v>7015220</v>
      </c>
      <c r="K15" s="10">
        <f>IF(C15="","",IFERROR(SUMIFS(Pricing!$G:$G,Pricing!$A:$A,C15,Pricing!$B:$B,B15),""))</f>
        <v>1.2E-2</v>
      </c>
      <c r="L15" s="11">
        <f t="shared" si="1"/>
        <v>5220</v>
      </c>
      <c r="M15" s="7">
        <v>0</v>
      </c>
      <c r="N15" s="7">
        <v>0</v>
      </c>
      <c r="O15" s="11">
        <f t="shared" si="2"/>
        <v>5220</v>
      </c>
      <c r="P15" s="14">
        <f t="shared" si="3"/>
        <v>7.4465049928673329E-4</v>
      </c>
      <c r="Q15" s="15">
        <f t="shared" si="4"/>
        <v>4</v>
      </c>
      <c r="R15" s="12">
        <f t="shared" si="5"/>
        <v>7.0284040171880058E-2</v>
      </c>
    </row>
    <row r="16" spans="1:18">
      <c r="A16" s="2" t="str">
        <f>IF(Sell_History!A16="","",Sell_History!A16)</f>
        <v>L-00191</v>
      </c>
      <c r="B16" s="2" t="str">
        <f>IF(Sell_History!B16="","",Sell_History!B16)</f>
        <v>TP00575</v>
      </c>
      <c r="C16" s="8" t="str">
        <f>IF(A16="","",IFERROR(IF(INDEX(Buy_History!$D:$D,MATCH(A16,Buy_History!$A:$A,0))="",A16,INDEX(Buy_History!$D:$D,MATCH(A16,Buy_History!$A:$A,0))),A16))</f>
        <v>L-0019</v>
      </c>
      <c r="D16" s="13">
        <f>IF(C16="","",IFERROR(INDEX(Buy_History!$C:$C,MATCH(C16,Buy_History!$A:$A,0)),""))</f>
        <v>46262</v>
      </c>
      <c r="E16" s="13">
        <f>IF(A16="","",IFERROR(SUMIFS(Sell_History!$D:$D,Sell_History!$A:$A,A16,Sell_History!$B:$B,B16),""))</f>
        <v>46269</v>
      </c>
      <c r="F16" s="9">
        <f>IF(A16="","",IF(SUMIFS(Sell_History!$E:$E,Sell_History!$A:$A,A16,Sell_History!$B:$B,B16)=0,"",SUMIFS(Sell_History!$E:$E,Sell_History!$A:$A,A16,Sell_History!$B:$B,B16)))</f>
        <v>22000000</v>
      </c>
      <c r="G16" s="9">
        <f>IF(C16="","",IFERROR(INDEX(Buy_History!$E:$E,MATCH(C16,Buy_History!$A:$A,0)),""))</f>
        <v>45000000</v>
      </c>
      <c r="H16" s="9">
        <f>IF(C16="","",IFERROR(SUMIFS(Raw_Observations!$D:$D,Raw_Observations!$A:$A,C16,Raw_Observations!$B:$B,B16),""))</f>
        <v>45016027</v>
      </c>
      <c r="I16" s="9">
        <f>IF(H16="","",IF(OR(F16="",G16="",G16=0),H16,H16*F16/G16))</f>
        <v>22007835.422222223</v>
      </c>
      <c r="J16" s="9">
        <f>IFERROR(LOOKUP(2,1/((Order_History!$A$2:$A$200=A16)*(Order_History!$B$2:$B$200=B16)*(Order_History!$E$2:$E$200&lt;=E16)),Order_History!$G$2:$G$200),"")</f>
        <v>22012000</v>
      </c>
      <c r="K16" s="10">
        <f>IF(C16="","",IFERROR(SUMIFS(Pricing!$G:$G,Pricing!$A:$A,C16,Pricing!$B:$B,B16),""))</f>
        <v>1.4999999999999999E-2</v>
      </c>
      <c r="L16" s="11">
        <f t="shared" si="1"/>
        <v>4164.5777777768672</v>
      </c>
      <c r="M16" s="7">
        <v>0</v>
      </c>
      <c r="N16" s="7">
        <v>0</v>
      </c>
      <c r="O16" s="11">
        <f t="shared" si="2"/>
        <v>4164.5777777768672</v>
      </c>
      <c r="P16" s="14">
        <f t="shared" si="3"/>
        <v>1.8923159401545327E-4</v>
      </c>
      <c r="Q16" s="15">
        <f t="shared" si="4"/>
        <v>7</v>
      </c>
      <c r="R16" s="12">
        <f t="shared" si="5"/>
        <v>9.9149733527459372E-3</v>
      </c>
    </row>
    <row r="17" spans="1:18">
      <c r="A17" s="2" t="str">
        <f>IF(Sell_History!A17="","",Sell_History!A17)</f>
        <v>L-00192</v>
      </c>
      <c r="B17" s="2" t="str">
        <f>IF(Sell_History!B17="","",Sell_History!B17)</f>
        <v>TP00575</v>
      </c>
      <c r="C17" s="8" t="str">
        <f>IF(A17="","",IFERROR(IF(INDEX(Buy_History!$D:$D,MATCH(A17,Buy_History!$A:$A,0))="",A17,INDEX(Buy_History!$D:$D,MATCH(A17,Buy_History!$A:$A,0))),A17))</f>
        <v>L-0019</v>
      </c>
      <c r="D17" s="13">
        <f>IF(C17="","",IFERROR(INDEX(Buy_History!$C:$C,MATCH(C17,Buy_History!$A:$A,0)),""))</f>
        <v>46262</v>
      </c>
      <c r="E17" s="13">
        <f>IF(A17="","",IFERROR(SUMIFS(Sell_History!$D:$D,Sell_History!$A:$A,A17,Sell_History!$B:$B,B17),""))</f>
        <v>46271</v>
      </c>
      <c r="F17" s="9">
        <f>IF(A17="","",IF(SUMIFS(Sell_History!$E:$E,Sell_History!$A:$A,A17,Sell_History!$B:$B,B17)=0,"",SUMIFS(Sell_History!$E:$E,Sell_History!$A:$A,A17,Sell_History!$B:$B,B17)))</f>
        <v>23000000</v>
      </c>
      <c r="G17" s="9">
        <f>IF(C17="","",IFERROR(INDEX(Buy_History!$E:$E,MATCH(C17,Buy_History!$A:$A,0)),""))</f>
        <v>45000000</v>
      </c>
      <c r="H17" s="9">
        <f>IF(C17="","",IFERROR(SUMIFS(Raw_Observations!$D:$D,Raw_Observations!$A:$A,C17,Raw_Observations!$B:$B,B17),""))</f>
        <v>45016027</v>
      </c>
      <c r="I17" s="9">
        <f t="shared" si="0"/>
        <v>23008191.577777777</v>
      </c>
      <c r="J17" s="9">
        <f>IFERROR(LOOKUP(2,1/((Order_History!$A$2:$A$200=A17)*(Order_History!$B$2:$B$200=B17)*(Order_History!$E$2:$E$200&lt;=E17)),Order_History!$G$2:$G$200),"")</f>
        <v>23083000</v>
      </c>
      <c r="K17" s="10">
        <f>IF(C17="","",IFERROR(SUMIFS(Pricing!$G:$G,Pricing!$A:$A,C17,Pricing!$B:$B,B17),""))</f>
        <v>1.4999999999999999E-2</v>
      </c>
      <c r="L17" s="11">
        <f t="shared" si="1"/>
        <v>74808.422222223133</v>
      </c>
      <c r="M17" s="7">
        <v>0</v>
      </c>
      <c r="N17" s="7">
        <v>0</v>
      </c>
      <c r="O17" s="11">
        <f t="shared" si="2"/>
        <v>74808.422222223133</v>
      </c>
      <c r="P17" s="14">
        <f t="shared" si="3"/>
        <v>3.2513820988206684E-3</v>
      </c>
      <c r="Q17" s="15">
        <f t="shared" si="4"/>
        <v>9</v>
      </c>
      <c r="R17" s="12">
        <f t="shared" si="5"/>
        <v>0.14070638289833459</v>
      </c>
    </row>
    <row r="18" spans="1:18">
      <c r="A18" s="2" t="str">
        <f>IF(Sell_History!A18="","",Sell_History!A18)</f>
        <v>L-0020</v>
      </c>
      <c r="B18" s="2" t="str">
        <f>IF(Sell_History!B18="","",Sell_History!B18)</f>
        <v>TP00658</v>
      </c>
      <c r="C18" s="8" t="str">
        <f>IF(A18="","",IFERROR(INDEX(Buy_History!#REF!,MATCH(A18,Buy_History!$A:$A,0)),A18))</f>
        <v>L-0020</v>
      </c>
      <c r="D18" s="13">
        <f>IF(C18="","",IFERROR(INDEX(Buy_History!$C:$C,MATCH(C18,Buy_History!$A:$A,0)),""))</f>
        <v>46280</v>
      </c>
      <c r="E18" s="13">
        <f>IF(A18="","",IFERROR(SUMIFS(Sell_History!$D:$D,Sell_History!$A:$A,A18,Sell_History!$B:$B,B18),""))</f>
        <v>46284</v>
      </c>
      <c r="F18" s="9" t="str">
        <f>IF(A18="","",IF(SUMIFS(Sell_History!$E:$E,Sell_History!$A:$A,A18,Sell_History!$B:$B,B18)=0,"",SUMIFS(Sell_History!$E:$E,Sell_History!$A:$A,A18,Sell_History!$B:$B,B18)))</f>
        <v/>
      </c>
      <c r="G18" s="9">
        <f>IF(C18="","",IFERROR(INDEX(Buy_History!$E:$E,MATCH(C18,Buy_History!$A:$A,0)),""))</f>
        <v>0</v>
      </c>
      <c r="H18" s="9">
        <f>IF(C18="","",IFERROR(SUMIFS(Raw_Observations!$D:$D,Raw_Observations!$A:$A,C18,Raw_Observations!$B:$B,B18),""))</f>
        <v>19091800</v>
      </c>
      <c r="I18" s="9">
        <f t="shared" si="0"/>
        <v>19091800</v>
      </c>
      <c r="J18" s="9">
        <f>IFERROR(LOOKUP(2,1/((Order_History!$A$2:$A$200=A18)*(Order_History!$B$2:$B$200=B18)*(Order_History!$E$2:$E$200&lt;=E18)),Order_History!$G$2:$G$200),"")</f>
        <v>19099703.185137503</v>
      </c>
      <c r="K18" s="10">
        <f>IF(C18="","",IFERROR(SUMIFS(Pricing!$G:$G,Pricing!$A:$A,C18,Pricing!$B:$B,B18),""))</f>
        <v>2.9499999999999998E-2</v>
      </c>
      <c r="L18" s="11">
        <f t="shared" si="1"/>
        <v>7903.1851375028491</v>
      </c>
      <c r="M18" s="7">
        <v>0</v>
      </c>
      <c r="N18" s="7">
        <v>0</v>
      </c>
      <c r="O18" s="11">
        <f t="shared" si="2"/>
        <v>7903.1851375028491</v>
      </c>
      <c r="P18" s="14">
        <f t="shared" si="3"/>
        <v>4.13957046349891E-4</v>
      </c>
      <c r="Q18" s="15">
        <f t="shared" si="4"/>
        <v>4</v>
      </c>
      <c r="R18" s="12">
        <f t="shared" si="5"/>
        <v>3.8487953451657564E-2</v>
      </c>
    </row>
    <row r="19" spans="1:18">
      <c r="A19" s="2" t="str">
        <f>IF(Sell_History!A19="","",Sell_History!A19)</f>
        <v>L-0021</v>
      </c>
      <c r="B19" s="2" t="str">
        <f>IF(Sell_History!B19="","",Sell_History!B19)</f>
        <v>TP00665</v>
      </c>
      <c r="C19" s="8" t="str">
        <f>IF(A19="","",IFERROR(INDEX(Buy_History!#REF!,MATCH(A19,Buy_History!$A:$A,0)),A19))</f>
        <v>L-0021</v>
      </c>
      <c r="D19" s="13">
        <f>IF(C19="","",IFERROR(INDEX(Buy_History!$C:$C,MATCH(C19,Buy_History!$A:$A,0)),""))</f>
        <v>46280</v>
      </c>
      <c r="E19" s="13">
        <f>IF(A19="","",IFERROR(SUMIFS(Sell_History!$D:$D,Sell_History!$A:$A,A19,Sell_History!$B:$B,B19),""))</f>
        <v>46284</v>
      </c>
      <c r="F19" s="9" t="str">
        <f>IF(A19="","",IF(SUMIFS(Sell_History!$E:$E,Sell_History!$A:$A,A19,Sell_History!$B:$B,B19)=0,"",SUMIFS(Sell_History!$E:$E,Sell_History!$A:$A,A19,Sell_History!$B:$B,B19)))</f>
        <v/>
      </c>
      <c r="G19" s="9">
        <f>IF(C19="","",IFERROR(INDEX(Buy_History!$E:$E,MATCH(C19,Buy_History!$A:$A,0)),""))</f>
        <v>0</v>
      </c>
      <c r="H19" s="9">
        <f>IF(C19="","",IFERROR(SUMIFS(Raw_Observations!$D:$D,Raw_Observations!$A:$A,C19,Raw_Observations!$B:$B,B19),""))</f>
        <v>14986000</v>
      </c>
      <c r="I19" s="9">
        <f t="shared" si="0"/>
        <v>14986000</v>
      </c>
      <c r="J19" s="9">
        <f>IFERROR(LOOKUP(2,1/((Order_History!$A$2:$A$200=A19)*(Order_History!$B$2:$B$200=B19)*(Order_History!$E$2:$E$200&lt;=E19)),Order_History!$G$2:$G$200),"")</f>
        <v>14992239.930786179</v>
      </c>
      <c r="K19" s="10">
        <f>IF(C19="","",IFERROR(SUMIFS(Pricing!$G:$G,Pricing!$A:$A,C19,Pricing!$B:$B,B19),""))</f>
        <v>2.9499999999999998E-2</v>
      </c>
      <c r="L19" s="11">
        <f t="shared" si="1"/>
        <v>6239.9307861793786</v>
      </c>
      <c r="M19" s="7">
        <v>0</v>
      </c>
      <c r="N19" s="7">
        <v>0</v>
      </c>
      <c r="O19" s="11">
        <f t="shared" si="2"/>
        <v>6239.9307861793786</v>
      </c>
      <c r="P19" s="14">
        <f t="shared" si="3"/>
        <v>4.1638401082205918E-4</v>
      </c>
      <c r="Q19" s="15">
        <f t="shared" si="4"/>
        <v>4</v>
      </c>
      <c r="R19" s="12">
        <f t="shared" si="5"/>
        <v>3.8717867525416061E-2</v>
      </c>
    </row>
    <row r="20" spans="1:18">
      <c r="A20" s="2" t="str">
        <f>IF(Sell_History!A20="","",Sell_History!A20)</f>
        <v>L-0022</v>
      </c>
      <c r="B20" s="2" t="str">
        <f>IF(Sell_History!B20="","",Sell_History!B20)</f>
        <v>TP60268</v>
      </c>
      <c r="C20" s="8" t="str">
        <f>IF(A20="","",IFERROR(INDEX(Buy_History!#REF!,MATCH(A20,Buy_History!$A:$A,0)),A20))</f>
        <v>L-0022</v>
      </c>
      <c r="D20" s="13">
        <f>IF(C20="","",IFERROR(INDEX(Buy_History!$C:$C,MATCH(C20,Buy_History!$A:$A,0)),""))</f>
        <v>46282</v>
      </c>
      <c r="E20" s="13">
        <f>IF(A20="","",IFERROR(SUMIFS(Sell_History!$D:$D,Sell_History!$A:$A,A20,Sell_History!$B:$B,B20),""))</f>
        <v>46283</v>
      </c>
      <c r="F20" s="9" t="str">
        <f>IF(A20="","",IF(SUMIFS(Sell_History!$E:$E,Sell_History!$A:$A,A20,Sell_History!$B:$B,B20)=0,"",SUMIFS(Sell_History!$E:$E,Sell_History!$A:$A,A20,Sell_History!$B:$B,B20)))</f>
        <v/>
      </c>
      <c r="G20" s="9">
        <f>IF(C20="","",IFERROR(INDEX(Buy_History!$E:$E,MATCH(C20,Buy_History!$A:$A,0)),""))</f>
        <v>0</v>
      </c>
      <c r="H20" s="9">
        <f>IF(C20="","",IFERROR(SUMIFS(Raw_Observations!$D:$D,Raw_Observations!$A:$A,C20,Raw_Observations!$B:$B,B20),""))</f>
        <v>9945000</v>
      </c>
      <c r="I20" s="9">
        <f t="shared" si="0"/>
        <v>9945000</v>
      </c>
      <c r="J20" s="9">
        <f>IFERROR(LOOKUP(2,1/((Order_History!$A$2:$A$200=A20)*(Order_History!$B$2:$B$200=B20)*(Order_History!$E$2:$E$200&lt;=E20)),Order_History!$G$2:$G$200),"")</f>
        <v>9950000</v>
      </c>
      <c r="K20" s="10">
        <f>IF(C20="","",IFERROR(SUMIFS(Pricing!$G:$G,Pricing!$A:$A,C20,Pricing!$B:$B,B20),""))</f>
        <v>0</v>
      </c>
      <c r="L20" s="11">
        <f t="shared" si="1"/>
        <v>5000</v>
      </c>
      <c r="M20" s="7">
        <v>0</v>
      </c>
      <c r="N20" s="7">
        <v>0</v>
      </c>
      <c r="O20" s="11">
        <f t="shared" si="2"/>
        <v>5000</v>
      </c>
      <c r="P20" s="14">
        <f t="shared" si="3"/>
        <v>5.0276520864756154E-4</v>
      </c>
      <c r="Q20" s="15">
        <f t="shared" si="4"/>
        <v>1</v>
      </c>
      <c r="R20" s="12">
        <f t="shared" si="5"/>
        <v>0.20137073681455431</v>
      </c>
    </row>
    <row r="21" spans="1:18">
      <c r="A21" s="2" t="str">
        <f>IF(Sell_History!A21="","",Sell_History!A21)</f>
        <v/>
      </c>
      <c r="B21" s="2" t="str">
        <f>IF(Sell_History!B21="","",Sell_History!B21)</f>
        <v/>
      </c>
      <c r="C21" s="8" t="str">
        <f>IF(A21="","",IFERROR(INDEX(Buy_History!#REF!,MATCH(A21,Buy_History!$A:$A,0)),A21))</f>
        <v/>
      </c>
      <c r="D21" s="13" t="str">
        <f>IF(C21="","",IFERROR(INDEX(Buy_History!$C:$C,MATCH(C21,Buy_History!$A:$A,0)),""))</f>
        <v/>
      </c>
      <c r="E21" s="13" t="str">
        <f>IF(A21="","",IFERROR(SUMIFS(Sell_History!$D:$D,Sell_History!$A:$A,A21,Sell_History!$B:$B,B21),""))</f>
        <v/>
      </c>
      <c r="F21" s="9" t="str">
        <f>IF(A21="","",IF(SUMIFS(Sell_History!$E:$E,Sell_History!$A:$A,A21,Sell_History!$B:$B,B21)=0,"",SUMIFS(Sell_History!$E:$E,Sell_History!$A:$A,A21,Sell_History!$B:$B,B21)))</f>
        <v/>
      </c>
      <c r="G21" s="9" t="str">
        <f>IF(C21="","",IFERROR(INDEX(Buy_History!$E:$E,MATCH(C21,Buy_History!$A:$A,0)),""))</f>
        <v/>
      </c>
      <c r="H21" s="9" t="str">
        <f>IF(C21="","",IFERROR(SUMIFS(Raw_Observations!$D:$D,Raw_Observations!$A:$A,C21,Raw_Observations!$B:$B,B21),""))</f>
        <v/>
      </c>
      <c r="I21" s="9" t="str">
        <f t="shared" si="0"/>
        <v/>
      </c>
      <c r="J21" s="9">
        <f>IFERROR(LOOKUP(2,1/((Order_History!$A$2:$A$200=A21)*(Order_History!$B$2:$B$200=B21)*(Order_History!$E$2:$E$200&lt;=E21)),Order_History!$G$2:$G$200),"")</f>
        <v>0</v>
      </c>
      <c r="K21" s="10" t="str">
        <f>IF(C21="","",IFERROR(SUMIFS(Pricing!$G:$G,Pricing!$A:$A,C21,Pricing!$B:$B,B21),""))</f>
        <v/>
      </c>
      <c r="L21" s="11" t="str">
        <f t="shared" si="1"/>
        <v/>
      </c>
      <c r="M21" s="7">
        <v>0</v>
      </c>
      <c r="N21" s="7">
        <v>0</v>
      </c>
      <c r="O21" s="11" t="str">
        <f t="shared" si="2"/>
        <v/>
      </c>
      <c r="P21" s="14" t="str">
        <f t="shared" si="3"/>
        <v/>
      </c>
      <c r="Q21" s="15" t="str">
        <f t="shared" si="4"/>
        <v/>
      </c>
      <c r="R21" s="12" t="str">
        <f t="shared" si="5"/>
        <v/>
      </c>
    </row>
    <row r="22" spans="1:18">
      <c r="A22" s="2" t="str">
        <f>IF(Sell_History!A22="","",Sell_History!A22)</f>
        <v/>
      </c>
      <c r="B22" s="2" t="str">
        <f>IF(Sell_History!B22="","",Sell_History!B22)</f>
        <v/>
      </c>
      <c r="C22" s="8" t="str">
        <f>IF(A22="","",IFERROR(INDEX(Buy_History!#REF!,MATCH(A22,Buy_History!$A:$A,0)),A22))</f>
        <v/>
      </c>
      <c r="D22" s="13" t="str">
        <f>IF(C22="","",IFERROR(INDEX(Buy_History!$C:$C,MATCH(C22,Buy_History!$A:$A,0)),""))</f>
        <v/>
      </c>
      <c r="E22" s="13" t="str">
        <f>IF(A22="","",IFERROR(SUMIFS(Sell_History!$D:$D,Sell_History!$A:$A,A22,Sell_History!$B:$B,B22),""))</f>
        <v/>
      </c>
      <c r="F22" s="9" t="str">
        <f>IF(A22="","",IF(SUMIFS(Sell_History!$E:$E,Sell_History!$A:$A,A22,Sell_History!$B:$B,B22)=0,"",SUMIFS(Sell_History!$E:$E,Sell_History!$A:$A,A22,Sell_History!$B:$B,B22)))</f>
        <v/>
      </c>
      <c r="G22" s="9" t="str">
        <f>IF(C22="","",IFERROR(INDEX(Buy_History!$E:$E,MATCH(C22,Buy_History!$A:$A,0)),""))</f>
        <v/>
      </c>
      <c r="H22" s="9" t="str">
        <f>IF(C22="","",IFERROR(SUMIFS(Raw_Observations!$D:$D,Raw_Observations!$A:$A,C22,Raw_Observations!$B:$B,B22),""))</f>
        <v/>
      </c>
      <c r="I22" s="9" t="str">
        <f t="shared" si="0"/>
        <v/>
      </c>
      <c r="J22" s="9">
        <f>IFERROR(LOOKUP(2,1/((Order_History!$A$2:$A$200=A22)*(Order_History!$B$2:$B$200=B22)*(Order_History!$E$2:$E$200&lt;=E22)),Order_History!$G$2:$G$200),"")</f>
        <v>0</v>
      </c>
      <c r="K22" s="10" t="str">
        <f>IF(C22="","",IFERROR(SUMIFS(Pricing!$G:$G,Pricing!$A:$A,C22,Pricing!$B:$B,B22),""))</f>
        <v/>
      </c>
      <c r="L22" s="11" t="str">
        <f t="shared" si="1"/>
        <v/>
      </c>
      <c r="M22" s="7">
        <v>0</v>
      </c>
      <c r="N22" s="7">
        <v>0</v>
      </c>
      <c r="O22" s="11" t="str">
        <f t="shared" si="2"/>
        <v/>
      </c>
      <c r="P22" s="14" t="str">
        <f t="shared" si="3"/>
        <v/>
      </c>
      <c r="Q22" s="15" t="str">
        <f t="shared" si="4"/>
        <v/>
      </c>
      <c r="R22" s="12" t="str">
        <f t="shared" si="5"/>
        <v/>
      </c>
    </row>
    <row r="23" spans="1:18">
      <c r="A23" s="2" t="str">
        <f>IF(Sell_History!A23="","",Sell_History!A23)</f>
        <v/>
      </c>
      <c r="B23" s="2" t="str">
        <f>IF(Sell_History!B23="","",Sell_History!B23)</f>
        <v/>
      </c>
      <c r="C23" s="8" t="str">
        <f>IF(A23="","",IFERROR(INDEX(Buy_History!#REF!,MATCH(A23,Buy_History!$A:$A,0)),A23))</f>
        <v/>
      </c>
      <c r="D23" s="13" t="str">
        <f>IF(C23="","",IFERROR(INDEX(Buy_History!$C:$C,MATCH(C23,Buy_History!$A:$A,0)),""))</f>
        <v/>
      </c>
      <c r="E23" s="13" t="str">
        <f>IF(A23="","",IFERROR(SUMIFS(Sell_History!$D:$D,Sell_History!$A:$A,A23,Sell_History!$B:$B,B23),""))</f>
        <v/>
      </c>
      <c r="F23" s="9" t="str">
        <f>IF(A23="","",IF(SUMIFS(Sell_History!$E:$E,Sell_History!$A:$A,A23,Sell_History!$B:$B,B23)=0,"",SUMIFS(Sell_History!$E:$E,Sell_History!$A:$A,A23,Sell_History!$B:$B,B23)))</f>
        <v/>
      </c>
      <c r="G23" s="9" t="str">
        <f>IF(C23="","",IFERROR(INDEX(Buy_History!$E:$E,MATCH(C23,Buy_History!$A:$A,0)),""))</f>
        <v/>
      </c>
      <c r="H23" s="9" t="str">
        <f>IF(C23="","",IFERROR(SUMIFS(Raw_Observations!$D:$D,Raw_Observations!$A:$A,C23,Raw_Observations!$B:$B,B23),""))</f>
        <v/>
      </c>
      <c r="I23" s="9" t="str">
        <f t="shared" si="0"/>
        <v/>
      </c>
      <c r="J23" s="9">
        <f>IFERROR(LOOKUP(2,1/((Order_History!$A$2:$A$200=A23)*(Order_History!$B$2:$B$200=B23)*(Order_History!$E$2:$E$200&lt;=E23)),Order_History!$G$2:$G$200),"")</f>
        <v>0</v>
      </c>
      <c r="K23" s="10" t="str">
        <f>IF(C23="","",IFERROR(SUMIFS(Pricing!$G:$G,Pricing!$A:$A,C23,Pricing!$B:$B,B23),""))</f>
        <v/>
      </c>
      <c r="L23" s="11" t="str">
        <f t="shared" si="1"/>
        <v/>
      </c>
      <c r="M23" s="7">
        <v>0</v>
      </c>
      <c r="N23" s="7">
        <v>0</v>
      </c>
      <c r="O23" s="11" t="str">
        <f t="shared" si="2"/>
        <v/>
      </c>
      <c r="P23" s="14" t="str">
        <f t="shared" si="3"/>
        <v/>
      </c>
      <c r="Q23" s="15" t="str">
        <f t="shared" si="4"/>
        <v/>
      </c>
      <c r="R23" s="12" t="str">
        <f t="shared" si="5"/>
        <v/>
      </c>
    </row>
    <row r="24" spans="1:18">
      <c r="A24" s="2" t="str">
        <f>IF(Sell_History!A24="","",Sell_History!A24)</f>
        <v/>
      </c>
      <c r="B24" s="2" t="str">
        <f>IF(Sell_History!B24="","",Sell_History!B24)</f>
        <v/>
      </c>
      <c r="C24" s="8" t="str">
        <f>IF(A24="","",IFERROR(INDEX(Buy_History!#REF!,MATCH(A24,Buy_History!$A:$A,0)),A24))</f>
        <v/>
      </c>
      <c r="D24" s="13" t="str">
        <f>IF(C24="","",IFERROR(INDEX(Buy_History!$C:$C,MATCH(C24,Buy_History!$A:$A,0)),""))</f>
        <v/>
      </c>
      <c r="E24" s="13" t="str">
        <f>IF(A24="","",IFERROR(SUMIFS(Sell_History!$D:$D,Sell_History!$A:$A,A24,Sell_History!$B:$B,B24),""))</f>
        <v/>
      </c>
      <c r="F24" s="9" t="str">
        <f>IF(A24="","",IF(SUMIFS(Sell_History!$E:$E,Sell_History!$A:$A,A24,Sell_History!$B:$B,B24)=0,"",SUMIFS(Sell_History!$E:$E,Sell_History!$A:$A,A24,Sell_History!$B:$B,B24)))</f>
        <v/>
      </c>
      <c r="G24" s="9" t="str">
        <f>IF(C24="","",IFERROR(INDEX(Buy_History!$E:$E,MATCH(C24,Buy_History!$A:$A,0)),""))</f>
        <v/>
      </c>
      <c r="H24" s="9" t="str">
        <f>IF(C24="","",IFERROR(SUMIFS(Raw_Observations!$D:$D,Raw_Observations!$A:$A,C24,Raw_Observations!$B:$B,B24),""))</f>
        <v/>
      </c>
      <c r="I24" s="9" t="str">
        <f t="shared" si="0"/>
        <v/>
      </c>
      <c r="J24" s="9">
        <f>IFERROR(LOOKUP(2,1/((Order_History!$A$2:$A$200=A24)*(Order_History!$B$2:$B$200=B24)*(Order_History!$E$2:$E$200&lt;=E24)),Order_History!$G$2:$G$200),"")</f>
        <v>0</v>
      </c>
      <c r="K24" s="10" t="str">
        <f>IF(C24="","",IFERROR(SUMIFS(Pricing!$G:$G,Pricing!$A:$A,C24,Pricing!$B:$B,B24),""))</f>
        <v/>
      </c>
      <c r="L24" s="11" t="str">
        <f t="shared" si="1"/>
        <v/>
      </c>
      <c r="M24" s="7">
        <v>0</v>
      </c>
      <c r="N24" s="7">
        <v>0</v>
      </c>
      <c r="O24" s="11" t="str">
        <f t="shared" si="2"/>
        <v/>
      </c>
      <c r="P24" s="14" t="str">
        <f t="shared" si="3"/>
        <v/>
      </c>
      <c r="Q24" s="15" t="str">
        <f t="shared" si="4"/>
        <v/>
      </c>
      <c r="R24" s="12" t="str">
        <f t="shared" si="5"/>
        <v/>
      </c>
    </row>
    <row r="25" spans="1:18">
      <c r="A25" s="2" t="str">
        <f>IF(Sell_History!A25="","",Sell_History!A25)</f>
        <v/>
      </c>
      <c r="B25" s="2" t="str">
        <f>IF(Sell_History!B25="","",Sell_History!B25)</f>
        <v/>
      </c>
      <c r="C25" s="8" t="str">
        <f>IF(A25="","",IFERROR(INDEX(Buy_History!#REF!,MATCH(A25,Buy_History!$A:$A,0)),A25))</f>
        <v/>
      </c>
      <c r="D25" s="13" t="str">
        <f>IF(C25="","",IFERROR(INDEX(Buy_History!$C:$C,MATCH(C25,Buy_History!$A:$A,0)),""))</f>
        <v/>
      </c>
      <c r="E25" s="13" t="str">
        <f>IF(A25="","",IFERROR(SUMIFS(Sell_History!$D:$D,Sell_History!$A:$A,A25,Sell_History!$B:$B,B25),""))</f>
        <v/>
      </c>
      <c r="F25" s="9" t="str">
        <f>IF(A25="","",IF(SUMIFS(Sell_History!$E:$E,Sell_History!$A:$A,A25,Sell_History!$B:$B,B25)=0,"",SUMIFS(Sell_History!$E:$E,Sell_History!$A:$A,A25,Sell_History!$B:$B,B25)))</f>
        <v/>
      </c>
      <c r="G25" s="9" t="str">
        <f>IF(C25="","",IFERROR(INDEX(Buy_History!$E:$E,MATCH(C25,Buy_History!$A:$A,0)),""))</f>
        <v/>
      </c>
      <c r="H25" s="9" t="str">
        <f>IF(C25="","",IFERROR(SUMIFS(Raw_Observations!$D:$D,Raw_Observations!$A:$A,C25,Raw_Observations!$B:$B,B25),""))</f>
        <v/>
      </c>
      <c r="I25" s="9" t="str">
        <f t="shared" si="0"/>
        <v/>
      </c>
      <c r="J25" s="9">
        <f>IFERROR(LOOKUP(2,1/((Order_History!$A$2:$A$200=A25)*(Order_History!$B$2:$B$200=B25)*(Order_History!$E$2:$E$200&lt;=E25)),Order_History!$G$2:$G$200),"")</f>
        <v>0</v>
      </c>
      <c r="K25" s="10" t="str">
        <f>IF(C25="","",IFERROR(SUMIFS(Pricing!$G:$G,Pricing!$A:$A,C25,Pricing!$B:$B,B25),""))</f>
        <v/>
      </c>
      <c r="L25" s="11" t="str">
        <f t="shared" si="1"/>
        <v/>
      </c>
      <c r="M25" s="7">
        <v>0</v>
      </c>
      <c r="N25" s="7">
        <v>0</v>
      </c>
      <c r="O25" s="11" t="str">
        <f t="shared" si="2"/>
        <v/>
      </c>
      <c r="P25" s="14" t="str">
        <f t="shared" si="3"/>
        <v/>
      </c>
      <c r="Q25" s="15" t="str">
        <f t="shared" si="4"/>
        <v/>
      </c>
      <c r="R25" s="12" t="str">
        <f t="shared" si="5"/>
        <v/>
      </c>
    </row>
    <row r="26" spans="1:18">
      <c r="A26" s="2" t="str">
        <f>IF(Sell_History!A26="","",Sell_History!A26)</f>
        <v/>
      </c>
      <c r="B26" s="2" t="str">
        <f>IF(Sell_History!B26="","",Sell_History!B26)</f>
        <v/>
      </c>
      <c r="C26" s="8" t="str">
        <f>IF(A26="","",IFERROR(INDEX(Buy_History!#REF!,MATCH(A26,Buy_History!$A:$A,0)),A26))</f>
        <v/>
      </c>
      <c r="D26" s="13" t="str">
        <f>IF(C26="","",IFERROR(INDEX(Buy_History!$C:$C,MATCH(C26,Buy_History!$A:$A,0)),""))</f>
        <v/>
      </c>
      <c r="E26" s="13" t="str">
        <f>IF(A26="","",IFERROR(SUMIFS(Sell_History!$D:$D,Sell_History!$A:$A,A26,Sell_History!$B:$B,B26),""))</f>
        <v/>
      </c>
      <c r="F26" s="9" t="str">
        <f>IF(A26="","",IF(SUMIFS(Sell_History!$E:$E,Sell_History!$A:$A,A26,Sell_History!$B:$B,B26)=0,"",SUMIFS(Sell_History!$E:$E,Sell_History!$A:$A,A26,Sell_History!$B:$B,B26)))</f>
        <v/>
      </c>
      <c r="G26" s="9" t="str">
        <f>IF(C26="","",IFERROR(INDEX(Buy_History!$E:$E,MATCH(C26,Buy_History!$A:$A,0)),""))</f>
        <v/>
      </c>
      <c r="H26" s="9" t="str">
        <f>IF(C26="","",IFERROR(SUMIFS(Raw_Observations!$D:$D,Raw_Observations!$A:$A,C26,Raw_Observations!$B:$B,B26),""))</f>
        <v/>
      </c>
      <c r="I26" s="9" t="str">
        <f t="shared" si="0"/>
        <v/>
      </c>
      <c r="J26" s="9">
        <f>IFERROR(LOOKUP(2,1/((Order_History!$A$2:$A$200=A26)*(Order_History!$B$2:$B$200=B26)*(Order_History!$E$2:$E$200&lt;=E26)),Order_History!$G$2:$G$200),"")</f>
        <v>0</v>
      </c>
      <c r="K26" s="10" t="str">
        <f>IF(C26="","",IFERROR(SUMIFS(Pricing!$G:$G,Pricing!$A:$A,C26,Pricing!$B:$B,B26),""))</f>
        <v/>
      </c>
      <c r="L26" s="11" t="str">
        <f t="shared" si="1"/>
        <v/>
      </c>
      <c r="M26" s="7">
        <v>0</v>
      </c>
      <c r="N26" s="7">
        <v>0</v>
      </c>
      <c r="O26" s="11" t="str">
        <f t="shared" si="2"/>
        <v/>
      </c>
      <c r="P26" s="14" t="str">
        <f t="shared" si="3"/>
        <v/>
      </c>
      <c r="Q26" s="15" t="str">
        <f t="shared" si="4"/>
        <v/>
      </c>
      <c r="R26" s="12" t="str">
        <f t="shared" si="5"/>
        <v/>
      </c>
    </row>
    <row r="27" spans="1:18">
      <c r="A27" s="2" t="str">
        <f>IF(Sell_History!A27="","",Sell_History!A27)</f>
        <v/>
      </c>
      <c r="B27" s="2" t="str">
        <f>IF(Sell_History!B27="","",Sell_History!B27)</f>
        <v/>
      </c>
      <c r="C27" s="8" t="str">
        <f>IF(A27="","",IFERROR(INDEX(Buy_History!#REF!,MATCH(A27,Buy_History!$A:$A,0)),A27))</f>
        <v/>
      </c>
      <c r="D27" s="13" t="str">
        <f>IF(C27="","",IFERROR(INDEX(Buy_History!$C:$C,MATCH(C27,Buy_History!$A:$A,0)),""))</f>
        <v/>
      </c>
      <c r="E27" s="13" t="str">
        <f>IF(A27="","",IFERROR(SUMIFS(Sell_History!$D:$D,Sell_History!$A:$A,A27,Sell_History!$B:$B,B27),""))</f>
        <v/>
      </c>
      <c r="F27" s="9" t="str">
        <f>IF(A27="","",IF(SUMIFS(Sell_History!$E:$E,Sell_History!$A:$A,A27,Sell_History!$B:$B,B27)=0,"",SUMIFS(Sell_History!$E:$E,Sell_History!$A:$A,A27,Sell_History!$B:$B,B27)))</f>
        <v/>
      </c>
      <c r="G27" s="9" t="str">
        <f>IF(C27="","",IFERROR(INDEX(Buy_History!$E:$E,MATCH(C27,Buy_History!$A:$A,0)),""))</f>
        <v/>
      </c>
      <c r="H27" s="9" t="str">
        <f>IF(C27="","",IFERROR(SUMIFS(Raw_Observations!$D:$D,Raw_Observations!$A:$A,C27,Raw_Observations!$B:$B,B27),""))</f>
        <v/>
      </c>
      <c r="I27" s="9" t="str">
        <f t="shared" si="0"/>
        <v/>
      </c>
      <c r="J27" s="9">
        <f>IFERROR(LOOKUP(2,1/((Order_History!$A$2:$A$200=A27)*(Order_History!$B$2:$B$200=B27)*(Order_History!$E$2:$E$200&lt;=E27)),Order_History!$G$2:$G$200),"")</f>
        <v>0</v>
      </c>
      <c r="K27" s="10" t="str">
        <f>IF(C27="","",IFERROR(SUMIFS(Pricing!$G:$G,Pricing!$A:$A,C27,Pricing!$B:$B,B27),""))</f>
        <v/>
      </c>
      <c r="L27" s="11" t="str">
        <f t="shared" si="1"/>
        <v/>
      </c>
      <c r="M27" s="7">
        <v>0</v>
      </c>
      <c r="N27" s="7">
        <v>0</v>
      </c>
      <c r="O27" s="11" t="str">
        <f t="shared" si="2"/>
        <v/>
      </c>
      <c r="P27" s="14" t="str">
        <f t="shared" si="3"/>
        <v/>
      </c>
      <c r="Q27" s="15" t="str">
        <f t="shared" si="4"/>
        <v/>
      </c>
      <c r="R27" s="12" t="str">
        <f t="shared" si="5"/>
        <v/>
      </c>
    </row>
    <row r="28" spans="1:18">
      <c r="A28" s="2" t="str">
        <f>IF(Sell_History!A28="","",Sell_History!A28)</f>
        <v/>
      </c>
      <c r="B28" s="2" t="str">
        <f>IF(Sell_History!B28="","",Sell_History!B28)</f>
        <v/>
      </c>
      <c r="C28" s="8" t="str">
        <f>IF(A28="","",IFERROR(INDEX(Buy_History!#REF!,MATCH(A28,Buy_History!$A:$A,0)),A28))</f>
        <v/>
      </c>
      <c r="D28" s="13" t="str">
        <f>IF(C28="","",IFERROR(INDEX(Buy_History!$C:$C,MATCH(C28,Buy_History!$A:$A,0)),""))</f>
        <v/>
      </c>
      <c r="E28" s="13" t="str">
        <f>IF(A28="","",IFERROR(SUMIFS(Sell_History!$D:$D,Sell_History!$A:$A,A28,Sell_History!$B:$B,B28),""))</f>
        <v/>
      </c>
      <c r="F28" s="9" t="str">
        <f>IF(A28="","",IF(SUMIFS(Sell_History!$E:$E,Sell_History!$A:$A,A28,Sell_History!$B:$B,B28)=0,"",SUMIFS(Sell_History!$E:$E,Sell_History!$A:$A,A28,Sell_History!$B:$B,B28)))</f>
        <v/>
      </c>
      <c r="G28" s="9" t="str">
        <f>IF(C28="","",IFERROR(INDEX(Buy_History!$E:$E,MATCH(C28,Buy_History!$A:$A,0)),""))</f>
        <v/>
      </c>
      <c r="H28" s="9" t="str">
        <f>IF(C28="","",IFERROR(SUMIFS(Raw_Observations!$D:$D,Raw_Observations!$A:$A,C28,Raw_Observations!$B:$B,B28),""))</f>
        <v/>
      </c>
      <c r="I28" s="9" t="str">
        <f t="shared" si="0"/>
        <v/>
      </c>
      <c r="J28" s="9">
        <f>IFERROR(LOOKUP(2,1/((Order_History!$A$2:$A$200=A28)*(Order_History!$B$2:$B$200=B28)*(Order_History!$E$2:$E$200&lt;=E28)),Order_History!$G$2:$G$200),"")</f>
        <v>0</v>
      </c>
      <c r="K28" s="10" t="str">
        <f>IF(C28="","",IFERROR(SUMIFS(Pricing!$G:$G,Pricing!$A:$A,C28,Pricing!$B:$B,B28),""))</f>
        <v/>
      </c>
      <c r="L28" s="11" t="str">
        <f t="shared" si="1"/>
        <v/>
      </c>
      <c r="M28" s="7">
        <v>0</v>
      </c>
      <c r="N28" s="7">
        <v>0</v>
      </c>
      <c r="O28" s="11" t="str">
        <f t="shared" si="2"/>
        <v/>
      </c>
      <c r="P28" s="14" t="str">
        <f t="shared" si="3"/>
        <v/>
      </c>
      <c r="Q28" s="15" t="str">
        <f t="shared" si="4"/>
        <v/>
      </c>
      <c r="R28" s="12" t="str">
        <f t="shared" si="5"/>
        <v/>
      </c>
    </row>
    <row r="29" spans="1:18">
      <c r="A29" s="2" t="str">
        <f>IF(Sell_History!A29="","",Sell_History!A29)</f>
        <v/>
      </c>
      <c r="B29" s="2" t="str">
        <f>IF(Sell_History!B29="","",Sell_History!B29)</f>
        <v/>
      </c>
      <c r="C29" s="8" t="str">
        <f>IF(A29="","",IFERROR(INDEX(Buy_History!#REF!,MATCH(A29,Buy_History!$A:$A,0)),A29))</f>
        <v/>
      </c>
      <c r="D29" s="13" t="str">
        <f>IF(C29="","",IFERROR(INDEX(Buy_History!$C:$C,MATCH(C29,Buy_History!$A:$A,0)),""))</f>
        <v/>
      </c>
      <c r="E29" s="13" t="str">
        <f>IF(A29="","",IFERROR(SUMIFS(Sell_History!$D:$D,Sell_History!$A:$A,A29,Sell_History!$B:$B,B29),""))</f>
        <v/>
      </c>
      <c r="F29" s="9" t="str">
        <f>IF(A29="","",IF(SUMIFS(Sell_History!$E:$E,Sell_History!$A:$A,A29,Sell_History!$B:$B,B29)=0,"",SUMIFS(Sell_History!$E:$E,Sell_History!$A:$A,A29,Sell_History!$B:$B,B29)))</f>
        <v/>
      </c>
      <c r="G29" s="9" t="str">
        <f>IF(C29="","",IFERROR(INDEX(Buy_History!$E:$E,MATCH(C29,Buy_History!$A:$A,0)),""))</f>
        <v/>
      </c>
      <c r="H29" s="9" t="str">
        <f>IF(C29="","",IFERROR(SUMIFS(Raw_Observations!$D:$D,Raw_Observations!$A:$A,C29,Raw_Observations!$B:$B,B29),""))</f>
        <v/>
      </c>
      <c r="I29" s="9" t="str">
        <f t="shared" si="0"/>
        <v/>
      </c>
      <c r="J29" s="9">
        <f>IFERROR(LOOKUP(2,1/((Order_History!$A$2:$A$200=A29)*(Order_History!$B$2:$B$200=B29)*(Order_History!$E$2:$E$200&lt;=E29)),Order_History!$G$2:$G$200),"")</f>
        <v>0</v>
      </c>
      <c r="K29" s="10" t="str">
        <f>IF(C29="","",IFERROR(SUMIFS(Pricing!$G:$G,Pricing!$A:$A,C29,Pricing!$B:$B,B29),""))</f>
        <v/>
      </c>
      <c r="L29" s="11" t="str">
        <f t="shared" si="1"/>
        <v/>
      </c>
      <c r="M29" s="7">
        <v>0</v>
      </c>
      <c r="N29" s="7">
        <v>0</v>
      </c>
      <c r="O29" s="11" t="str">
        <f t="shared" si="2"/>
        <v/>
      </c>
      <c r="P29" s="14" t="str">
        <f t="shared" si="3"/>
        <v/>
      </c>
      <c r="Q29" s="15" t="str">
        <f t="shared" si="4"/>
        <v/>
      </c>
      <c r="R29" s="12" t="str">
        <f t="shared" si="5"/>
        <v/>
      </c>
    </row>
    <row r="30" spans="1:18">
      <c r="A30" s="2" t="str">
        <f>IF(Sell_History!A30="","",Sell_History!A30)</f>
        <v/>
      </c>
      <c r="B30" s="2" t="str">
        <f>IF(Sell_History!B30="","",Sell_History!B30)</f>
        <v/>
      </c>
      <c r="C30" s="8" t="str">
        <f>IF(A30="","",IFERROR(INDEX(Buy_History!#REF!,MATCH(A30,Buy_History!$A:$A,0)),A30))</f>
        <v/>
      </c>
      <c r="D30" s="13" t="str">
        <f>IF(C30="","",IFERROR(INDEX(Buy_History!$C:$C,MATCH(C30,Buy_History!$A:$A,0)),""))</f>
        <v/>
      </c>
      <c r="E30" s="13" t="str">
        <f>IF(A30="","",IFERROR(SUMIFS(Sell_History!$D:$D,Sell_History!$A:$A,A30,Sell_History!$B:$B,B30),""))</f>
        <v/>
      </c>
      <c r="F30" s="9" t="str">
        <f>IF(A30="","",IF(SUMIFS(Sell_History!$E:$E,Sell_History!$A:$A,A30,Sell_History!$B:$B,B30)=0,"",SUMIFS(Sell_History!$E:$E,Sell_History!$A:$A,A30,Sell_History!$B:$B,B30)))</f>
        <v/>
      </c>
      <c r="G30" s="9" t="str">
        <f>IF(C30="","",IFERROR(INDEX(Buy_History!$E:$E,MATCH(C30,Buy_History!$A:$A,0)),""))</f>
        <v/>
      </c>
      <c r="H30" s="9" t="str">
        <f>IF(C30="","",IFERROR(SUMIFS(Raw_Observations!$D:$D,Raw_Observations!$A:$A,C30,Raw_Observations!$B:$B,B30),""))</f>
        <v/>
      </c>
      <c r="I30" s="9" t="str">
        <f t="shared" si="0"/>
        <v/>
      </c>
      <c r="J30" s="9">
        <f>IFERROR(LOOKUP(2,1/((Order_History!$A$2:$A$200=A30)*(Order_History!$B$2:$B$200=B30)*(Order_History!$E$2:$E$200&lt;=E30)),Order_History!$G$2:$G$200),"")</f>
        <v>0</v>
      </c>
      <c r="K30" s="10" t="str">
        <f>IF(C30="","",IFERROR(SUMIFS(Pricing!$G:$G,Pricing!$A:$A,C30,Pricing!$B:$B,B30),""))</f>
        <v/>
      </c>
      <c r="L30" s="11" t="str">
        <f t="shared" si="1"/>
        <v/>
      </c>
      <c r="M30" s="7">
        <v>0</v>
      </c>
      <c r="N30" s="7">
        <v>0</v>
      </c>
      <c r="O30" s="11" t="str">
        <f t="shared" si="2"/>
        <v/>
      </c>
      <c r="P30" s="14" t="str">
        <f t="shared" si="3"/>
        <v/>
      </c>
      <c r="Q30" s="15" t="str">
        <f t="shared" si="4"/>
        <v/>
      </c>
      <c r="R30" s="12" t="str">
        <f t="shared" si="5"/>
        <v/>
      </c>
    </row>
    <row r="31" spans="1:18">
      <c r="A31" s="2" t="str">
        <f>IF(Sell_History!A31="","",Sell_History!A31)</f>
        <v/>
      </c>
      <c r="B31" s="2" t="str">
        <f>IF(Sell_History!B31="","",Sell_History!B31)</f>
        <v/>
      </c>
      <c r="C31" s="8" t="str">
        <f>IF(A31="","",IFERROR(INDEX(Buy_History!#REF!,MATCH(A31,Buy_History!$A:$A,0)),A31))</f>
        <v/>
      </c>
      <c r="D31" s="13" t="str">
        <f>IF(C31="","",IFERROR(INDEX(Buy_History!$C:$C,MATCH(C31,Buy_History!$A:$A,0)),""))</f>
        <v/>
      </c>
      <c r="E31" s="13" t="str">
        <f>IF(A31="","",IFERROR(SUMIFS(Sell_History!$D:$D,Sell_History!$A:$A,A31,Sell_History!$B:$B,B31),""))</f>
        <v/>
      </c>
      <c r="F31" s="9" t="str">
        <f>IF(A31="","",IF(SUMIFS(Sell_History!$E:$E,Sell_History!$A:$A,A31,Sell_History!$B:$B,B31)=0,"",SUMIFS(Sell_History!$E:$E,Sell_History!$A:$A,A31,Sell_History!$B:$B,B31)))</f>
        <v/>
      </c>
      <c r="G31" s="9" t="str">
        <f>IF(C31="","",IFERROR(INDEX(Buy_History!$E:$E,MATCH(C31,Buy_History!$A:$A,0)),""))</f>
        <v/>
      </c>
      <c r="H31" s="9" t="str">
        <f>IF(C31="","",IFERROR(SUMIFS(Raw_Observations!$D:$D,Raw_Observations!$A:$A,C31,Raw_Observations!$B:$B,B31),""))</f>
        <v/>
      </c>
      <c r="I31" s="9" t="str">
        <f t="shared" si="0"/>
        <v/>
      </c>
      <c r="J31" s="9">
        <f>IFERROR(LOOKUP(2,1/((Order_History!$A$2:$A$200=A31)*(Order_History!$B$2:$B$200=B31)*(Order_History!$E$2:$E$200&lt;=E31)),Order_History!$G$2:$G$200),"")</f>
        <v>0</v>
      </c>
      <c r="K31" s="10" t="str">
        <f>IF(C31="","",IFERROR(SUMIFS(Pricing!$G:$G,Pricing!$A:$A,C31,Pricing!$B:$B,B31),""))</f>
        <v/>
      </c>
      <c r="L31" s="11" t="str">
        <f t="shared" si="1"/>
        <v/>
      </c>
      <c r="M31" s="7">
        <v>0</v>
      </c>
      <c r="N31" s="7">
        <v>0</v>
      </c>
      <c r="O31" s="11" t="str">
        <f t="shared" si="2"/>
        <v/>
      </c>
      <c r="P31" s="14" t="str">
        <f t="shared" si="3"/>
        <v/>
      </c>
      <c r="Q31" s="15" t="str">
        <f t="shared" si="4"/>
        <v/>
      </c>
      <c r="R31" s="12" t="str">
        <f t="shared" si="5"/>
        <v/>
      </c>
    </row>
    <row r="32" spans="1:18">
      <c r="A32" s="2" t="str">
        <f>IF(Sell_History!A32="","",Sell_History!A32)</f>
        <v/>
      </c>
      <c r="B32" s="2" t="str">
        <f>IF(Sell_History!B32="","",Sell_History!B32)</f>
        <v/>
      </c>
      <c r="C32" s="8" t="str">
        <f>IF(A32="","",IFERROR(INDEX(Buy_History!#REF!,MATCH(A32,Buy_History!$A:$A,0)),A32))</f>
        <v/>
      </c>
      <c r="D32" s="13" t="str">
        <f>IF(C32="","",IFERROR(INDEX(Buy_History!$C:$C,MATCH(C32,Buy_History!$A:$A,0)),""))</f>
        <v/>
      </c>
      <c r="E32" s="13" t="str">
        <f>IF(A32="","",IFERROR(SUMIFS(Sell_History!$D:$D,Sell_History!$A:$A,A32,Sell_History!$B:$B,B32),""))</f>
        <v/>
      </c>
      <c r="F32" s="9" t="str">
        <f>IF(A32="","",IF(SUMIFS(Sell_History!$E:$E,Sell_History!$A:$A,A32,Sell_History!$B:$B,B32)=0,"",SUMIFS(Sell_History!$E:$E,Sell_History!$A:$A,A32,Sell_History!$B:$B,B32)))</f>
        <v/>
      </c>
      <c r="G32" s="9" t="str">
        <f>IF(C32="","",IFERROR(INDEX(Buy_History!$E:$E,MATCH(C32,Buy_History!$A:$A,0)),""))</f>
        <v/>
      </c>
      <c r="H32" s="9" t="str">
        <f>IF(C32="","",IFERROR(SUMIFS(Raw_Observations!$D:$D,Raw_Observations!$A:$A,C32,Raw_Observations!$B:$B,B32),""))</f>
        <v/>
      </c>
      <c r="I32" s="9" t="str">
        <f t="shared" si="0"/>
        <v/>
      </c>
      <c r="J32" s="9">
        <f>IFERROR(LOOKUP(2,1/((Order_History!$A$2:$A$200=A32)*(Order_History!$B$2:$B$200=B32)*(Order_History!$E$2:$E$200&lt;=E32)),Order_History!$G$2:$G$200),"")</f>
        <v>0</v>
      </c>
      <c r="K32" s="10" t="str">
        <f>IF(C32="","",IFERROR(SUMIFS(Pricing!$G:$G,Pricing!$A:$A,C32,Pricing!$B:$B,B32),""))</f>
        <v/>
      </c>
      <c r="L32" s="11" t="str">
        <f t="shared" si="1"/>
        <v/>
      </c>
      <c r="M32" s="7">
        <v>0</v>
      </c>
      <c r="N32" s="7">
        <v>0</v>
      </c>
      <c r="O32" s="11" t="str">
        <f t="shared" si="2"/>
        <v/>
      </c>
      <c r="P32" s="14" t="str">
        <f t="shared" si="3"/>
        <v/>
      </c>
      <c r="Q32" s="15" t="str">
        <f t="shared" si="4"/>
        <v/>
      </c>
      <c r="R32" s="12" t="str">
        <f t="shared" si="5"/>
        <v/>
      </c>
    </row>
    <row r="33" spans="1:18">
      <c r="A33" s="2" t="str">
        <f>IF(Sell_History!A33="","",Sell_History!A33)</f>
        <v/>
      </c>
      <c r="B33" s="2" t="str">
        <f>IF(Sell_History!B33="","",Sell_History!B33)</f>
        <v/>
      </c>
      <c r="C33" s="8" t="str">
        <f>IF(A33="","",IFERROR(INDEX(Buy_History!#REF!,MATCH(A33,Buy_History!$A:$A,0)),A33))</f>
        <v/>
      </c>
      <c r="D33" s="13" t="str">
        <f>IF(C33="","",IFERROR(INDEX(Buy_History!$C:$C,MATCH(C33,Buy_History!$A:$A,0)),""))</f>
        <v/>
      </c>
      <c r="E33" s="13" t="str">
        <f>IF(A33="","",IFERROR(SUMIFS(Sell_History!$D:$D,Sell_History!$A:$A,A33,Sell_History!$B:$B,B33),""))</f>
        <v/>
      </c>
      <c r="F33" s="9" t="str">
        <f>IF(A33="","",IF(SUMIFS(Sell_History!$E:$E,Sell_History!$A:$A,A33,Sell_History!$B:$B,B33)=0,"",SUMIFS(Sell_History!$E:$E,Sell_History!$A:$A,A33,Sell_History!$B:$B,B33)))</f>
        <v/>
      </c>
      <c r="G33" s="9" t="str">
        <f>IF(C33="","",IFERROR(INDEX(Buy_History!$E:$E,MATCH(C33,Buy_History!$A:$A,0)),""))</f>
        <v/>
      </c>
      <c r="H33" s="9" t="str">
        <f>IF(C33="","",IFERROR(SUMIFS(Raw_Observations!$D:$D,Raw_Observations!$A:$A,C33,Raw_Observations!$B:$B,B33),""))</f>
        <v/>
      </c>
      <c r="I33" s="9" t="str">
        <f t="shared" si="0"/>
        <v/>
      </c>
      <c r="J33" s="9">
        <f>IFERROR(LOOKUP(2,1/((Order_History!$A$2:$A$200=A33)*(Order_History!$B$2:$B$200=B33)*(Order_History!$E$2:$E$200&lt;=E33)),Order_History!$G$2:$G$200),"")</f>
        <v>0</v>
      </c>
      <c r="K33" s="10" t="str">
        <f>IF(C33="","",IFERROR(SUMIFS(Pricing!$G:$G,Pricing!$A:$A,C33,Pricing!$B:$B,B33),""))</f>
        <v/>
      </c>
      <c r="L33" s="11" t="str">
        <f t="shared" si="1"/>
        <v/>
      </c>
      <c r="M33" s="7">
        <v>0</v>
      </c>
      <c r="N33" s="7">
        <v>0</v>
      </c>
      <c r="O33" s="11" t="str">
        <f t="shared" si="2"/>
        <v/>
      </c>
      <c r="P33" s="14" t="str">
        <f t="shared" si="3"/>
        <v/>
      </c>
      <c r="Q33" s="15" t="str">
        <f t="shared" si="4"/>
        <v/>
      </c>
      <c r="R33" s="12" t="str">
        <f t="shared" si="5"/>
        <v/>
      </c>
    </row>
    <row r="34" spans="1:18">
      <c r="A34" s="2" t="str">
        <f>IF(Sell_History!A34="","",Sell_History!A34)</f>
        <v/>
      </c>
      <c r="B34" s="2" t="str">
        <f>IF(Sell_History!B34="","",Sell_History!B34)</f>
        <v/>
      </c>
      <c r="C34" s="8" t="str">
        <f>IF(A34="","",IFERROR(INDEX(Buy_History!#REF!,MATCH(A34,Buy_History!$A:$A,0)),A34))</f>
        <v/>
      </c>
      <c r="D34" s="13" t="str">
        <f>IF(C34="","",IFERROR(INDEX(Buy_History!$C:$C,MATCH(C34,Buy_History!$A:$A,0)),""))</f>
        <v/>
      </c>
      <c r="E34" s="13" t="str">
        <f>IF(A34="","",IFERROR(SUMIFS(Sell_History!$D:$D,Sell_History!$A:$A,A34,Sell_History!$B:$B,B34),""))</f>
        <v/>
      </c>
      <c r="F34" s="9" t="str">
        <f>IF(A34="","",IF(SUMIFS(Sell_History!$E:$E,Sell_History!$A:$A,A34,Sell_History!$B:$B,B34)=0,"",SUMIFS(Sell_History!$E:$E,Sell_History!$A:$A,A34,Sell_History!$B:$B,B34)))</f>
        <v/>
      </c>
      <c r="G34" s="9" t="str">
        <f>IF(C34="","",IFERROR(INDEX(Buy_History!$E:$E,MATCH(C34,Buy_History!$A:$A,0)),""))</f>
        <v/>
      </c>
      <c r="H34" s="9" t="str">
        <f>IF(C34="","",IFERROR(SUMIFS(Raw_Observations!$D:$D,Raw_Observations!$A:$A,C34,Raw_Observations!$B:$B,B34),""))</f>
        <v/>
      </c>
      <c r="I34" s="9" t="str">
        <f t="shared" ref="I34:I65" si="6">IF(H34="","",IF(OR(F34="",G34="",G34=0),H34,H34*F34/G34))</f>
        <v/>
      </c>
      <c r="J34" s="9">
        <f>IFERROR(LOOKUP(2,1/((Order_History!$A$2:$A$200=A34)*(Order_History!$B$2:$B$200=B34)*(Order_History!$E$2:$E$200&lt;=E34)),Order_History!$G$2:$G$200),"")</f>
        <v>0</v>
      </c>
      <c r="K34" s="10" t="str">
        <f>IF(C34="","",IFERROR(SUMIFS(Pricing!$G:$G,Pricing!$A:$A,C34,Pricing!$B:$B,B34),""))</f>
        <v/>
      </c>
      <c r="L34" s="11" t="str">
        <f t="shared" ref="L34:L65" si="7">IF(OR(I34="",J34=""),"",J34-I34)</f>
        <v/>
      </c>
      <c r="M34" s="7">
        <v>0</v>
      </c>
      <c r="N34" s="7">
        <v>0</v>
      </c>
      <c r="O34" s="11" t="str">
        <f t="shared" ref="O34:O65" si="8">IF(L34="","",L34-M34-N34)</f>
        <v/>
      </c>
      <c r="P34" s="14" t="str">
        <f t="shared" ref="P34:P65" si="9">IF(OR(O34="",I34=""),"",O34/I34)</f>
        <v/>
      </c>
      <c r="Q34" s="15" t="str">
        <f t="shared" ref="Q34:Q65" si="10">IF(OR(D34="",E34=""),"",MAX(1,ROUNDUP(E34-D34,0)))</f>
        <v/>
      </c>
      <c r="R34" s="12" t="str">
        <f t="shared" ref="R34:R65" si="11">IF(OR(P34="",Q34=""),"",(1+P34)^(365/Q34)-1)</f>
        <v/>
      </c>
    </row>
    <row r="35" spans="1:18">
      <c r="A35" s="2" t="str">
        <f>IF(Sell_History!A35="","",Sell_History!A35)</f>
        <v/>
      </c>
      <c r="B35" s="2" t="str">
        <f>IF(Sell_History!B35="","",Sell_History!B35)</f>
        <v/>
      </c>
      <c r="C35" s="8" t="str">
        <f>IF(A35="","",IFERROR(INDEX(Buy_History!#REF!,MATCH(A35,Buy_History!$A:$A,0)),A35))</f>
        <v/>
      </c>
      <c r="D35" s="13" t="str">
        <f>IF(C35="","",IFERROR(INDEX(Buy_History!$C:$C,MATCH(C35,Buy_History!$A:$A,0)),""))</f>
        <v/>
      </c>
      <c r="E35" s="13" t="str">
        <f>IF(A35="","",IFERROR(SUMIFS(Sell_History!$D:$D,Sell_History!$A:$A,A35,Sell_History!$B:$B,B35),""))</f>
        <v/>
      </c>
      <c r="F35" s="9" t="str">
        <f>IF(A35="","",IF(SUMIFS(Sell_History!$E:$E,Sell_History!$A:$A,A35,Sell_History!$B:$B,B35)=0,"",SUMIFS(Sell_History!$E:$E,Sell_History!$A:$A,A35,Sell_History!$B:$B,B35)))</f>
        <v/>
      </c>
      <c r="G35" s="9" t="str">
        <f>IF(C35="","",IFERROR(INDEX(Buy_History!$E:$E,MATCH(C35,Buy_History!$A:$A,0)),""))</f>
        <v/>
      </c>
      <c r="H35" s="9" t="str">
        <f>IF(C35="","",IFERROR(SUMIFS(Raw_Observations!$D:$D,Raw_Observations!$A:$A,C35,Raw_Observations!$B:$B,B35),""))</f>
        <v/>
      </c>
      <c r="I35" s="9" t="str">
        <f t="shared" si="6"/>
        <v/>
      </c>
      <c r="J35" s="9">
        <f>IFERROR(LOOKUP(2,1/((Order_History!$A$2:$A$200=A35)*(Order_History!$B$2:$B$200=B35)*(Order_History!$E$2:$E$200&lt;=E35)),Order_History!$G$2:$G$200),"")</f>
        <v>0</v>
      </c>
      <c r="K35" s="10" t="str">
        <f>IF(C35="","",IFERROR(SUMIFS(Pricing!$G:$G,Pricing!$A:$A,C35,Pricing!$B:$B,B35),""))</f>
        <v/>
      </c>
      <c r="L35" s="11" t="str">
        <f t="shared" si="7"/>
        <v/>
      </c>
      <c r="M35" s="7">
        <v>0</v>
      </c>
      <c r="N35" s="7">
        <v>0</v>
      </c>
      <c r="O35" s="11" t="str">
        <f t="shared" si="8"/>
        <v/>
      </c>
      <c r="P35" s="14" t="str">
        <f t="shared" si="9"/>
        <v/>
      </c>
      <c r="Q35" s="15" t="str">
        <f t="shared" si="10"/>
        <v/>
      </c>
      <c r="R35" s="12" t="str">
        <f t="shared" si="11"/>
        <v/>
      </c>
    </row>
    <row r="36" spans="1:18">
      <c r="A36" s="2" t="str">
        <f>IF(Sell_History!A36="","",Sell_History!A36)</f>
        <v/>
      </c>
      <c r="B36" s="2" t="str">
        <f>IF(Sell_History!B36="","",Sell_History!B36)</f>
        <v/>
      </c>
      <c r="C36" s="8" t="str">
        <f>IF(A36="","",IFERROR(INDEX(Buy_History!#REF!,MATCH(A36,Buy_History!$A:$A,0)),A36))</f>
        <v/>
      </c>
      <c r="D36" s="13" t="str">
        <f>IF(C36="","",IFERROR(INDEX(Buy_History!$C:$C,MATCH(C36,Buy_History!$A:$A,0)),""))</f>
        <v/>
      </c>
      <c r="E36" s="13" t="str">
        <f>IF(A36="","",IFERROR(SUMIFS(Sell_History!$D:$D,Sell_History!$A:$A,A36,Sell_History!$B:$B,B36),""))</f>
        <v/>
      </c>
      <c r="F36" s="9" t="str">
        <f>IF(A36="","",IF(SUMIFS(Sell_History!$E:$E,Sell_History!$A:$A,A36,Sell_History!$B:$B,B36)=0,"",SUMIFS(Sell_History!$E:$E,Sell_History!$A:$A,A36,Sell_History!$B:$B,B36)))</f>
        <v/>
      </c>
      <c r="G36" s="9" t="str">
        <f>IF(C36="","",IFERROR(INDEX(Buy_History!$E:$E,MATCH(C36,Buy_History!$A:$A,0)),""))</f>
        <v/>
      </c>
      <c r="H36" s="9" t="str">
        <f>IF(C36="","",IFERROR(SUMIFS(Raw_Observations!$D:$D,Raw_Observations!$A:$A,C36,Raw_Observations!$B:$B,B36),""))</f>
        <v/>
      </c>
      <c r="I36" s="9" t="str">
        <f t="shared" si="6"/>
        <v/>
      </c>
      <c r="J36" s="9">
        <f>IFERROR(LOOKUP(2,1/((Order_History!$A$2:$A$200=A36)*(Order_History!$B$2:$B$200=B36)*(Order_History!$E$2:$E$200&lt;=E36)),Order_History!$G$2:$G$200),"")</f>
        <v>0</v>
      </c>
      <c r="K36" s="10" t="str">
        <f>IF(C36="","",IFERROR(SUMIFS(Pricing!$G:$G,Pricing!$A:$A,C36,Pricing!$B:$B,B36),""))</f>
        <v/>
      </c>
      <c r="L36" s="11" t="str">
        <f t="shared" si="7"/>
        <v/>
      </c>
      <c r="M36" s="7">
        <v>0</v>
      </c>
      <c r="N36" s="7">
        <v>0</v>
      </c>
      <c r="O36" s="11" t="str">
        <f t="shared" si="8"/>
        <v/>
      </c>
      <c r="P36" s="14" t="str">
        <f t="shared" si="9"/>
        <v/>
      </c>
      <c r="Q36" s="15" t="str">
        <f t="shared" si="10"/>
        <v/>
      </c>
      <c r="R36" s="12" t="str">
        <f t="shared" si="11"/>
        <v/>
      </c>
    </row>
    <row r="37" spans="1:18">
      <c r="A37" s="2" t="str">
        <f>IF(Sell_History!A37="","",Sell_History!A37)</f>
        <v/>
      </c>
      <c r="B37" s="2" t="str">
        <f>IF(Sell_History!B37="","",Sell_History!B37)</f>
        <v/>
      </c>
      <c r="C37" s="8" t="str">
        <f>IF(A37="","",IFERROR(INDEX(Buy_History!#REF!,MATCH(A37,Buy_History!$A:$A,0)),A37))</f>
        <v/>
      </c>
      <c r="D37" s="13" t="str">
        <f>IF(C37="","",IFERROR(INDEX(Buy_History!$C:$C,MATCH(C37,Buy_History!$A:$A,0)),""))</f>
        <v/>
      </c>
      <c r="E37" s="13" t="str">
        <f>IF(A37="","",IFERROR(SUMIFS(Sell_History!$D:$D,Sell_History!$A:$A,A37,Sell_History!$B:$B,B37),""))</f>
        <v/>
      </c>
      <c r="F37" s="9" t="str">
        <f>IF(A37="","",IF(SUMIFS(Sell_History!$E:$E,Sell_History!$A:$A,A37,Sell_History!$B:$B,B37)=0,"",SUMIFS(Sell_History!$E:$E,Sell_History!$A:$A,A37,Sell_History!$B:$B,B37)))</f>
        <v/>
      </c>
      <c r="G37" s="9" t="str">
        <f>IF(C37="","",IFERROR(INDEX(Buy_History!$E:$E,MATCH(C37,Buy_History!$A:$A,0)),""))</f>
        <v/>
      </c>
      <c r="H37" s="9" t="str">
        <f>IF(C37="","",IFERROR(SUMIFS(Raw_Observations!$D:$D,Raw_Observations!$A:$A,C37,Raw_Observations!$B:$B,B37),""))</f>
        <v/>
      </c>
      <c r="I37" s="9" t="str">
        <f t="shared" si="6"/>
        <v/>
      </c>
      <c r="J37" s="9">
        <f>IFERROR(LOOKUP(2,1/((Order_History!$A$2:$A$200=A37)*(Order_History!$B$2:$B$200=B37)*(Order_History!$E$2:$E$200&lt;=E37)),Order_History!$G$2:$G$200),"")</f>
        <v>0</v>
      </c>
      <c r="K37" s="10" t="str">
        <f>IF(C37="","",IFERROR(SUMIFS(Pricing!$G:$G,Pricing!$A:$A,C37,Pricing!$B:$B,B37),""))</f>
        <v/>
      </c>
      <c r="L37" s="11" t="str">
        <f t="shared" si="7"/>
        <v/>
      </c>
      <c r="M37" s="7">
        <v>0</v>
      </c>
      <c r="N37" s="7">
        <v>0</v>
      </c>
      <c r="O37" s="11" t="str">
        <f t="shared" si="8"/>
        <v/>
      </c>
      <c r="P37" s="14" t="str">
        <f t="shared" si="9"/>
        <v/>
      </c>
      <c r="Q37" s="15" t="str">
        <f t="shared" si="10"/>
        <v/>
      </c>
      <c r="R37" s="12" t="str">
        <f t="shared" si="11"/>
        <v/>
      </c>
    </row>
    <row r="38" spans="1:18">
      <c r="A38" s="2" t="str">
        <f>IF(Sell_History!A38="","",Sell_History!A38)</f>
        <v/>
      </c>
      <c r="B38" s="2" t="str">
        <f>IF(Sell_History!B38="","",Sell_History!B38)</f>
        <v/>
      </c>
      <c r="C38" s="8" t="str">
        <f>IF(A38="","",IFERROR(INDEX(Buy_History!#REF!,MATCH(A38,Buy_History!$A:$A,0)),A38))</f>
        <v/>
      </c>
      <c r="D38" s="13" t="str">
        <f>IF(C38="","",IFERROR(INDEX(Buy_History!$C:$C,MATCH(C38,Buy_History!$A:$A,0)),""))</f>
        <v/>
      </c>
      <c r="E38" s="13" t="str">
        <f>IF(A38="","",IFERROR(SUMIFS(Sell_History!$D:$D,Sell_History!$A:$A,A38,Sell_History!$B:$B,B38),""))</f>
        <v/>
      </c>
      <c r="F38" s="9" t="str">
        <f>IF(A38="","",IF(SUMIFS(Sell_History!$E:$E,Sell_History!$A:$A,A38,Sell_History!$B:$B,B38)=0,"",SUMIFS(Sell_History!$E:$E,Sell_History!$A:$A,A38,Sell_History!$B:$B,B38)))</f>
        <v/>
      </c>
      <c r="G38" s="9" t="str">
        <f>IF(C38="","",IFERROR(INDEX(Buy_History!$E:$E,MATCH(C38,Buy_History!$A:$A,0)),""))</f>
        <v/>
      </c>
      <c r="H38" s="9" t="str">
        <f>IF(C38="","",IFERROR(SUMIFS(Raw_Observations!$D:$D,Raw_Observations!$A:$A,C38,Raw_Observations!$B:$B,B38),""))</f>
        <v/>
      </c>
      <c r="I38" s="9" t="str">
        <f t="shared" si="6"/>
        <v/>
      </c>
      <c r="J38" s="9">
        <f>IFERROR(LOOKUP(2,1/((Order_History!$A$2:$A$200=A38)*(Order_History!$B$2:$B$200=B38)*(Order_History!$E$2:$E$200&lt;=E38)),Order_History!$G$2:$G$200),"")</f>
        <v>0</v>
      </c>
      <c r="K38" s="10" t="str">
        <f>IF(C38="","",IFERROR(SUMIFS(Pricing!$G:$G,Pricing!$A:$A,C38,Pricing!$B:$B,B38),""))</f>
        <v/>
      </c>
      <c r="L38" s="11" t="str">
        <f t="shared" si="7"/>
        <v/>
      </c>
      <c r="M38" s="7">
        <v>0</v>
      </c>
      <c r="N38" s="7">
        <v>0</v>
      </c>
      <c r="O38" s="11" t="str">
        <f t="shared" si="8"/>
        <v/>
      </c>
      <c r="P38" s="14" t="str">
        <f t="shared" si="9"/>
        <v/>
      </c>
      <c r="Q38" s="15" t="str">
        <f t="shared" si="10"/>
        <v/>
      </c>
      <c r="R38" s="12" t="str">
        <f t="shared" si="11"/>
        <v/>
      </c>
    </row>
    <row r="39" spans="1:18">
      <c r="A39" s="2" t="str">
        <f>IF(Sell_History!A39="","",Sell_History!A39)</f>
        <v/>
      </c>
      <c r="B39" s="2" t="str">
        <f>IF(Sell_History!B39="","",Sell_History!B39)</f>
        <v/>
      </c>
      <c r="C39" s="8" t="str">
        <f>IF(A39="","",IFERROR(INDEX(Buy_History!#REF!,MATCH(A39,Buy_History!$A:$A,0)),A39))</f>
        <v/>
      </c>
      <c r="D39" s="13" t="str">
        <f>IF(C39="","",IFERROR(INDEX(Buy_History!$C:$C,MATCH(C39,Buy_History!$A:$A,0)),""))</f>
        <v/>
      </c>
      <c r="E39" s="13" t="str">
        <f>IF(A39="","",IFERROR(SUMIFS(Sell_History!$D:$D,Sell_History!$A:$A,A39,Sell_History!$B:$B,B39),""))</f>
        <v/>
      </c>
      <c r="F39" s="9" t="str">
        <f>IF(A39="","",IF(SUMIFS(Sell_History!$E:$E,Sell_History!$A:$A,A39,Sell_History!$B:$B,B39)=0,"",SUMIFS(Sell_History!$E:$E,Sell_History!$A:$A,A39,Sell_History!$B:$B,B39)))</f>
        <v/>
      </c>
      <c r="G39" s="9" t="str">
        <f>IF(C39="","",IFERROR(INDEX(Buy_History!$E:$E,MATCH(C39,Buy_History!$A:$A,0)),""))</f>
        <v/>
      </c>
      <c r="H39" s="9" t="str">
        <f>IF(C39="","",IFERROR(SUMIFS(Raw_Observations!$D:$D,Raw_Observations!$A:$A,C39,Raw_Observations!$B:$B,B39),""))</f>
        <v/>
      </c>
      <c r="I39" s="9" t="str">
        <f t="shared" si="6"/>
        <v/>
      </c>
      <c r="J39" s="9">
        <f>IFERROR(LOOKUP(2,1/((Order_History!$A$2:$A$200=A39)*(Order_History!$B$2:$B$200=B39)*(Order_History!$E$2:$E$200&lt;=E39)),Order_History!$G$2:$G$200),"")</f>
        <v>0</v>
      </c>
      <c r="K39" s="10" t="str">
        <f>IF(C39="","",IFERROR(SUMIFS(Pricing!$G:$G,Pricing!$A:$A,C39,Pricing!$B:$B,B39),""))</f>
        <v/>
      </c>
      <c r="L39" s="11" t="str">
        <f t="shared" si="7"/>
        <v/>
      </c>
      <c r="M39" s="7">
        <v>0</v>
      </c>
      <c r="N39" s="7">
        <v>0</v>
      </c>
      <c r="O39" s="11" t="str">
        <f t="shared" si="8"/>
        <v/>
      </c>
      <c r="P39" s="14" t="str">
        <f t="shared" si="9"/>
        <v/>
      </c>
      <c r="Q39" s="15" t="str">
        <f t="shared" si="10"/>
        <v/>
      </c>
      <c r="R39" s="12" t="str">
        <f t="shared" si="11"/>
        <v/>
      </c>
    </row>
    <row r="40" spans="1:18">
      <c r="A40" s="2" t="str">
        <f>IF(Sell_History!A40="","",Sell_History!A40)</f>
        <v/>
      </c>
      <c r="B40" s="2" t="str">
        <f>IF(Sell_History!B40="","",Sell_History!B40)</f>
        <v/>
      </c>
      <c r="C40" s="8" t="str">
        <f>IF(A40="","",IFERROR(INDEX(Buy_History!#REF!,MATCH(A40,Buy_History!$A:$A,0)),A40))</f>
        <v/>
      </c>
      <c r="D40" s="13" t="str">
        <f>IF(C40="","",IFERROR(INDEX(Buy_History!$C:$C,MATCH(C40,Buy_History!$A:$A,0)),""))</f>
        <v/>
      </c>
      <c r="E40" s="13" t="str">
        <f>IF(A40="","",IFERROR(SUMIFS(Sell_History!$D:$D,Sell_History!$A:$A,A40,Sell_History!$B:$B,B40),""))</f>
        <v/>
      </c>
      <c r="F40" s="9" t="str">
        <f>IF(A40="","",IF(SUMIFS(Sell_History!$E:$E,Sell_History!$A:$A,A40,Sell_History!$B:$B,B40)=0,"",SUMIFS(Sell_History!$E:$E,Sell_History!$A:$A,A40,Sell_History!$B:$B,B40)))</f>
        <v/>
      </c>
      <c r="G40" s="9" t="str">
        <f>IF(C40="","",IFERROR(INDEX(Buy_History!$E:$E,MATCH(C40,Buy_History!$A:$A,0)),""))</f>
        <v/>
      </c>
      <c r="H40" s="9" t="str">
        <f>IF(C40="","",IFERROR(SUMIFS(Raw_Observations!$D:$D,Raw_Observations!$A:$A,C40,Raw_Observations!$B:$B,B40),""))</f>
        <v/>
      </c>
      <c r="I40" s="9" t="str">
        <f t="shared" si="6"/>
        <v/>
      </c>
      <c r="J40" s="9">
        <f>IFERROR(LOOKUP(2,1/((Order_History!$A$2:$A$200=A40)*(Order_History!$B$2:$B$200=B40)*(Order_History!$E$2:$E$200&lt;=E40)),Order_History!$G$2:$G$200),"")</f>
        <v>0</v>
      </c>
      <c r="K40" s="10" t="str">
        <f>IF(C40="","",IFERROR(SUMIFS(Pricing!$G:$G,Pricing!$A:$A,C40,Pricing!$B:$B,B40),""))</f>
        <v/>
      </c>
      <c r="L40" s="11" t="str">
        <f t="shared" si="7"/>
        <v/>
      </c>
      <c r="M40" s="7">
        <v>0</v>
      </c>
      <c r="N40" s="7">
        <v>0</v>
      </c>
      <c r="O40" s="11" t="str">
        <f t="shared" si="8"/>
        <v/>
      </c>
      <c r="P40" s="14" t="str">
        <f t="shared" si="9"/>
        <v/>
      </c>
      <c r="Q40" s="15" t="str">
        <f t="shared" si="10"/>
        <v/>
      </c>
      <c r="R40" s="12" t="str">
        <f t="shared" si="11"/>
        <v/>
      </c>
    </row>
    <row r="41" spans="1:18">
      <c r="A41" s="2" t="str">
        <f>IF(Sell_History!A41="","",Sell_History!A41)</f>
        <v/>
      </c>
      <c r="B41" s="2" t="str">
        <f>IF(Sell_History!B41="","",Sell_History!B41)</f>
        <v/>
      </c>
      <c r="C41" s="8" t="str">
        <f>IF(A41="","",IFERROR(INDEX(Buy_History!#REF!,MATCH(A41,Buy_History!$A:$A,0)),A41))</f>
        <v/>
      </c>
      <c r="D41" s="13" t="str">
        <f>IF(C41="","",IFERROR(INDEX(Buy_History!$C:$C,MATCH(C41,Buy_History!$A:$A,0)),""))</f>
        <v/>
      </c>
      <c r="E41" s="13" t="str">
        <f>IF(A41="","",IFERROR(SUMIFS(Sell_History!$D:$D,Sell_History!$A:$A,A41,Sell_History!$B:$B,B41),""))</f>
        <v/>
      </c>
      <c r="F41" s="9" t="str">
        <f>IF(A41="","",IF(SUMIFS(Sell_History!$E:$E,Sell_History!$A:$A,A41,Sell_History!$B:$B,B41)=0,"",SUMIFS(Sell_History!$E:$E,Sell_History!$A:$A,A41,Sell_History!$B:$B,B41)))</f>
        <v/>
      </c>
      <c r="G41" s="9" t="str">
        <f>IF(C41="","",IFERROR(INDEX(Buy_History!$E:$E,MATCH(C41,Buy_History!$A:$A,0)),""))</f>
        <v/>
      </c>
      <c r="H41" s="9" t="str">
        <f>IF(C41="","",IFERROR(SUMIFS(Raw_Observations!$D:$D,Raw_Observations!$A:$A,C41,Raw_Observations!$B:$B,B41),""))</f>
        <v/>
      </c>
      <c r="I41" s="9" t="str">
        <f t="shared" si="6"/>
        <v/>
      </c>
      <c r="J41" s="9">
        <f>IFERROR(LOOKUP(2,1/((Order_History!$A$2:$A$200=A41)*(Order_History!$B$2:$B$200=B41)*(Order_History!$E$2:$E$200&lt;=E41)),Order_History!$G$2:$G$200),"")</f>
        <v>0</v>
      </c>
      <c r="K41" s="10" t="str">
        <f>IF(C41="","",IFERROR(SUMIFS(Pricing!$G:$G,Pricing!$A:$A,C41,Pricing!$B:$B,B41),""))</f>
        <v/>
      </c>
      <c r="L41" s="11" t="str">
        <f t="shared" si="7"/>
        <v/>
      </c>
      <c r="M41" s="7">
        <v>0</v>
      </c>
      <c r="N41" s="7">
        <v>0</v>
      </c>
      <c r="O41" s="11" t="str">
        <f t="shared" si="8"/>
        <v/>
      </c>
      <c r="P41" s="14" t="str">
        <f t="shared" si="9"/>
        <v/>
      </c>
      <c r="Q41" s="15" t="str">
        <f t="shared" si="10"/>
        <v/>
      </c>
      <c r="R41" s="12" t="str">
        <f t="shared" si="11"/>
        <v/>
      </c>
    </row>
    <row r="42" spans="1:18">
      <c r="A42" s="2" t="str">
        <f>IF(Sell_History!A42="","",Sell_History!A42)</f>
        <v/>
      </c>
      <c r="B42" s="2" t="str">
        <f>IF(Sell_History!B42="","",Sell_History!B42)</f>
        <v/>
      </c>
      <c r="C42" s="8" t="str">
        <f>IF(A42="","",IFERROR(INDEX(Buy_History!#REF!,MATCH(A42,Buy_History!$A:$A,0)),A42))</f>
        <v/>
      </c>
      <c r="D42" s="13" t="str">
        <f>IF(C42="","",IFERROR(INDEX(Buy_History!$C:$C,MATCH(C42,Buy_History!$A:$A,0)),""))</f>
        <v/>
      </c>
      <c r="E42" s="13" t="str">
        <f>IF(A42="","",IFERROR(SUMIFS(Sell_History!$D:$D,Sell_History!$A:$A,A42,Sell_History!$B:$B,B42),""))</f>
        <v/>
      </c>
      <c r="F42" s="9" t="str">
        <f>IF(A42="","",IF(SUMIFS(Sell_History!$E:$E,Sell_History!$A:$A,A42,Sell_History!$B:$B,B42)=0,"",SUMIFS(Sell_History!$E:$E,Sell_History!$A:$A,A42,Sell_History!$B:$B,B42)))</f>
        <v/>
      </c>
      <c r="G42" s="9" t="str">
        <f>IF(C42="","",IFERROR(INDEX(Buy_History!$E:$E,MATCH(C42,Buy_History!$A:$A,0)),""))</f>
        <v/>
      </c>
      <c r="H42" s="9" t="str">
        <f>IF(C42="","",IFERROR(SUMIFS(Raw_Observations!$D:$D,Raw_Observations!$A:$A,C42,Raw_Observations!$B:$B,B42),""))</f>
        <v/>
      </c>
      <c r="I42" s="9" t="str">
        <f t="shared" si="6"/>
        <v/>
      </c>
      <c r="J42" s="9">
        <f>IFERROR(LOOKUP(2,1/((Order_History!$A$2:$A$200=A42)*(Order_History!$B$2:$B$200=B42)*(Order_History!$E$2:$E$200&lt;=E42)),Order_History!$G$2:$G$200),"")</f>
        <v>0</v>
      </c>
      <c r="K42" s="10" t="str">
        <f>IF(C42="","",IFERROR(SUMIFS(Pricing!$G:$G,Pricing!$A:$A,C42,Pricing!$B:$B,B42),""))</f>
        <v/>
      </c>
      <c r="L42" s="11" t="str">
        <f t="shared" si="7"/>
        <v/>
      </c>
      <c r="M42" s="7">
        <v>0</v>
      </c>
      <c r="N42" s="7">
        <v>0</v>
      </c>
      <c r="O42" s="11" t="str">
        <f t="shared" si="8"/>
        <v/>
      </c>
      <c r="P42" s="14" t="str">
        <f t="shared" si="9"/>
        <v/>
      </c>
      <c r="Q42" s="15" t="str">
        <f t="shared" si="10"/>
        <v/>
      </c>
      <c r="R42" s="12" t="str">
        <f t="shared" si="11"/>
        <v/>
      </c>
    </row>
    <row r="43" spans="1:18">
      <c r="A43" s="2" t="str">
        <f>IF(Sell_History!A43="","",Sell_History!A43)</f>
        <v/>
      </c>
      <c r="B43" s="2" t="str">
        <f>IF(Sell_History!B43="","",Sell_History!B43)</f>
        <v/>
      </c>
      <c r="C43" s="8" t="str">
        <f>IF(A43="","",IFERROR(INDEX(Buy_History!#REF!,MATCH(A43,Buy_History!$A:$A,0)),A43))</f>
        <v/>
      </c>
      <c r="D43" s="13" t="str">
        <f>IF(C43="","",IFERROR(INDEX(Buy_History!$C:$C,MATCH(C43,Buy_History!$A:$A,0)),""))</f>
        <v/>
      </c>
      <c r="E43" s="13" t="str">
        <f>IF(A43="","",IFERROR(SUMIFS(Sell_History!$D:$D,Sell_History!$A:$A,A43,Sell_History!$B:$B,B43),""))</f>
        <v/>
      </c>
      <c r="F43" s="9" t="str">
        <f>IF(A43="","",IF(SUMIFS(Sell_History!$E:$E,Sell_History!$A:$A,A43,Sell_History!$B:$B,B43)=0,"",SUMIFS(Sell_History!$E:$E,Sell_History!$A:$A,A43,Sell_History!$B:$B,B43)))</f>
        <v/>
      </c>
      <c r="G43" s="9" t="str">
        <f>IF(C43="","",IFERROR(INDEX(Buy_History!$E:$E,MATCH(C43,Buy_History!$A:$A,0)),""))</f>
        <v/>
      </c>
      <c r="H43" s="9" t="str">
        <f>IF(C43="","",IFERROR(SUMIFS(Raw_Observations!$D:$D,Raw_Observations!$A:$A,C43,Raw_Observations!$B:$B,B43),""))</f>
        <v/>
      </c>
      <c r="I43" s="9" t="str">
        <f t="shared" si="6"/>
        <v/>
      </c>
      <c r="J43" s="9">
        <f>IFERROR(LOOKUP(2,1/((Order_History!$A$2:$A$200=A43)*(Order_History!$B$2:$B$200=B43)*(Order_History!$E$2:$E$200&lt;=E43)),Order_History!$G$2:$G$200),"")</f>
        <v>0</v>
      </c>
      <c r="K43" s="10" t="str">
        <f>IF(C43="","",IFERROR(SUMIFS(Pricing!$G:$G,Pricing!$A:$A,C43,Pricing!$B:$B,B43),""))</f>
        <v/>
      </c>
      <c r="L43" s="11" t="str">
        <f t="shared" si="7"/>
        <v/>
      </c>
      <c r="M43" s="7">
        <v>0</v>
      </c>
      <c r="N43" s="7">
        <v>0</v>
      </c>
      <c r="O43" s="11" t="str">
        <f t="shared" si="8"/>
        <v/>
      </c>
      <c r="P43" s="14" t="str">
        <f t="shared" si="9"/>
        <v/>
      </c>
      <c r="Q43" s="15" t="str">
        <f t="shared" si="10"/>
        <v/>
      </c>
      <c r="R43" s="12" t="str">
        <f t="shared" si="11"/>
        <v/>
      </c>
    </row>
    <row r="44" spans="1:18">
      <c r="A44" s="2" t="str">
        <f>IF(Sell_History!A44="","",Sell_History!A44)</f>
        <v/>
      </c>
      <c r="B44" s="2" t="str">
        <f>IF(Sell_History!B44="","",Sell_History!B44)</f>
        <v/>
      </c>
      <c r="C44" s="8" t="str">
        <f>IF(A44="","",IFERROR(INDEX(Buy_History!#REF!,MATCH(A44,Buy_History!$A:$A,0)),A44))</f>
        <v/>
      </c>
      <c r="D44" s="13" t="str">
        <f>IF(C44="","",IFERROR(INDEX(Buy_History!$C:$C,MATCH(C44,Buy_History!$A:$A,0)),""))</f>
        <v/>
      </c>
      <c r="E44" s="13" t="str">
        <f>IF(A44="","",IFERROR(SUMIFS(Sell_History!$D:$D,Sell_History!$A:$A,A44,Sell_History!$B:$B,B44),""))</f>
        <v/>
      </c>
      <c r="F44" s="9" t="str">
        <f>IF(A44="","",IF(SUMIFS(Sell_History!$E:$E,Sell_History!$A:$A,A44,Sell_History!$B:$B,B44)=0,"",SUMIFS(Sell_History!$E:$E,Sell_History!$A:$A,A44,Sell_History!$B:$B,B44)))</f>
        <v/>
      </c>
      <c r="G44" s="9" t="str">
        <f>IF(C44="","",IFERROR(INDEX(Buy_History!$E:$E,MATCH(C44,Buy_History!$A:$A,0)),""))</f>
        <v/>
      </c>
      <c r="H44" s="9" t="str">
        <f>IF(C44="","",IFERROR(SUMIFS(Raw_Observations!$D:$D,Raw_Observations!$A:$A,C44,Raw_Observations!$B:$B,B44),""))</f>
        <v/>
      </c>
      <c r="I44" s="9" t="str">
        <f t="shared" si="6"/>
        <v/>
      </c>
      <c r="J44" s="9">
        <f>IFERROR(LOOKUP(2,1/((Order_History!$A$2:$A$200=A44)*(Order_History!$B$2:$B$200=B44)*(Order_History!$E$2:$E$200&lt;=E44)),Order_History!$G$2:$G$200),"")</f>
        <v>0</v>
      </c>
      <c r="K44" s="10" t="str">
        <f>IF(C44="","",IFERROR(SUMIFS(Pricing!$G:$G,Pricing!$A:$A,C44,Pricing!$B:$B,B44),""))</f>
        <v/>
      </c>
      <c r="L44" s="11" t="str">
        <f t="shared" si="7"/>
        <v/>
      </c>
      <c r="M44" s="7">
        <v>0</v>
      </c>
      <c r="N44" s="7">
        <v>0</v>
      </c>
      <c r="O44" s="11" t="str">
        <f t="shared" si="8"/>
        <v/>
      </c>
      <c r="P44" s="14" t="str">
        <f t="shared" si="9"/>
        <v/>
      </c>
      <c r="Q44" s="15" t="str">
        <f t="shared" si="10"/>
        <v/>
      </c>
      <c r="R44" s="12" t="str">
        <f t="shared" si="11"/>
        <v/>
      </c>
    </row>
    <row r="45" spans="1:18">
      <c r="A45" s="2" t="str">
        <f>IF(Sell_History!A45="","",Sell_History!A45)</f>
        <v/>
      </c>
      <c r="B45" s="2" t="str">
        <f>IF(Sell_History!B45="","",Sell_History!B45)</f>
        <v/>
      </c>
      <c r="C45" s="8" t="str">
        <f>IF(A45="","",IFERROR(INDEX(Buy_History!#REF!,MATCH(A45,Buy_History!$A:$A,0)),A45))</f>
        <v/>
      </c>
      <c r="D45" s="13" t="str">
        <f>IF(C45="","",IFERROR(INDEX(Buy_History!$C:$C,MATCH(C45,Buy_History!$A:$A,0)),""))</f>
        <v/>
      </c>
      <c r="E45" s="13" t="str">
        <f>IF(A45="","",IFERROR(SUMIFS(Sell_History!$D:$D,Sell_History!$A:$A,A45,Sell_History!$B:$B,B45),""))</f>
        <v/>
      </c>
      <c r="F45" s="9" t="str">
        <f>IF(A45="","",IF(SUMIFS(Sell_History!$E:$E,Sell_History!$A:$A,A45,Sell_History!$B:$B,B45)=0,"",SUMIFS(Sell_History!$E:$E,Sell_History!$A:$A,A45,Sell_History!$B:$B,B45)))</f>
        <v/>
      </c>
      <c r="G45" s="9" t="str">
        <f>IF(C45="","",IFERROR(INDEX(Buy_History!$E:$E,MATCH(C45,Buy_History!$A:$A,0)),""))</f>
        <v/>
      </c>
      <c r="H45" s="9" t="str">
        <f>IF(C45="","",IFERROR(SUMIFS(Raw_Observations!$D:$D,Raw_Observations!$A:$A,C45,Raw_Observations!$B:$B,B45),""))</f>
        <v/>
      </c>
      <c r="I45" s="9" t="str">
        <f t="shared" si="6"/>
        <v/>
      </c>
      <c r="J45" s="9">
        <f>IFERROR(LOOKUP(2,1/((Order_History!$A$2:$A$200=A45)*(Order_History!$B$2:$B$200=B45)*(Order_History!$E$2:$E$200&lt;=E45)),Order_History!$G$2:$G$200),"")</f>
        <v>0</v>
      </c>
      <c r="K45" s="10" t="str">
        <f>IF(C45="","",IFERROR(SUMIFS(Pricing!$G:$G,Pricing!$A:$A,C45,Pricing!$B:$B,B45),""))</f>
        <v/>
      </c>
      <c r="L45" s="11" t="str">
        <f t="shared" si="7"/>
        <v/>
      </c>
      <c r="M45" s="7">
        <v>0</v>
      </c>
      <c r="N45" s="7">
        <v>0</v>
      </c>
      <c r="O45" s="11" t="str">
        <f t="shared" si="8"/>
        <v/>
      </c>
      <c r="P45" s="14" t="str">
        <f t="shared" si="9"/>
        <v/>
      </c>
      <c r="Q45" s="15" t="str">
        <f t="shared" si="10"/>
        <v/>
      </c>
      <c r="R45" s="12" t="str">
        <f t="shared" si="11"/>
        <v/>
      </c>
    </row>
    <row r="46" spans="1:18">
      <c r="A46" s="2" t="str">
        <f>IF(Sell_History!A46="","",Sell_History!A46)</f>
        <v/>
      </c>
      <c r="B46" s="2" t="str">
        <f>IF(Sell_History!B46="","",Sell_History!B46)</f>
        <v/>
      </c>
      <c r="C46" s="8" t="str">
        <f>IF(A46="","",IFERROR(INDEX(Buy_History!#REF!,MATCH(A46,Buy_History!$A:$A,0)),A46))</f>
        <v/>
      </c>
      <c r="D46" s="13" t="str">
        <f>IF(C46="","",IFERROR(INDEX(Buy_History!$C:$C,MATCH(C46,Buy_History!$A:$A,0)),""))</f>
        <v/>
      </c>
      <c r="E46" s="13" t="str">
        <f>IF(A46="","",IFERROR(SUMIFS(Sell_History!$D:$D,Sell_History!$A:$A,A46,Sell_History!$B:$B,B46),""))</f>
        <v/>
      </c>
      <c r="F46" s="9" t="str">
        <f>IF(A46="","",IF(SUMIFS(Sell_History!$E:$E,Sell_History!$A:$A,A46,Sell_History!$B:$B,B46)=0,"",SUMIFS(Sell_History!$E:$E,Sell_History!$A:$A,A46,Sell_History!$B:$B,B46)))</f>
        <v/>
      </c>
      <c r="G46" s="9" t="str">
        <f>IF(C46="","",IFERROR(INDEX(Buy_History!$E:$E,MATCH(C46,Buy_History!$A:$A,0)),""))</f>
        <v/>
      </c>
      <c r="H46" s="9" t="str">
        <f>IF(C46="","",IFERROR(SUMIFS(Raw_Observations!$D:$D,Raw_Observations!$A:$A,C46,Raw_Observations!$B:$B,B46),""))</f>
        <v/>
      </c>
      <c r="I46" s="9" t="str">
        <f t="shared" si="6"/>
        <v/>
      </c>
      <c r="J46" s="9">
        <f>IFERROR(LOOKUP(2,1/((Order_History!$A$2:$A$200=A46)*(Order_History!$B$2:$B$200=B46)*(Order_History!$E$2:$E$200&lt;=E46)),Order_History!$G$2:$G$200),"")</f>
        <v>0</v>
      </c>
      <c r="K46" s="10" t="str">
        <f>IF(C46="","",IFERROR(SUMIFS(Pricing!$G:$G,Pricing!$A:$A,C46,Pricing!$B:$B,B46),""))</f>
        <v/>
      </c>
      <c r="L46" s="11" t="str">
        <f t="shared" si="7"/>
        <v/>
      </c>
      <c r="M46" s="7">
        <v>0</v>
      </c>
      <c r="N46" s="7">
        <v>0</v>
      </c>
      <c r="O46" s="11" t="str">
        <f t="shared" si="8"/>
        <v/>
      </c>
      <c r="P46" s="14" t="str">
        <f t="shared" si="9"/>
        <v/>
      </c>
      <c r="Q46" s="15" t="str">
        <f t="shared" si="10"/>
        <v/>
      </c>
      <c r="R46" s="12" t="str">
        <f t="shared" si="11"/>
        <v/>
      </c>
    </row>
    <row r="47" spans="1:18">
      <c r="A47" s="2" t="str">
        <f>IF(Sell_History!A47="","",Sell_History!A47)</f>
        <v/>
      </c>
      <c r="B47" s="2" t="str">
        <f>IF(Sell_History!B47="","",Sell_History!B47)</f>
        <v/>
      </c>
      <c r="C47" s="8" t="str">
        <f>IF(A47="","",IFERROR(INDEX(Buy_History!#REF!,MATCH(A47,Buy_History!$A:$A,0)),A47))</f>
        <v/>
      </c>
      <c r="D47" s="13" t="str">
        <f>IF(C47="","",IFERROR(INDEX(Buy_History!$C:$C,MATCH(C47,Buy_History!$A:$A,0)),""))</f>
        <v/>
      </c>
      <c r="E47" s="13" t="str">
        <f>IF(A47="","",IFERROR(SUMIFS(Sell_History!$D:$D,Sell_History!$A:$A,A47,Sell_History!$B:$B,B47),""))</f>
        <v/>
      </c>
      <c r="F47" s="9" t="str">
        <f>IF(A47="","",IF(SUMIFS(Sell_History!$E:$E,Sell_History!$A:$A,A47,Sell_History!$B:$B,B47)=0,"",SUMIFS(Sell_History!$E:$E,Sell_History!$A:$A,A47,Sell_History!$B:$B,B47)))</f>
        <v/>
      </c>
      <c r="G47" s="9" t="str">
        <f>IF(C47="","",IFERROR(INDEX(Buy_History!$E:$E,MATCH(C47,Buy_History!$A:$A,0)),""))</f>
        <v/>
      </c>
      <c r="H47" s="9" t="str">
        <f>IF(C47="","",IFERROR(SUMIFS(Raw_Observations!$D:$D,Raw_Observations!$A:$A,C47,Raw_Observations!$B:$B,B47),""))</f>
        <v/>
      </c>
      <c r="I47" s="9" t="str">
        <f t="shared" si="6"/>
        <v/>
      </c>
      <c r="J47" s="9">
        <f>IFERROR(LOOKUP(2,1/((Order_History!$A$2:$A$200=A47)*(Order_History!$B$2:$B$200=B47)*(Order_History!$E$2:$E$200&lt;=E47)),Order_History!$G$2:$G$200),"")</f>
        <v>0</v>
      </c>
      <c r="K47" s="10" t="str">
        <f>IF(C47="","",IFERROR(SUMIFS(Pricing!$G:$G,Pricing!$A:$A,C47,Pricing!$B:$B,B47),""))</f>
        <v/>
      </c>
      <c r="L47" s="11" t="str">
        <f t="shared" si="7"/>
        <v/>
      </c>
      <c r="M47" s="7">
        <v>0</v>
      </c>
      <c r="N47" s="7">
        <v>0</v>
      </c>
      <c r="O47" s="11" t="str">
        <f t="shared" si="8"/>
        <v/>
      </c>
      <c r="P47" s="14" t="str">
        <f t="shared" si="9"/>
        <v/>
      </c>
      <c r="Q47" s="15" t="str">
        <f t="shared" si="10"/>
        <v/>
      </c>
      <c r="R47" s="12" t="str">
        <f t="shared" si="11"/>
        <v/>
      </c>
    </row>
    <row r="48" spans="1:18">
      <c r="A48" s="2" t="str">
        <f>IF(Sell_History!A48="","",Sell_History!A48)</f>
        <v/>
      </c>
      <c r="B48" s="2" t="str">
        <f>IF(Sell_History!B48="","",Sell_History!B48)</f>
        <v/>
      </c>
      <c r="C48" s="8" t="str">
        <f>IF(A48="","",IFERROR(INDEX(Buy_History!#REF!,MATCH(A48,Buy_History!$A:$A,0)),A48))</f>
        <v/>
      </c>
      <c r="D48" s="13" t="str">
        <f>IF(C48="","",IFERROR(INDEX(Buy_History!$C:$C,MATCH(C48,Buy_History!$A:$A,0)),""))</f>
        <v/>
      </c>
      <c r="E48" s="13" t="str">
        <f>IF(A48="","",IFERROR(SUMIFS(Sell_History!$D:$D,Sell_History!$A:$A,A48,Sell_History!$B:$B,B48),""))</f>
        <v/>
      </c>
      <c r="F48" s="9" t="str">
        <f>IF(A48="","",IF(SUMIFS(Sell_History!$E:$E,Sell_History!$A:$A,A48,Sell_History!$B:$B,B48)=0,"",SUMIFS(Sell_History!$E:$E,Sell_History!$A:$A,A48,Sell_History!$B:$B,B48)))</f>
        <v/>
      </c>
      <c r="G48" s="9" t="str">
        <f>IF(C48="","",IFERROR(INDEX(Buy_History!$E:$E,MATCH(C48,Buy_History!$A:$A,0)),""))</f>
        <v/>
      </c>
      <c r="H48" s="9" t="str">
        <f>IF(C48="","",IFERROR(SUMIFS(Raw_Observations!$D:$D,Raw_Observations!$A:$A,C48,Raw_Observations!$B:$B,B48),""))</f>
        <v/>
      </c>
      <c r="I48" s="9" t="str">
        <f t="shared" si="6"/>
        <v/>
      </c>
      <c r="J48" s="9">
        <f>IFERROR(LOOKUP(2,1/((Order_History!$A$2:$A$200=A48)*(Order_History!$B$2:$B$200=B48)*(Order_History!$E$2:$E$200&lt;=E48)),Order_History!$G$2:$G$200),"")</f>
        <v>0</v>
      </c>
      <c r="K48" s="10" t="str">
        <f>IF(C48="","",IFERROR(SUMIFS(Pricing!$G:$G,Pricing!$A:$A,C48,Pricing!$B:$B,B48),""))</f>
        <v/>
      </c>
      <c r="L48" s="11" t="str">
        <f t="shared" si="7"/>
        <v/>
      </c>
      <c r="M48" s="7">
        <v>0</v>
      </c>
      <c r="N48" s="7">
        <v>0</v>
      </c>
      <c r="O48" s="11" t="str">
        <f t="shared" si="8"/>
        <v/>
      </c>
      <c r="P48" s="14" t="str">
        <f t="shared" si="9"/>
        <v/>
      </c>
      <c r="Q48" s="15" t="str">
        <f t="shared" si="10"/>
        <v/>
      </c>
      <c r="R48" s="12" t="str">
        <f t="shared" si="11"/>
        <v/>
      </c>
    </row>
    <row r="49" spans="1:18">
      <c r="A49" s="2" t="str">
        <f>IF(Sell_History!A49="","",Sell_History!A49)</f>
        <v/>
      </c>
      <c r="B49" s="2" t="str">
        <f>IF(Sell_History!B49="","",Sell_History!B49)</f>
        <v/>
      </c>
      <c r="C49" s="8" t="str">
        <f>IF(A49="","",IFERROR(INDEX(Buy_History!#REF!,MATCH(A49,Buy_History!$A:$A,0)),A49))</f>
        <v/>
      </c>
      <c r="D49" s="13" t="str">
        <f>IF(C49="","",IFERROR(INDEX(Buy_History!$C:$C,MATCH(C49,Buy_History!$A:$A,0)),""))</f>
        <v/>
      </c>
      <c r="E49" s="13" t="str">
        <f>IF(A49="","",IFERROR(SUMIFS(Sell_History!$D:$D,Sell_History!$A:$A,A49,Sell_History!$B:$B,B49),""))</f>
        <v/>
      </c>
      <c r="F49" s="9" t="str">
        <f>IF(A49="","",IF(SUMIFS(Sell_History!$E:$E,Sell_History!$A:$A,A49,Sell_History!$B:$B,B49)=0,"",SUMIFS(Sell_History!$E:$E,Sell_History!$A:$A,A49,Sell_History!$B:$B,B49)))</f>
        <v/>
      </c>
      <c r="G49" s="9" t="str">
        <f>IF(C49="","",IFERROR(INDEX(Buy_History!$E:$E,MATCH(C49,Buy_History!$A:$A,0)),""))</f>
        <v/>
      </c>
      <c r="H49" s="9" t="str">
        <f>IF(C49="","",IFERROR(SUMIFS(Raw_Observations!$D:$D,Raw_Observations!$A:$A,C49,Raw_Observations!$B:$B,B49),""))</f>
        <v/>
      </c>
      <c r="I49" s="9" t="str">
        <f t="shared" si="6"/>
        <v/>
      </c>
      <c r="J49" s="9">
        <f>IFERROR(LOOKUP(2,1/((Order_History!$A$2:$A$200=A49)*(Order_History!$B$2:$B$200=B49)*(Order_History!$E$2:$E$200&lt;=E49)),Order_History!$G$2:$G$200),"")</f>
        <v>0</v>
      </c>
      <c r="K49" s="10" t="str">
        <f>IF(C49="","",IFERROR(SUMIFS(Pricing!$G:$G,Pricing!$A:$A,C49,Pricing!$B:$B,B49),""))</f>
        <v/>
      </c>
      <c r="L49" s="11" t="str">
        <f t="shared" si="7"/>
        <v/>
      </c>
      <c r="M49" s="7">
        <v>0</v>
      </c>
      <c r="N49" s="7">
        <v>0</v>
      </c>
      <c r="O49" s="11" t="str">
        <f t="shared" si="8"/>
        <v/>
      </c>
      <c r="P49" s="14" t="str">
        <f t="shared" si="9"/>
        <v/>
      </c>
      <c r="Q49" s="15" t="str">
        <f t="shared" si="10"/>
        <v/>
      </c>
      <c r="R49" s="12" t="str">
        <f t="shared" si="11"/>
        <v/>
      </c>
    </row>
    <row r="50" spans="1:18">
      <c r="A50" s="2" t="str">
        <f>IF(Sell_History!A50="","",Sell_History!A50)</f>
        <v/>
      </c>
      <c r="B50" s="2" t="str">
        <f>IF(Sell_History!B50="","",Sell_History!B50)</f>
        <v/>
      </c>
      <c r="C50" s="8" t="str">
        <f>IF(A50="","",IFERROR(INDEX(Buy_History!#REF!,MATCH(A50,Buy_History!$A:$A,0)),A50))</f>
        <v/>
      </c>
      <c r="D50" s="13" t="str">
        <f>IF(C50="","",IFERROR(INDEX(Buy_History!$C:$C,MATCH(C50,Buy_History!$A:$A,0)),""))</f>
        <v/>
      </c>
      <c r="E50" s="13" t="str">
        <f>IF(A50="","",IFERROR(SUMIFS(Sell_History!$D:$D,Sell_History!$A:$A,A50,Sell_History!$B:$B,B50),""))</f>
        <v/>
      </c>
      <c r="F50" s="9" t="str">
        <f>IF(A50="","",IF(SUMIFS(Sell_History!$E:$E,Sell_History!$A:$A,A50,Sell_History!$B:$B,B50)=0,"",SUMIFS(Sell_History!$E:$E,Sell_History!$A:$A,A50,Sell_History!$B:$B,B50)))</f>
        <v/>
      </c>
      <c r="G50" s="9" t="str">
        <f>IF(C50="","",IFERROR(INDEX(Buy_History!$E:$E,MATCH(C50,Buy_History!$A:$A,0)),""))</f>
        <v/>
      </c>
      <c r="H50" s="9" t="str">
        <f>IF(C50="","",IFERROR(SUMIFS(Raw_Observations!$D:$D,Raw_Observations!$A:$A,C50,Raw_Observations!$B:$B,B50),""))</f>
        <v/>
      </c>
      <c r="I50" s="9" t="str">
        <f t="shared" si="6"/>
        <v/>
      </c>
      <c r="J50" s="9">
        <f>IFERROR(LOOKUP(2,1/((Order_History!$A$2:$A$200=A50)*(Order_History!$B$2:$B$200=B50)*(Order_History!$E$2:$E$200&lt;=E50)),Order_History!$G$2:$G$200),"")</f>
        <v>0</v>
      </c>
      <c r="K50" s="10" t="str">
        <f>IF(C50="","",IFERROR(SUMIFS(Pricing!$G:$G,Pricing!$A:$A,C50,Pricing!$B:$B,B50),""))</f>
        <v/>
      </c>
      <c r="L50" s="11" t="str">
        <f t="shared" si="7"/>
        <v/>
      </c>
      <c r="M50" s="7">
        <v>0</v>
      </c>
      <c r="N50" s="7">
        <v>0</v>
      </c>
      <c r="O50" s="11" t="str">
        <f t="shared" si="8"/>
        <v/>
      </c>
      <c r="P50" s="14" t="str">
        <f t="shared" si="9"/>
        <v/>
      </c>
      <c r="Q50" s="15" t="str">
        <f t="shared" si="10"/>
        <v/>
      </c>
      <c r="R50" s="12" t="str">
        <f t="shared" si="11"/>
        <v/>
      </c>
    </row>
    <row r="51" spans="1:18">
      <c r="A51" s="2" t="str">
        <f>IF(Sell_History!A51="","",Sell_History!A51)</f>
        <v/>
      </c>
      <c r="B51" s="2" t="str">
        <f>IF(Sell_History!B51="","",Sell_History!B51)</f>
        <v/>
      </c>
      <c r="C51" s="8" t="str">
        <f>IF(A51="","",IFERROR(INDEX(Buy_History!#REF!,MATCH(A51,Buy_History!$A:$A,0)),A51))</f>
        <v/>
      </c>
      <c r="D51" s="13" t="str">
        <f>IF(C51="","",IFERROR(INDEX(Buy_History!$C:$C,MATCH(C51,Buy_History!$A:$A,0)),""))</f>
        <v/>
      </c>
      <c r="E51" s="13" t="str">
        <f>IF(A51="","",IFERROR(SUMIFS(Sell_History!$D:$D,Sell_History!$A:$A,A51,Sell_History!$B:$B,B51),""))</f>
        <v/>
      </c>
      <c r="F51" s="9" t="str">
        <f>IF(A51="","",IF(SUMIFS(Sell_History!$E:$E,Sell_History!$A:$A,A51,Sell_History!$B:$B,B51)=0,"",SUMIFS(Sell_History!$E:$E,Sell_History!$A:$A,A51,Sell_History!$B:$B,B51)))</f>
        <v/>
      </c>
      <c r="G51" s="9" t="str">
        <f>IF(C51="","",IFERROR(INDEX(Buy_History!$E:$E,MATCH(C51,Buy_History!$A:$A,0)),""))</f>
        <v/>
      </c>
      <c r="H51" s="9" t="str">
        <f>IF(C51="","",IFERROR(SUMIFS(Raw_Observations!$D:$D,Raw_Observations!$A:$A,C51,Raw_Observations!$B:$B,B51),""))</f>
        <v/>
      </c>
      <c r="I51" s="9" t="str">
        <f t="shared" si="6"/>
        <v/>
      </c>
      <c r="J51" s="9">
        <f>IFERROR(LOOKUP(2,1/((Order_History!$A$2:$A$200=A51)*(Order_History!$B$2:$B$200=B51)*(Order_History!$E$2:$E$200&lt;=E51)),Order_History!$G$2:$G$200),"")</f>
        <v>0</v>
      </c>
      <c r="K51" s="10" t="str">
        <f>IF(C51="","",IFERROR(SUMIFS(Pricing!$G:$G,Pricing!$A:$A,C51,Pricing!$B:$B,B51),""))</f>
        <v/>
      </c>
      <c r="L51" s="11" t="str">
        <f t="shared" si="7"/>
        <v/>
      </c>
      <c r="M51" s="7">
        <v>0</v>
      </c>
      <c r="N51" s="7">
        <v>0</v>
      </c>
      <c r="O51" s="11" t="str">
        <f t="shared" si="8"/>
        <v/>
      </c>
      <c r="P51" s="14" t="str">
        <f t="shared" si="9"/>
        <v/>
      </c>
      <c r="Q51" s="15" t="str">
        <f t="shared" si="10"/>
        <v/>
      </c>
      <c r="R51" s="12" t="str">
        <f t="shared" si="11"/>
        <v/>
      </c>
    </row>
    <row r="52" spans="1:18">
      <c r="A52" s="2" t="str">
        <f>IF(Sell_History!A52="","",Sell_History!A52)</f>
        <v/>
      </c>
      <c r="B52" s="2" t="str">
        <f>IF(Sell_History!B52="","",Sell_History!B52)</f>
        <v/>
      </c>
      <c r="C52" s="8" t="str">
        <f>IF(A52="","",IFERROR(INDEX(Buy_History!#REF!,MATCH(A52,Buy_History!$A:$A,0)),A52))</f>
        <v/>
      </c>
      <c r="D52" s="13" t="str">
        <f>IF(C52="","",IFERROR(INDEX(Buy_History!$C:$C,MATCH(C52,Buy_History!$A:$A,0)),""))</f>
        <v/>
      </c>
      <c r="E52" s="13" t="str">
        <f>IF(A52="","",IFERROR(SUMIFS(Sell_History!$D:$D,Sell_History!$A:$A,A52,Sell_History!$B:$B,B52),""))</f>
        <v/>
      </c>
      <c r="F52" s="9" t="str">
        <f>IF(A52="","",IF(SUMIFS(Sell_History!$E:$E,Sell_History!$A:$A,A52,Sell_History!$B:$B,B52)=0,"",SUMIFS(Sell_History!$E:$E,Sell_History!$A:$A,A52,Sell_History!$B:$B,B52)))</f>
        <v/>
      </c>
      <c r="G52" s="9" t="str">
        <f>IF(C52="","",IFERROR(INDEX(Buy_History!$E:$E,MATCH(C52,Buy_History!$A:$A,0)),""))</f>
        <v/>
      </c>
      <c r="H52" s="9" t="str">
        <f>IF(C52="","",IFERROR(SUMIFS(Raw_Observations!$D:$D,Raw_Observations!$A:$A,C52,Raw_Observations!$B:$B,B52),""))</f>
        <v/>
      </c>
      <c r="I52" s="9" t="str">
        <f t="shared" si="6"/>
        <v/>
      </c>
      <c r="J52" s="9">
        <f>IFERROR(LOOKUP(2,1/((Order_History!$A$2:$A$200=A52)*(Order_History!$B$2:$B$200=B52)*(Order_History!$E$2:$E$200&lt;=E52)),Order_History!$G$2:$G$200),"")</f>
        <v>0</v>
      </c>
      <c r="K52" s="10" t="str">
        <f>IF(C52="","",IFERROR(SUMIFS(Pricing!$G:$G,Pricing!$A:$A,C52,Pricing!$B:$B,B52),""))</f>
        <v/>
      </c>
      <c r="L52" s="11" t="str">
        <f t="shared" si="7"/>
        <v/>
      </c>
      <c r="M52" s="7">
        <v>0</v>
      </c>
      <c r="N52" s="7">
        <v>0</v>
      </c>
      <c r="O52" s="11" t="str">
        <f t="shared" si="8"/>
        <v/>
      </c>
      <c r="P52" s="14" t="str">
        <f t="shared" si="9"/>
        <v/>
      </c>
      <c r="Q52" s="15" t="str">
        <f t="shared" si="10"/>
        <v/>
      </c>
      <c r="R52" s="12" t="str">
        <f t="shared" si="11"/>
        <v/>
      </c>
    </row>
    <row r="53" spans="1:18">
      <c r="A53" s="2" t="str">
        <f>IF(Sell_History!A53="","",Sell_History!A53)</f>
        <v/>
      </c>
      <c r="B53" s="2" t="str">
        <f>IF(Sell_History!B53="","",Sell_History!B53)</f>
        <v/>
      </c>
      <c r="C53" s="8" t="str">
        <f>IF(A53="","",IFERROR(INDEX(Buy_History!#REF!,MATCH(A53,Buy_History!$A:$A,0)),A53))</f>
        <v/>
      </c>
      <c r="D53" s="13" t="str">
        <f>IF(C53="","",IFERROR(INDEX(Buy_History!$C:$C,MATCH(C53,Buy_History!$A:$A,0)),""))</f>
        <v/>
      </c>
      <c r="E53" s="13" t="str">
        <f>IF(A53="","",IFERROR(SUMIFS(Sell_History!$D:$D,Sell_History!$A:$A,A53,Sell_History!$B:$B,B53),""))</f>
        <v/>
      </c>
      <c r="F53" s="9" t="str">
        <f>IF(A53="","",IF(SUMIFS(Sell_History!$E:$E,Sell_History!$A:$A,A53,Sell_History!$B:$B,B53)=0,"",SUMIFS(Sell_History!$E:$E,Sell_History!$A:$A,A53,Sell_History!$B:$B,B53)))</f>
        <v/>
      </c>
      <c r="G53" s="9" t="str">
        <f>IF(C53="","",IFERROR(INDEX(Buy_History!$E:$E,MATCH(C53,Buy_History!$A:$A,0)),""))</f>
        <v/>
      </c>
      <c r="H53" s="9" t="str">
        <f>IF(C53="","",IFERROR(SUMIFS(Raw_Observations!$D:$D,Raw_Observations!$A:$A,C53,Raw_Observations!$B:$B,B53),""))</f>
        <v/>
      </c>
      <c r="I53" s="9" t="str">
        <f t="shared" si="6"/>
        <v/>
      </c>
      <c r="J53" s="9">
        <f>IFERROR(LOOKUP(2,1/((Order_History!$A$2:$A$200=A53)*(Order_History!$B$2:$B$200=B53)*(Order_History!$E$2:$E$200&lt;=E53)),Order_History!$G$2:$G$200),"")</f>
        <v>0</v>
      </c>
      <c r="K53" s="10" t="str">
        <f>IF(C53="","",IFERROR(SUMIFS(Pricing!$G:$G,Pricing!$A:$A,C53,Pricing!$B:$B,B53),""))</f>
        <v/>
      </c>
      <c r="L53" s="11" t="str">
        <f t="shared" si="7"/>
        <v/>
      </c>
      <c r="M53" s="7">
        <v>0</v>
      </c>
      <c r="N53" s="7">
        <v>0</v>
      </c>
      <c r="O53" s="11" t="str">
        <f t="shared" si="8"/>
        <v/>
      </c>
      <c r="P53" s="14" t="str">
        <f t="shared" si="9"/>
        <v/>
      </c>
      <c r="Q53" s="15" t="str">
        <f t="shared" si="10"/>
        <v/>
      </c>
      <c r="R53" s="12" t="str">
        <f t="shared" si="11"/>
        <v/>
      </c>
    </row>
    <row r="54" spans="1:18">
      <c r="A54" s="2" t="str">
        <f>IF(Sell_History!A54="","",Sell_History!A54)</f>
        <v/>
      </c>
      <c r="B54" s="2" t="str">
        <f>IF(Sell_History!B54="","",Sell_History!B54)</f>
        <v/>
      </c>
      <c r="C54" s="8" t="str">
        <f>IF(A54="","",IFERROR(INDEX(Buy_History!#REF!,MATCH(A54,Buy_History!$A:$A,0)),A54))</f>
        <v/>
      </c>
      <c r="D54" s="13" t="str">
        <f>IF(C54="","",IFERROR(INDEX(Buy_History!$C:$C,MATCH(C54,Buy_History!$A:$A,0)),""))</f>
        <v/>
      </c>
      <c r="E54" s="13" t="str">
        <f>IF(A54="","",IFERROR(SUMIFS(Sell_History!$D:$D,Sell_History!$A:$A,A54,Sell_History!$B:$B,B54),""))</f>
        <v/>
      </c>
      <c r="F54" s="9" t="str">
        <f>IF(A54="","",IF(SUMIFS(Sell_History!$E:$E,Sell_History!$A:$A,A54,Sell_History!$B:$B,B54)=0,"",SUMIFS(Sell_History!$E:$E,Sell_History!$A:$A,A54,Sell_History!$B:$B,B54)))</f>
        <v/>
      </c>
      <c r="G54" s="9" t="str">
        <f>IF(C54="","",IFERROR(INDEX(Buy_History!$E:$E,MATCH(C54,Buy_History!$A:$A,0)),""))</f>
        <v/>
      </c>
      <c r="H54" s="9" t="str">
        <f>IF(C54="","",IFERROR(SUMIFS(Raw_Observations!$D:$D,Raw_Observations!$A:$A,C54,Raw_Observations!$B:$B,B54),""))</f>
        <v/>
      </c>
      <c r="I54" s="9" t="str">
        <f t="shared" si="6"/>
        <v/>
      </c>
      <c r="J54" s="9">
        <f>IFERROR(LOOKUP(2,1/((Order_History!$A$2:$A$200=A54)*(Order_History!$B$2:$B$200=B54)*(Order_History!$E$2:$E$200&lt;=E54)),Order_History!$G$2:$G$200),"")</f>
        <v>0</v>
      </c>
      <c r="K54" s="10" t="str">
        <f>IF(C54="","",IFERROR(SUMIFS(Pricing!$G:$G,Pricing!$A:$A,C54,Pricing!$B:$B,B54),""))</f>
        <v/>
      </c>
      <c r="L54" s="11" t="str">
        <f t="shared" si="7"/>
        <v/>
      </c>
      <c r="M54" s="7">
        <v>0</v>
      </c>
      <c r="N54" s="7">
        <v>0</v>
      </c>
      <c r="O54" s="11" t="str">
        <f t="shared" si="8"/>
        <v/>
      </c>
      <c r="P54" s="14" t="str">
        <f t="shared" si="9"/>
        <v/>
      </c>
      <c r="Q54" s="15" t="str">
        <f t="shared" si="10"/>
        <v/>
      </c>
      <c r="R54" s="12" t="str">
        <f t="shared" si="11"/>
        <v/>
      </c>
    </row>
    <row r="55" spans="1:18">
      <c r="A55" s="2" t="str">
        <f>IF(Sell_History!A55="","",Sell_History!A55)</f>
        <v/>
      </c>
      <c r="B55" s="2" t="str">
        <f>IF(Sell_History!B55="","",Sell_History!B55)</f>
        <v/>
      </c>
      <c r="C55" s="8" t="str">
        <f>IF(A55="","",IFERROR(INDEX(Buy_History!#REF!,MATCH(A55,Buy_History!$A:$A,0)),A55))</f>
        <v/>
      </c>
      <c r="D55" s="13" t="str">
        <f>IF(C55="","",IFERROR(INDEX(Buy_History!$C:$C,MATCH(C55,Buy_History!$A:$A,0)),""))</f>
        <v/>
      </c>
      <c r="E55" s="13" t="str">
        <f>IF(A55="","",IFERROR(SUMIFS(Sell_History!$D:$D,Sell_History!$A:$A,A55,Sell_History!$B:$B,B55),""))</f>
        <v/>
      </c>
      <c r="F55" s="9" t="str">
        <f>IF(A55="","",IF(SUMIFS(Sell_History!$E:$E,Sell_History!$A:$A,A55,Sell_History!$B:$B,B55)=0,"",SUMIFS(Sell_History!$E:$E,Sell_History!$A:$A,A55,Sell_History!$B:$B,B55)))</f>
        <v/>
      </c>
      <c r="G55" s="9" t="str">
        <f>IF(C55="","",IFERROR(INDEX(Buy_History!$E:$E,MATCH(C55,Buy_History!$A:$A,0)),""))</f>
        <v/>
      </c>
      <c r="H55" s="9" t="str">
        <f>IF(C55="","",IFERROR(SUMIFS(Raw_Observations!$D:$D,Raw_Observations!$A:$A,C55,Raw_Observations!$B:$B,B55),""))</f>
        <v/>
      </c>
      <c r="I55" s="9" t="str">
        <f t="shared" si="6"/>
        <v/>
      </c>
      <c r="J55" s="9">
        <f>IFERROR(LOOKUP(2,1/((Order_History!$A$2:$A$200=A55)*(Order_History!$B$2:$B$200=B55)*(Order_History!$E$2:$E$200&lt;=E55)),Order_History!$G$2:$G$200),"")</f>
        <v>0</v>
      </c>
      <c r="K55" s="10" t="str">
        <f>IF(C55="","",IFERROR(SUMIFS(Pricing!$G:$G,Pricing!$A:$A,C55,Pricing!$B:$B,B55),""))</f>
        <v/>
      </c>
      <c r="L55" s="11" t="str">
        <f t="shared" si="7"/>
        <v/>
      </c>
      <c r="M55" s="7">
        <v>0</v>
      </c>
      <c r="N55" s="7">
        <v>0</v>
      </c>
      <c r="O55" s="11" t="str">
        <f t="shared" si="8"/>
        <v/>
      </c>
      <c r="P55" s="14" t="str">
        <f t="shared" si="9"/>
        <v/>
      </c>
      <c r="Q55" s="15" t="str">
        <f t="shared" si="10"/>
        <v/>
      </c>
      <c r="R55" s="12" t="str">
        <f t="shared" si="11"/>
        <v/>
      </c>
    </row>
    <row r="56" spans="1:18">
      <c r="A56" s="2" t="str">
        <f>IF(Sell_History!A56="","",Sell_History!A56)</f>
        <v/>
      </c>
      <c r="B56" s="2" t="str">
        <f>IF(Sell_History!B56="","",Sell_History!B56)</f>
        <v/>
      </c>
      <c r="C56" s="8" t="str">
        <f>IF(A56="","",IFERROR(INDEX(Buy_History!#REF!,MATCH(A56,Buy_History!$A:$A,0)),A56))</f>
        <v/>
      </c>
      <c r="D56" s="13" t="str">
        <f>IF(C56="","",IFERROR(INDEX(Buy_History!$C:$C,MATCH(C56,Buy_History!$A:$A,0)),""))</f>
        <v/>
      </c>
      <c r="E56" s="13" t="str">
        <f>IF(A56="","",IFERROR(SUMIFS(Sell_History!$D:$D,Sell_History!$A:$A,A56,Sell_History!$B:$B,B56),""))</f>
        <v/>
      </c>
      <c r="F56" s="9" t="str">
        <f>IF(A56="","",IF(SUMIFS(Sell_History!$E:$E,Sell_History!$A:$A,A56,Sell_History!$B:$B,B56)=0,"",SUMIFS(Sell_History!$E:$E,Sell_History!$A:$A,A56,Sell_History!$B:$B,B56)))</f>
        <v/>
      </c>
      <c r="G56" s="9" t="str">
        <f>IF(C56="","",IFERROR(INDEX(Buy_History!$E:$E,MATCH(C56,Buy_History!$A:$A,0)),""))</f>
        <v/>
      </c>
      <c r="H56" s="9" t="str">
        <f>IF(C56="","",IFERROR(SUMIFS(Raw_Observations!$D:$D,Raw_Observations!$A:$A,C56,Raw_Observations!$B:$B,B56),""))</f>
        <v/>
      </c>
      <c r="I56" s="9" t="str">
        <f t="shared" si="6"/>
        <v/>
      </c>
      <c r="J56" s="9">
        <f>IFERROR(LOOKUP(2,1/((Order_History!$A$2:$A$200=A56)*(Order_History!$B$2:$B$200=B56)*(Order_History!$E$2:$E$200&lt;=E56)),Order_History!$G$2:$G$200),"")</f>
        <v>0</v>
      </c>
      <c r="K56" s="10" t="str">
        <f>IF(C56="","",IFERROR(SUMIFS(Pricing!$G:$G,Pricing!$A:$A,C56,Pricing!$B:$B,B56),""))</f>
        <v/>
      </c>
      <c r="L56" s="11" t="str">
        <f t="shared" si="7"/>
        <v/>
      </c>
      <c r="M56" s="7">
        <v>0</v>
      </c>
      <c r="N56" s="7">
        <v>0</v>
      </c>
      <c r="O56" s="11" t="str">
        <f t="shared" si="8"/>
        <v/>
      </c>
      <c r="P56" s="14" t="str">
        <f t="shared" si="9"/>
        <v/>
      </c>
      <c r="Q56" s="15" t="str">
        <f t="shared" si="10"/>
        <v/>
      </c>
      <c r="R56" s="12" t="str">
        <f t="shared" si="11"/>
        <v/>
      </c>
    </row>
    <row r="57" spans="1:18">
      <c r="A57" s="2" t="str">
        <f>IF(Sell_History!A57="","",Sell_History!A57)</f>
        <v/>
      </c>
      <c r="B57" s="2" t="str">
        <f>IF(Sell_History!B57="","",Sell_History!B57)</f>
        <v/>
      </c>
      <c r="C57" s="8" t="str">
        <f>IF(A57="","",IFERROR(INDEX(Buy_History!#REF!,MATCH(A57,Buy_History!$A:$A,0)),A57))</f>
        <v/>
      </c>
      <c r="D57" s="13" t="str">
        <f>IF(C57="","",IFERROR(INDEX(Buy_History!$C:$C,MATCH(C57,Buy_History!$A:$A,0)),""))</f>
        <v/>
      </c>
      <c r="E57" s="13" t="str">
        <f>IF(A57="","",IFERROR(SUMIFS(Sell_History!$D:$D,Sell_History!$A:$A,A57,Sell_History!$B:$B,B57),""))</f>
        <v/>
      </c>
      <c r="F57" s="9" t="str">
        <f>IF(A57="","",IF(SUMIFS(Sell_History!$E:$E,Sell_History!$A:$A,A57,Sell_History!$B:$B,B57)=0,"",SUMIFS(Sell_History!$E:$E,Sell_History!$A:$A,A57,Sell_History!$B:$B,B57)))</f>
        <v/>
      </c>
      <c r="G57" s="9" t="str">
        <f>IF(C57="","",IFERROR(INDEX(Buy_History!$E:$E,MATCH(C57,Buy_History!$A:$A,0)),""))</f>
        <v/>
      </c>
      <c r="H57" s="9" t="str">
        <f>IF(C57="","",IFERROR(SUMIFS(Raw_Observations!$D:$D,Raw_Observations!$A:$A,C57,Raw_Observations!$B:$B,B57),""))</f>
        <v/>
      </c>
      <c r="I57" s="9" t="str">
        <f t="shared" si="6"/>
        <v/>
      </c>
      <c r="J57" s="9">
        <f>IFERROR(LOOKUP(2,1/((Order_History!$A$2:$A$200=A57)*(Order_History!$B$2:$B$200=B57)*(Order_History!$E$2:$E$200&lt;=E57)),Order_History!$G$2:$G$200),"")</f>
        <v>0</v>
      </c>
      <c r="K57" s="10" t="str">
        <f>IF(C57="","",IFERROR(SUMIFS(Pricing!$G:$G,Pricing!$A:$A,C57,Pricing!$B:$B,B57),""))</f>
        <v/>
      </c>
      <c r="L57" s="11" t="str">
        <f t="shared" si="7"/>
        <v/>
      </c>
      <c r="M57" s="7">
        <v>0</v>
      </c>
      <c r="N57" s="7">
        <v>0</v>
      </c>
      <c r="O57" s="11" t="str">
        <f t="shared" si="8"/>
        <v/>
      </c>
      <c r="P57" s="14" t="str">
        <f t="shared" si="9"/>
        <v/>
      </c>
      <c r="Q57" s="15" t="str">
        <f t="shared" si="10"/>
        <v/>
      </c>
      <c r="R57" s="12" t="str">
        <f t="shared" si="11"/>
        <v/>
      </c>
    </row>
    <row r="58" spans="1:18">
      <c r="A58" s="2" t="str">
        <f>IF(Sell_History!A58="","",Sell_History!A58)</f>
        <v/>
      </c>
      <c r="B58" s="2" t="str">
        <f>IF(Sell_History!B58="","",Sell_History!B58)</f>
        <v/>
      </c>
      <c r="C58" s="8" t="str">
        <f>IF(A58="","",IFERROR(INDEX(Buy_History!#REF!,MATCH(A58,Buy_History!$A:$A,0)),A58))</f>
        <v/>
      </c>
      <c r="D58" s="13" t="str">
        <f>IF(C58="","",IFERROR(INDEX(Buy_History!$C:$C,MATCH(C58,Buy_History!$A:$A,0)),""))</f>
        <v/>
      </c>
      <c r="E58" s="13" t="str">
        <f>IF(A58="","",IFERROR(SUMIFS(Sell_History!$D:$D,Sell_History!$A:$A,A58,Sell_History!$B:$B,B58),""))</f>
        <v/>
      </c>
      <c r="F58" s="9" t="str">
        <f>IF(A58="","",IF(SUMIFS(Sell_History!$E:$E,Sell_History!$A:$A,A58,Sell_History!$B:$B,B58)=0,"",SUMIFS(Sell_History!$E:$E,Sell_History!$A:$A,A58,Sell_History!$B:$B,B58)))</f>
        <v/>
      </c>
      <c r="G58" s="9" t="str">
        <f>IF(C58="","",IFERROR(INDEX(Buy_History!$E:$E,MATCH(C58,Buy_History!$A:$A,0)),""))</f>
        <v/>
      </c>
      <c r="H58" s="9" t="str">
        <f>IF(C58="","",IFERROR(SUMIFS(Raw_Observations!$D:$D,Raw_Observations!$A:$A,C58,Raw_Observations!$B:$B,B58),""))</f>
        <v/>
      </c>
      <c r="I58" s="9" t="str">
        <f t="shared" si="6"/>
        <v/>
      </c>
      <c r="J58" s="9">
        <f>IFERROR(LOOKUP(2,1/((Order_History!$A$2:$A$200=A58)*(Order_History!$B$2:$B$200=B58)*(Order_History!$E$2:$E$200&lt;=E58)),Order_History!$G$2:$G$200),"")</f>
        <v>0</v>
      </c>
      <c r="K58" s="10" t="str">
        <f>IF(C58="","",IFERROR(SUMIFS(Pricing!$G:$G,Pricing!$A:$A,C58,Pricing!$B:$B,B58),""))</f>
        <v/>
      </c>
      <c r="L58" s="11" t="str">
        <f t="shared" si="7"/>
        <v/>
      </c>
      <c r="M58" s="7">
        <v>0</v>
      </c>
      <c r="N58" s="7">
        <v>0</v>
      </c>
      <c r="O58" s="11" t="str">
        <f t="shared" si="8"/>
        <v/>
      </c>
      <c r="P58" s="14" t="str">
        <f t="shared" si="9"/>
        <v/>
      </c>
      <c r="Q58" s="15" t="str">
        <f t="shared" si="10"/>
        <v/>
      </c>
      <c r="R58" s="12" t="str">
        <f t="shared" si="11"/>
        <v/>
      </c>
    </row>
    <row r="59" spans="1:18">
      <c r="A59" s="2" t="str">
        <f>IF(Sell_History!A59="","",Sell_History!A59)</f>
        <v/>
      </c>
      <c r="B59" s="2" t="str">
        <f>IF(Sell_History!B59="","",Sell_History!B59)</f>
        <v/>
      </c>
      <c r="C59" s="8" t="str">
        <f>IF(A59="","",IFERROR(INDEX(Buy_History!#REF!,MATCH(A59,Buy_History!$A:$A,0)),A59))</f>
        <v/>
      </c>
      <c r="D59" s="13" t="str">
        <f>IF(C59="","",IFERROR(INDEX(Buy_History!$C:$C,MATCH(C59,Buy_History!$A:$A,0)),""))</f>
        <v/>
      </c>
      <c r="E59" s="13" t="str">
        <f>IF(A59="","",IFERROR(SUMIFS(Sell_History!$D:$D,Sell_History!$A:$A,A59,Sell_History!$B:$B,B59),""))</f>
        <v/>
      </c>
      <c r="F59" s="9" t="str">
        <f>IF(A59="","",IF(SUMIFS(Sell_History!$E:$E,Sell_History!$A:$A,A59,Sell_History!$B:$B,B59)=0,"",SUMIFS(Sell_History!$E:$E,Sell_History!$A:$A,A59,Sell_History!$B:$B,B59)))</f>
        <v/>
      </c>
      <c r="G59" s="9" t="str">
        <f>IF(C59="","",IFERROR(INDEX(Buy_History!$E:$E,MATCH(C59,Buy_History!$A:$A,0)),""))</f>
        <v/>
      </c>
      <c r="H59" s="9" t="str">
        <f>IF(C59="","",IFERROR(SUMIFS(Raw_Observations!$D:$D,Raw_Observations!$A:$A,C59,Raw_Observations!$B:$B,B59),""))</f>
        <v/>
      </c>
      <c r="I59" s="9" t="str">
        <f t="shared" si="6"/>
        <v/>
      </c>
      <c r="J59" s="9">
        <f>IFERROR(LOOKUP(2,1/((Order_History!$A$2:$A$200=A59)*(Order_History!$B$2:$B$200=B59)*(Order_History!$E$2:$E$200&lt;=E59)),Order_History!$G$2:$G$200),"")</f>
        <v>0</v>
      </c>
      <c r="K59" s="10" t="str">
        <f>IF(C59="","",IFERROR(SUMIFS(Pricing!$G:$G,Pricing!$A:$A,C59,Pricing!$B:$B,B59),""))</f>
        <v/>
      </c>
      <c r="L59" s="11" t="str">
        <f t="shared" si="7"/>
        <v/>
      </c>
      <c r="M59" s="7">
        <v>0</v>
      </c>
      <c r="N59" s="7">
        <v>0</v>
      </c>
      <c r="O59" s="11" t="str">
        <f t="shared" si="8"/>
        <v/>
      </c>
      <c r="P59" s="14" t="str">
        <f t="shared" si="9"/>
        <v/>
      </c>
      <c r="Q59" s="15" t="str">
        <f t="shared" si="10"/>
        <v/>
      </c>
      <c r="R59" s="12" t="str">
        <f t="shared" si="11"/>
        <v/>
      </c>
    </row>
    <row r="60" spans="1:18">
      <c r="A60" s="2" t="str">
        <f>IF(Sell_History!A60="","",Sell_History!A60)</f>
        <v/>
      </c>
      <c r="B60" s="2" t="str">
        <f>IF(Sell_History!B60="","",Sell_History!B60)</f>
        <v/>
      </c>
      <c r="C60" s="8" t="str">
        <f>IF(A60="","",IFERROR(INDEX(Buy_History!#REF!,MATCH(A60,Buy_History!$A:$A,0)),A60))</f>
        <v/>
      </c>
      <c r="D60" s="13" t="str">
        <f>IF(C60="","",IFERROR(INDEX(Buy_History!$C:$C,MATCH(C60,Buy_History!$A:$A,0)),""))</f>
        <v/>
      </c>
      <c r="E60" s="13" t="str">
        <f>IF(A60="","",IFERROR(SUMIFS(Sell_History!$D:$D,Sell_History!$A:$A,A60,Sell_History!$B:$B,B60),""))</f>
        <v/>
      </c>
      <c r="F60" s="9" t="str">
        <f>IF(A60="","",IF(SUMIFS(Sell_History!$E:$E,Sell_History!$A:$A,A60,Sell_History!$B:$B,B60)=0,"",SUMIFS(Sell_History!$E:$E,Sell_History!$A:$A,A60,Sell_History!$B:$B,B60)))</f>
        <v/>
      </c>
      <c r="G60" s="9" t="str">
        <f>IF(C60="","",IFERROR(INDEX(Buy_History!$E:$E,MATCH(C60,Buy_History!$A:$A,0)),""))</f>
        <v/>
      </c>
      <c r="H60" s="9" t="str">
        <f>IF(C60="","",IFERROR(SUMIFS(Raw_Observations!$D:$D,Raw_Observations!$A:$A,C60,Raw_Observations!$B:$B,B60),""))</f>
        <v/>
      </c>
      <c r="I60" s="9" t="str">
        <f t="shared" si="6"/>
        <v/>
      </c>
      <c r="J60" s="9">
        <f>IFERROR(LOOKUP(2,1/((Order_History!$A$2:$A$200=A60)*(Order_History!$B$2:$B$200=B60)*(Order_History!$E$2:$E$200&lt;=E60)),Order_History!$G$2:$G$200),"")</f>
        <v>0</v>
      </c>
      <c r="K60" s="10" t="str">
        <f>IF(C60="","",IFERROR(SUMIFS(Pricing!$G:$G,Pricing!$A:$A,C60,Pricing!$B:$B,B60),""))</f>
        <v/>
      </c>
      <c r="L60" s="11" t="str">
        <f t="shared" si="7"/>
        <v/>
      </c>
      <c r="M60" s="7">
        <v>0</v>
      </c>
      <c r="N60" s="7">
        <v>0</v>
      </c>
      <c r="O60" s="11" t="str">
        <f t="shared" si="8"/>
        <v/>
      </c>
      <c r="P60" s="14" t="str">
        <f t="shared" si="9"/>
        <v/>
      </c>
      <c r="Q60" s="15" t="str">
        <f t="shared" si="10"/>
        <v/>
      </c>
      <c r="R60" s="12" t="str">
        <f t="shared" si="11"/>
        <v/>
      </c>
    </row>
    <row r="61" spans="1:18">
      <c r="A61" s="2" t="str">
        <f>IF(Sell_History!A61="","",Sell_History!A61)</f>
        <v/>
      </c>
      <c r="B61" s="2" t="str">
        <f>IF(Sell_History!B61="","",Sell_History!B61)</f>
        <v/>
      </c>
      <c r="C61" s="8" t="str">
        <f>IF(A61="","",IFERROR(INDEX(Buy_History!#REF!,MATCH(A61,Buy_History!$A:$A,0)),A61))</f>
        <v/>
      </c>
      <c r="D61" s="13" t="str">
        <f>IF(C61="","",IFERROR(INDEX(Buy_History!$C:$C,MATCH(C61,Buy_History!$A:$A,0)),""))</f>
        <v/>
      </c>
      <c r="E61" s="13" t="str">
        <f>IF(A61="","",IFERROR(SUMIFS(Sell_History!$D:$D,Sell_History!$A:$A,A61,Sell_History!$B:$B,B61),""))</f>
        <v/>
      </c>
      <c r="F61" s="9" t="str">
        <f>IF(A61="","",IF(SUMIFS(Sell_History!$E:$E,Sell_History!$A:$A,A61,Sell_History!$B:$B,B61)=0,"",SUMIFS(Sell_History!$E:$E,Sell_History!$A:$A,A61,Sell_History!$B:$B,B61)))</f>
        <v/>
      </c>
      <c r="G61" s="9" t="str">
        <f>IF(C61="","",IFERROR(INDEX(Buy_History!$E:$E,MATCH(C61,Buy_History!$A:$A,0)),""))</f>
        <v/>
      </c>
      <c r="H61" s="9" t="str">
        <f>IF(C61="","",IFERROR(SUMIFS(Raw_Observations!$D:$D,Raw_Observations!$A:$A,C61,Raw_Observations!$B:$B,B61),""))</f>
        <v/>
      </c>
      <c r="I61" s="9" t="str">
        <f t="shared" si="6"/>
        <v/>
      </c>
      <c r="J61" s="9">
        <f>IFERROR(LOOKUP(2,1/((Order_History!$A$2:$A$200=A61)*(Order_History!$B$2:$B$200=B61)*(Order_History!$E$2:$E$200&lt;=E61)),Order_History!$G$2:$G$200),"")</f>
        <v>0</v>
      </c>
      <c r="K61" s="10" t="str">
        <f>IF(C61="","",IFERROR(SUMIFS(Pricing!$G:$G,Pricing!$A:$A,C61,Pricing!$B:$B,B61),""))</f>
        <v/>
      </c>
      <c r="L61" s="11" t="str">
        <f t="shared" si="7"/>
        <v/>
      </c>
      <c r="M61" s="7">
        <v>0</v>
      </c>
      <c r="N61" s="7">
        <v>0</v>
      </c>
      <c r="O61" s="11" t="str">
        <f t="shared" si="8"/>
        <v/>
      </c>
      <c r="P61" s="14" t="str">
        <f t="shared" si="9"/>
        <v/>
      </c>
      <c r="Q61" s="15" t="str">
        <f t="shared" si="10"/>
        <v/>
      </c>
      <c r="R61" s="12" t="str">
        <f t="shared" si="11"/>
        <v/>
      </c>
    </row>
    <row r="62" spans="1:18">
      <c r="A62" s="2" t="str">
        <f>IF(Sell_History!A62="","",Sell_History!A62)</f>
        <v/>
      </c>
      <c r="B62" s="2" t="str">
        <f>IF(Sell_History!B62="","",Sell_History!B62)</f>
        <v/>
      </c>
      <c r="C62" s="8" t="str">
        <f>IF(A62="","",IFERROR(INDEX(Buy_History!#REF!,MATCH(A62,Buy_History!$A:$A,0)),A62))</f>
        <v/>
      </c>
      <c r="D62" s="13" t="str">
        <f>IF(C62="","",IFERROR(INDEX(Buy_History!$C:$C,MATCH(C62,Buy_History!$A:$A,0)),""))</f>
        <v/>
      </c>
      <c r="E62" s="13" t="str">
        <f>IF(A62="","",IFERROR(SUMIFS(Sell_History!$D:$D,Sell_History!$A:$A,A62,Sell_History!$B:$B,B62),""))</f>
        <v/>
      </c>
      <c r="F62" s="9" t="str">
        <f>IF(A62="","",IF(SUMIFS(Sell_History!$E:$E,Sell_History!$A:$A,A62,Sell_History!$B:$B,B62)=0,"",SUMIFS(Sell_History!$E:$E,Sell_History!$A:$A,A62,Sell_History!$B:$B,B62)))</f>
        <v/>
      </c>
      <c r="G62" s="9" t="str">
        <f>IF(C62="","",IFERROR(INDEX(Buy_History!$E:$E,MATCH(C62,Buy_History!$A:$A,0)),""))</f>
        <v/>
      </c>
      <c r="H62" s="9" t="str">
        <f>IF(C62="","",IFERROR(SUMIFS(Raw_Observations!$D:$D,Raw_Observations!$A:$A,C62,Raw_Observations!$B:$B,B62),""))</f>
        <v/>
      </c>
      <c r="I62" s="9" t="str">
        <f t="shared" si="6"/>
        <v/>
      </c>
      <c r="J62" s="9">
        <f>IFERROR(LOOKUP(2,1/((Order_History!$A$2:$A$200=A62)*(Order_History!$B$2:$B$200=B62)*(Order_History!$E$2:$E$200&lt;=E62)),Order_History!$G$2:$G$200),"")</f>
        <v>0</v>
      </c>
      <c r="K62" s="10" t="str">
        <f>IF(C62="","",IFERROR(SUMIFS(Pricing!$G:$G,Pricing!$A:$A,C62,Pricing!$B:$B,B62),""))</f>
        <v/>
      </c>
      <c r="L62" s="11" t="str">
        <f t="shared" si="7"/>
        <v/>
      </c>
      <c r="M62" s="7">
        <v>0</v>
      </c>
      <c r="N62" s="7">
        <v>0</v>
      </c>
      <c r="O62" s="11" t="str">
        <f t="shared" si="8"/>
        <v/>
      </c>
      <c r="P62" s="14" t="str">
        <f t="shared" si="9"/>
        <v/>
      </c>
      <c r="Q62" s="15" t="str">
        <f t="shared" si="10"/>
        <v/>
      </c>
      <c r="R62" s="12" t="str">
        <f t="shared" si="11"/>
        <v/>
      </c>
    </row>
    <row r="63" spans="1:18">
      <c r="A63" s="2" t="str">
        <f>IF(Sell_History!A63="","",Sell_History!A63)</f>
        <v/>
      </c>
      <c r="B63" s="2" t="str">
        <f>IF(Sell_History!B63="","",Sell_History!B63)</f>
        <v/>
      </c>
      <c r="C63" s="8" t="str">
        <f>IF(A63="","",IFERROR(INDEX(Buy_History!#REF!,MATCH(A63,Buy_History!$A:$A,0)),A63))</f>
        <v/>
      </c>
      <c r="D63" s="13" t="str">
        <f>IF(C63="","",IFERROR(INDEX(Buy_History!$C:$C,MATCH(C63,Buy_History!$A:$A,0)),""))</f>
        <v/>
      </c>
      <c r="E63" s="13" t="str">
        <f>IF(A63="","",IFERROR(SUMIFS(Sell_History!$D:$D,Sell_History!$A:$A,A63,Sell_History!$B:$B,B63),""))</f>
        <v/>
      </c>
      <c r="F63" s="9" t="str">
        <f>IF(A63="","",IF(SUMIFS(Sell_History!$E:$E,Sell_History!$A:$A,A63,Sell_History!$B:$B,B63)=0,"",SUMIFS(Sell_History!$E:$E,Sell_History!$A:$A,A63,Sell_History!$B:$B,B63)))</f>
        <v/>
      </c>
      <c r="G63" s="9" t="str">
        <f>IF(C63="","",IFERROR(INDEX(Buy_History!$E:$E,MATCH(C63,Buy_History!$A:$A,0)),""))</f>
        <v/>
      </c>
      <c r="H63" s="9" t="str">
        <f>IF(C63="","",IFERROR(SUMIFS(Raw_Observations!$D:$D,Raw_Observations!$A:$A,C63,Raw_Observations!$B:$B,B63),""))</f>
        <v/>
      </c>
      <c r="I63" s="9" t="str">
        <f t="shared" si="6"/>
        <v/>
      </c>
      <c r="J63" s="9">
        <f>IFERROR(LOOKUP(2,1/((Order_History!$A$2:$A$200=A63)*(Order_History!$B$2:$B$200=B63)*(Order_History!$E$2:$E$200&lt;=E63)),Order_History!$G$2:$G$200),"")</f>
        <v>0</v>
      </c>
      <c r="K63" s="10" t="str">
        <f>IF(C63="","",IFERROR(SUMIFS(Pricing!$G:$G,Pricing!$A:$A,C63,Pricing!$B:$B,B63),""))</f>
        <v/>
      </c>
      <c r="L63" s="11" t="str">
        <f t="shared" si="7"/>
        <v/>
      </c>
      <c r="M63" s="7">
        <v>0</v>
      </c>
      <c r="N63" s="7">
        <v>0</v>
      </c>
      <c r="O63" s="11" t="str">
        <f t="shared" si="8"/>
        <v/>
      </c>
      <c r="P63" s="14" t="str">
        <f t="shared" si="9"/>
        <v/>
      </c>
      <c r="Q63" s="15" t="str">
        <f t="shared" si="10"/>
        <v/>
      </c>
      <c r="R63" s="12" t="str">
        <f t="shared" si="11"/>
        <v/>
      </c>
    </row>
    <row r="64" spans="1:18">
      <c r="A64" s="2" t="str">
        <f>IF(Sell_History!A64="","",Sell_History!A64)</f>
        <v/>
      </c>
      <c r="B64" s="2" t="str">
        <f>IF(Sell_History!B64="","",Sell_History!B64)</f>
        <v/>
      </c>
      <c r="C64" s="8" t="str">
        <f>IF(A64="","",IFERROR(INDEX(Buy_History!#REF!,MATCH(A64,Buy_History!$A:$A,0)),A64))</f>
        <v/>
      </c>
      <c r="D64" s="13" t="str">
        <f>IF(C64="","",IFERROR(INDEX(Buy_History!$C:$C,MATCH(C64,Buy_History!$A:$A,0)),""))</f>
        <v/>
      </c>
      <c r="E64" s="13" t="str">
        <f>IF(A64="","",IFERROR(SUMIFS(Sell_History!$D:$D,Sell_History!$A:$A,A64,Sell_History!$B:$B,B64),""))</f>
        <v/>
      </c>
      <c r="F64" s="9" t="str">
        <f>IF(A64="","",IF(SUMIFS(Sell_History!$E:$E,Sell_History!$A:$A,A64,Sell_History!$B:$B,B64)=0,"",SUMIFS(Sell_History!$E:$E,Sell_History!$A:$A,A64,Sell_History!$B:$B,B64)))</f>
        <v/>
      </c>
      <c r="G64" s="9" t="str">
        <f>IF(C64="","",IFERROR(INDEX(Buy_History!$E:$E,MATCH(C64,Buy_History!$A:$A,0)),""))</f>
        <v/>
      </c>
      <c r="H64" s="9" t="str">
        <f>IF(C64="","",IFERROR(SUMIFS(Raw_Observations!$D:$D,Raw_Observations!$A:$A,C64,Raw_Observations!$B:$B,B64),""))</f>
        <v/>
      </c>
      <c r="I64" s="9" t="str">
        <f t="shared" si="6"/>
        <v/>
      </c>
      <c r="J64" s="9">
        <f>IFERROR(LOOKUP(2,1/((Order_History!$A$2:$A$200=A64)*(Order_History!$B$2:$B$200=B64)*(Order_History!$E$2:$E$200&lt;=E64)),Order_History!$G$2:$G$200),"")</f>
        <v>0</v>
      </c>
      <c r="K64" s="10" t="str">
        <f>IF(C64="","",IFERROR(SUMIFS(Pricing!$G:$G,Pricing!$A:$A,C64,Pricing!$B:$B,B64),""))</f>
        <v/>
      </c>
      <c r="L64" s="11" t="str">
        <f t="shared" si="7"/>
        <v/>
      </c>
      <c r="M64" s="7">
        <v>0</v>
      </c>
      <c r="N64" s="7">
        <v>0</v>
      </c>
      <c r="O64" s="11" t="str">
        <f t="shared" si="8"/>
        <v/>
      </c>
      <c r="P64" s="14" t="str">
        <f t="shared" si="9"/>
        <v/>
      </c>
      <c r="Q64" s="15" t="str">
        <f t="shared" si="10"/>
        <v/>
      </c>
      <c r="R64" s="12" t="str">
        <f t="shared" si="11"/>
        <v/>
      </c>
    </row>
    <row r="65" spans="1:18">
      <c r="A65" s="2" t="str">
        <f>IF(Sell_History!A65="","",Sell_History!A65)</f>
        <v/>
      </c>
      <c r="B65" s="2" t="str">
        <f>IF(Sell_History!B65="","",Sell_History!B65)</f>
        <v/>
      </c>
      <c r="C65" s="8" t="str">
        <f>IF(A65="","",IFERROR(INDEX(Buy_History!#REF!,MATCH(A65,Buy_History!$A:$A,0)),A65))</f>
        <v/>
      </c>
      <c r="D65" s="13" t="str">
        <f>IF(C65="","",IFERROR(INDEX(Buy_History!$C:$C,MATCH(C65,Buy_History!$A:$A,0)),""))</f>
        <v/>
      </c>
      <c r="E65" s="13" t="str">
        <f>IF(A65="","",IFERROR(SUMIFS(Sell_History!$D:$D,Sell_History!$A:$A,A65,Sell_History!$B:$B,B65),""))</f>
        <v/>
      </c>
      <c r="F65" s="9" t="str">
        <f>IF(A65="","",IF(SUMIFS(Sell_History!$E:$E,Sell_History!$A:$A,A65,Sell_History!$B:$B,B65)=0,"",SUMIFS(Sell_History!$E:$E,Sell_History!$A:$A,A65,Sell_History!$B:$B,B65)))</f>
        <v/>
      </c>
      <c r="G65" s="9" t="str">
        <f>IF(C65="","",IFERROR(INDEX(Buy_History!$E:$E,MATCH(C65,Buy_History!$A:$A,0)),""))</f>
        <v/>
      </c>
      <c r="H65" s="9" t="str">
        <f>IF(C65="","",IFERROR(SUMIFS(Raw_Observations!$D:$D,Raw_Observations!$A:$A,C65,Raw_Observations!$B:$B,B65),""))</f>
        <v/>
      </c>
      <c r="I65" s="9" t="str">
        <f t="shared" si="6"/>
        <v/>
      </c>
      <c r="J65" s="9">
        <f>IFERROR(LOOKUP(2,1/((Order_History!$A$2:$A$200=A65)*(Order_History!$B$2:$B$200=B65)*(Order_History!$E$2:$E$200&lt;=E65)),Order_History!$G$2:$G$200),"")</f>
        <v>0</v>
      </c>
      <c r="K65" s="10" t="str">
        <f>IF(C65="","",IFERROR(SUMIFS(Pricing!$G:$G,Pricing!$A:$A,C65,Pricing!$B:$B,B65),""))</f>
        <v/>
      </c>
      <c r="L65" s="11" t="str">
        <f t="shared" si="7"/>
        <v/>
      </c>
      <c r="M65" s="7">
        <v>0</v>
      </c>
      <c r="N65" s="7">
        <v>0</v>
      </c>
      <c r="O65" s="11" t="str">
        <f t="shared" si="8"/>
        <v/>
      </c>
      <c r="P65" s="14" t="str">
        <f t="shared" si="9"/>
        <v/>
      </c>
      <c r="Q65" s="15" t="str">
        <f t="shared" si="10"/>
        <v/>
      </c>
      <c r="R65" s="12" t="str">
        <f t="shared" si="11"/>
        <v/>
      </c>
    </row>
    <row r="66" spans="1:18">
      <c r="A66" s="2" t="str">
        <f>IF(Sell_History!A66="","",Sell_History!A66)</f>
        <v/>
      </c>
      <c r="B66" s="2" t="str">
        <f>IF(Sell_History!B66="","",Sell_History!B66)</f>
        <v/>
      </c>
      <c r="C66" s="8" t="str">
        <f>IF(A66="","",IFERROR(INDEX(Buy_History!#REF!,MATCH(A66,Buy_History!$A:$A,0)),A66))</f>
        <v/>
      </c>
      <c r="D66" s="13" t="str">
        <f>IF(C66="","",IFERROR(INDEX(Buy_History!$C:$C,MATCH(C66,Buy_History!$A:$A,0)),""))</f>
        <v/>
      </c>
      <c r="E66" s="13" t="str">
        <f>IF(A66="","",IFERROR(SUMIFS(Sell_History!$D:$D,Sell_History!$A:$A,A66,Sell_History!$B:$B,B66),""))</f>
        <v/>
      </c>
      <c r="F66" s="9" t="str">
        <f>IF(A66="","",IF(SUMIFS(Sell_History!$E:$E,Sell_History!$A:$A,A66,Sell_History!$B:$B,B66)=0,"",SUMIFS(Sell_History!$E:$E,Sell_History!$A:$A,A66,Sell_History!$B:$B,B66)))</f>
        <v/>
      </c>
      <c r="G66" s="9" t="str">
        <f>IF(C66="","",IFERROR(INDEX(Buy_History!$E:$E,MATCH(C66,Buy_History!$A:$A,0)),""))</f>
        <v/>
      </c>
      <c r="H66" s="9" t="str">
        <f>IF(C66="","",IFERROR(SUMIFS(Raw_Observations!$D:$D,Raw_Observations!$A:$A,C66,Raw_Observations!$B:$B,B66),""))</f>
        <v/>
      </c>
      <c r="I66" s="9" t="str">
        <f t="shared" ref="I66:I97" si="12">IF(H66="","",IF(OR(F66="",G66="",G66=0),H66,H66*F66/G66))</f>
        <v/>
      </c>
      <c r="J66" s="9">
        <f>IFERROR(LOOKUP(2,1/((Order_History!$A$2:$A$200=A66)*(Order_History!$B$2:$B$200=B66)*(Order_History!$E$2:$E$200&lt;=E66)),Order_History!$G$2:$G$200),"")</f>
        <v>0</v>
      </c>
      <c r="K66" s="10" t="str">
        <f>IF(C66="","",IFERROR(SUMIFS(Pricing!$G:$G,Pricing!$A:$A,C66,Pricing!$B:$B,B66),""))</f>
        <v/>
      </c>
      <c r="L66" s="11" t="str">
        <f t="shared" ref="L66:L97" si="13">IF(OR(I66="",J66=""),"",J66-I66)</f>
        <v/>
      </c>
      <c r="M66" s="7">
        <v>0</v>
      </c>
      <c r="N66" s="7">
        <v>0</v>
      </c>
      <c r="O66" s="11" t="str">
        <f t="shared" ref="O66:O97" si="14">IF(L66="","",L66-M66-N66)</f>
        <v/>
      </c>
      <c r="P66" s="14" t="str">
        <f t="shared" ref="P66:P97" si="15">IF(OR(O66="",I66=""),"",O66/I66)</f>
        <v/>
      </c>
      <c r="Q66" s="15" t="str">
        <f t="shared" ref="Q66:Q97" si="16">IF(OR(D66="",E66=""),"",MAX(1,ROUNDUP(E66-D66,0)))</f>
        <v/>
      </c>
      <c r="R66" s="12" t="str">
        <f t="shared" ref="R66:R97" si="17">IF(OR(P66="",Q66=""),"",(1+P66)^(365/Q66)-1)</f>
        <v/>
      </c>
    </row>
    <row r="67" spans="1:18">
      <c r="A67" s="2" t="str">
        <f>IF(Sell_History!A67="","",Sell_History!A67)</f>
        <v/>
      </c>
      <c r="B67" s="2" t="str">
        <f>IF(Sell_History!B67="","",Sell_History!B67)</f>
        <v/>
      </c>
      <c r="C67" s="8" t="str">
        <f>IF(A67="","",IFERROR(INDEX(Buy_History!#REF!,MATCH(A67,Buy_History!$A:$A,0)),A67))</f>
        <v/>
      </c>
      <c r="D67" s="13" t="str">
        <f>IF(C67="","",IFERROR(INDEX(Buy_History!$C:$C,MATCH(C67,Buy_History!$A:$A,0)),""))</f>
        <v/>
      </c>
      <c r="E67" s="13" t="str">
        <f>IF(A67="","",IFERROR(SUMIFS(Sell_History!$D:$D,Sell_History!$A:$A,A67,Sell_History!$B:$B,B67),""))</f>
        <v/>
      </c>
      <c r="F67" s="9" t="str">
        <f>IF(A67="","",IF(SUMIFS(Sell_History!$E:$E,Sell_History!$A:$A,A67,Sell_History!$B:$B,B67)=0,"",SUMIFS(Sell_History!$E:$E,Sell_History!$A:$A,A67,Sell_History!$B:$B,B67)))</f>
        <v/>
      </c>
      <c r="G67" s="9" t="str">
        <f>IF(C67="","",IFERROR(INDEX(Buy_History!$E:$E,MATCH(C67,Buy_History!$A:$A,0)),""))</f>
        <v/>
      </c>
      <c r="H67" s="9" t="str">
        <f>IF(C67="","",IFERROR(SUMIFS(Raw_Observations!$D:$D,Raw_Observations!$A:$A,C67,Raw_Observations!$B:$B,B67),""))</f>
        <v/>
      </c>
      <c r="I67" s="9" t="str">
        <f t="shared" si="12"/>
        <v/>
      </c>
      <c r="J67" s="9">
        <f>IFERROR(LOOKUP(2,1/((Order_History!$A$2:$A$200=A67)*(Order_History!$B$2:$B$200=B67)*(Order_History!$E$2:$E$200&lt;=E67)),Order_History!$G$2:$G$200),"")</f>
        <v>0</v>
      </c>
      <c r="K67" s="10" t="str">
        <f>IF(C67="","",IFERROR(SUMIFS(Pricing!$G:$G,Pricing!$A:$A,C67,Pricing!$B:$B,B67),""))</f>
        <v/>
      </c>
      <c r="L67" s="11" t="str">
        <f t="shared" si="13"/>
        <v/>
      </c>
      <c r="M67" s="7">
        <v>0</v>
      </c>
      <c r="N67" s="7">
        <v>0</v>
      </c>
      <c r="O67" s="11" t="str">
        <f t="shared" si="14"/>
        <v/>
      </c>
      <c r="P67" s="14" t="str">
        <f t="shared" si="15"/>
        <v/>
      </c>
      <c r="Q67" s="15" t="str">
        <f t="shared" si="16"/>
        <v/>
      </c>
      <c r="R67" s="12" t="str">
        <f t="shared" si="17"/>
        <v/>
      </c>
    </row>
    <row r="68" spans="1:18">
      <c r="A68" s="2" t="str">
        <f>IF(Sell_History!A68="","",Sell_History!A68)</f>
        <v/>
      </c>
      <c r="B68" s="2" t="str">
        <f>IF(Sell_History!B68="","",Sell_History!B68)</f>
        <v/>
      </c>
      <c r="C68" s="8" t="str">
        <f>IF(A68="","",IFERROR(INDEX(Buy_History!#REF!,MATCH(A68,Buy_History!$A:$A,0)),A68))</f>
        <v/>
      </c>
      <c r="D68" s="13" t="str">
        <f>IF(C68="","",IFERROR(INDEX(Buy_History!$C:$C,MATCH(C68,Buy_History!$A:$A,0)),""))</f>
        <v/>
      </c>
      <c r="E68" s="13" t="str">
        <f>IF(A68="","",IFERROR(SUMIFS(Sell_History!$D:$D,Sell_History!$A:$A,A68,Sell_History!$B:$B,B68),""))</f>
        <v/>
      </c>
      <c r="F68" s="9" t="str">
        <f>IF(A68="","",IF(SUMIFS(Sell_History!$E:$E,Sell_History!$A:$A,A68,Sell_History!$B:$B,B68)=0,"",SUMIFS(Sell_History!$E:$E,Sell_History!$A:$A,A68,Sell_History!$B:$B,B68)))</f>
        <v/>
      </c>
      <c r="G68" s="9" t="str">
        <f>IF(C68="","",IFERROR(INDEX(Buy_History!$E:$E,MATCH(C68,Buy_History!$A:$A,0)),""))</f>
        <v/>
      </c>
      <c r="H68" s="9" t="str">
        <f>IF(C68="","",IFERROR(SUMIFS(Raw_Observations!$D:$D,Raw_Observations!$A:$A,C68,Raw_Observations!$B:$B,B68),""))</f>
        <v/>
      </c>
      <c r="I68" s="9" t="str">
        <f t="shared" si="12"/>
        <v/>
      </c>
      <c r="J68" s="9">
        <f>IFERROR(LOOKUP(2,1/((Order_History!$A$2:$A$200=A68)*(Order_History!$B$2:$B$200=B68)*(Order_History!$E$2:$E$200&lt;=E68)),Order_History!$G$2:$G$200),"")</f>
        <v>0</v>
      </c>
      <c r="K68" s="10" t="str">
        <f>IF(C68="","",IFERROR(SUMIFS(Pricing!$G:$G,Pricing!$A:$A,C68,Pricing!$B:$B,B68),""))</f>
        <v/>
      </c>
      <c r="L68" s="11" t="str">
        <f t="shared" si="13"/>
        <v/>
      </c>
      <c r="M68" s="7">
        <v>0</v>
      </c>
      <c r="N68" s="7">
        <v>0</v>
      </c>
      <c r="O68" s="11" t="str">
        <f t="shared" si="14"/>
        <v/>
      </c>
      <c r="P68" s="14" t="str">
        <f t="shared" si="15"/>
        <v/>
      </c>
      <c r="Q68" s="15" t="str">
        <f t="shared" si="16"/>
        <v/>
      </c>
      <c r="R68" s="12" t="str">
        <f t="shared" si="17"/>
        <v/>
      </c>
    </row>
    <row r="69" spans="1:18">
      <c r="A69" s="2" t="str">
        <f>IF(Sell_History!A69="","",Sell_History!A69)</f>
        <v/>
      </c>
      <c r="B69" s="2" t="str">
        <f>IF(Sell_History!B69="","",Sell_History!B69)</f>
        <v/>
      </c>
      <c r="C69" s="8" t="str">
        <f>IF(A69="","",IFERROR(INDEX(Buy_History!#REF!,MATCH(A69,Buy_History!$A:$A,0)),A69))</f>
        <v/>
      </c>
      <c r="D69" s="13" t="str">
        <f>IF(C69="","",IFERROR(INDEX(Buy_History!$C:$C,MATCH(C69,Buy_History!$A:$A,0)),""))</f>
        <v/>
      </c>
      <c r="E69" s="13" t="str">
        <f>IF(A69="","",IFERROR(SUMIFS(Sell_History!$D:$D,Sell_History!$A:$A,A69,Sell_History!$B:$B,B69),""))</f>
        <v/>
      </c>
      <c r="F69" s="9" t="str">
        <f>IF(A69="","",IF(SUMIFS(Sell_History!$E:$E,Sell_History!$A:$A,A69,Sell_History!$B:$B,B69)=0,"",SUMIFS(Sell_History!$E:$E,Sell_History!$A:$A,A69,Sell_History!$B:$B,B69)))</f>
        <v/>
      </c>
      <c r="G69" s="9" t="str">
        <f>IF(C69="","",IFERROR(INDEX(Buy_History!$E:$E,MATCH(C69,Buy_History!$A:$A,0)),""))</f>
        <v/>
      </c>
      <c r="H69" s="9" t="str">
        <f>IF(C69="","",IFERROR(SUMIFS(Raw_Observations!$D:$D,Raw_Observations!$A:$A,C69,Raw_Observations!$B:$B,B69),""))</f>
        <v/>
      </c>
      <c r="I69" s="9" t="str">
        <f t="shared" si="12"/>
        <v/>
      </c>
      <c r="J69" s="9">
        <f>IFERROR(LOOKUP(2,1/((Order_History!$A$2:$A$200=A69)*(Order_History!$B$2:$B$200=B69)*(Order_History!$E$2:$E$200&lt;=E69)),Order_History!$G$2:$G$200),"")</f>
        <v>0</v>
      </c>
      <c r="K69" s="10" t="str">
        <f>IF(C69="","",IFERROR(SUMIFS(Pricing!$G:$G,Pricing!$A:$A,C69,Pricing!$B:$B,B69),""))</f>
        <v/>
      </c>
      <c r="L69" s="11" t="str">
        <f t="shared" si="13"/>
        <v/>
      </c>
      <c r="M69" s="7">
        <v>0</v>
      </c>
      <c r="N69" s="7">
        <v>0</v>
      </c>
      <c r="O69" s="11" t="str">
        <f t="shared" si="14"/>
        <v/>
      </c>
      <c r="P69" s="14" t="str">
        <f t="shared" si="15"/>
        <v/>
      </c>
      <c r="Q69" s="15" t="str">
        <f t="shared" si="16"/>
        <v/>
      </c>
      <c r="R69" s="12" t="str">
        <f t="shared" si="17"/>
        <v/>
      </c>
    </row>
    <row r="70" spans="1:18">
      <c r="A70" s="2" t="str">
        <f>IF(Sell_History!A70="","",Sell_History!A70)</f>
        <v/>
      </c>
      <c r="B70" s="2" t="str">
        <f>IF(Sell_History!B70="","",Sell_History!B70)</f>
        <v/>
      </c>
      <c r="C70" s="8" t="str">
        <f>IF(A70="","",IFERROR(INDEX(Buy_History!#REF!,MATCH(A70,Buy_History!$A:$A,0)),A70))</f>
        <v/>
      </c>
      <c r="D70" s="13" t="str">
        <f>IF(C70="","",IFERROR(INDEX(Buy_History!$C:$C,MATCH(C70,Buy_History!$A:$A,0)),""))</f>
        <v/>
      </c>
      <c r="E70" s="13" t="str">
        <f>IF(A70="","",IFERROR(SUMIFS(Sell_History!$D:$D,Sell_History!$A:$A,A70,Sell_History!$B:$B,B70),""))</f>
        <v/>
      </c>
      <c r="F70" s="9" t="str">
        <f>IF(A70="","",IF(SUMIFS(Sell_History!$E:$E,Sell_History!$A:$A,A70,Sell_History!$B:$B,B70)=0,"",SUMIFS(Sell_History!$E:$E,Sell_History!$A:$A,A70,Sell_History!$B:$B,B70)))</f>
        <v/>
      </c>
      <c r="G70" s="9" t="str">
        <f>IF(C70="","",IFERROR(INDEX(Buy_History!$E:$E,MATCH(C70,Buy_History!$A:$A,0)),""))</f>
        <v/>
      </c>
      <c r="H70" s="9" t="str">
        <f>IF(C70="","",IFERROR(SUMIFS(Raw_Observations!$D:$D,Raw_Observations!$A:$A,C70,Raw_Observations!$B:$B,B70),""))</f>
        <v/>
      </c>
      <c r="I70" s="9" t="str">
        <f t="shared" si="12"/>
        <v/>
      </c>
      <c r="J70" s="9">
        <f>IFERROR(LOOKUP(2,1/((Order_History!$A$2:$A$200=A70)*(Order_History!$B$2:$B$200=B70)*(Order_History!$E$2:$E$200&lt;=E70)),Order_History!$G$2:$G$200),"")</f>
        <v>0</v>
      </c>
      <c r="K70" s="10" t="str">
        <f>IF(C70="","",IFERROR(SUMIFS(Pricing!$G:$G,Pricing!$A:$A,C70,Pricing!$B:$B,B70),""))</f>
        <v/>
      </c>
      <c r="L70" s="11" t="str">
        <f t="shared" si="13"/>
        <v/>
      </c>
      <c r="M70" s="7">
        <v>0</v>
      </c>
      <c r="N70" s="7">
        <v>0</v>
      </c>
      <c r="O70" s="11" t="str">
        <f t="shared" si="14"/>
        <v/>
      </c>
      <c r="P70" s="14" t="str">
        <f t="shared" si="15"/>
        <v/>
      </c>
      <c r="Q70" s="15" t="str">
        <f t="shared" si="16"/>
        <v/>
      </c>
      <c r="R70" s="12" t="str">
        <f t="shared" si="17"/>
        <v/>
      </c>
    </row>
    <row r="71" spans="1:18">
      <c r="A71" s="2" t="str">
        <f>IF(Sell_History!A71="","",Sell_History!A71)</f>
        <v/>
      </c>
      <c r="B71" s="2" t="str">
        <f>IF(Sell_History!B71="","",Sell_History!B71)</f>
        <v/>
      </c>
      <c r="C71" s="8" t="str">
        <f>IF(A71="","",IFERROR(INDEX(Buy_History!#REF!,MATCH(A71,Buy_History!$A:$A,0)),A71))</f>
        <v/>
      </c>
      <c r="D71" s="13" t="str">
        <f>IF(C71="","",IFERROR(INDEX(Buy_History!$C:$C,MATCH(C71,Buy_History!$A:$A,0)),""))</f>
        <v/>
      </c>
      <c r="E71" s="13" t="str">
        <f>IF(A71="","",IFERROR(SUMIFS(Sell_History!$D:$D,Sell_History!$A:$A,A71,Sell_History!$B:$B,B71),""))</f>
        <v/>
      </c>
      <c r="F71" s="9" t="str">
        <f>IF(A71="","",IF(SUMIFS(Sell_History!$E:$E,Sell_History!$A:$A,A71,Sell_History!$B:$B,B71)=0,"",SUMIFS(Sell_History!$E:$E,Sell_History!$A:$A,A71,Sell_History!$B:$B,B71)))</f>
        <v/>
      </c>
      <c r="G71" s="9" t="str">
        <f>IF(C71="","",IFERROR(INDEX(Buy_History!$E:$E,MATCH(C71,Buy_History!$A:$A,0)),""))</f>
        <v/>
      </c>
      <c r="H71" s="9" t="str">
        <f>IF(C71="","",IFERROR(SUMIFS(Raw_Observations!$D:$D,Raw_Observations!$A:$A,C71,Raw_Observations!$B:$B,B71),""))</f>
        <v/>
      </c>
      <c r="I71" s="9" t="str">
        <f t="shared" si="12"/>
        <v/>
      </c>
      <c r="J71" s="9">
        <f>IFERROR(LOOKUP(2,1/((Order_History!$A$2:$A$200=A71)*(Order_History!$B$2:$B$200=B71)*(Order_History!$E$2:$E$200&lt;=E71)),Order_History!$G$2:$G$200),"")</f>
        <v>0</v>
      </c>
      <c r="K71" s="10" t="str">
        <f>IF(C71="","",IFERROR(SUMIFS(Pricing!$G:$G,Pricing!$A:$A,C71,Pricing!$B:$B,B71),""))</f>
        <v/>
      </c>
      <c r="L71" s="11" t="str">
        <f t="shared" si="13"/>
        <v/>
      </c>
      <c r="M71" s="7">
        <v>0</v>
      </c>
      <c r="N71" s="7">
        <v>0</v>
      </c>
      <c r="O71" s="11" t="str">
        <f t="shared" si="14"/>
        <v/>
      </c>
      <c r="P71" s="14" t="str">
        <f t="shared" si="15"/>
        <v/>
      </c>
      <c r="Q71" s="15" t="str">
        <f t="shared" si="16"/>
        <v/>
      </c>
      <c r="R71" s="12" t="str">
        <f t="shared" si="17"/>
        <v/>
      </c>
    </row>
    <row r="72" spans="1:18">
      <c r="A72" s="2" t="str">
        <f>IF(Sell_History!A72="","",Sell_History!A72)</f>
        <v/>
      </c>
      <c r="B72" s="2" t="str">
        <f>IF(Sell_History!B72="","",Sell_History!B72)</f>
        <v/>
      </c>
      <c r="C72" s="8" t="str">
        <f>IF(A72="","",IFERROR(INDEX(Buy_History!#REF!,MATCH(A72,Buy_History!$A:$A,0)),A72))</f>
        <v/>
      </c>
      <c r="D72" s="13" t="str">
        <f>IF(C72="","",IFERROR(INDEX(Buy_History!$C:$C,MATCH(C72,Buy_History!$A:$A,0)),""))</f>
        <v/>
      </c>
      <c r="E72" s="13" t="str">
        <f>IF(A72="","",IFERROR(SUMIFS(Sell_History!$D:$D,Sell_History!$A:$A,A72,Sell_History!$B:$B,B72),""))</f>
        <v/>
      </c>
      <c r="F72" s="9" t="str">
        <f>IF(A72="","",IF(SUMIFS(Sell_History!$E:$E,Sell_History!$A:$A,A72,Sell_History!$B:$B,B72)=0,"",SUMIFS(Sell_History!$E:$E,Sell_History!$A:$A,A72,Sell_History!$B:$B,B72)))</f>
        <v/>
      </c>
      <c r="G72" s="9" t="str">
        <f>IF(C72="","",IFERROR(INDEX(Buy_History!$E:$E,MATCH(C72,Buy_History!$A:$A,0)),""))</f>
        <v/>
      </c>
      <c r="H72" s="9" t="str">
        <f>IF(C72="","",IFERROR(SUMIFS(Raw_Observations!$D:$D,Raw_Observations!$A:$A,C72,Raw_Observations!$B:$B,B72),""))</f>
        <v/>
      </c>
      <c r="I72" s="9" t="str">
        <f t="shared" si="12"/>
        <v/>
      </c>
      <c r="J72" s="9">
        <f>IFERROR(LOOKUP(2,1/((Order_History!$A$2:$A$200=A72)*(Order_History!$B$2:$B$200=B72)*(Order_History!$E$2:$E$200&lt;=E72)),Order_History!$G$2:$G$200),"")</f>
        <v>0</v>
      </c>
      <c r="K72" s="10" t="str">
        <f>IF(C72="","",IFERROR(SUMIFS(Pricing!$G:$G,Pricing!$A:$A,C72,Pricing!$B:$B,B72),""))</f>
        <v/>
      </c>
      <c r="L72" s="11" t="str">
        <f t="shared" si="13"/>
        <v/>
      </c>
      <c r="M72" s="7">
        <v>0</v>
      </c>
      <c r="N72" s="7">
        <v>0</v>
      </c>
      <c r="O72" s="11" t="str">
        <f t="shared" si="14"/>
        <v/>
      </c>
      <c r="P72" s="14" t="str">
        <f t="shared" si="15"/>
        <v/>
      </c>
      <c r="Q72" s="15" t="str">
        <f t="shared" si="16"/>
        <v/>
      </c>
      <c r="R72" s="12" t="str">
        <f t="shared" si="17"/>
        <v/>
      </c>
    </row>
    <row r="73" spans="1:18">
      <c r="A73" s="2" t="str">
        <f>IF(Sell_History!A73="","",Sell_History!A73)</f>
        <v/>
      </c>
      <c r="B73" s="2" t="str">
        <f>IF(Sell_History!B73="","",Sell_History!B73)</f>
        <v/>
      </c>
      <c r="C73" s="8" t="str">
        <f>IF(A73="","",IFERROR(INDEX(Buy_History!#REF!,MATCH(A73,Buy_History!$A:$A,0)),A73))</f>
        <v/>
      </c>
      <c r="D73" s="13" t="str">
        <f>IF(C73="","",IFERROR(INDEX(Buy_History!$C:$C,MATCH(C73,Buy_History!$A:$A,0)),""))</f>
        <v/>
      </c>
      <c r="E73" s="13" t="str">
        <f>IF(A73="","",IFERROR(SUMIFS(Sell_History!$D:$D,Sell_History!$A:$A,A73,Sell_History!$B:$B,B73),""))</f>
        <v/>
      </c>
      <c r="F73" s="9" t="str">
        <f>IF(A73="","",IF(SUMIFS(Sell_History!$E:$E,Sell_History!$A:$A,A73,Sell_History!$B:$B,B73)=0,"",SUMIFS(Sell_History!$E:$E,Sell_History!$A:$A,A73,Sell_History!$B:$B,B73)))</f>
        <v/>
      </c>
      <c r="G73" s="9" t="str">
        <f>IF(C73="","",IFERROR(INDEX(Buy_History!$E:$E,MATCH(C73,Buy_History!$A:$A,0)),""))</f>
        <v/>
      </c>
      <c r="H73" s="9" t="str">
        <f>IF(C73="","",IFERROR(SUMIFS(Raw_Observations!$D:$D,Raw_Observations!$A:$A,C73,Raw_Observations!$B:$B,B73),""))</f>
        <v/>
      </c>
      <c r="I73" s="9" t="str">
        <f t="shared" si="12"/>
        <v/>
      </c>
      <c r="J73" s="9">
        <f>IFERROR(LOOKUP(2,1/((Order_History!$A$2:$A$200=A73)*(Order_History!$B$2:$B$200=B73)*(Order_History!$E$2:$E$200&lt;=E73)),Order_History!$G$2:$G$200),"")</f>
        <v>0</v>
      </c>
      <c r="K73" s="10" t="str">
        <f>IF(C73="","",IFERROR(SUMIFS(Pricing!$G:$G,Pricing!$A:$A,C73,Pricing!$B:$B,B73),""))</f>
        <v/>
      </c>
      <c r="L73" s="11" t="str">
        <f t="shared" si="13"/>
        <v/>
      </c>
      <c r="M73" s="7">
        <v>0</v>
      </c>
      <c r="N73" s="7">
        <v>0</v>
      </c>
      <c r="O73" s="11" t="str">
        <f t="shared" si="14"/>
        <v/>
      </c>
      <c r="P73" s="14" t="str">
        <f t="shared" si="15"/>
        <v/>
      </c>
      <c r="Q73" s="15" t="str">
        <f t="shared" si="16"/>
        <v/>
      </c>
      <c r="R73" s="12" t="str">
        <f t="shared" si="17"/>
        <v/>
      </c>
    </row>
    <row r="74" spans="1:18">
      <c r="A74" s="2" t="str">
        <f>IF(Sell_History!A74="","",Sell_History!A74)</f>
        <v/>
      </c>
      <c r="B74" s="2" t="str">
        <f>IF(Sell_History!B74="","",Sell_History!B74)</f>
        <v/>
      </c>
      <c r="C74" s="8" t="str">
        <f>IF(A74="","",IFERROR(INDEX(Buy_History!#REF!,MATCH(A74,Buy_History!$A:$A,0)),A74))</f>
        <v/>
      </c>
      <c r="D74" s="13" t="str">
        <f>IF(C74="","",IFERROR(INDEX(Buy_History!$C:$C,MATCH(C74,Buy_History!$A:$A,0)),""))</f>
        <v/>
      </c>
      <c r="E74" s="13" t="str">
        <f>IF(A74="","",IFERROR(SUMIFS(Sell_History!$D:$D,Sell_History!$A:$A,A74,Sell_History!$B:$B,B74),""))</f>
        <v/>
      </c>
      <c r="F74" s="9" t="str">
        <f>IF(A74="","",IF(SUMIFS(Sell_History!$E:$E,Sell_History!$A:$A,A74,Sell_History!$B:$B,B74)=0,"",SUMIFS(Sell_History!$E:$E,Sell_History!$A:$A,A74,Sell_History!$B:$B,B74)))</f>
        <v/>
      </c>
      <c r="G74" s="9" t="str">
        <f>IF(C74="","",IFERROR(INDEX(Buy_History!$E:$E,MATCH(C74,Buy_History!$A:$A,0)),""))</f>
        <v/>
      </c>
      <c r="H74" s="9" t="str">
        <f>IF(C74="","",IFERROR(SUMIFS(Raw_Observations!$D:$D,Raw_Observations!$A:$A,C74,Raw_Observations!$B:$B,B74),""))</f>
        <v/>
      </c>
      <c r="I74" s="9" t="str">
        <f t="shared" si="12"/>
        <v/>
      </c>
      <c r="J74" s="9">
        <f>IFERROR(LOOKUP(2,1/((Order_History!$A$2:$A$200=A74)*(Order_History!$B$2:$B$200=B74)*(Order_History!$E$2:$E$200&lt;=E74)),Order_History!$G$2:$G$200),"")</f>
        <v>0</v>
      </c>
      <c r="K74" s="10" t="str">
        <f>IF(C74="","",IFERROR(SUMIFS(Pricing!$G:$G,Pricing!$A:$A,C74,Pricing!$B:$B,B74),""))</f>
        <v/>
      </c>
      <c r="L74" s="11" t="str">
        <f t="shared" si="13"/>
        <v/>
      </c>
      <c r="M74" s="7">
        <v>0</v>
      </c>
      <c r="N74" s="7">
        <v>0</v>
      </c>
      <c r="O74" s="11" t="str">
        <f t="shared" si="14"/>
        <v/>
      </c>
      <c r="P74" s="14" t="str">
        <f t="shared" si="15"/>
        <v/>
      </c>
      <c r="Q74" s="15" t="str">
        <f t="shared" si="16"/>
        <v/>
      </c>
      <c r="R74" s="12" t="str">
        <f t="shared" si="17"/>
        <v/>
      </c>
    </row>
    <row r="75" spans="1:18">
      <c r="A75" s="2" t="str">
        <f>IF(Sell_History!A75="","",Sell_History!A75)</f>
        <v/>
      </c>
      <c r="B75" s="2" t="str">
        <f>IF(Sell_History!B75="","",Sell_History!B75)</f>
        <v/>
      </c>
      <c r="C75" s="8" t="str">
        <f>IF(A75="","",IFERROR(INDEX(Buy_History!#REF!,MATCH(A75,Buy_History!$A:$A,0)),A75))</f>
        <v/>
      </c>
      <c r="D75" s="13" t="str">
        <f>IF(C75="","",IFERROR(INDEX(Buy_History!$C:$C,MATCH(C75,Buy_History!$A:$A,0)),""))</f>
        <v/>
      </c>
      <c r="E75" s="13" t="str">
        <f>IF(A75="","",IFERROR(SUMIFS(Sell_History!$D:$D,Sell_History!$A:$A,A75,Sell_History!$B:$B,B75),""))</f>
        <v/>
      </c>
      <c r="F75" s="9" t="str">
        <f>IF(A75="","",IF(SUMIFS(Sell_History!$E:$E,Sell_History!$A:$A,A75,Sell_History!$B:$B,B75)=0,"",SUMIFS(Sell_History!$E:$E,Sell_History!$A:$A,A75,Sell_History!$B:$B,B75)))</f>
        <v/>
      </c>
      <c r="G75" s="9" t="str">
        <f>IF(C75="","",IFERROR(INDEX(Buy_History!$E:$E,MATCH(C75,Buy_History!$A:$A,0)),""))</f>
        <v/>
      </c>
      <c r="H75" s="9" t="str">
        <f>IF(C75="","",IFERROR(SUMIFS(Raw_Observations!$D:$D,Raw_Observations!$A:$A,C75,Raw_Observations!$B:$B,B75),""))</f>
        <v/>
      </c>
      <c r="I75" s="9" t="str">
        <f t="shared" si="12"/>
        <v/>
      </c>
      <c r="J75" s="9">
        <f>IFERROR(LOOKUP(2,1/((Order_History!$A$2:$A$200=A75)*(Order_History!$B$2:$B$200=B75)*(Order_History!$E$2:$E$200&lt;=E75)),Order_History!$G$2:$G$200),"")</f>
        <v>0</v>
      </c>
      <c r="K75" s="10" t="str">
        <f>IF(C75="","",IFERROR(SUMIFS(Pricing!$G:$G,Pricing!$A:$A,C75,Pricing!$B:$B,B75),""))</f>
        <v/>
      </c>
      <c r="L75" s="11" t="str">
        <f t="shared" si="13"/>
        <v/>
      </c>
      <c r="M75" s="7">
        <v>0</v>
      </c>
      <c r="N75" s="7">
        <v>0</v>
      </c>
      <c r="O75" s="11" t="str">
        <f t="shared" si="14"/>
        <v/>
      </c>
      <c r="P75" s="14" t="str">
        <f t="shared" si="15"/>
        <v/>
      </c>
      <c r="Q75" s="15" t="str">
        <f t="shared" si="16"/>
        <v/>
      </c>
      <c r="R75" s="12" t="str">
        <f t="shared" si="17"/>
        <v/>
      </c>
    </row>
    <row r="76" spans="1:18">
      <c r="A76" s="2" t="str">
        <f>IF(Sell_History!A76="","",Sell_History!A76)</f>
        <v/>
      </c>
      <c r="B76" s="2" t="str">
        <f>IF(Sell_History!B76="","",Sell_History!B76)</f>
        <v/>
      </c>
      <c r="C76" s="8" t="str">
        <f>IF(A76="","",IFERROR(INDEX(Buy_History!#REF!,MATCH(A76,Buy_History!$A:$A,0)),A76))</f>
        <v/>
      </c>
      <c r="D76" s="13" t="str">
        <f>IF(C76="","",IFERROR(INDEX(Buy_History!$C:$C,MATCH(C76,Buy_History!$A:$A,0)),""))</f>
        <v/>
      </c>
      <c r="E76" s="13" t="str">
        <f>IF(A76="","",IFERROR(SUMIFS(Sell_History!$D:$D,Sell_History!$A:$A,A76,Sell_History!$B:$B,B76),""))</f>
        <v/>
      </c>
      <c r="F76" s="9" t="str">
        <f>IF(A76="","",IF(SUMIFS(Sell_History!$E:$E,Sell_History!$A:$A,A76,Sell_History!$B:$B,B76)=0,"",SUMIFS(Sell_History!$E:$E,Sell_History!$A:$A,A76,Sell_History!$B:$B,B76)))</f>
        <v/>
      </c>
      <c r="G76" s="9" t="str">
        <f>IF(C76="","",IFERROR(INDEX(Buy_History!$E:$E,MATCH(C76,Buy_History!$A:$A,0)),""))</f>
        <v/>
      </c>
      <c r="H76" s="9" t="str">
        <f>IF(C76="","",IFERROR(SUMIFS(Raw_Observations!$D:$D,Raw_Observations!$A:$A,C76,Raw_Observations!$B:$B,B76),""))</f>
        <v/>
      </c>
      <c r="I76" s="9" t="str">
        <f t="shared" si="12"/>
        <v/>
      </c>
      <c r="J76" s="9">
        <f>IFERROR(LOOKUP(2,1/((Order_History!$A$2:$A$200=A76)*(Order_History!$B$2:$B$200=B76)*(Order_History!$E$2:$E$200&lt;=E76)),Order_History!$G$2:$G$200),"")</f>
        <v>0</v>
      </c>
      <c r="K76" s="10" t="str">
        <f>IF(C76="","",IFERROR(SUMIFS(Pricing!$G:$G,Pricing!$A:$A,C76,Pricing!$B:$B,B76),""))</f>
        <v/>
      </c>
      <c r="L76" s="11" t="str">
        <f t="shared" si="13"/>
        <v/>
      </c>
      <c r="M76" s="7">
        <v>0</v>
      </c>
      <c r="N76" s="7">
        <v>0</v>
      </c>
      <c r="O76" s="11" t="str">
        <f t="shared" si="14"/>
        <v/>
      </c>
      <c r="P76" s="14" t="str">
        <f t="shared" si="15"/>
        <v/>
      </c>
      <c r="Q76" s="15" t="str">
        <f t="shared" si="16"/>
        <v/>
      </c>
      <c r="R76" s="12" t="str">
        <f t="shared" si="17"/>
        <v/>
      </c>
    </row>
    <row r="77" spans="1:18">
      <c r="A77" s="2" t="str">
        <f>IF(Sell_History!A77="","",Sell_History!A77)</f>
        <v/>
      </c>
      <c r="B77" s="2" t="str">
        <f>IF(Sell_History!B77="","",Sell_History!B77)</f>
        <v/>
      </c>
      <c r="C77" s="8" t="str">
        <f>IF(A77="","",IFERROR(INDEX(Buy_History!#REF!,MATCH(A77,Buy_History!$A:$A,0)),A77))</f>
        <v/>
      </c>
      <c r="D77" s="13" t="str">
        <f>IF(C77="","",IFERROR(INDEX(Buy_History!$C:$C,MATCH(C77,Buy_History!$A:$A,0)),""))</f>
        <v/>
      </c>
      <c r="E77" s="13" t="str">
        <f>IF(A77="","",IFERROR(SUMIFS(Sell_History!$D:$D,Sell_History!$A:$A,A77,Sell_History!$B:$B,B77),""))</f>
        <v/>
      </c>
      <c r="F77" s="9" t="str">
        <f>IF(A77="","",IF(SUMIFS(Sell_History!$E:$E,Sell_History!$A:$A,A77,Sell_History!$B:$B,B77)=0,"",SUMIFS(Sell_History!$E:$E,Sell_History!$A:$A,A77,Sell_History!$B:$B,B77)))</f>
        <v/>
      </c>
      <c r="G77" s="9" t="str">
        <f>IF(C77="","",IFERROR(INDEX(Buy_History!$E:$E,MATCH(C77,Buy_History!$A:$A,0)),""))</f>
        <v/>
      </c>
      <c r="H77" s="9" t="str">
        <f>IF(C77="","",IFERROR(SUMIFS(Raw_Observations!$D:$D,Raw_Observations!$A:$A,C77,Raw_Observations!$B:$B,B77),""))</f>
        <v/>
      </c>
      <c r="I77" s="9" t="str">
        <f t="shared" si="12"/>
        <v/>
      </c>
      <c r="J77" s="9">
        <f>IFERROR(LOOKUP(2,1/((Order_History!$A$2:$A$200=A77)*(Order_History!$B$2:$B$200=B77)*(Order_History!$E$2:$E$200&lt;=E77)),Order_History!$G$2:$G$200),"")</f>
        <v>0</v>
      </c>
      <c r="K77" s="10" t="str">
        <f>IF(C77="","",IFERROR(SUMIFS(Pricing!$G:$G,Pricing!$A:$A,C77,Pricing!$B:$B,B77),""))</f>
        <v/>
      </c>
      <c r="L77" s="11" t="str">
        <f t="shared" si="13"/>
        <v/>
      </c>
      <c r="M77" s="7">
        <v>0</v>
      </c>
      <c r="N77" s="7">
        <v>0</v>
      </c>
      <c r="O77" s="11" t="str">
        <f t="shared" si="14"/>
        <v/>
      </c>
      <c r="P77" s="14" t="str">
        <f t="shared" si="15"/>
        <v/>
      </c>
      <c r="Q77" s="15" t="str">
        <f t="shared" si="16"/>
        <v/>
      </c>
      <c r="R77" s="12" t="str">
        <f t="shared" si="17"/>
        <v/>
      </c>
    </row>
    <row r="78" spans="1:18">
      <c r="A78" s="2" t="str">
        <f>IF(Sell_History!A78="","",Sell_History!A78)</f>
        <v/>
      </c>
      <c r="B78" s="2" t="str">
        <f>IF(Sell_History!B78="","",Sell_History!B78)</f>
        <v/>
      </c>
      <c r="C78" s="8" t="str">
        <f>IF(A78="","",IFERROR(INDEX(Buy_History!#REF!,MATCH(A78,Buy_History!$A:$A,0)),A78))</f>
        <v/>
      </c>
      <c r="D78" s="13" t="str">
        <f>IF(C78="","",IFERROR(INDEX(Buy_History!$C:$C,MATCH(C78,Buy_History!$A:$A,0)),""))</f>
        <v/>
      </c>
      <c r="E78" s="13" t="str">
        <f>IF(A78="","",IFERROR(SUMIFS(Sell_History!$D:$D,Sell_History!$A:$A,A78,Sell_History!$B:$B,B78),""))</f>
        <v/>
      </c>
      <c r="F78" s="9" t="str">
        <f>IF(A78="","",IF(SUMIFS(Sell_History!$E:$E,Sell_History!$A:$A,A78,Sell_History!$B:$B,B78)=0,"",SUMIFS(Sell_History!$E:$E,Sell_History!$A:$A,A78,Sell_History!$B:$B,B78)))</f>
        <v/>
      </c>
      <c r="G78" s="9" t="str">
        <f>IF(C78="","",IFERROR(INDEX(Buy_History!$E:$E,MATCH(C78,Buy_History!$A:$A,0)),""))</f>
        <v/>
      </c>
      <c r="H78" s="9" t="str">
        <f>IF(C78="","",IFERROR(SUMIFS(Raw_Observations!$D:$D,Raw_Observations!$A:$A,C78,Raw_Observations!$B:$B,B78),""))</f>
        <v/>
      </c>
      <c r="I78" s="9" t="str">
        <f t="shared" si="12"/>
        <v/>
      </c>
      <c r="J78" s="9">
        <f>IFERROR(LOOKUP(2,1/((Order_History!$A$2:$A$200=A78)*(Order_History!$B$2:$B$200=B78)*(Order_History!$E$2:$E$200&lt;=E78)),Order_History!$G$2:$G$200),"")</f>
        <v>0</v>
      </c>
      <c r="K78" s="10" t="str">
        <f>IF(C78="","",IFERROR(SUMIFS(Pricing!$G:$G,Pricing!$A:$A,C78,Pricing!$B:$B,B78),""))</f>
        <v/>
      </c>
      <c r="L78" s="11" t="str">
        <f t="shared" si="13"/>
        <v/>
      </c>
      <c r="M78" s="7">
        <v>0</v>
      </c>
      <c r="N78" s="7">
        <v>0</v>
      </c>
      <c r="O78" s="11" t="str">
        <f t="shared" si="14"/>
        <v/>
      </c>
      <c r="P78" s="14" t="str">
        <f t="shared" si="15"/>
        <v/>
      </c>
      <c r="Q78" s="15" t="str">
        <f t="shared" si="16"/>
        <v/>
      </c>
      <c r="R78" s="12" t="str">
        <f t="shared" si="17"/>
        <v/>
      </c>
    </row>
    <row r="79" spans="1:18">
      <c r="A79" s="2" t="str">
        <f>IF(Sell_History!A79="","",Sell_History!A79)</f>
        <v/>
      </c>
      <c r="B79" s="2" t="str">
        <f>IF(Sell_History!B79="","",Sell_History!B79)</f>
        <v/>
      </c>
      <c r="C79" s="8" t="str">
        <f>IF(A79="","",IFERROR(INDEX(Buy_History!#REF!,MATCH(A79,Buy_History!$A:$A,0)),A79))</f>
        <v/>
      </c>
      <c r="D79" s="13" t="str">
        <f>IF(C79="","",IFERROR(INDEX(Buy_History!$C:$C,MATCH(C79,Buy_History!$A:$A,0)),""))</f>
        <v/>
      </c>
      <c r="E79" s="13" t="str">
        <f>IF(A79="","",IFERROR(SUMIFS(Sell_History!$D:$D,Sell_History!$A:$A,A79,Sell_History!$B:$B,B79),""))</f>
        <v/>
      </c>
      <c r="F79" s="9" t="str">
        <f>IF(A79="","",IF(SUMIFS(Sell_History!$E:$E,Sell_History!$A:$A,A79,Sell_History!$B:$B,B79)=0,"",SUMIFS(Sell_History!$E:$E,Sell_History!$A:$A,A79,Sell_History!$B:$B,B79)))</f>
        <v/>
      </c>
      <c r="G79" s="9" t="str">
        <f>IF(C79="","",IFERROR(INDEX(Buy_History!$E:$E,MATCH(C79,Buy_History!$A:$A,0)),""))</f>
        <v/>
      </c>
      <c r="H79" s="9" t="str">
        <f>IF(C79="","",IFERROR(SUMIFS(Raw_Observations!$D:$D,Raw_Observations!$A:$A,C79,Raw_Observations!$B:$B,B79),""))</f>
        <v/>
      </c>
      <c r="I79" s="9" t="str">
        <f t="shared" si="12"/>
        <v/>
      </c>
      <c r="J79" s="9">
        <f>IFERROR(LOOKUP(2,1/((Order_History!$A$2:$A$200=A79)*(Order_History!$B$2:$B$200=B79)*(Order_History!$E$2:$E$200&lt;=E79)),Order_History!$G$2:$G$200),"")</f>
        <v>0</v>
      </c>
      <c r="K79" s="10" t="str">
        <f>IF(C79="","",IFERROR(SUMIFS(Pricing!$G:$G,Pricing!$A:$A,C79,Pricing!$B:$B,B79),""))</f>
        <v/>
      </c>
      <c r="L79" s="11" t="str">
        <f t="shared" si="13"/>
        <v/>
      </c>
      <c r="M79" s="7">
        <v>0</v>
      </c>
      <c r="N79" s="7">
        <v>0</v>
      </c>
      <c r="O79" s="11" t="str">
        <f t="shared" si="14"/>
        <v/>
      </c>
      <c r="P79" s="14" t="str">
        <f t="shared" si="15"/>
        <v/>
      </c>
      <c r="Q79" s="15" t="str">
        <f t="shared" si="16"/>
        <v/>
      </c>
      <c r="R79" s="12" t="str">
        <f t="shared" si="17"/>
        <v/>
      </c>
    </row>
    <row r="80" spans="1:18">
      <c r="A80" s="2" t="str">
        <f>IF(Sell_History!A80="","",Sell_History!A80)</f>
        <v/>
      </c>
      <c r="B80" s="2" t="str">
        <f>IF(Sell_History!B80="","",Sell_History!B80)</f>
        <v/>
      </c>
      <c r="C80" s="8" t="str">
        <f>IF(A80="","",IFERROR(INDEX(Buy_History!#REF!,MATCH(A80,Buy_History!$A:$A,0)),A80))</f>
        <v/>
      </c>
      <c r="D80" s="13" t="str">
        <f>IF(C80="","",IFERROR(INDEX(Buy_History!$C:$C,MATCH(C80,Buy_History!$A:$A,0)),""))</f>
        <v/>
      </c>
      <c r="E80" s="13" t="str">
        <f>IF(A80="","",IFERROR(SUMIFS(Sell_History!$D:$D,Sell_History!$A:$A,A80,Sell_History!$B:$B,B80),""))</f>
        <v/>
      </c>
      <c r="F80" s="9" t="str">
        <f>IF(A80="","",IF(SUMIFS(Sell_History!$E:$E,Sell_History!$A:$A,A80,Sell_History!$B:$B,B80)=0,"",SUMIFS(Sell_History!$E:$E,Sell_History!$A:$A,A80,Sell_History!$B:$B,B80)))</f>
        <v/>
      </c>
      <c r="G80" s="9" t="str">
        <f>IF(C80="","",IFERROR(INDEX(Buy_History!$E:$E,MATCH(C80,Buy_History!$A:$A,0)),""))</f>
        <v/>
      </c>
      <c r="H80" s="9" t="str">
        <f>IF(C80="","",IFERROR(SUMIFS(Raw_Observations!$D:$D,Raw_Observations!$A:$A,C80,Raw_Observations!$B:$B,B80),""))</f>
        <v/>
      </c>
      <c r="I80" s="9" t="str">
        <f t="shared" si="12"/>
        <v/>
      </c>
      <c r="J80" s="9">
        <f>IFERROR(LOOKUP(2,1/((Order_History!$A$2:$A$200=A80)*(Order_History!$B$2:$B$200=B80)*(Order_History!$E$2:$E$200&lt;=E80)),Order_History!$G$2:$G$200),"")</f>
        <v>0</v>
      </c>
      <c r="K80" s="10" t="str">
        <f>IF(C80="","",IFERROR(SUMIFS(Pricing!$G:$G,Pricing!$A:$A,C80,Pricing!$B:$B,B80),""))</f>
        <v/>
      </c>
      <c r="L80" s="11" t="str">
        <f t="shared" si="13"/>
        <v/>
      </c>
      <c r="M80" s="7">
        <v>0</v>
      </c>
      <c r="N80" s="7">
        <v>0</v>
      </c>
      <c r="O80" s="11" t="str">
        <f t="shared" si="14"/>
        <v/>
      </c>
      <c r="P80" s="14" t="str">
        <f t="shared" si="15"/>
        <v/>
      </c>
      <c r="Q80" s="15" t="str">
        <f t="shared" si="16"/>
        <v/>
      </c>
      <c r="R80" s="12" t="str">
        <f t="shared" si="17"/>
        <v/>
      </c>
    </row>
    <row r="81" spans="1:18">
      <c r="A81" s="2" t="str">
        <f>IF(Sell_History!A81="","",Sell_History!A81)</f>
        <v/>
      </c>
      <c r="B81" s="2" t="str">
        <f>IF(Sell_History!B81="","",Sell_History!B81)</f>
        <v/>
      </c>
      <c r="C81" s="8" t="str">
        <f>IF(A81="","",IFERROR(INDEX(Buy_History!#REF!,MATCH(A81,Buy_History!$A:$A,0)),A81))</f>
        <v/>
      </c>
      <c r="D81" s="13" t="str">
        <f>IF(C81="","",IFERROR(INDEX(Buy_History!$C:$C,MATCH(C81,Buy_History!$A:$A,0)),""))</f>
        <v/>
      </c>
      <c r="E81" s="13" t="str">
        <f>IF(A81="","",IFERROR(SUMIFS(Sell_History!$D:$D,Sell_History!$A:$A,A81,Sell_History!$B:$B,B81),""))</f>
        <v/>
      </c>
      <c r="F81" s="9" t="str">
        <f>IF(A81="","",IF(SUMIFS(Sell_History!$E:$E,Sell_History!$A:$A,A81,Sell_History!$B:$B,B81)=0,"",SUMIFS(Sell_History!$E:$E,Sell_History!$A:$A,A81,Sell_History!$B:$B,B81)))</f>
        <v/>
      </c>
      <c r="G81" s="9" t="str">
        <f>IF(C81="","",IFERROR(INDEX(Buy_History!$E:$E,MATCH(C81,Buy_History!$A:$A,0)),""))</f>
        <v/>
      </c>
      <c r="H81" s="9" t="str">
        <f>IF(C81="","",IFERROR(SUMIFS(Raw_Observations!$D:$D,Raw_Observations!$A:$A,C81,Raw_Observations!$B:$B,B81),""))</f>
        <v/>
      </c>
      <c r="I81" s="9" t="str">
        <f t="shared" si="12"/>
        <v/>
      </c>
      <c r="J81" s="9">
        <f>IFERROR(LOOKUP(2,1/((Order_History!$A$2:$A$200=A81)*(Order_History!$B$2:$B$200=B81)*(Order_History!$E$2:$E$200&lt;=E81)),Order_History!$G$2:$G$200),"")</f>
        <v>0</v>
      </c>
      <c r="K81" s="10" t="str">
        <f>IF(C81="","",IFERROR(SUMIFS(Pricing!$G:$G,Pricing!$A:$A,C81,Pricing!$B:$B,B81),""))</f>
        <v/>
      </c>
      <c r="L81" s="11" t="str">
        <f t="shared" si="13"/>
        <v/>
      </c>
      <c r="M81" s="7">
        <v>0</v>
      </c>
      <c r="N81" s="7">
        <v>0</v>
      </c>
      <c r="O81" s="11" t="str">
        <f t="shared" si="14"/>
        <v/>
      </c>
      <c r="P81" s="14" t="str">
        <f t="shared" si="15"/>
        <v/>
      </c>
      <c r="Q81" s="15" t="str">
        <f t="shared" si="16"/>
        <v/>
      </c>
      <c r="R81" s="12" t="str">
        <f t="shared" si="17"/>
        <v/>
      </c>
    </row>
    <row r="82" spans="1:18">
      <c r="A82" s="2" t="str">
        <f>IF(Sell_History!A82="","",Sell_History!A82)</f>
        <v/>
      </c>
      <c r="B82" s="2" t="str">
        <f>IF(Sell_History!B82="","",Sell_History!B82)</f>
        <v/>
      </c>
      <c r="C82" s="8" t="str">
        <f>IF(A82="","",IFERROR(INDEX(Buy_History!#REF!,MATCH(A82,Buy_History!$A:$A,0)),A82))</f>
        <v/>
      </c>
      <c r="D82" s="13" t="str">
        <f>IF(C82="","",IFERROR(INDEX(Buy_History!$C:$C,MATCH(C82,Buy_History!$A:$A,0)),""))</f>
        <v/>
      </c>
      <c r="E82" s="13" t="str">
        <f>IF(A82="","",IFERROR(SUMIFS(Sell_History!$D:$D,Sell_History!$A:$A,A82,Sell_History!$B:$B,B82),""))</f>
        <v/>
      </c>
      <c r="F82" s="9" t="str">
        <f>IF(A82="","",IF(SUMIFS(Sell_History!$E:$E,Sell_History!$A:$A,A82,Sell_History!$B:$B,B82)=0,"",SUMIFS(Sell_History!$E:$E,Sell_History!$A:$A,A82,Sell_History!$B:$B,B82)))</f>
        <v/>
      </c>
      <c r="G82" s="9" t="str">
        <f>IF(C82="","",IFERROR(INDEX(Buy_History!$E:$E,MATCH(C82,Buy_History!$A:$A,0)),""))</f>
        <v/>
      </c>
      <c r="H82" s="9" t="str">
        <f>IF(C82="","",IFERROR(SUMIFS(Raw_Observations!$D:$D,Raw_Observations!$A:$A,C82,Raw_Observations!$B:$B,B82),""))</f>
        <v/>
      </c>
      <c r="I82" s="9" t="str">
        <f t="shared" si="12"/>
        <v/>
      </c>
      <c r="J82" s="9">
        <f>IFERROR(LOOKUP(2,1/((Order_History!$A$2:$A$200=A82)*(Order_History!$B$2:$B$200=B82)*(Order_History!$E$2:$E$200&lt;=E82)),Order_History!$G$2:$G$200),"")</f>
        <v>0</v>
      </c>
      <c r="K82" s="10" t="str">
        <f>IF(C82="","",IFERROR(SUMIFS(Pricing!$G:$G,Pricing!$A:$A,C82,Pricing!$B:$B,B82),""))</f>
        <v/>
      </c>
      <c r="L82" s="11" t="str">
        <f t="shared" si="13"/>
        <v/>
      </c>
      <c r="M82" s="7">
        <v>0</v>
      </c>
      <c r="N82" s="7">
        <v>0</v>
      </c>
      <c r="O82" s="11" t="str">
        <f t="shared" si="14"/>
        <v/>
      </c>
      <c r="P82" s="14" t="str">
        <f t="shared" si="15"/>
        <v/>
      </c>
      <c r="Q82" s="15" t="str">
        <f t="shared" si="16"/>
        <v/>
      </c>
      <c r="R82" s="12" t="str">
        <f t="shared" si="17"/>
        <v/>
      </c>
    </row>
    <row r="83" spans="1:18">
      <c r="A83" s="2" t="str">
        <f>IF(Sell_History!A83="","",Sell_History!A83)</f>
        <v/>
      </c>
      <c r="B83" s="2" t="str">
        <f>IF(Sell_History!B83="","",Sell_History!B83)</f>
        <v/>
      </c>
      <c r="C83" s="8" t="str">
        <f>IF(A83="","",IFERROR(INDEX(Buy_History!#REF!,MATCH(A83,Buy_History!$A:$A,0)),A83))</f>
        <v/>
      </c>
      <c r="D83" s="13" t="str">
        <f>IF(C83="","",IFERROR(INDEX(Buy_History!$C:$C,MATCH(C83,Buy_History!$A:$A,0)),""))</f>
        <v/>
      </c>
      <c r="E83" s="13" t="str">
        <f>IF(A83="","",IFERROR(SUMIFS(Sell_History!$D:$D,Sell_History!$A:$A,A83,Sell_History!$B:$B,B83),""))</f>
        <v/>
      </c>
      <c r="F83" s="9" t="str">
        <f>IF(A83="","",IF(SUMIFS(Sell_History!$E:$E,Sell_History!$A:$A,A83,Sell_History!$B:$B,B83)=0,"",SUMIFS(Sell_History!$E:$E,Sell_History!$A:$A,A83,Sell_History!$B:$B,B83)))</f>
        <v/>
      </c>
      <c r="G83" s="9" t="str">
        <f>IF(C83="","",IFERROR(INDEX(Buy_History!$E:$E,MATCH(C83,Buy_History!$A:$A,0)),""))</f>
        <v/>
      </c>
      <c r="H83" s="9" t="str">
        <f>IF(C83="","",IFERROR(SUMIFS(Raw_Observations!$D:$D,Raw_Observations!$A:$A,C83,Raw_Observations!$B:$B,B83),""))</f>
        <v/>
      </c>
      <c r="I83" s="9" t="str">
        <f t="shared" si="12"/>
        <v/>
      </c>
      <c r="J83" s="9">
        <f>IFERROR(LOOKUP(2,1/((Order_History!$A$2:$A$200=A83)*(Order_History!$B$2:$B$200=B83)*(Order_History!$E$2:$E$200&lt;=E83)),Order_History!$G$2:$G$200),"")</f>
        <v>0</v>
      </c>
      <c r="K83" s="10" t="str">
        <f>IF(C83="","",IFERROR(SUMIFS(Pricing!$G:$G,Pricing!$A:$A,C83,Pricing!$B:$B,B83),""))</f>
        <v/>
      </c>
      <c r="L83" s="11" t="str">
        <f t="shared" si="13"/>
        <v/>
      </c>
      <c r="M83" s="7">
        <v>0</v>
      </c>
      <c r="N83" s="7">
        <v>0</v>
      </c>
      <c r="O83" s="11" t="str">
        <f t="shared" si="14"/>
        <v/>
      </c>
      <c r="P83" s="14" t="str">
        <f t="shared" si="15"/>
        <v/>
      </c>
      <c r="Q83" s="15" t="str">
        <f t="shared" si="16"/>
        <v/>
      </c>
      <c r="R83" s="12" t="str">
        <f t="shared" si="17"/>
        <v/>
      </c>
    </row>
    <row r="84" spans="1:18">
      <c r="A84" s="2" t="str">
        <f>IF(Sell_History!A84="","",Sell_History!A84)</f>
        <v/>
      </c>
      <c r="B84" s="2" t="str">
        <f>IF(Sell_History!B84="","",Sell_History!B84)</f>
        <v/>
      </c>
      <c r="C84" s="8" t="str">
        <f>IF(A84="","",IFERROR(INDEX(Buy_History!#REF!,MATCH(A84,Buy_History!$A:$A,0)),A84))</f>
        <v/>
      </c>
      <c r="D84" s="13" t="str">
        <f>IF(C84="","",IFERROR(INDEX(Buy_History!$C:$C,MATCH(C84,Buy_History!$A:$A,0)),""))</f>
        <v/>
      </c>
      <c r="E84" s="13" t="str">
        <f>IF(A84="","",IFERROR(SUMIFS(Sell_History!$D:$D,Sell_History!$A:$A,A84,Sell_History!$B:$B,B84),""))</f>
        <v/>
      </c>
      <c r="F84" s="9" t="str">
        <f>IF(A84="","",IF(SUMIFS(Sell_History!$E:$E,Sell_History!$A:$A,A84,Sell_History!$B:$B,B84)=0,"",SUMIFS(Sell_History!$E:$E,Sell_History!$A:$A,A84,Sell_History!$B:$B,B84)))</f>
        <v/>
      </c>
      <c r="G84" s="9" t="str">
        <f>IF(C84="","",IFERROR(INDEX(Buy_History!$E:$E,MATCH(C84,Buy_History!$A:$A,0)),""))</f>
        <v/>
      </c>
      <c r="H84" s="9" t="str">
        <f>IF(C84="","",IFERROR(SUMIFS(Raw_Observations!$D:$D,Raw_Observations!$A:$A,C84,Raw_Observations!$B:$B,B84),""))</f>
        <v/>
      </c>
      <c r="I84" s="9" t="str">
        <f t="shared" si="12"/>
        <v/>
      </c>
      <c r="J84" s="9">
        <f>IFERROR(LOOKUP(2,1/((Order_History!$A$2:$A$200=A84)*(Order_History!$B$2:$B$200=B84)*(Order_History!$E$2:$E$200&lt;=E84)),Order_History!$G$2:$G$200),"")</f>
        <v>0</v>
      </c>
      <c r="K84" s="10" t="str">
        <f>IF(C84="","",IFERROR(SUMIFS(Pricing!$G:$G,Pricing!$A:$A,C84,Pricing!$B:$B,B84),""))</f>
        <v/>
      </c>
      <c r="L84" s="11" t="str">
        <f t="shared" si="13"/>
        <v/>
      </c>
      <c r="M84" s="7">
        <v>0</v>
      </c>
      <c r="N84" s="7">
        <v>0</v>
      </c>
      <c r="O84" s="11" t="str">
        <f t="shared" si="14"/>
        <v/>
      </c>
      <c r="P84" s="14" t="str">
        <f t="shared" si="15"/>
        <v/>
      </c>
      <c r="Q84" s="15" t="str">
        <f t="shared" si="16"/>
        <v/>
      </c>
      <c r="R84" s="12" t="str">
        <f t="shared" si="17"/>
        <v/>
      </c>
    </row>
    <row r="85" spans="1:18">
      <c r="A85" s="2" t="str">
        <f>IF(Sell_History!A85="","",Sell_History!A85)</f>
        <v/>
      </c>
      <c r="B85" s="2" t="str">
        <f>IF(Sell_History!B85="","",Sell_History!B85)</f>
        <v/>
      </c>
      <c r="C85" s="8" t="str">
        <f>IF(A85="","",IFERROR(INDEX(Buy_History!#REF!,MATCH(A85,Buy_History!$A:$A,0)),A85))</f>
        <v/>
      </c>
      <c r="D85" s="13" t="str">
        <f>IF(C85="","",IFERROR(INDEX(Buy_History!$C:$C,MATCH(C85,Buy_History!$A:$A,0)),""))</f>
        <v/>
      </c>
      <c r="E85" s="13" t="str">
        <f>IF(A85="","",IFERROR(SUMIFS(Sell_History!$D:$D,Sell_History!$A:$A,A85,Sell_History!$B:$B,B85),""))</f>
        <v/>
      </c>
      <c r="F85" s="9" t="str">
        <f>IF(A85="","",IF(SUMIFS(Sell_History!$E:$E,Sell_History!$A:$A,A85,Sell_History!$B:$B,B85)=0,"",SUMIFS(Sell_History!$E:$E,Sell_History!$A:$A,A85,Sell_History!$B:$B,B85)))</f>
        <v/>
      </c>
      <c r="G85" s="9" t="str">
        <f>IF(C85="","",IFERROR(INDEX(Buy_History!$E:$E,MATCH(C85,Buy_History!$A:$A,0)),""))</f>
        <v/>
      </c>
      <c r="H85" s="9" t="str">
        <f>IF(C85="","",IFERROR(SUMIFS(Raw_Observations!$D:$D,Raw_Observations!$A:$A,C85,Raw_Observations!$B:$B,B85),""))</f>
        <v/>
      </c>
      <c r="I85" s="9" t="str">
        <f t="shared" si="12"/>
        <v/>
      </c>
      <c r="J85" s="9">
        <f>IFERROR(LOOKUP(2,1/((Order_History!$A$2:$A$200=A85)*(Order_History!$B$2:$B$200=B85)*(Order_History!$E$2:$E$200&lt;=E85)),Order_History!$G$2:$G$200),"")</f>
        <v>0</v>
      </c>
      <c r="K85" s="10" t="str">
        <f>IF(C85="","",IFERROR(SUMIFS(Pricing!$G:$G,Pricing!$A:$A,C85,Pricing!$B:$B,B85),""))</f>
        <v/>
      </c>
      <c r="L85" s="11" t="str">
        <f t="shared" si="13"/>
        <v/>
      </c>
      <c r="M85" s="7">
        <v>0</v>
      </c>
      <c r="N85" s="7">
        <v>0</v>
      </c>
      <c r="O85" s="11" t="str">
        <f t="shared" si="14"/>
        <v/>
      </c>
      <c r="P85" s="14" t="str">
        <f t="shared" si="15"/>
        <v/>
      </c>
      <c r="Q85" s="15" t="str">
        <f t="shared" si="16"/>
        <v/>
      </c>
      <c r="R85" s="12" t="str">
        <f t="shared" si="17"/>
        <v/>
      </c>
    </row>
    <row r="86" spans="1:18">
      <c r="A86" s="2" t="str">
        <f>IF(Sell_History!A86="","",Sell_History!A86)</f>
        <v/>
      </c>
      <c r="B86" s="2" t="str">
        <f>IF(Sell_History!B86="","",Sell_History!B86)</f>
        <v/>
      </c>
      <c r="C86" s="8" t="str">
        <f>IF(A86="","",IFERROR(INDEX(Buy_History!#REF!,MATCH(A86,Buy_History!$A:$A,0)),A86))</f>
        <v/>
      </c>
      <c r="D86" s="13" t="str">
        <f>IF(C86="","",IFERROR(INDEX(Buy_History!$C:$C,MATCH(C86,Buy_History!$A:$A,0)),""))</f>
        <v/>
      </c>
      <c r="E86" s="13" t="str">
        <f>IF(A86="","",IFERROR(SUMIFS(Sell_History!$D:$D,Sell_History!$A:$A,A86,Sell_History!$B:$B,B86),""))</f>
        <v/>
      </c>
      <c r="F86" s="9" t="str">
        <f>IF(A86="","",IF(SUMIFS(Sell_History!$E:$E,Sell_History!$A:$A,A86,Sell_History!$B:$B,B86)=0,"",SUMIFS(Sell_History!$E:$E,Sell_History!$A:$A,A86,Sell_History!$B:$B,B86)))</f>
        <v/>
      </c>
      <c r="G86" s="9" t="str">
        <f>IF(C86="","",IFERROR(INDEX(Buy_History!$E:$E,MATCH(C86,Buy_History!$A:$A,0)),""))</f>
        <v/>
      </c>
      <c r="H86" s="9" t="str">
        <f>IF(C86="","",IFERROR(SUMIFS(Raw_Observations!$D:$D,Raw_Observations!$A:$A,C86,Raw_Observations!$B:$B,B86),""))</f>
        <v/>
      </c>
      <c r="I86" s="9" t="str">
        <f t="shared" si="12"/>
        <v/>
      </c>
      <c r="J86" s="9">
        <f>IFERROR(LOOKUP(2,1/((Order_History!$A$2:$A$200=A86)*(Order_History!$B$2:$B$200=B86)*(Order_History!$E$2:$E$200&lt;=E86)),Order_History!$G$2:$G$200),"")</f>
        <v>0</v>
      </c>
      <c r="K86" s="10" t="str">
        <f>IF(C86="","",IFERROR(SUMIFS(Pricing!$G:$G,Pricing!$A:$A,C86,Pricing!$B:$B,B86),""))</f>
        <v/>
      </c>
      <c r="L86" s="11" t="str">
        <f t="shared" si="13"/>
        <v/>
      </c>
      <c r="M86" s="7">
        <v>0</v>
      </c>
      <c r="N86" s="7">
        <v>0</v>
      </c>
      <c r="O86" s="11" t="str">
        <f t="shared" si="14"/>
        <v/>
      </c>
      <c r="P86" s="14" t="str">
        <f t="shared" si="15"/>
        <v/>
      </c>
      <c r="Q86" s="15" t="str">
        <f t="shared" si="16"/>
        <v/>
      </c>
      <c r="R86" s="12" t="str">
        <f t="shared" si="17"/>
        <v/>
      </c>
    </row>
    <row r="87" spans="1:18">
      <c r="A87" s="2" t="str">
        <f>IF(Sell_History!A87="","",Sell_History!A87)</f>
        <v/>
      </c>
      <c r="B87" s="2" t="str">
        <f>IF(Sell_History!B87="","",Sell_History!B87)</f>
        <v/>
      </c>
      <c r="C87" s="8" t="str">
        <f>IF(A87="","",IFERROR(INDEX(Buy_History!#REF!,MATCH(A87,Buy_History!$A:$A,0)),A87))</f>
        <v/>
      </c>
      <c r="D87" s="13" t="str">
        <f>IF(C87="","",IFERROR(INDEX(Buy_History!$C:$C,MATCH(C87,Buy_History!$A:$A,0)),""))</f>
        <v/>
      </c>
      <c r="E87" s="13" t="str">
        <f>IF(A87="","",IFERROR(SUMIFS(Sell_History!$D:$D,Sell_History!$A:$A,A87,Sell_History!$B:$B,B87),""))</f>
        <v/>
      </c>
      <c r="F87" s="9" t="str">
        <f>IF(A87="","",IF(SUMIFS(Sell_History!$E:$E,Sell_History!$A:$A,A87,Sell_History!$B:$B,B87)=0,"",SUMIFS(Sell_History!$E:$E,Sell_History!$A:$A,A87,Sell_History!$B:$B,B87)))</f>
        <v/>
      </c>
      <c r="G87" s="9" t="str">
        <f>IF(C87="","",IFERROR(INDEX(Buy_History!$E:$E,MATCH(C87,Buy_History!$A:$A,0)),""))</f>
        <v/>
      </c>
      <c r="H87" s="9" t="str">
        <f>IF(C87="","",IFERROR(SUMIFS(Raw_Observations!$D:$D,Raw_Observations!$A:$A,C87,Raw_Observations!$B:$B,B87),""))</f>
        <v/>
      </c>
      <c r="I87" s="9" t="str">
        <f t="shared" si="12"/>
        <v/>
      </c>
      <c r="J87" s="9">
        <f>IFERROR(LOOKUP(2,1/((Order_History!$A$2:$A$200=A87)*(Order_History!$B$2:$B$200=B87)*(Order_History!$E$2:$E$200&lt;=E87)),Order_History!$G$2:$G$200),"")</f>
        <v>0</v>
      </c>
      <c r="K87" s="10" t="str">
        <f>IF(C87="","",IFERROR(SUMIFS(Pricing!$G:$G,Pricing!$A:$A,C87,Pricing!$B:$B,B87),""))</f>
        <v/>
      </c>
      <c r="L87" s="11" t="str">
        <f t="shared" si="13"/>
        <v/>
      </c>
      <c r="M87" s="7">
        <v>0</v>
      </c>
      <c r="N87" s="7">
        <v>0</v>
      </c>
      <c r="O87" s="11" t="str">
        <f t="shared" si="14"/>
        <v/>
      </c>
      <c r="P87" s="14" t="str">
        <f t="shared" si="15"/>
        <v/>
      </c>
      <c r="Q87" s="15" t="str">
        <f t="shared" si="16"/>
        <v/>
      </c>
      <c r="R87" s="12" t="str">
        <f t="shared" si="17"/>
        <v/>
      </c>
    </row>
    <row r="88" spans="1:18">
      <c r="A88" s="2" t="str">
        <f>IF(Sell_History!A88="","",Sell_History!A88)</f>
        <v/>
      </c>
      <c r="B88" s="2" t="str">
        <f>IF(Sell_History!B88="","",Sell_History!B88)</f>
        <v/>
      </c>
      <c r="C88" s="8" t="str">
        <f>IF(A88="","",IFERROR(INDEX(Buy_History!#REF!,MATCH(A88,Buy_History!$A:$A,0)),A88))</f>
        <v/>
      </c>
      <c r="D88" s="13" t="str">
        <f>IF(C88="","",IFERROR(INDEX(Buy_History!$C:$C,MATCH(C88,Buy_History!$A:$A,0)),""))</f>
        <v/>
      </c>
      <c r="E88" s="13" t="str">
        <f>IF(A88="","",IFERROR(SUMIFS(Sell_History!$D:$D,Sell_History!$A:$A,A88,Sell_History!$B:$B,B88),""))</f>
        <v/>
      </c>
      <c r="F88" s="9" t="str">
        <f>IF(A88="","",IF(SUMIFS(Sell_History!$E:$E,Sell_History!$A:$A,A88,Sell_History!$B:$B,B88)=0,"",SUMIFS(Sell_History!$E:$E,Sell_History!$A:$A,A88,Sell_History!$B:$B,B88)))</f>
        <v/>
      </c>
      <c r="G88" s="9" t="str">
        <f>IF(C88="","",IFERROR(INDEX(Buy_History!$E:$E,MATCH(C88,Buy_History!$A:$A,0)),""))</f>
        <v/>
      </c>
      <c r="H88" s="9" t="str">
        <f>IF(C88="","",IFERROR(SUMIFS(Raw_Observations!$D:$D,Raw_Observations!$A:$A,C88,Raw_Observations!$B:$B,B88),""))</f>
        <v/>
      </c>
      <c r="I88" s="9" t="str">
        <f t="shared" si="12"/>
        <v/>
      </c>
      <c r="J88" s="9">
        <f>IFERROR(LOOKUP(2,1/((Order_History!$A$2:$A$200=A88)*(Order_History!$B$2:$B$200=B88)*(Order_History!$E$2:$E$200&lt;=E88)),Order_History!$G$2:$G$200),"")</f>
        <v>0</v>
      </c>
      <c r="K88" s="10" t="str">
        <f>IF(C88="","",IFERROR(SUMIFS(Pricing!$G:$G,Pricing!$A:$A,C88,Pricing!$B:$B,B88),""))</f>
        <v/>
      </c>
      <c r="L88" s="11" t="str">
        <f t="shared" si="13"/>
        <v/>
      </c>
      <c r="M88" s="7">
        <v>0</v>
      </c>
      <c r="N88" s="7">
        <v>0</v>
      </c>
      <c r="O88" s="11" t="str">
        <f t="shared" si="14"/>
        <v/>
      </c>
      <c r="P88" s="14" t="str">
        <f t="shared" si="15"/>
        <v/>
      </c>
      <c r="Q88" s="15" t="str">
        <f t="shared" si="16"/>
        <v/>
      </c>
      <c r="R88" s="12" t="str">
        <f t="shared" si="17"/>
        <v/>
      </c>
    </row>
    <row r="89" spans="1:18">
      <c r="A89" s="2" t="str">
        <f>IF(Sell_History!A89="","",Sell_History!A89)</f>
        <v/>
      </c>
      <c r="B89" s="2" t="str">
        <f>IF(Sell_History!B89="","",Sell_History!B89)</f>
        <v/>
      </c>
      <c r="C89" s="8" t="str">
        <f>IF(A89="","",IFERROR(INDEX(Buy_History!#REF!,MATCH(A89,Buy_History!$A:$A,0)),A89))</f>
        <v/>
      </c>
      <c r="D89" s="13" t="str">
        <f>IF(C89="","",IFERROR(INDEX(Buy_History!$C:$C,MATCH(C89,Buy_History!$A:$A,0)),""))</f>
        <v/>
      </c>
      <c r="E89" s="13" t="str">
        <f>IF(A89="","",IFERROR(SUMIFS(Sell_History!$D:$D,Sell_History!$A:$A,A89,Sell_History!$B:$B,B89),""))</f>
        <v/>
      </c>
      <c r="F89" s="9" t="str">
        <f>IF(A89="","",IF(SUMIFS(Sell_History!$E:$E,Sell_History!$A:$A,A89,Sell_History!$B:$B,B89)=0,"",SUMIFS(Sell_History!$E:$E,Sell_History!$A:$A,A89,Sell_History!$B:$B,B89)))</f>
        <v/>
      </c>
      <c r="G89" s="9" t="str">
        <f>IF(C89="","",IFERROR(INDEX(Buy_History!$E:$E,MATCH(C89,Buy_History!$A:$A,0)),""))</f>
        <v/>
      </c>
      <c r="H89" s="9" t="str">
        <f>IF(C89="","",IFERROR(SUMIFS(Raw_Observations!$D:$D,Raw_Observations!$A:$A,C89,Raw_Observations!$B:$B,B89),""))</f>
        <v/>
      </c>
      <c r="I89" s="9" t="str">
        <f t="shared" si="12"/>
        <v/>
      </c>
      <c r="J89" s="9">
        <f>IFERROR(LOOKUP(2,1/((Order_History!$A$2:$A$200=A89)*(Order_History!$B$2:$B$200=B89)*(Order_History!$E$2:$E$200&lt;=E89)),Order_History!$G$2:$G$200),"")</f>
        <v>0</v>
      </c>
      <c r="K89" s="10" t="str">
        <f>IF(C89="","",IFERROR(SUMIFS(Pricing!$G:$G,Pricing!$A:$A,C89,Pricing!$B:$B,B89),""))</f>
        <v/>
      </c>
      <c r="L89" s="11" t="str">
        <f t="shared" si="13"/>
        <v/>
      </c>
      <c r="M89" s="7">
        <v>0</v>
      </c>
      <c r="N89" s="7">
        <v>0</v>
      </c>
      <c r="O89" s="11" t="str">
        <f t="shared" si="14"/>
        <v/>
      </c>
      <c r="P89" s="14" t="str">
        <f t="shared" si="15"/>
        <v/>
      </c>
      <c r="Q89" s="15" t="str">
        <f t="shared" si="16"/>
        <v/>
      </c>
      <c r="R89" s="12" t="str">
        <f t="shared" si="17"/>
        <v/>
      </c>
    </row>
    <row r="90" spans="1:18">
      <c r="A90" s="2" t="str">
        <f>IF(Sell_History!A90="","",Sell_History!A90)</f>
        <v/>
      </c>
      <c r="B90" s="2" t="str">
        <f>IF(Sell_History!B90="","",Sell_History!B90)</f>
        <v/>
      </c>
      <c r="C90" s="8" t="str">
        <f>IF(A90="","",IFERROR(INDEX(Buy_History!#REF!,MATCH(A90,Buy_History!$A:$A,0)),A90))</f>
        <v/>
      </c>
      <c r="D90" s="13" t="str">
        <f>IF(C90="","",IFERROR(INDEX(Buy_History!$C:$C,MATCH(C90,Buy_History!$A:$A,0)),""))</f>
        <v/>
      </c>
      <c r="E90" s="13" t="str">
        <f>IF(A90="","",IFERROR(SUMIFS(Sell_History!$D:$D,Sell_History!$A:$A,A90,Sell_History!$B:$B,B90),""))</f>
        <v/>
      </c>
      <c r="F90" s="9" t="str">
        <f>IF(A90="","",IF(SUMIFS(Sell_History!$E:$E,Sell_History!$A:$A,A90,Sell_History!$B:$B,B90)=0,"",SUMIFS(Sell_History!$E:$E,Sell_History!$A:$A,A90,Sell_History!$B:$B,B90)))</f>
        <v/>
      </c>
      <c r="G90" s="9" t="str">
        <f>IF(C90="","",IFERROR(INDEX(Buy_History!$E:$E,MATCH(C90,Buy_History!$A:$A,0)),""))</f>
        <v/>
      </c>
      <c r="H90" s="9" t="str">
        <f>IF(C90="","",IFERROR(SUMIFS(Raw_Observations!$D:$D,Raw_Observations!$A:$A,C90,Raw_Observations!$B:$B,B90),""))</f>
        <v/>
      </c>
      <c r="I90" s="9" t="str">
        <f t="shared" si="12"/>
        <v/>
      </c>
      <c r="J90" s="9">
        <f>IFERROR(LOOKUP(2,1/((Order_History!$A$2:$A$200=A90)*(Order_History!$B$2:$B$200=B90)*(Order_History!$E$2:$E$200&lt;=E90)),Order_History!$G$2:$G$200),"")</f>
        <v>0</v>
      </c>
      <c r="K90" s="10" t="str">
        <f>IF(C90="","",IFERROR(SUMIFS(Pricing!$G:$G,Pricing!$A:$A,C90,Pricing!$B:$B,B90),""))</f>
        <v/>
      </c>
      <c r="L90" s="11" t="str">
        <f t="shared" si="13"/>
        <v/>
      </c>
      <c r="M90" s="7">
        <v>0</v>
      </c>
      <c r="N90" s="7">
        <v>0</v>
      </c>
      <c r="O90" s="11" t="str">
        <f t="shared" si="14"/>
        <v/>
      </c>
      <c r="P90" s="14" t="str">
        <f t="shared" si="15"/>
        <v/>
      </c>
      <c r="Q90" s="15" t="str">
        <f t="shared" si="16"/>
        <v/>
      </c>
      <c r="R90" s="12" t="str">
        <f t="shared" si="17"/>
        <v/>
      </c>
    </row>
    <row r="91" spans="1:18">
      <c r="A91" s="2" t="str">
        <f>IF(Sell_History!A91="","",Sell_History!A91)</f>
        <v/>
      </c>
      <c r="B91" s="2" t="str">
        <f>IF(Sell_History!B91="","",Sell_History!B91)</f>
        <v/>
      </c>
      <c r="C91" s="8" t="str">
        <f>IF(A91="","",IFERROR(INDEX(Buy_History!#REF!,MATCH(A91,Buy_History!$A:$A,0)),A91))</f>
        <v/>
      </c>
      <c r="D91" s="13" t="str">
        <f>IF(C91="","",IFERROR(INDEX(Buy_History!$C:$C,MATCH(C91,Buy_History!$A:$A,0)),""))</f>
        <v/>
      </c>
      <c r="E91" s="13" t="str">
        <f>IF(A91="","",IFERROR(SUMIFS(Sell_History!$D:$D,Sell_History!$A:$A,A91,Sell_History!$B:$B,B91),""))</f>
        <v/>
      </c>
      <c r="F91" s="9" t="str">
        <f>IF(A91="","",IF(SUMIFS(Sell_History!$E:$E,Sell_History!$A:$A,A91,Sell_History!$B:$B,B91)=0,"",SUMIFS(Sell_History!$E:$E,Sell_History!$A:$A,A91,Sell_History!$B:$B,B91)))</f>
        <v/>
      </c>
      <c r="G91" s="9" t="str">
        <f>IF(C91="","",IFERROR(INDEX(Buy_History!$E:$E,MATCH(C91,Buy_History!$A:$A,0)),""))</f>
        <v/>
      </c>
      <c r="H91" s="9" t="str">
        <f>IF(C91="","",IFERROR(SUMIFS(Raw_Observations!$D:$D,Raw_Observations!$A:$A,C91,Raw_Observations!$B:$B,B91),""))</f>
        <v/>
      </c>
      <c r="I91" s="9" t="str">
        <f t="shared" si="12"/>
        <v/>
      </c>
      <c r="J91" s="9">
        <f>IFERROR(LOOKUP(2,1/((Order_History!$A$2:$A$200=A91)*(Order_History!$B$2:$B$200=B91)*(Order_History!$E$2:$E$200&lt;=E91)),Order_History!$G$2:$G$200),"")</f>
        <v>0</v>
      </c>
      <c r="K91" s="10" t="str">
        <f>IF(C91="","",IFERROR(SUMIFS(Pricing!$G:$G,Pricing!$A:$A,C91,Pricing!$B:$B,B91),""))</f>
        <v/>
      </c>
      <c r="L91" s="11" t="str">
        <f t="shared" si="13"/>
        <v/>
      </c>
      <c r="M91" s="7">
        <v>0</v>
      </c>
      <c r="N91" s="7">
        <v>0</v>
      </c>
      <c r="O91" s="11" t="str">
        <f t="shared" si="14"/>
        <v/>
      </c>
      <c r="P91" s="14" t="str">
        <f t="shared" si="15"/>
        <v/>
      </c>
      <c r="Q91" s="15" t="str">
        <f t="shared" si="16"/>
        <v/>
      </c>
      <c r="R91" s="12" t="str">
        <f t="shared" si="17"/>
        <v/>
      </c>
    </row>
    <row r="92" spans="1:18">
      <c r="A92" s="2" t="str">
        <f>IF(Sell_History!A92="","",Sell_History!A92)</f>
        <v/>
      </c>
      <c r="B92" s="2" t="str">
        <f>IF(Sell_History!B92="","",Sell_History!B92)</f>
        <v/>
      </c>
      <c r="C92" s="8" t="str">
        <f>IF(A92="","",IFERROR(INDEX(Buy_History!#REF!,MATCH(A92,Buy_History!$A:$A,0)),A92))</f>
        <v/>
      </c>
      <c r="D92" s="13" t="str">
        <f>IF(C92="","",IFERROR(INDEX(Buy_History!$C:$C,MATCH(C92,Buy_History!$A:$A,0)),""))</f>
        <v/>
      </c>
      <c r="E92" s="13" t="str">
        <f>IF(A92="","",IFERROR(SUMIFS(Sell_History!$D:$D,Sell_History!$A:$A,A92,Sell_History!$B:$B,B92),""))</f>
        <v/>
      </c>
      <c r="F92" s="9" t="str">
        <f>IF(A92="","",IF(SUMIFS(Sell_History!$E:$E,Sell_History!$A:$A,A92,Sell_History!$B:$B,B92)=0,"",SUMIFS(Sell_History!$E:$E,Sell_History!$A:$A,A92,Sell_History!$B:$B,B92)))</f>
        <v/>
      </c>
      <c r="G92" s="9" t="str">
        <f>IF(C92="","",IFERROR(INDEX(Buy_History!$E:$E,MATCH(C92,Buy_History!$A:$A,0)),""))</f>
        <v/>
      </c>
      <c r="H92" s="9" t="str">
        <f>IF(C92="","",IFERROR(SUMIFS(Raw_Observations!$D:$D,Raw_Observations!$A:$A,C92,Raw_Observations!$B:$B,B92),""))</f>
        <v/>
      </c>
      <c r="I92" s="9" t="str">
        <f t="shared" si="12"/>
        <v/>
      </c>
      <c r="J92" s="9">
        <f>IFERROR(LOOKUP(2,1/((Order_History!$A$2:$A$200=A92)*(Order_History!$B$2:$B$200=B92)*(Order_History!$E$2:$E$200&lt;=E92)),Order_History!$G$2:$G$200),"")</f>
        <v>0</v>
      </c>
      <c r="K92" s="10" t="str">
        <f>IF(C92="","",IFERROR(SUMIFS(Pricing!$G:$G,Pricing!$A:$A,C92,Pricing!$B:$B,B92),""))</f>
        <v/>
      </c>
      <c r="L92" s="11" t="str">
        <f t="shared" si="13"/>
        <v/>
      </c>
      <c r="M92" s="7">
        <v>0</v>
      </c>
      <c r="N92" s="7">
        <v>0</v>
      </c>
      <c r="O92" s="11" t="str">
        <f t="shared" si="14"/>
        <v/>
      </c>
      <c r="P92" s="14" t="str">
        <f t="shared" si="15"/>
        <v/>
      </c>
      <c r="Q92" s="15" t="str">
        <f t="shared" si="16"/>
        <v/>
      </c>
      <c r="R92" s="12" t="str">
        <f t="shared" si="17"/>
        <v/>
      </c>
    </row>
    <row r="93" spans="1:18">
      <c r="A93" s="2" t="str">
        <f>IF(Sell_History!A93="","",Sell_History!A93)</f>
        <v/>
      </c>
      <c r="B93" s="2" t="str">
        <f>IF(Sell_History!B93="","",Sell_History!B93)</f>
        <v/>
      </c>
      <c r="C93" s="8" t="str">
        <f>IF(A93="","",IFERROR(INDEX(Buy_History!#REF!,MATCH(A93,Buy_History!$A:$A,0)),A93))</f>
        <v/>
      </c>
      <c r="D93" s="13" t="str">
        <f>IF(C93="","",IFERROR(INDEX(Buy_History!$C:$C,MATCH(C93,Buy_History!$A:$A,0)),""))</f>
        <v/>
      </c>
      <c r="E93" s="13" t="str">
        <f>IF(A93="","",IFERROR(SUMIFS(Sell_History!$D:$D,Sell_History!$A:$A,A93,Sell_History!$B:$B,B93),""))</f>
        <v/>
      </c>
      <c r="F93" s="9" t="str">
        <f>IF(A93="","",IF(SUMIFS(Sell_History!$E:$E,Sell_History!$A:$A,A93,Sell_History!$B:$B,B93)=0,"",SUMIFS(Sell_History!$E:$E,Sell_History!$A:$A,A93,Sell_History!$B:$B,B93)))</f>
        <v/>
      </c>
      <c r="G93" s="9" t="str">
        <f>IF(C93="","",IFERROR(INDEX(Buy_History!$E:$E,MATCH(C93,Buy_History!$A:$A,0)),""))</f>
        <v/>
      </c>
      <c r="H93" s="9" t="str">
        <f>IF(C93="","",IFERROR(SUMIFS(Raw_Observations!$D:$D,Raw_Observations!$A:$A,C93,Raw_Observations!$B:$B,B93),""))</f>
        <v/>
      </c>
      <c r="I93" s="9" t="str">
        <f t="shared" si="12"/>
        <v/>
      </c>
      <c r="J93" s="9">
        <f>IFERROR(LOOKUP(2,1/((Order_History!$A$2:$A$200=A93)*(Order_History!$B$2:$B$200=B93)*(Order_History!$E$2:$E$200&lt;=E93)),Order_History!$G$2:$G$200),"")</f>
        <v>0</v>
      </c>
      <c r="K93" s="10" t="str">
        <f>IF(C93="","",IFERROR(SUMIFS(Pricing!$G:$G,Pricing!$A:$A,C93,Pricing!$B:$B,B93),""))</f>
        <v/>
      </c>
      <c r="L93" s="11" t="str">
        <f t="shared" si="13"/>
        <v/>
      </c>
      <c r="M93" s="7">
        <v>0</v>
      </c>
      <c r="N93" s="7">
        <v>0</v>
      </c>
      <c r="O93" s="11" t="str">
        <f t="shared" si="14"/>
        <v/>
      </c>
      <c r="P93" s="14" t="str">
        <f t="shared" si="15"/>
        <v/>
      </c>
      <c r="Q93" s="15" t="str">
        <f t="shared" si="16"/>
        <v/>
      </c>
      <c r="R93" s="12" t="str">
        <f t="shared" si="17"/>
        <v/>
      </c>
    </row>
    <row r="94" spans="1:18">
      <c r="A94" s="2" t="str">
        <f>IF(Sell_History!A94="","",Sell_History!A94)</f>
        <v/>
      </c>
      <c r="B94" s="2" t="str">
        <f>IF(Sell_History!B94="","",Sell_History!B94)</f>
        <v/>
      </c>
      <c r="C94" s="8" t="str">
        <f>IF(A94="","",IFERROR(INDEX(Buy_History!#REF!,MATCH(A94,Buy_History!$A:$A,0)),A94))</f>
        <v/>
      </c>
      <c r="D94" s="13" t="str">
        <f>IF(C94="","",IFERROR(INDEX(Buy_History!$C:$C,MATCH(C94,Buy_History!$A:$A,0)),""))</f>
        <v/>
      </c>
      <c r="E94" s="13" t="str">
        <f>IF(A94="","",IFERROR(SUMIFS(Sell_History!$D:$D,Sell_History!$A:$A,A94,Sell_History!$B:$B,B94),""))</f>
        <v/>
      </c>
      <c r="F94" s="9" t="str">
        <f>IF(A94="","",IF(SUMIFS(Sell_History!$E:$E,Sell_History!$A:$A,A94,Sell_History!$B:$B,B94)=0,"",SUMIFS(Sell_History!$E:$E,Sell_History!$A:$A,A94,Sell_History!$B:$B,B94)))</f>
        <v/>
      </c>
      <c r="G94" s="9" t="str">
        <f>IF(C94="","",IFERROR(INDEX(Buy_History!$E:$E,MATCH(C94,Buy_History!$A:$A,0)),""))</f>
        <v/>
      </c>
      <c r="H94" s="9" t="str">
        <f>IF(C94="","",IFERROR(SUMIFS(Raw_Observations!$D:$D,Raw_Observations!$A:$A,C94,Raw_Observations!$B:$B,B94),""))</f>
        <v/>
      </c>
      <c r="I94" s="9" t="str">
        <f t="shared" si="12"/>
        <v/>
      </c>
      <c r="J94" s="9">
        <f>IFERROR(LOOKUP(2,1/((Order_History!$A$2:$A$200=A94)*(Order_History!$B$2:$B$200=B94)*(Order_History!$E$2:$E$200&lt;=E94)),Order_History!$G$2:$G$200),"")</f>
        <v>0</v>
      </c>
      <c r="K94" s="10" t="str">
        <f>IF(C94="","",IFERROR(SUMIFS(Pricing!$G:$G,Pricing!$A:$A,C94,Pricing!$B:$B,B94),""))</f>
        <v/>
      </c>
      <c r="L94" s="11" t="str">
        <f t="shared" si="13"/>
        <v/>
      </c>
      <c r="M94" s="7">
        <v>0</v>
      </c>
      <c r="N94" s="7">
        <v>0</v>
      </c>
      <c r="O94" s="11" t="str">
        <f t="shared" si="14"/>
        <v/>
      </c>
      <c r="P94" s="14" t="str">
        <f t="shared" si="15"/>
        <v/>
      </c>
      <c r="Q94" s="15" t="str">
        <f t="shared" si="16"/>
        <v/>
      </c>
      <c r="R94" s="12" t="str">
        <f t="shared" si="17"/>
        <v/>
      </c>
    </row>
    <row r="95" spans="1:18">
      <c r="A95" s="2" t="str">
        <f>IF(Sell_History!A95="","",Sell_History!A95)</f>
        <v/>
      </c>
      <c r="B95" s="2" t="str">
        <f>IF(Sell_History!B95="","",Sell_History!B95)</f>
        <v/>
      </c>
      <c r="C95" s="8" t="str">
        <f>IF(A95="","",IFERROR(INDEX(Buy_History!#REF!,MATCH(A95,Buy_History!$A:$A,0)),A95))</f>
        <v/>
      </c>
      <c r="D95" s="13" t="str">
        <f>IF(C95="","",IFERROR(INDEX(Buy_History!$C:$C,MATCH(C95,Buy_History!$A:$A,0)),""))</f>
        <v/>
      </c>
      <c r="E95" s="13" t="str">
        <f>IF(A95="","",IFERROR(SUMIFS(Sell_History!$D:$D,Sell_History!$A:$A,A95,Sell_History!$B:$B,B95),""))</f>
        <v/>
      </c>
      <c r="F95" s="9" t="str">
        <f>IF(A95="","",IF(SUMIFS(Sell_History!$E:$E,Sell_History!$A:$A,A95,Sell_History!$B:$B,B95)=0,"",SUMIFS(Sell_History!$E:$E,Sell_History!$A:$A,A95,Sell_History!$B:$B,B95)))</f>
        <v/>
      </c>
      <c r="G95" s="9" t="str">
        <f>IF(C95="","",IFERROR(INDEX(Buy_History!$E:$E,MATCH(C95,Buy_History!$A:$A,0)),""))</f>
        <v/>
      </c>
      <c r="H95" s="9" t="str">
        <f>IF(C95="","",IFERROR(SUMIFS(Raw_Observations!$D:$D,Raw_Observations!$A:$A,C95,Raw_Observations!$B:$B,B95),""))</f>
        <v/>
      </c>
      <c r="I95" s="9" t="str">
        <f t="shared" si="12"/>
        <v/>
      </c>
      <c r="J95" s="9">
        <f>IFERROR(LOOKUP(2,1/((Order_History!$A$2:$A$200=A95)*(Order_History!$B$2:$B$200=B95)*(Order_History!$E$2:$E$200&lt;=E95)),Order_History!$G$2:$G$200),"")</f>
        <v>0</v>
      </c>
      <c r="K95" s="10" t="str">
        <f>IF(C95="","",IFERROR(SUMIFS(Pricing!$G:$G,Pricing!$A:$A,C95,Pricing!$B:$B,B95),""))</f>
        <v/>
      </c>
      <c r="L95" s="11" t="str">
        <f t="shared" si="13"/>
        <v/>
      </c>
      <c r="M95" s="7">
        <v>0</v>
      </c>
      <c r="N95" s="7">
        <v>0</v>
      </c>
      <c r="O95" s="11" t="str">
        <f t="shared" si="14"/>
        <v/>
      </c>
      <c r="P95" s="14" t="str">
        <f t="shared" si="15"/>
        <v/>
      </c>
      <c r="Q95" s="15" t="str">
        <f t="shared" si="16"/>
        <v/>
      </c>
      <c r="R95" s="12" t="str">
        <f t="shared" si="17"/>
        <v/>
      </c>
    </row>
    <row r="96" spans="1:18">
      <c r="A96" s="2" t="str">
        <f>IF(Sell_History!A96="","",Sell_History!A96)</f>
        <v/>
      </c>
      <c r="B96" s="2" t="str">
        <f>IF(Sell_History!B96="","",Sell_History!B96)</f>
        <v/>
      </c>
      <c r="C96" s="8" t="str">
        <f>IF(A96="","",IFERROR(INDEX(Buy_History!#REF!,MATCH(A96,Buy_History!$A:$A,0)),A96))</f>
        <v/>
      </c>
      <c r="D96" s="13" t="str">
        <f>IF(C96="","",IFERROR(INDEX(Buy_History!$C:$C,MATCH(C96,Buy_History!$A:$A,0)),""))</f>
        <v/>
      </c>
      <c r="E96" s="13" t="str">
        <f>IF(A96="","",IFERROR(SUMIFS(Sell_History!$D:$D,Sell_History!$A:$A,A96,Sell_History!$B:$B,B96),""))</f>
        <v/>
      </c>
      <c r="F96" s="9" t="str">
        <f>IF(A96="","",IF(SUMIFS(Sell_History!$E:$E,Sell_History!$A:$A,A96,Sell_History!$B:$B,B96)=0,"",SUMIFS(Sell_History!$E:$E,Sell_History!$A:$A,A96,Sell_History!$B:$B,B96)))</f>
        <v/>
      </c>
      <c r="G96" s="9" t="str">
        <f>IF(C96="","",IFERROR(INDEX(Buy_History!$E:$E,MATCH(C96,Buy_History!$A:$A,0)),""))</f>
        <v/>
      </c>
      <c r="H96" s="9" t="str">
        <f>IF(C96="","",IFERROR(SUMIFS(Raw_Observations!$D:$D,Raw_Observations!$A:$A,C96,Raw_Observations!$B:$B,B96),""))</f>
        <v/>
      </c>
      <c r="I96" s="9" t="str">
        <f t="shared" si="12"/>
        <v/>
      </c>
      <c r="J96" s="9">
        <f>IFERROR(LOOKUP(2,1/((Order_History!$A$2:$A$200=A96)*(Order_History!$B$2:$B$200=B96)*(Order_History!$E$2:$E$200&lt;=E96)),Order_History!$G$2:$G$200),"")</f>
        <v>0</v>
      </c>
      <c r="K96" s="10" t="str">
        <f>IF(C96="","",IFERROR(SUMIFS(Pricing!$G:$G,Pricing!$A:$A,C96,Pricing!$B:$B,B96),""))</f>
        <v/>
      </c>
      <c r="L96" s="11" t="str">
        <f t="shared" si="13"/>
        <v/>
      </c>
      <c r="M96" s="7">
        <v>0</v>
      </c>
      <c r="N96" s="7">
        <v>0</v>
      </c>
      <c r="O96" s="11" t="str">
        <f t="shared" si="14"/>
        <v/>
      </c>
      <c r="P96" s="14" t="str">
        <f t="shared" si="15"/>
        <v/>
      </c>
      <c r="Q96" s="15" t="str">
        <f t="shared" si="16"/>
        <v/>
      </c>
      <c r="R96" s="12" t="str">
        <f t="shared" si="17"/>
        <v/>
      </c>
    </row>
    <row r="97" spans="1:18">
      <c r="A97" s="2" t="str">
        <f>IF(Sell_History!A97="","",Sell_History!A97)</f>
        <v/>
      </c>
      <c r="B97" s="2" t="str">
        <f>IF(Sell_History!B97="","",Sell_History!B97)</f>
        <v/>
      </c>
      <c r="C97" s="8" t="str">
        <f>IF(A97="","",IFERROR(INDEX(Buy_History!#REF!,MATCH(A97,Buy_History!$A:$A,0)),A97))</f>
        <v/>
      </c>
      <c r="D97" s="13" t="str">
        <f>IF(C97="","",IFERROR(INDEX(Buy_History!$C:$C,MATCH(C97,Buy_History!$A:$A,0)),""))</f>
        <v/>
      </c>
      <c r="E97" s="13" t="str">
        <f>IF(A97="","",IFERROR(SUMIFS(Sell_History!$D:$D,Sell_History!$A:$A,A97,Sell_History!$B:$B,B97),""))</f>
        <v/>
      </c>
      <c r="F97" s="9" t="str">
        <f>IF(A97="","",IF(SUMIFS(Sell_History!$E:$E,Sell_History!$A:$A,A97,Sell_History!$B:$B,B97)=0,"",SUMIFS(Sell_History!$E:$E,Sell_History!$A:$A,A97,Sell_History!$B:$B,B97)))</f>
        <v/>
      </c>
      <c r="G97" s="9" t="str">
        <f>IF(C97="","",IFERROR(INDEX(Buy_History!$E:$E,MATCH(C97,Buy_History!$A:$A,0)),""))</f>
        <v/>
      </c>
      <c r="H97" s="9" t="str">
        <f>IF(C97="","",IFERROR(SUMIFS(Raw_Observations!$D:$D,Raw_Observations!$A:$A,C97,Raw_Observations!$B:$B,B97),""))</f>
        <v/>
      </c>
      <c r="I97" s="9" t="str">
        <f t="shared" si="12"/>
        <v/>
      </c>
      <c r="J97" s="9">
        <f>IFERROR(LOOKUP(2,1/((Order_History!$A$2:$A$200=A97)*(Order_History!$B$2:$B$200=B97)*(Order_History!$E$2:$E$200&lt;=E97)),Order_History!$G$2:$G$200),"")</f>
        <v>0</v>
      </c>
      <c r="K97" s="10" t="str">
        <f>IF(C97="","",IFERROR(SUMIFS(Pricing!$G:$G,Pricing!$A:$A,C97,Pricing!$B:$B,B97),""))</f>
        <v/>
      </c>
      <c r="L97" s="11" t="str">
        <f t="shared" si="13"/>
        <v/>
      </c>
      <c r="M97" s="7">
        <v>0</v>
      </c>
      <c r="N97" s="7">
        <v>0</v>
      </c>
      <c r="O97" s="11" t="str">
        <f t="shared" si="14"/>
        <v/>
      </c>
      <c r="P97" s="14" t="str">
        <f t="shared" si="15"/>
        <v/>
      </c>
      <c r="Q97" s="15" t="str">
        <f t="shared" si="16"/>
        <v/>
      </c>
      <c r="R97" s="12" t="str">
        <f t="shared" si="17"/>
        <v/>
      </c>
    </row>
    <row r="98" spans="1:18">
      <c r="A98" s="2" t="str">
        <f>IF(Sell_History!A98="","",Sell_History!A98)</f>
        <v/>
      </c>
      <c r="B98" s="2" t="str">
        <f>IF(Sell_History!B98="","",Sell_History!B98)</f>
        <v/>
      </c>
      <c r="C98" s="8" t="str">
        <f>IF(A98="","",IFERROR(INDEX(Buy_History!#REF!,MATCH(A98,Buy_History!$A:$A,0)),A98))</f>
        <v/>
      </c>
      <c r="D98" s="13" t="str">
        <f>IF(C98="","",IFERROR(INDEX(Buy_History!$C:$C,MATCH(C98,Buy_History!$A:$A,0)),""))</f>
        <v/>
      </c>
      <c r="E98" s="13" t="str">
        <f>IF(A98="","",IFERROR(SUMIFS(Sell_History!$D:$D,Sell_History!$A:$A,A98,Sell_History!$B:$B,B98),""))</f>
        <v/>
      </c>
      <c r="F98" s="9" t="str">
        <f>IF(A98="","",IF(SUMIFS(Sell_History!$E:$E,Sell_History!$A:$A,A98,Sell_History!$B:$B,B98)=0,"",SUMIFS(Sell_History!$E:$E,Sell_History!$A:$A,A98,Sell_History!$B:$B,B98)))</f>
        <v/>
      </c>
      <c r="G98" s="9" t="str">
        <f>IF(C98="","",IFERROR(INDEX(Buy_History!$E:$E,MATCH(C98,Buy_History!$A:$A,0)),""))</f>
        <v/>
      </c>
      <c r="H98" s="9" t="str">
        <f>IF(C98="","",IFERROR(SUMIFS(Raw_Observations!$D:$D,Raw_Observations!$A:$A,C98,Raw_Observations!$B:$B,B98),""))</f>
        <v/>
      </c>
      <c r="I98" s="9" t="str">
        <f t="shared" ref="I98:I129" si="18">IF(H98="","",IF(OR(F98="",G98="",G98=0),H98,H98*F98/G98))</f>
        <v/>
      </c>
      <c r="J98" s="9">
        <f>IFERROR(LOOKUP(2,1/((Order_History!$A$2:$A$200=A98)*(Order_History!$B$2:$B$200=B98)*(Order_History!$E$2:$E$200&lt;=E98)),Order_History!$G$2:$G$200),"")</f>
        <v>0</v>
      </c>
      <c r="K98" s="10" t="str">
        <f>IF(C98="","",IFERROR(SUMIFS(Pricing!$G:$G,Pricing!$A:$A,C98,Pricing!$B:$B,B98),""))</f>
        <v/>
      </c>
      <c r="L98" s="11" t="str">
        <f t="shared" ref="L98:L129" si="19">IF(OR(I98="",J98=""),"",J98-I98)</f>
        <v/>
      </c>
      <c r="M98" s="7">
        <v>0</v>
      </c>
      <c r="N98" s="7">
        <v>0</v>
      </c>
      <c r="O98" s="11" t="str">
        <f t="shared" ref="O98:O129" si="20">IF(L98="","",L98-M98-N98)</f>
        <v/>
      </c>
      <c r="P98" s="14" t="str">
        <f t="shared" ref="P98:P129" si="21">IF(OR(O98="",I98=""),"",O98/I98)</f>
        <v/>
      </c>
      <c r="Q98" s="15" t="str">
        <f t="shared" ref="Q98:Q129" si="22">IF(OR(D98="",E98=""),"",MAX(1,ROUNDUP(E98-D98,0)))</f>
        <v/>
      </c>
      <c r="R98" s="12" t="str">
        <f t="shared" ref="R98:R129" si="23">IF(OR(P98="",Q98=""),"",(1+P98)^(365/Q98)-1)</f>
        <v/>
      </c>
    </row>
    <row r="99" spans="1:18">
      <c r="A99" s="2" t="str">
        <f>IF(Sell_History!A99="","",Sell_History!A99)</f>
        <v/>
      </c>
      <c r="B99" s="2" t="str">
        <f>IF(Sell_History!B99="","",Sell_History!B99)</f>
        <v/>
      </c>
      <c r="C99" s="8" t="str">
        <f>IF(A99="","",IFERROR(INDEX(Buy_History!#REF!,MATCH(A99,Buy_History!$A:$A,0)),A99))</f>
        <v/>
      </c>
      <c r="D99" s="13" t="str">
        <f>IF(C99="","",IFERROR(INDEX(Buy_History!$C:$C,MATCH(C99,Buy_History!$A:$A,0)),""))</f>
        <v/>
      </c>
      <c r="E99" s="13" t="str">
        <f>IF(A99="","",IFERROR(SUMIFS(Sell_History!$D:$D,Sell_History!$A:$A,A99,Sell_History!$B:$B,B99),""))</f>
        <v/>
      </c>
      <c r="F99" s="9" t="str">
        <f>IF(A99="","",IF(SUMIFS(Sell_History!$E:$E,Sell_History!$A:$A,A99,Sell_History!$B:$B,B99)=0,"",SUMIFS(Sell_History!$E:$E,Sell_History!$A:$A,A99,Sell_History!$B:$B,B99)))</f>
        <v/>
      </c>
      <c r="G99" s="9" t="str">
        <f>IF(C99="","",IFERROR(INDEX(Buy_History!$E:$E,MATCH(C99,Buy_History!$A:$A,0)),""))</f>
        <v/>
      </c>
      <c r="H99" s="9" t="str">
        <f>IF(C99="","",IFERROR(SUMIFS(Raw_Observations!$D:$D,Raw_Observations!$A:$A,C99,Raw_Observations!$B:$B,B99),""))</f>
        <v/>
      </c>
      <c r="I99" s="9" t="str">
        <f t="shared" si="18"/>
        <v/>
      </c>
      <c r="J99" s="9">
        <f>IFERROR(LOOKUP(2,1/((Order_History!$A$2:$A$200=A99)*(Order_History!$B$2:$B$200=B99)*(Order_History!$E$2:$E$200&lt;=E99)),Order_History!$G$2:$G$200),"")</f>
        <v>0</v>
      </c>
      <c r="K99" s="10" t="str">
        <f>IF(C99="","",IFERROR(SUMIFS(Pricing!$G:$G,Pricing!$A:$A,C99,Pricing!$B:$B,B99),""))</f>
        <v/>
      </c>
      <c r="L99" s="11" t="str">
        <f t="shared" si="19"/>
        <v/>
      </c>
      <c r="M99" s="7">
        <v>0</v>
      </c>
      <c r="N99" s="7">
        <v>0</v>
      </c>
      <c r="O99" s="11" t="str">
        <f t="shared" si="20"/>
        <v/>
      </c>
      <c r="P99" s="14" t="str">
        <f t="shared" si="21"/>
        <v/>
      </c>
      <c r="Q99" s="15" t="str">
        <f t="shared" si="22"/>
        <v/>
      </c>
      <c r="R99" s="12" t="str">
        <f t="shared" si="23"/>
        <v/>
      </c>
    </row>
    <row r="100" spans="1:18">
      <c r="A100" s="2" t="str">
        <f>IF(Sell_History!A100="","",Sell_History!A100)</f>
        <v/>
      </c>
      <c r="B100" s="2" t="str">
        <f>IF(Sell_History!B100="","",Sell_History!B100)</f>
        <v/>
      </c>
      <c r="C100" s="8" t="str">
        <f>IF(A100="","",IFERROR(INDEX(Buy_History!#REF!,MATCH(A100,Buy_History!$A:$A,0)),A100))</f>
        <v/>
      </c>
      <c r="D100" s="13" t="str">
        <f>IF(C100="","",IFERROR(INDEX(Buy_History!$C:$C,MATCH(C100,Buy_History!$A:$A,0)),""))</f>
        <v/>
      </c>
      <c r="E100" s="13" t="str">
        <f>IF(A100="","",IFERROR(SUMIFS(Sell_History!$D:$D,Sell_History!$A:$A,A100,Sell_History!$B:$B,B100),""))</f>
        <v/>
      </c>
      <c r="F100" s="9" t="str">
        <f>IF(A100="","",IF(SUMIFS(Sell_History!$E:$E,Sell_History!$A:$A,A100,Sell_History!$B:$B,B100)=0,"",SUMIFS(Sell_History!$E:$E,Sell_History!$A:$A,A100,Sell_History!$B:$B,B100)))</f>
        <v/>
      </c>
      <c r="G100" s="9" t="str">
        <f>IF(C100="","",IFERROR(INDEX(Buy_History!$E:$E,MATCH(C100,Buy_History!$A:$A,0)),""))</f>
        <v/>
      </c>
      <c r="H100" s="9" t="str">
        <f>IF(C100="","",IFERROR(SUMIFS(Raw_Observations!$D:$D,Raw_Observations!$A:$A,C100,Raw_Observations!$B:$B,B100),""))</f>
        <v/>
      </c>
      <c r="I100" s="9" t="str">
        <f t="shared" si="18"/>
        <v/>
      </c>
      <c r="J100" s="9">
        <f>IFERROR(LOOKUP(2,1/((Order_History!$A$2:$A$200=A100)*(Order_History!$B$2:$B$200=B100)*(Order_History!$E$2:$E$200&lt;=E100)),Order_History!$G$2:$G$200),"")</f>
        <v>0</v>
      </c>
      <c r="K100" s="10" t="str">
        <f>IF(C100="","",IFERROR(SUMIFS(Pricing!$G:$G,Pricing!$A:$A,C100,Pricing!$B:$B,B100),""))</f>
        <v/>
      </c>
      <c r="L100" s="11" t="str">
        <f t="shared" si="19"/>
        <v/>
      </c>
      <c r="M100" s="7">
        <v>0</v>
      </c>
      <c r="N100" s="7">
        <v>0</v>
      </c>
      <c r="O100" s="11" t="str">
        <f t="shared" si="20"/>
        <v/>
      </c>
      <c r="P100" s="14" t="str">
        <f t="shared" si="21"/>
        <v/>
      </c>
      <c r="Q100" s="15" t="str">
        <f t="shared" si="22"/>
        <v/>
      </c>
      <c r="R100" s="12" t="str">
        <f t="shared" si="23"/>
        <v/>
      </c>
    </row>
    <row r="101" spans="1:18">
      <c r="A101" s="2" t="str">
        <f>IF(Sell_History!A101="","",Sell_History!A101)</f>
        <v/>
      </c>
      <c r="B101" s="2" t="str">
        <f>IF(Sell_History!B101="","",Sell_History!B101)</f>
        <v/>
      </c>
      <c r="C101" s="8" t="str">
        <f>IF(A101="","",IFERROR(INDEX(Buy_History!#REF!,MATCH(A101,Buy_History!$A:$A,0)),A101))</f>
        <v/>
      </c>
      <c r="D101" s="13" t="str">
        <f>IF(C101="","",IFERROR(INDEX(Buy_History!$C:$C,MATCH(C101,Buy_History!$A:$A,0)),""))</f>
        <v/>
      </c>
      <c r="E101" s="13" t="str">
        <f>IF(A101="","",IFERROR(SUMIFS(Sell_History!$D:$D,Sell_History!$A:$A,A101,Sell_History!$B:$B,B101),""))</f>
        <v/>
      </c>
      <c r="F101" s="9" t="str">
        <f>IF(A101="","",IF(SUMIFS(Sell_History!$E:$E,Sell_History!$A:$A,A101,Sell_History!$B:$B,B101)=0,"",SUMIFS(Sell_History!$E:$E,Sell_History!$A:$A,A101,Sell_History!$B:$B,B101)))</f>
        <v/>
      </c>
      <c r="G101" s="9" t="str">
        <f>IF(C101="","",IFERROR(INDEX(Buy_History!$E:$E,MATCH(C101,Buy_History!$A:$A,0)),""))</f>
        <v/>
      </c>
      <c r="H101" s="9" t="str">
        <f>IF(C101="","",IFERROR(SUMIFS(Raw_Observations!$D:$D,Raw_Observations!$A:$A,C101,Raw_Observations!$B:$B,B101),""))</f>
        <v/>
      </c>
      <c r="I101" s="9" t="str">
        <f t="shared" si="18"/>
        <v/>
      </c>
      <c r="J101" s="9">
        <f>IFERROR(LOOKUP(2,1/((Order_History!$A$2:$A$200=A101)*(Order_History!$B$2:$B$200=B101)*(Order_History!$E$2:$E$200&lt;=E101)),Order_History!$G$2:$G$200),"")</f>
        <v>0</v>
      </c>
      <c r="K101" s="10" t="str">
        <f>IF(C101="","",IFERROR(SUMIFS(Pricing!$G:$G,Pricing!$A:$A,C101,Pricing!$B:$B,B101),""))</f>
        <v/>
      </c>
      <c r="L101" s="11" t="str">
        <f t="shared" si="19"/>
        <v/>
      </c>
      <c r="M101" s="7">
        <v>0</v>
      </c>
      <c r="N101" s="7">
        <v>0</v>
      </c>
      <c r="O101" s="11" t="str">
        <f t="shared" si="20"/>
        <v/>
      </c>
      <c r="P101" s="14" t="str">
        <f t="shared" si="21"/>
        <v/>
      </c>
      <c r="Q101" s="15" t="str">
        <f t="shared" si="22"/>
        <v/>
      </c>
      <c r="R101" s="12" t="str">
        <f t="shared" si="23"/>
        <v/>
      </c>
    </row>
    <row r="102" spans="1:18">
      <c r="A102" s="2" t="str">
        <f>IF(Sell_History!A102="","",Sell_History!A102)</f>
        <v/>
      </c>
      <c r="B102" s="2" t="str">
        <f>IF(Sell_History!B102="","",Sell_History!B102)</f>
        <v/>
      </c>
      <c r="C102" s="8" t="str">
        <f>IF(A102="","",IFERROR(INDEX(Buy_History!#REF!,MATCH(A102,Buy_History!$A:$A,0)),A102))</f>
        <v/>
      </c>
      <c r="D102" s="13" t="str">
        <f>IF(C102="","",IFERROR(INDEX(Buy_History!$C:$C,MATCH(C102,Buy_History!$A:$A,0)),""))</f>
        <v/>
      </c>
      <c r="E102" s="13" t="str">
        <f>IF(A102="","",IFERROR(SUMIFS(Sell_History!$D:$D,Sell_History!$A:$A,A102,Sell_History!$B:$B,B102),""))</f>
        <v/>
      </c>
      <c r="F102" s="9" t="str">
        <f>IF(A102="","",IF(SUMIFS(Sell_History!$E:$E,Sell_History!$A:$A,A102,Sell_History!$B:$B,B102)=0,"",SUMIFS(Sell_History!$E:$E,Sell_History!$A:$A,A102,Sell_History!$B:$B,B102)))</f>
        <v/>
      </c>
      <c r="G102" s="9" t="str">
        <f>IF(C102="","",IFERROR(INDEX(Buy_History!$E:$E,MATCH(C102,Buy_History!$A:$A,0)),""))</f>
        <v/>
      </c>
      <c r="H102" s="9" t="str">
        <f>IF(C102="","",IFERROR(SUMIFS(Raw_Observations!$D:$D,Raw_Observations!$A:$A,C102,Raw_Observations!$B:$B,B102),""))</f>
        <v/>
      </c>
      <c r="I102" s="9" t="str">
        <f t="shared" si="18"/>
        <v/>
      </c>
      <c r="J102" s="9">
        <f>IFERROR(LOOKUP(2,1/((Order_History!$A$2:$A$200=A102)*(Order_History!$B$2:$B$200=B102)*(Order_History!$E$2:$E$200&lt;=E102)),Order_History!$G$2:$G$200),"")</f>
        <v>0</v>
      </c>
      <c r="K102" s="10" t="str">
        <f>IF(C102="","",IFERROR(SUMIFS(Pricing!$G:$G,Pricing!$A:$A,C102,Pricing!$B:$B,B102),""))</f>
        <v/>
      </c>
      <c r="L102" s="11" t="str">
        <f t="shared" si="19"/>
        <v/>
      </c>
      <c r="M102" s="7">
        <v>0</v>
      </c>
      <c r="N102" s="7">
        <v>0</v>
      </c>
      <c r="O102" s="11" t="str">
        <f t="shared" si="20"/>
        <v/>
      </c>
      <c r="P102" s="14" t="str">
        <f t="shared" si="21"/>
        <v/>
      </c>
      <c r="Q102" s="15" t="str">
        <f t="shared" si="22"/>
        <v/>
      </c>
      <c r="R102" s="12" t="str">
        <f t="shared" si="23"/>
        <v/>
      </c>
    </row>
    <row r="103" spans="1:18">
      <c r="A103" s="2" t="str">
        <f>IF(Sell_History!A103="","",Sell_History!A103)</f>
        <v/>
      </c>
      <c r="B103" s="2" t="str">
        <f>IF(Sell_History!B103="","",Sell_History!B103)</f>
        <v/>
      </c>
      <c r="C103" s="8" t="str">
        <f>IF(A103="","",IFERROR(INDEX(Buy_History!#REF!,MATCH(A103,Buy_History!$A:$A,0)),A103))</f>
        <v/>
      </c>
      <c r="D103" s="13" t="str">
        <f>IF(C103="","",IFERROR(INDEX(Buy_History!$C:$C,MATCH(C103,Buy_History!$A:$A,0)),""))</f>
        <v/>
      </c>
      <c r="E103" s="13" t="str">
        <f>IF(A103="","",IFERROR(SUMIFS(Sell_History!$D:$D,Sell_History!$A:$A,A103,Sell_History!$B:$B,B103),""))</f>
        <v/>
      </c>
      <c r="F103" s="9" t="str">
        <f>IF(A103="","",IF(SUMIFS(Sell_History!$E:$E,Sell_History!$A:$A,A103,Sell_History!$B:$B,B103)=0,"",SUMIFS(Sell_History!$E:$E,Sell_History!$A:$A,A103,Sell_History!$B:$B,B103)))</f>
        <v/>
      </c>
      <c r="G103" s="9" t="str">
        <f>IF(C103="","",IFERROR(INDEX(Buy_History!$E:$E,MATCH(C103,Buy_History!$A:$A,0)),""))</f>
        <v/>
      </c>
      <c r="H103" s="9" t="str">
        <f>IF(C103="","",IFERROR(SUMIFS(Raw_Observations!$D:$D,Raw_Observations!$A:$A,C103,Raw_Observations!$B:$B,B103),""))</f>
        <v/>
      </c>
      <c r="I103" s="9" t="str">
        <f t="shared" si="18"/>
        <v/>
      </c>
      <c r="J103" s="9">
        <f>IFERROR(LOOKUP(2,1/((Order_History!$A$2:$A$200=A103)*(Order_History!$B$2:$B$200=B103)*(Order_History!$E$2:$E$200&lt;=E103)),Order_History!$G$2:$G$200),"")</f>
        <v>0</v>
      </c>
      <c r="K103" s="10" t="str">
        <f>IF(C103="","",IFERROR(SUMIFS(Pricing!$G:$G,Pricing!$A:$A,C103,Pricing!$B:$B,B103),""))</f>
        <v/>
      </c>
      <c r="L103" s="11" t="str">
        <f t="shared" si="19"/>
        <v/>
      </c>
      <c r="M103" s="7">
        <v>0</v>
      </c>
      <c r="N103" s="7">
        <v>0</v>
      </c>
      <c r="O103" s="11" t="str">
        <f t="shared" si="20"/>
        <v/>
      </c>
      <c r="P103" s="14" t="str">
        <f t="shared" si="21"/>
        <v/>
      </c>
      <c r="Q103" s="15" t="str">
        <f t="shared" si="22"/>
        <v/>
      </c>
      <c r="R103" s="12" t="str">
        <f t="shared" si="23"/>
        <v/>
      </c>
    </row>
    <row r="104" spans="1:18">
      <c r="A104" s="2" t="str">
        <f>IF(Sell_History!A104="","",Sell_History!A104)</f>
        <v/>
      </c>
      <c r="B104" s="2" t="str">
        <f>IF(Sell_History!B104="","",Sell_History!B104)</f>
        <v/>
      </c>
      <c r="C104" s="8" t="str">
        <f>IF(A104="","",IFERROR(INDEX(Buy_History!#REF!,MATCH(A104,Buy_History!$A:$A,0)),A104))</f>
        <v/>
      </c>
      <c r="D104" s="13" t="str">
        <f>IF(C104="","",IFERROR(INDEX(Buy_History!$C:$C,MATCH(C104,Buy_History!$A:$A,0)),""))</f>
        <v/>
      </c>
      <c r="E104" s="13" t="str">
        <f>IF(A104="","",IFERROR(SUMIFS(Sell_History!$D:$D,Sell_History!$A:$A,A104,Sell_History!$B:$B,B104),""))</f>
        <v/>
      </c>
      <c r="F104" s="9" t="str">
        <f>IF(A104="","",IF(SUMIFS(Sell_History!$E:$E,Sell_History!$A:$A,A104,Sell_History!$B:$B,B104)=0,"",SUMIFS(Sell_History!$E:$E,Sell_History!$A:$A,A104,Sell_History!$B:$B,B104)))</f>
        <v/>
      </c>
      <c r="G104" s="9" t="str">
        <f>IF(C104="","",IFERROR(INDEX(Buy_History!$E:$E,MATCH(C104,Buy_History!$A:$A,0)),""))</f>
        <v/>
      </c>
      <c r="H104" s="9" t="str">
        <f>IF(C104="","",IFERROR(SUMIFS(Raw_Observations!$D:$D,Raw_Observations!$A:$A,C104,Raw_Observations!$B:$B,B104),""))</f>
        <v/>
      </c>
      <c r="I104" s="9" t="str">
        <f t="shared" si="18"/>
        <v/>
      </c>
      <c r="J104" s="9">
        <f>IFERROR(LOOKUP(2,1/((Order_History!$A$2:$A$200=A104)*(Order_History!$B$2:$B$200=B104)*(Order_History!$E$2:$E$200&lt;=E104)),Order_History!$G$2:$G$200),"")</f>
        <v>0</v>
      </c>
      <c r="K104" s="10" t="str">
        <f>IF(C104="","",IFERROR(SUMIFS(Pricing!$G:$G,Pricing!$A:$A,C104,Pricing!$B:$B,B104),""))</f>
        <v/>
      </c>
      <c r="L104" s="11" t="str">
        <f t="shared" si="19"/>
        <v/>
      </c>
      <c r="M104" s="7">
        <v>0</v>
      </c>
      <c r="N104" s="7">
        <v>0</v>
      </c>
      <c r="O104" s="11" t="str">
        <f t="shared" si="20"/>
        <v/>
      </c>
      <c r="P104" s="14" t="str">
        <f t="shared" si="21"/>
        <v/>
      </c>
      <c r="Q104" s="15" t="str">
        <f t="shared" si="22"/>
        <v/>
      </c>
      <c r="R104" s="12" t="str">
        <f t="shared" si="23"/>
        <v/>
      </c>
    </row>
    <row r="105" spans="1:18">
      <c r="A105" s="2" t="str">
        <f>IF(Sell_History!A105="","",Sell_History!A105)</f>
        <v/>
      </c>
      <c r="B105" s="2" t="str">
        <f>IF(Sell_History!B105="","",Sell_History!B105)</f>
        <v/>
      </c>
      <c r="C105" s="8" t="str">
        <f>IF(A105="","",IFERROR(INDEX(Buy_History!#REF!,MATCH(A105,Buy_History!$A:$A,0)),A105))</f>
        <v/>
      </c>
      <c r="D105" s="13" t="str">
        <f>IF(C105="","",IFERROR(INDEX(Buy_History!$C:$C,MATCH(C105,Buy_History!$A:$A,0)),""))</f>
        <v/>
      </c>
      <c r="E105" s="13" t="str">
        <f>IF(A105="","",IFERROR(SUMIFS(Sell_History!$D:$D,Sell_History!$A:$A,A105,Sell_History!$B:$B,B105),""))</f>
        <v/>
      </c>
      <c r="F105" s="9" t="str">
        <f>IF(A105="","",IF(SUMIFS(Sell_History!$E:$E,Sell_History!$A:$A,A105,Sell_History!$B:$B,B105)=0,"",SUMIFS(Sell_History!$E:$E,Sell_History!$A:$A,A105,Sell_History!$B:$B,B105)))</f>
        <v/>
      </c>
      <c r="G105" s="9" t="str">
        <f>IF(C105="","",IFERROR(INDEX(Buy_History!$E:$E,MATCH(C105,Buy_History!$A:$A,0)),""))</f>
        <v/>
      </c>
      <c r="H105" s="9" t="str">
        <f>IF(C105="","",IFERROR(SUMIFS(Raw_Observations!$D:$D,Raw_Observations!$A:$A,C105,Raw_Observations!$B:$B,B105),""))</f>
        <v/>
      </c>
      <c r="I105" s="9" t="str">
        <f t="shared" si="18"/>
        <v/>
      </c>
      <c r="J105" s="9">
        <f>IFERROR(LOOKUP(2,1/((Order_History!$A$2:$A$200=A105)*(Order_History!$B$2:$B$200=B105)*(Order_History!$E$2:$E$200&lt;=E105)),Order_History!$G$2:$G$200),"")</f>
        <v>0</v>
      </c>
      <c r="K105" s="10" t="str">
        <f>IF(C105="","",IFERROR(SUMIFS(Pricing!$G:$G,Pricing!$A:$A,C105,Pricing!$B:$B,B105),""))</f>
        <v/>
      </c>
      <c r="L105" s="11" t="str">
        <f t="shared" si="19"/>
        <v/>
      </c>
      <c r="M105" s="7">
        <v>0</v>
      </c>
      <c r="N105" s="7">
        <v>0</v>
      </c>
      <c r="O105" s="11" t="str">
        <f t="shared" si="20"/>
        <v/>
      </c>
      <c r="P105" s="14" t="str">
        <f t="shared" si="21"/>
        <v/>
      </c>
      <c r="Q105" s="15" t="str">
        <f t="shared" si="22"/>
        <v/>
      </c>
      <c r="R105" s="12" t="str">
        <f t="shared" si="23"/>
        <v/>
      </c>
    </row>
    <row r="106" spans="1:18">
      <c r="A106" s="2" t="str">
        <f>IF(Sell_History!A106="","",Sell_History!A106)</f>
        <v/>
      </c>
      <c r="B106" s="2" t="str">
        <f>IF(Sell_History!B106="","",Sell_History!B106)</f>
        <v/>
      </c>
      <c r="C106" s="8" t="str">
        <f>IF(A106="","",IFERROR(INDEX(Buy_History!#REF!,MATCH(A106,Buy_History!$A:$A,0)),A106))</f>
        <v/>
      </c>
      <c r="D106" s="13" t="str">
        <f>IF(C106="","",IFERROR(INDEX(Buy_History!$C:$C,MATCH(C106,Buy_History!$A:$A,0)),""))</f>
        <v/>
      </c>
      <c r="E106" s="13" t="str">
        <f>IF(A106="","",IFERROR(SUMIFS(Sell_History!$D:$D,Sell_History!$A:$A,A106,Sell_History!$B:$B,B106),""))</f>
        <v/>
      </c>
      <c r="F106" s="9" t="str">
        <f>IF(A106="","",IF(SUMIFS(Sell_History!$E:$E,Sell_History!$A:$A,A106,Sell_History!$B:$B,B106)=0,"",SUMIFS(Sell_History!$E:$E,Sell_History!$A:$A,A106,Sell_History!$B:$B,B106)))</f>
        <v/>
      </c>
      <c r="G106" s="9" t="str">
        <f>IF(C106="","",IFERROR(INDEX(Buy_History!$E:$E,MATCH(C106,Buy_History!$A:$A,0)),""))</f>
        <v/>
      </c>
      <c r="H106" s="9" t="str">
        <f>IF(C106="","",IFERROR(SUMIFS(Raw_Observations!$D:$D,Raw_Observations!$A:$A,C106,Raw_Observations!$B:$B,B106),""))</f>
        <v/>
      </c>
      <c r="I106" s="9" t="str">
        <f t="shared" si="18"/>
        <v/>
      </c>
      <c r="J106" s="9">
        <f>IFERROR(LOOKUP(2,1/((Order_History!$A$2:$A$200=A106)*(Order_History!$B$2:$B$200=B106)*(Order_History!$E$2:$E$200&lt;=E106)),Order_History!$G$2:$G$200),"")</f>
        <v>0</v>
      </c>
      <c r="K106" s="10" t="str">
        <f>IF(C106="","",IFERROR(SUMIFS(Pricing!$G:$G,Pricing!$A:$A,C106,Pricing!$B:$B,B106),""))</f>
        <v/>
      </c>
      <c r="L106" s="11" t="str">
        <f t="shared" si="19"/>
        <v/>
      </c>
      <c r="M106" s="7">
        <v>0</v>
      </c>
      <c r="N106" s="7">
        <v>0</v>
      </c>
      <c r="O106" s="11" t="str">
        <f t="shared" si="20"/>
        <v/>
      </c>
      <c r="P106" s="14" t="str">
        <f t="shared" si="21"/>
        <v/>
      </c>
      <c r="Q106" s="15" t="str">
        <f t="shared" si="22"/>
        <v/>
      </c>
      <c r="R106" s="12" t="str">
        <f t="shared" si="23"/>
        <v/>
      </c>
    </row>
    <row r="107" spans="1:18">
      <c r="A107" s="2" t="str">
        <f>IF(Sell_History!A107="","",Sell_History!A107)</f>
        <v/>
      </c>
      <c r="B107" s="2" t="str">
        <f>IF(Sell_History!B107="","",Sell_History!B107)</f>
        <v/>
      </c>
      <c r="C107" s="8" t="str">
        <f>IF(A107="","",IFERROR(INDEX(Buy_History!#REF!,MATCH(A107,Buy_History!$A:$A,0)),A107))</f>
        <v/>
      </c>
      <c r="D107" s="13" t="str">
        <f>IF(C107="","",IFERROR(INDEX(Buy_History!$C:$C,MATCH(C107,Buy_History!$A:$A,0)),""))</f>
        <v/>
      </c>
      <c r="E107" s="13" t="str">
        <f>IF(A107="","",IFERROR(SUMIFS(Sell_History!$D:$D,Sell_History!$A:$A,A107,Sell_History!$B:$B,B107),""))</f>
        <v/>
      </c>
      <c r="F107" s="9" t="str">
        <f>IF(A107="","",IF(SUMIFS(Sell_History!$E:$E,Sell_History!$A:$A,A107,Sell_History!$B:$B,B107)=0,"",SUMIFS(Sell_History!$E:$E,Sell_History!$A:$A,A107,Sell_History!$B:$B,B107)))</f>
        <v/>
      </c>
      <c r="G107" s="9" t="str">
        <f>IF(C107="","",IFERROR(INDEX(Buy_History!$E:$E,MATCH(C107,Buy_History!$A:$A,0)),""))</f>
        <v/>
      </c>
      <c r="H107" s="9" t="str">
        <f>IF(C107="","",IFERROR(SUMIFS(Raw_Observations!$D:$D,Raw_Observations!$A:$A,C107,Raw_Observations!$B:$B,B107),""))</f>
        <v/>
      </c>
      <c r="I107" s="9" t="str">
        <f t="shared" si="18"/>
        <v/>
      </c>
      <c r="J107" s="9">
        <f>IFERROR(LOOKUP(2,1/((Order_History!$A$2:$A$200=A107)*(Order_History!$B$2:$B$200=B107)*(Order_History!$E$2:$E$200&lt;=E107)),Order_History!$G$2:$G$200),"")</f>
        <v>0</v>
      </c>
      <c r="K107" s="10" t="str">
        <f>IF(C107="","",IFERROR(SUMIFS(Pricing!$G:$G,Pricing!$A:$A,C107,Pricing!$B:$B,B107),""))</f>
        <v/>
      </c>
      <c r="L107" s="11" t="str">
        <f t="shared" si="19"/>
        <v/>
      </c>
      <c r="M107" s="7">
        <v>0</v>
      </c>
      <c r="N107" s="7">
        <v>0</v>
      </c>
      <c r="O107" s="11" t="str">
        <f t="shared" si="20"/>
        <v/>
      </c>
      <c r="P107" s="14" t="str">
        <f t="shared" si="21"/>
        <v/>
      </c>
      <c r="Q107" s="15" t="str">
        <f t="shared" si="22"/>
        <v/>
      </c>
      <c r="R107" s="12" t="str">
        <f t="shared" si="23"/>
        <v/>
      </c>
    </row>
    <row r="108" spans="1:18">
      <c r="A108" s="2" t="str">
        <f>IF(Sell_History!A108="","",Sell_History!A108)</f>
        <v/>
      </c>
      <c r="B108" s="2" t="str">
        <f>IF(Sell_History!B108="","",Sell_History!B108)</f>
        <v/>
      </c>
      <c r="C108" s="8" t="str">
        <f>IF(A108="","",IFERROR(INDEX(Buy_History!#REF!,MATCH(A108,Buy_History!$A:$A,0)),A108))</f>
        <v/>
      </c>
      <c r="D108" s="13" t="str">
        <f>IF(C108="","",IFERROR(INDEX(Buy_History!$C:$C,MATCH(C108,Buy_History!$A:$A,0)),""))</f>
        <v/>
      </c>
      <c r="E108" s="13" t="str">
        <f>IF(A108="","",IFERROR(SUMIFS(Sell_History!$D:$D,Sell_History!$A:$A,A108,Sell_History!$B:$B,B108),""))</f>
        <v/>
      </c>
      <c r="F108" s="9" t="str">
        <f>IF(A108="","",IF(SUMIFS(Sell_History!$E:$E,Sell_History!$A:$A,A108,Sell_History!$B:$B,B108)=0,"",SUMIFS(Sell_History!$E:$E,Sell_History!$A:$A,A108,Sell_History!$B:$B,B108)))</f>
        <v/>
      </c>
      <c r="G108" s="9" t="str">
        <f>IF(C108="","",IFERROR(INDEX(Buy_History!$E:$E,MATCH(C108,Buy_History!$A:$A,0)),""))</f>
        <v/>
      </c>
      <c r="H108" s="9" t="str">
        <f>IF(C108="","",IFERROR(SUMIFS(Raw_Observations!$D:$D,Raw_Observations!$A:$A,C108,Raw_Observations!$B:$B,B108),""))</f>
        <v/>
      </c>
      <c r="I108" s="9" t="str">
        <f t="shared" si="18"/>
        <v/>
      </c>
      <c r="J108" s="9">
        <f>IFERROR(LOOKUP(2,1/((Order_History!$A$2:$A$200=A108)*(Order_History!$B$2:$B$200=B108)*(Order_History!$E$2:$E$200&lt;=E108)),Order_History!$G$2:$G$200),"")</f>
        <v>0</v>
      </c>
      <c r="K108" s="10" t="str">
        <f>IF(C108="","",IFERROR(SUMIFS(Pricing!$G:$G,Pricing!$A:$A,C108,Pricing!$B:$B,B108),""))</f>
        <v/>
      </c>
      <c r="L108" s="11" t="str">
        <f t="shared" si="19"/>
        <v/>
      </c>
      <c r="M108" s="7">
        <v>0</v>
      </c>
      <c r="N108" s="7">
        <v>0</v>
      </c>
      <c r="O108" s="11" t="str">
        <f t="shared" si="20"/>
        <v/>
      </c>
      <c r="P108" s="14" t="str">
        <f t="shared" si="21"/>
        <v/>
      </c>
      <c r="Q108" s="15" t="str">
        <f t="shared" si="22"/>
        <v/>
      </c>
      <c r="R108" s="12" t="str">
        <f t="shared" si="23"/>
        <v/>
      </c>
    </row>
    <row r="109" spans="1:18">
      <c r="A109" s="2" t="str">
        <f>IF(Sell_History!A109="","",Sell_History!A109)</f>
        <v/>
      </c>
      <c r="B109" s="2" t="str">
        <f>IF(Sell_History!B109="","",Sell_History!B109)</f>
        <v/>
      </c>
      <c r="C109" s="8" t="str">
        <f>IF(A109="","",IFERROR(INDEX(Buy_History!#REF!,MATCH(A109,Buy_History!$A:$A,0)),A109))</f>
        <v/>
      </c>
      <c r="D109" s="13" t="str">
        <f>IF(C109="","",IFERROR(INDEX(Buy_History!$C:$C,MATCH(C109,Buy_History!$A:$A,0)),""))</f>
        <v/>
      </c>
      <c r="E109" s="13" t="str">
        <f>IF(A109="","",IFERROR(SUMIFS(Sell_History!$D:$D,Sell_History!$A:$A,A109,Sell_History!$B:$B,B109),""))</f>
        <v/>
      </c>
      <c r="F109" s="9" t="str">
        <f>IF(A109="","",IF(SUMIFS(Sell_History!$E:$E,Sell_History!$A:$A,A109,Sell_History!$B:$B,B109)=0,"",SUMIFS(Sell_History!$E:$E,Sell_History!$A:$A,A109,Sell_History!$B:$B,B109)))</f>
        <v/>
      </c>
      <c r="G109" s="9" t="str">
        <f>IF(C109="","",IFERROR(INDEX(Buy_History!$E:$E,MATCH(C109,Buy_History!$A:$A,0)),""))</f>
        <v/>
      </c>
      <c r="H109" s="9" t="str">
        <f>IF(C109="","",IFERROR(SUMIFS(Raw_Observations!$D:$D,Raw_Observations!$A:$A,C109,Raw_Observations!$B:$B,B109),""))</f>
        <v/>
      </c>
      <c r="I109" s="9" t="str">
        <f t="shared" si="18"/>
        <v/>
      </c>
      <c r="J109" s="9">
        <f>IFERROR(LOOKUP(2,1/((Order_History!$A$2:$A$200=A109)*(Order_History!$B$2:$B$200=B109)*(Order_History!$E$2:$E$200&lt;=E109)),Order_History!$G$2:$G$200),"")</f>
        <v>0</v>
      </c>
      <c r="K109" s="10" t="str">
        <f>IF(C109="","",IFERROR(SUMIFS(Pricing!$G:$G,Pricing!$A:$A,C109,Pricing!$B:$B,B109),""))</f>
        <v/>
      </c>
      <c r="L109" s="11" t="str">
        <f t="shared" si="19"/>
        <v/>
      </c>
      <c r="M109" s="7">
        <v>0</v>
      </c>
      <c r="N109" s="7">
        <v>0</v>
      </c>
      <c r="O109" s="11" t="str">
        <f t="shared" si="20"/>
        <v/>
      </c>
      <c r="P109" s="14" t="str">
        <f t="shared" si="21"/>
        <v/>
      </c>
      <c r="Q109" s="15" t="str">
        <f t="shared" si="22"/>
        <v/>
      </c>
      <c r="R109" s="12" t="str">
        <f t="shared" si="23"/>
        <v/>
      </c>
    </row>
    <row r="110" spans="1:18">
      <c r="A110" s="2" t="str">
        <f>IF(Sell_History!A110="","",Sell_History!A110)</f>
        <v/>
      </c>
      <c r="B110" s="2" t="str">
        <f>IF(Sell_History!B110="","",Sell_History!B110)</f>
        <v/>
      </c>
      <c r="C110" s="8" t="str">
        <f>IF(A110="","",IFERROR(INDEX(Buy_History!#REF!,MATCH(A110,Buy_History!$A:$A,0)),A110))</f>
        <v/>
      </c>
      <c r="D110" s="13" t="str">
        <f>IF(C110="","",IFERROR(INDEX(Buy_History!$C:$C,MATCH(C110,Buy_History!$A:$A,0)),""))</f>
        <v/>
      </c>
      <c r="E110" s="13" t="str">
        <f>IF(A110="","",IFERROR(SUMIFS(Sell_History!$D:$D,Sell_History!$A:$A,A110,Sell_History!$B:$B,B110),""))</f>
        <v/>
      </c>
      <c r="F110" s="9" t="str">
        <f>IF(A110="","",IF(SUMIFS(Sell_History!$E:$E,Sell_History!$A:$A,A110,Sell_History!$B:$B,B110)=0,"",SUMIFS(Sell_History!$E:$E,Sell_History!$A:$A,A110,Sell_History!$B:$B,B110)))</f>
        <v/>
      </c>
      <c r="G110" s="9" t="str">
        <f>IF(C110="","",IFERROR(INDEX(Buy_History!$E:$E,MATCH(C110,Buy_History!$A:$A,0)),""))</f>
        <v/>
      </c>
      <c r="H110" s="9" t="str">
        <f>IF(C110="","",IFERROR(SUMIFS(Raw_Observations!$D:$D,Raw_Observations!$A:$A,C110,Raw_Observations!$B:$B,B110),""))</f>
        <v/>
      </c>
      <c r="I110" s="9" t="str">
        <f t="shared" si="18"/>
        <v/>
      </c>
      <c r="J110" s="9">
        <f>IFERROR(LOOKUP(2,1/((Order_History!$A$2:$A$200=A110)*(Order_History!$B$2:$B$200=B110)*(Order_History!$E$2:$E$200&lt;=E110)),Order_History!$G$2:$G$200),"")</f>
        <v>0</v>
      </c>
      <c r="K110" s="10" t="str">
        <f>IF(C110="","",IFERROR(SUMIFS(Pricing!$G:$G,Pricing!$A:$A,C110,Pricing!$B:$B,B110),""))</f>
        <v/>
      </c>
      <c r="L110" s="11" t="str">
        <f t="shared" si="19"/>
        <v/>
      </c>
      <c r="M110" s="7">
        <v>0</v>
      </c>
      <c r="N110" s="7">
        <v>0</v>
      </c>
      <c r="O110" s="11" t="str">
        <f t="shared" si="20"/>
        <v/>
      </c>
      <c r="P110" s="14" t="str">
        <f t="shared" si="21"/>
        <v/>
      </c>
      <c r="Q110" s="15" t="str">
        <f t="shared" si="22"/>
        <v/>
      </c>
      <c r="R110" s="12" t="str">
        <f t="shared" si="23"/>
        <v/>
      </c>
    </row>
    <row r="111" spans="1:18">
      <c r="A111" s="2" t="str">
        <f>IF(Sell_History!A111="","",Sell_History!A111)</f>
        <v/>
      </c>
      <c r="B111" s="2" t="str">
        <f>IF(Sell_History!B111="","",Sell_History!B111)</f>
        <v/>
      </c>
      <c r="C111" s="8" t="str">
        <f>IF(A111="","",IFERROR(INDEX(Buy_History!#REF!,MATCH(A111,Buy_History!$A:$A,0)),A111))</f>
        <v/>
      </c>
      <c r="D111" s="13" t="str">
        <f>IF(C111="","",IFERROR(INDEX(Buy_History!$C:$C,MATCH(C111,Buy_History!$A:$A,0)),""))</f>
        <v/>
      </c>
      <c r="E111" s="13" t="str">
        <f>IF(A111="","",IFERROR(SUMIFS(Sell_History!$D:$D,Sell_History!$A:$A,A111,Sell_History!$B:$B,B111),""))</f>
        <v/>
      </c>
      <c r="F111" s="9" t="str">
        <f>IF(A111="","",IF(SUMIFS(Sell_History!$E:$E,Sell_History!$A:$A,A111,Sell_History!$B:$B,B111)=0,"",SUMIFS(Sell_History!$E:$E,Sell_History!$A:$A,A111,Sell_History!$B:$B,B111)))</f>
        <v/>
      </c>
      <c r="G111" s="9" t="str">
        <f>IF(C111="","",IFERROR(INDEX(Buy_History!$E:$E,MATCH(C111,Buy_History!$A:$A,0)),""))</f>
        <v/>
      </c>
      <c r="H111" s="9" t="str">
        <f>IF(C111="","",IFERROR(SUMIFS(Raw_Observations!$D:$D,Raw_Observations!$A:$A,C111,Raw_Observations!$B:$B,B111),""))</f>
        <v/>
      </c>
      <c r="I111" s="9" t="str">
        <f t="shared" si="18"/>
        <v/>
      </c>
      <c r="J111" s="9">
        <f>IFERROR(LOOKUP(2,1/((Order_History!$A$2:$A$200=A111)*(Order_History!$B$2:$B$200=B111)*(Order_History!$E$2:$E$200&lt;=E111)),Order_History!$G$2:$G$200),"")</f>
        <v>0</v>
      </c>
      <c r="K111" s="10" t="str">
        <f>IF(C111="","",IFERROR(SUMIFS(Pricing!$G:$G,Pricing!$A:$A,C111,Pricing!$B:$B,B111),""))</f>
        <v/>
      </c>
      <c r="L111" s="11" t="str">
        <f t="shared" si="19"/>
        <v/>
      </c>
      <c r="M111" s="7">
        <v>0</v>
      </c>
      <c r="N111" s="7">
        <v>0</v>
      </c>
      <c r="O111" s="11" t="str">
        <f t="shared" si="20"/>
        <v/>
      </c>
      <c r="P111" s="14" t="str">
        <f t="shared" si="21"/>
        <v/>
      </c>
      <c r="Q111" s="15" t="str">
        <f t="shared" si="22"/>
        <v/>
      </c>
      <c r="R111" s="12" t="str">
        <f t="shared" si="23"/>
        <v/>
      </c>
    </row>
    <row r="112" spans="1:18">
      <c r="A112" s="2" t="str">
        <f>IF(Sell_History!A112="","",Sell_History!A112)</f>
        <v/>
      </c>
      <c r="B112" s="2" t="str">
        <f>IF(Sell_History!B112="","",Sell_History!B112)</f>
        <v/>
      </c>
      <c r="C112" s="8" t="str">
        <f>IF(A112="","",IFERROR(INDEX(Buy_History!#REF!,MATCH(A112,Buy_History!$A:$A,0)),A112))</f>
        <v/>
      </c>
      <c r="D112" s="13" t="str">
        <f>IF(C112="","",IFERROR(INDEX(Buy_History!$C:$C,MATCH(C112,Buy_History!$A:$A,0)),""))</f>
        <v/>
      </c>
      <c r="E112" s="13" t="str">
        <f>IF(A112="","",IFERROR(SUMIFS(Sell_History!$D:$D,Sell_History!$A:$A,A112,Sell_History!$B:$B,B112),""))</f>
        <v/>
      </c>
      <c r="F112" s="9" t="str">
        <f>IF(A112="","",IF(SUMIFS(Sell_History!$E:$E,Sell_History!$A:$A,A112,Sell_History!$B:$B,B112)=0,"",SUMIFS(Sell_History!$E:$E,Sell_History!$A:$A,A112,Sell_History!$B:$B,B112)))</f>
        <v/>
      </c>
      <c r="G112" s="9" t="str">
        <f>IF(C112="","",IFERROR(INDEX(Buy_History!$E:$E,MATCH(C112,Buy_History!$A:$A,0)),""))</f>
        <v/>
      </c>
      <c r="H112" s="9" t="str">
        <f>IF(C112="","",IFERROR(SUMIFS(Raw_Observations!$D:$D,Raw_Observations!$A:$A,C112,Raw_Observations!$B:$B,B112),""))</f>
        <v/>
      </c>
      <c r="I112" s="9" t="str">
        <f t="shared" si="18"/>
        <v/>
      </c>
      <c r="J112" s="9">
        <f>IFERROR(LOOKUP(2,1/((Order_History!$A$2:$A$200=A112)*(Order_History!$B$2:$B$200=B112)*(Order_History!$E$2:$E$200&lt;=E112)),Order_History!$G$2:$G$200),"")</f>
        <v>0</v>
      </c>
      <c r="K112" s="10" t="str">
        <f>IF(C112="","",IFERROR(SUMIFS(Pricing!$G:$G,Pricing!$A:$A,C112,Pricing!$B:$B,B112),""))</f>
        <v/>
      </c>
      <c r="L112" s="11" t="str">
        <f t="shared" si="19"/>
        <v/>
      </c>
      <c r="M112" s="7">
        <v>0</v>
      </c>
      <c r="N112" s="7">
        <v>0</v>
      </c>
      <c r="O112" s="11" t="str">
        <f t="shared" si="20"/>
        <v/>
      </c>
      <c r="P112" s="14" t="str">
        <f t="shared" si="21"/>
        <v/>
      </c>
      <c r="Q112" s="15" t="str">
        <f t="shared" si="22"/>
        <v/>
      </c>
      <c r="R112" s="12" t="str">
        <f t="shared" si="23"/>
        <v/>
      </c>
    </row>
    <row r="113" spans="1:18">
      <c r="A113" s="2" t="str">
        <f>IF(Sell_History!A113="","",Sell_History!A113)</f>
        <v/>
      </c>
      <c r="B113" s="2" t="str">
        <f>IF(Sell_History!B113="","",Sell_History!B113)</f>
        <v/>
      </c>
      <c r="C113" s="8" t="str">
        <f>IF(A113="","",IFERROR(INDEX(Buy_History!#REF!,MATCH(A113,Buy_History!$A:$A,0)),A113))</f>
        <v/>
      </c>
      <c r="D113" s="13" t="str">
        <f>IF(C113="","",IFERROR(INDEX(Buy_History!$C:$C,MATCH(C113,Buy_History!$A:$A,0)),""))</f>
        <v/>
      </c>
      <c r="E113" s="13" t="str">
        <f>IF(A113="","",IFERROR(SUMIFS(Sell_History!$D:$D,Sell_History!$A:$A,A113,Sell_History!$B:$B,B113),""))</f>
        <v/>
      </c>
      <c r="F113" s="9" t="str">
        <f>IF(A113="","",IF(SUMIFS(Sell_History!$E:$E,Sell_History!$A:$A,A113,Sell_History!$B:$B,B113)=0,"",SUMIFS(Sell_History!$E:$E,Sell_History!$A:$A,A113,Sell_History!$B:$B,B113)))</f>
        <v/>
      </c>
      <c r="G113" s="9" t="str">
        <f>IF(C113="","",IFERROR(INDEX(Buy_History!$E:$E,MATCH(C113,Buy_History!$A:$A,0)),""))</f>
        <v/>
      </c>
      <c r="H113" s="9" t="str">
        <f>IF(C113="","",IFERROR(SUMIFS(Raw_Observations!$D:$D,Raw_Observations!$A:$A,C113,Raw_Observations!$B:$B,B113),""))</f>
        <v/>
      </c>
      <c r="I113" s="9" t="str">
        <f t="shared" si="18"/>
        <v/>
      </c>
      <c r="J113" s="9">
        <f>IFERROR(LOOKUP(2,1/((Order_History!$A$2:$A$200=A113)*(Order_History!$B$2:$B$200=B113)*(Order_History!$E$2:$E$200&lt;=E113)),Order_History!$G$2:$G$200),"")</f>
        <v>0</v>
      </c>
      <c r="K113" s="10" t="str">
        <f>IF(C113="","",IFERROR(SUMIFS(Pricing!$G:$G,Pricing!$A:$A,C113,Pricing!$B:$B,B113),""))</f>
        <v/>
      </c>
      <c r="L113" s="11" t="str">
        <f t="shared" si="19"/>
        <v/>
      </c>
      <c r="M113" s="7">
        <v>0</v>
      </c>
      <c r="N113" s="7">
        <v>0</v>
      </c>
      <c r="O113" s="11" t="str">
        <f t="shared" si="20"/>
        <v/>
      </c>
      <c r="P113" s="14" t="str">
        <f t="shared" si="21"/>
        <v/>
      </c>
      <c r="Q113" s="15" t="str">
        <f t="shared" si="22"/>
        <v/>
      </c>
      <c r="R113" s="12" t="str">
        <f t="shared" si="23"/>
        <v/>
      </c>
    </row>
    <row r="114" spans="1:18">
      <c r="A114" s="2" t="str">
        <f>IF(Sell_History!A114="","",Sell_History!A114)</f>
        <v/>
      </c>
      <c r="B114" s="2" t="str">
        <f>IF(Sell_History!B114="","",Sell_History!B114)</f>
        <v/>
      </c>
      <c r="C114" s="8" t="str">
        <f>IF(A114="","",IFERROR(INDEX(Buy_History!#REF!,MATCH(A114,Buy_History!$A:$A,0)),A114))</f>
        <v/>
      </c>
      <c r="D114" s="13" t="str">
        <f>IF(C114="","",IFERROR(INDEX(Buy_History!$C:$C,MATCH(C114,Buy_History!$A:$A,0)),""))</f>
        <v/>
      </c>
      <c r="E114" s="13" t="str">
        <f>IF(A114="","",IFERROR(SUMIFS(Sell_History!$D:$D,Sell_History!$A:$A,A114,Sell_History!$B:$B,B114),""))</f>
        <v/>
      </c>
      <c r="F114" s="9" t="str">
        <f>IF(A114="","",IF(SUMIFS(Sell_History!$E:$E,Sell_History!$A:$A,A114,Sell_History!$B:$B,B114)=0,"",SUMIFS(Sell_History!$E:$E,Sell_History!$A:$A,A114,Sell_History!$B:$B,B114)))</f>
        <v/>
      </c>
      <c r="G114" s="9" t="str">
        <f>IF(C114="","",IFERROR(INDEX(Buy_History!$E:$E,MATCH(C114,Buy_History!$A:$A,0)),""))</f>
        <v/>
      </c>
      <c r="H114" s="9" t="str">
        <f>IF(C114="","",IFERROR(SUMIFS(Raw_Observations!$D:$D,Raw_Observations!$A:$A,C114,Raw_Observations!$B:$B,B114),""))</f>
        <v/>
      </c>
      <c r="I114" s="9" t="str">
        <f t="shared" si="18"/>
        <v/>
      </c>
      <c r="J114" s="9">
        <f>IFERROR(LOOKUP(2,1/((Order_History!$A$2:$A$200=A114)*(Order_History!$B$2:$B$200=B114)*(Order_History!$E$2:$E$200&lt;=E114)),Order_History!$G$2:$G$200),"")</f>
        <v>0</v>
      </c>
      <c r="K114" s="10" t="str">
        <f>IF(C114="","",IFERROR(SUMIFS(Pricing!$G:$G,Pricing!$A:$A,C114,Pricing!$B:$B,B114),""))</f>
        <v/>
      </c>
      <c r="L114" s="11" t="str">
        <f t="shared" si="19"/>
        <v/>
      </c>
      <c r="M114" s="7">
        <v>0</v>
      </c>
      <c r="N114" s="7">
        <v>0</v>
      </c>
      <c r="O114" s="11" t="str">
        <f t="shared" si="20"/>
        <v/>
      </c>
      <c r="P114" s="14" t="str">
        <f t="shared" si="21"/>
        <v/>
      </c>
      <c r="Q114" s="15" t="str">
        <f t="shared" si="22"/>
        <v/>
      </c>
      <c r="R114" s="12" t="str">
        <f t="shared" si="23"/>
        <v/>
      </c>
    </row>
    <row r="115" spans="1:18">
      <c r="A115" s="2" t="str">
        <f>IF(Sell_History!A115="","",Sell_History!A115)</f>
        <v/>
      </c>
      <c r="B115" s="2" t="str">
        <f>IF(Sell_History!B115="","",Sell_History!B115)</f>
        <v/>
      </c>
      <c r="C115" s="8" t="str">
        <f>IF(A115="","",IFERROR(INDEX(Buy_History!#REF!,MATCH(A115,Buy_History!$A:$A,0)),A115))</f>
        <v/>
      </c>
      <c r="D115" s="13" t="str">
        <f>IF(C115="","",IFERROR(INDEX(Buy_History!$C:$C,MATCH(C115,Buy_History!$A:$A,0)),""))</f>
        <v/>
      </c>
      <c r="E115" s="13" t="str">
        <f>IF(A115="","",IFERROR(SUMIFS(Sell_History!$D:$D,Sell_History!$A:$A,A115,Sell_History!$B:$B,B115),""))</f>
        <v/>
      </c>
      <c r="F115" s="9" t="str">
        <f>IF(A115="","",IF(SUMIFS(Sell_History!$E:$E,Sell_History!$A:$A,A115,Sell_History!$B:$B,B115)=0,"",SUMIFS(Sell_History!$E:$E,Sell_History!$A:$A,A115,Sell_History!$B:$B,B115)))</f>
        <v/>
      </c>
      <c r="G115" s="9" t="str">
        <f>IF(C115="","",IFERROR(INDEX(Buy_History!$E:$E,MATCH(C115,Buy_History!$A:$A,0)),""))</f>
        <v/>
      </c>
      <c r="H115" s="9" t="str">
        <f>IF(C115="","",IFERROR(SUMIFS(Raw_Observations!$D:$D,Raw_Observations!$A:$A,C115,Raw_Observations!$B:$B,B115),""))</f>
        <v/>
      </c>
      <c r="I115" s="9" t="str">
        <f t="shared" si="18"/>
        <v/>
      </c>
      <c r="J115" s="9">
        <f>IFERROR(LOOKUP(2,1/((Order_History!$A$2:$A$200=A115)*(Order_History!$B$2:$B$200=B115)*(Order_History!$E$2:$E$200&lt;=E115)),Order_History!$G$2:$G$200),"")</f>
        <v>0</v>
      </c>
      <c r="K115" s="10" t="str">
        <f>IF(C115="","",IFERROR(SUMIFS(Pricing!$G:$G,Pricing!$A:$A,C115,Pricing!$B:$B,B115),""))</f>
        <v/>
      </c>
      <c r="L115" s="11" t="str">
        <f t="shared" si="19"/>
        <v/>
      </c>
      <c r="M115" s="7">
        <v>0</v>
      </c>
      <c r="N115" s="7">
        <v>0</v>
      </c>
      <c r="O115" s="11" t="str">
        <f t="shared" si="20"/>
        <v/>
      </c>
      <c r="P115" s="14" t="str">
        <f t="shared" si="21"/>
        <v/>
      </c>
      <c r="Q115" s="15" t="str">
        <f t="shared" si="22"/>
        <v/>
      </c>
      <c r="R115" s="12" t="str">
        <f t="shared" si="23"/>
        <v/>
      </c>
    </row>
    <row r="116" spans="1:18">
      <c r="A116" s="2" t="str">
        <f>IF(Sell_History!A116="","",Sell_History!A116)</f>
        <v/>
      </c>
      <c r="B116" s="2" t="str">
        <f>IF(Sell_History!B116="","",Sell_History!B116)</f>
        <v/>
      </c>
      <c r="C116" s="8" t="str">
        <f>IF(A116="","",IFERROR(INDEX(Buy_History!#REF!,MATCH(A116,Buy_History!$A:$A,0)),A116))</f>
        <v/>
      </c>
      <c r="D116" s="13" t="str">
        <f>IF(C116="","",IFERROR(INDEX(Buy_History!$C:$C,MATCH(C116,Buy_History!$A:$A,0)),""))</f>
        <v/>
      </c>
      <c r="E116" s="13" t="str">
        <f>IF(A116="","",IFERROR(SUMIFS(Sell_History!$D:$D,Sell_History!$A:$A,A116,Sell_History!$B:$B,B116),""))</f>
        <v/>
      </c>
      <c r="F116" s="9" t="str">
        <f>IF(A116="","",IF(SUMIFS(Sell_History!$E:$E,Sell_History!$A:$A,A116,Sell_History!$B:$B,B116)=0,"",SUMIFS(Sell_History!$E:$E,Sell_History!$A:$A,A116,Sell_History!$B:$B,B116)))</f>
        <v/>
      </c>
      <c r="G116" s="9" t="str">
        <f>IF(C116="","",IFERROR(INDEX(Buy_History!$E:$E,MATCH(C116,Buy_History!$A:$A,0)),""))</f>
        <v/>
      </c>
      <c r="H116" s="9" t="str">
        <f>IF(C116="","",IFERROR(SUMIFS(Raw_Observations!$D:$D,Raw_Observations!$A:$A,C116,Raw_Observations!$B:$B,B116),""))</f>
        <v/>
      </c>
      <c r="I116" s="9" t="str">
        <f t="shared" si="18"/>
        <v/>
      </c>
      <c r="J116" s="9">
        <f>IFERROR(LOOKUP(2,1/((Order_History!$A$2:$A$200=A116)*(Order_History!$B$2:$B$200=B116)*(Order_History!$E$2:$E$200&lt;=E116)),Order_History!$G$2:$G$200),"")</f>
        <v>0</v>
      </c>
      <c r="K116" s="10" t="str">
        <f>IF(C116="","",IFERROR(SUMIFS(Pricing!$G:$G,Pricing!$A:$A,C116,Pricing!$B:$B,B116),""))</f>
        <v/>
      </c>
      <c r="L116" s="11" t="str">
        <f t="shared" si="19"/>
        <v/>
      </c>
      <c r="M116" s="7">
        <v>0</v>
      </c>
      <c r="N116" s="7">
        <v>0</v>
      </c>
      <c r="O116" s="11" t="str">
        <f t="shared" si="20"/>
        <v/>
      </c>
      <c r="P116" s="14" t="str">
        <f t="shared" si="21"/>
        <v/>
      </c>
      <c r="Q116" s="15" t="str">
        <f t="shared" si="22"/>
        <v/>
      </c>
      <c r="R116" s="12" t="str">
        <f t="shared" si="23"/>
        <v/>
      </c>
    </row>
    <row r="117" spans="1:18">
      <c r="A117" s="2" t="str">
        <f>IF(Sell_History!A117="","",Sell_History!A117)</f>
        <v/>
      </c>
      <c r="B117" s="2" t="str">
        <f>IF(Sell_History!B117="","",Sell_History!B117)</f>
        <v/>
      </c>
      <c r="C117" s="8" t="str">
        <f>IF(A117="","",IFERROR(INDEX(Buy_History!#REF!,MATCH(A117,Buy_History!$A:$A,0)),A117))</f>
        <v/>
      </c>
      <c r="D117" s="13" t="str">
        <f>IF(C117="","",IFERROR(INDEX(Buy_History!$C:$C,MATCH(C117,Buy_History!$A:$A,0)),""))</f>
        <v/>
      </c>
      <c r="E117" s="13" t="str">
        <f>IF(A117="","",IFERROR(SUMIFS(Sell_History!$D:$D,Sell_History!$A:$A,A117,Sell_History!$B:$B,B117),""))</f>
        <v/>
      </c>
      <c r="F117" s="9" t="str">
        <f>IF(A117="","",IF(SUMIFS(Sell_History!$E:$E,Sell_History!$A:$A,A117,Sell_History!$B:$B,B117)=0,"",SUMIFS(Sell_History!$E:$E,Sell_History!$A:$A,A117,Sell_History!$B:$B,B117)))</f>
        <v/>
      </c>
      <c r="G117" s="9" t="str">
        <f>IF(C117="","",IFERROR(INDEX(Buy_History!$E:$E,MATCH(C117,Buy_History!$A:$A,0)),""))</f>
        <v/>
      </c>
      <c r="H117" s="9" t="str">
        <f>IF(C117="","",IFERROR(SUMIFS(Raw_Observations!$D:$D,Raw_Observations!$A:$A,C117,Raw_Observations!$B:$B,B117),""))</f>
        <v/>
      </c>
      <c r="I117" s="9" t="str">
        <f t="shared" si="18"/>
        <v/>
      </c>
      <c r="J117" s="9">
        <f>IFERROR(LOOKUP(2,1/((Order_History!$A$2:$A$200=A117)*(Order_History!$B$2:$B$200=B117)*(Order_History!$E$2:$E$200&lt;=E117)),Order_History!$G$2:$G$200),"")</f>
        <v>0</v>
      </c>
      <c r="K117" s="10" t="str">
        <f>IF(C117="","",IFERROR(SUMIFS(Pricing!$G:$G,Pricing!$A:$A,C117,Pricing!$B:$B,B117),""))</f>
        <v/>
      </c>
      <c r="L117" s="11" t="str">
        <f t="shared" si="19"/>
        <v/>
      </c>
      <c r="M117" s="7">
        <v>0</v>
      </c>
      <c r="N117" s="7">
        <v>0</v>
      </c>
      <c r="O117" s="11" t="str">
        <f t="shared" si="20"/>
        <v/>
      </c>
      <c r="P117" s="14" t="str">
        <f t="shared" si="21"/>
        <v/>
      </c>
      <c r="Q117" s="15" t="str">
        <f t="shared" si="22"/>
        <v/>
      </c>
      <c r="R117" s="12" t="str">
        <f t="shared" si="23"/>
        <v/>
      </c>
    </row>
    <row r="118" spans="1:18">
      <c r="A118" s="2" t="str">
        <f>IF(Sell_History!A118="","",Sell_History!A118)</f>
        <v/>
      </c>
      <c r="B118" s="2" t="str">
        <f>IF(Sell_History!B118="","",Sell_History!B118)</f>
        <v/>
      </c>
      <c r="C118" s="8" t="str">
        <f>IF(A118="","",IFERROR(INDEX(Buy_History!#REF!,MATCH(A118,Buy_History!$A:$A,0)),A118))</f>
        <v/>
      </c>
      <c r="D118" s="13" t="str">
        <f>IF(C118="","",IFERROR(INDEX(Buy_History!$C:$C,MATCH(C118,Buy_History!$A:$A,0)),""))</f>
        <v/>
      </c>
      <c r="E118" s="13" t="str">
        <f>IF(A118="","",IFERROR(SUMIFS(Sell_History!$D:$D,Sell_History!$A:$A,A118,Sell_History!$B:$B,B118),""))</f>
        <v/>
      </c>
      <c r="F118" s="9" t="str">
        <f>IF(A118="","",IF(SUMIFS(Sell_History!$E:$E,Sell_History!$A:$A,A118,Sell_History!$B:$B,B118)=0,"",SUMIFS(Sell_History!$E:$E,Sell_History!$A:$A,A118,Sell_History!$B:$B,B118)))</f>
        <v/>
      </c>
      <c r="G118" s="9" t="str">
        <f>IF(C118="","",IFERROR(INDEX(Buy_History!$E:$E,MATCH(C118,Buy_History!$A:$A,0)),""))</f>
        <v/>
      </c>
      <c r="H118" s="9" t="str">
        <f>IF(C118="","",IFERROR(SUMIFS(Raw_Observations!$D:$D,Raw_Observations!$A:$A,C118,Raw_Observations!$B:$B,B118),""))</f>
        <v/>
      </c>
      <c r="I118" s="9" t="str">
        <f t="shared" si="18"/>
        <v/>
      </c>
      <c r="J118" s="9">
        <f>IFERROR(LOOKUP(2,1/((Order_History!$A$2:$A$200=A118)*(Order_History!$B$2:$B$200=B118)*(Order_History!$E$2:$E$200&lt;=E118)),Order_History!$G$2:$G$200),"")</f>
        <v>0</v>
      </c>
      <c r="K118" s="10" t="str">
        <f>IF(C118="","",IFERROR(SUMIFS(Pricing!$G:$G,Pricing!$A:$A,C118,Pricing!$B:$B,B118),""))</f>
        <v/>
      </c>
      <c r="L118" s="11" t="str">
        <f t="shared" si="19"/>
        <v/>
      </c>
      <c r="M118" s="7">
        <v>0</v>
      </c>
      <c r="N118" s="7">
        <v>0</v>
      </c>
      <c r="O118" s="11" t="str">
        <f t="shared" si="20"/>
        <v/>
      </c>
      <c r="P118" s="14" t="str">
        <f t="shared" si="21"/>
        <v/>
      </c>
      <c r="Q118" s="15" t="str">
        <f t="shared" si="22"/>
        <v/>
      </c>
      <c r="R118" s="12" t="str">
        <f t="shared" si="23"/>
        <v/>
      </c>
    </row>
    <row r="119" spans="1:18">
      <c r="A119" s="2" t="str">
        <f>IF(Sell_History!A119="","",Sell_History!A119)</f>
        <v/>
      </c>
      <c r="B119" s="2" t="str">
        <f>IF(Sell_History!B119="","",Sell_History!B119)</f>
        <v/>
      </c>
      <c r="C119" s="8" t="str">
        <f>IF(A119="","",IFERROR(INDEX(Buy_History!#REF!,MATCH(A119,Buy_History!$A:$A,0)),A119))</f>
        <v/>
      </c>
      <c r="D119" s="13" t="str">
        <f>IF(C119="","",IFERROR(INDEX(Buy_History!$C:$C,MATCH(C119,Buy_History!$A:$A,0)),""))</f>
        <v/>
      </c>
      <c r="E119" s="13" t="str">
        <f>IF(A119="","",IFERROR(SUMIFS(Sell_History!$D:$D,Sell_History!$A:$A,A119,Sell_History!$B:$B,B119),""))</f>
        <v/>
      </c>
      <c r="F119" s="9" t="str">
        <f>IF(A119="","",IF(SUMIFS(Sell_History!$E:$E,Sell_History!$A:$A,A119,Sell_History!$B:$B,B119)=0,"",SUMIFS(Sell_History!$E:$E,Sell_History!$A:$A,A119,Sell_History!$B:$B,B119)))</f>
        <v/>
      </c>
      <c r="G119" s="9" t="str">
        <f>IF(C119="","",IFERROR(INDEX(Buy_History!$E:$E,MATCH(C119,Buy_History!$A:$A,0)),""))</f>
        <v/>
      </c>
      <c r="H119" s="9" t="str">
        <f>IF(C119="","",IFERROR(SUMIFS(Raw_Observations!$D:$D,Raw_Observations!$A:$A,C119,Raw_Observations!$B:$B,B119),""))</f>
        <v/>
      </c>
      <c r="I119" s="9" t="str">
        <f t="shared" si="18"/>
        <v/>
      </c>
      <c r="J119" s="9">
        <f>IFERROR(LOOKUP(2,1/((Order_History!$A$2:$A$200=A119)*(Order_History!$B$2:$B$200=B119)*(Order_History!$E$2:$E$200&lt;=E119)),Order_History!$G$2:$G$200),"")</f>
        <v>0</v>
      </c>
      <c r="K119" s="10" t="str">
        <f>IF(C119="","",IFERROR(SUMIFS(Pricing!$G:$G,Pricing!$A:$A,C119,Pricing!$B:$B,B119),""))</f>
        <v/>
      </c>
      <c r="L119" s="11" t="str">
        <f t="shared" si="19"/>
        <v/>
      </c>
      <c r="M119" s="7">
        <v>0</v>
      </c>
      <c r="N119" s="7">
        <v>0</v>
      </c>
      <c r="O119" s="11" t="str">
        <f t="shared" si="20"/>
        <v/>
      </c>
      <c r="P119" s="14" t="str">
        <f t="shared" si="21"/>
        <v/>
      </c>
      <c r="Q119" s="15" t="str">
        <f t="shared" si="22"/>
        <v/>
      </c>
      <c r="R119" s="12" t="str">
        <f t="shared" si="23"/>
        <v/>
      </c>
    </row>
    <row r="120" spans="1:18">
      <c r="A120" s="2" t="str">
        <f>IF(Sell_History!A120="","",Sell_History!A120)</f>
        <v/>
      </c>
      <c r="B120" s="2" t="str">
        <f>IF(Sell_History!B120="","",Sell_History!B120)</f>
        <v/>
      </c>
      <c r="C120" s="8" t="str">
        <f>IF(A120="","",IFERROR(INDEX(Buy_History!#REF!,MATCH(A120,Buy_History!$A:$A,0)),A120))</f>
        <v/>
      </c>
      <c r="D120" s="13" t="str">
        <f>IF(C120="","",IFERROR(INDEX(Buy_History!$C:$C,MATCH(C120,Buy_History!$A:$A,0)),""))</f>
        <v/>
      </c>
      <c r="E120" s="13" t="str">
        <f>IF(A120="","",IFERROR(SUMIFS(Sell_History!$D:$D,Sell_History!$A:$A,A120,Sell_History!$B:$B,B120),""))</f>
        <v/>
      </c>
      <c r="F120" s="9" t="str">
        <f>IF(A120="","",IF(SUMIFS(Sell_History!$E:$E,Sell_History!$A:$A,A120,Sell_History!$B:$B,B120)=0,"",SUMIFS(Sell_History!$E:$E,Sell_History!$A:$A,A120,Sell_History!$B:$B,B120)))</f>
        <v/>
      </c>
      <c r="G120" s="9" t="str">
        <f>IF(C120="","",IFERROR(INDEX(Buy_History!$E:$E,MATCH(C120,Buy_History!$A:$A,0)),""))</f>
        <v/>
      </c>
      <c r="H120" s="9" t="str">
        <f>IF(C120="","",IFERROR(SUMIFS(Raw_Observations!$D:$D,Raw_Observations!$A:$A,C120,Raw_Observations!$B:$B,B120),""))</f>
        <v/>
      </c>
      <c r="I120" s="9" t="str">
        <f t="shared" si="18"/>
        <v/>
      </c>
      <c r="J120" s="9">
        <f>IFERROR(LOOKUP(2,1/((Order_History!$A$2:$A$200=A120)*(Order_History!$B$2:$B$200=B120)*(Order_History!$E$2:$E$200&lt;=E120)),Order_History!$G$2:$G$200),"")</f>
        <v>0</v>
      </c>
      <c r="K120" s="10" t="str">
        <f>IF(C120="","",IFERROR(SUMIFS(Pricing!$G:$G,Pricing!$A:$A,C120,Pricing!$B:$B,B120),""))</f>
        <v/>
      </c>
      <c r="L120" s="11" t="str">
        <f t="shared" si="19"/>
        <v/>
      </c>
      <c r="M120" s="7">
        <v>0</v>
      </c>
      <c r="N120" s="7">
        <v>0</v>
      </c>
      <c r="O120" s="11" t="str">
        <f t="shared" si="20"/>
        <v/>
      </c>
      <c r="P120" s="14" t="str">
        <f t="shared" si="21"/>
        <v/>
      </c>
      <c r="Q120" s="15" t="str">
        <f t="shared" si="22"/>
        <v/>
      </c>
      <c r="R120" s="12" t="str">
        <f t="shared" si="23"/>
        <v/>
      </c>
    </row>
    <row r="121" spans="1:18">
      <c r="A121" s="2" t="str">
        <f>IF(Sell_History!A121="","",Sell_History!A121)</f>
        <v/>
      </c>
      <c r="B121" s="2" t="str">
        <f>IF(Sell_History!B121="","",Sell_History!B121)</f>
        <v/>
      </c>
      <c r="C121" s="8" t="str">
        <f>IF(A121="","",IFERROR(INDEX(Buy_History!#REF!,MATCH(A121,Buy_History!$A:$A,0)),A121))</f>
        <v/>
      </c>
      <c r="D121" s="13" t="str">
        <f>IF(C121="","",IFERROR(INDEX(Buy_History!$C:$C,MATCH(C121,Buy_History!$A:$A,0)),""))</f>
        <v/>
      </c>
      <c r="E121" s="13" t="str">
        <f>IF(A121="","",IFERROR(SUMIFS(Sell_History!$D:$D,Sell_History!$A:$A,A121,Sell_History!$B:$B,B121),""))</f>
        <v/>
      </c>
      <c r="F121" s="9" t="str">
        <f>IF(A121="","",IF(SUMIFS(Sell_History!$E:$E,Sell_History!$A:$A,A121,Sell_History!$B:$B,B121)=0,"",SUMIFS(Sell_History!$E:$E,Sell_History!$A:$A,A121,Sell_History!$B:$B,B121)))</f>
        <v/>
      </c>
      <c r="G121" s="9" t="str">
        <f>IF(C121="","",IFERROR(INDEX(Buy_History!$E:$E,MATCH(C121,Buy_History!$A:$A,0)),""))</f>
        <v/>
      </c>
      <c r="H121" s="9" t="str">
        <f>IF(C121="","",IFERROR(SUMIFS(Raw_Observations!$D:$D,Raw_Observations!$A:$A,C121,Raw_Observations!$B:$B,B121),""))</f>
        <v/>
      </c>
      <c r="I121" s="9" t="str">
        <f t="shared" si="18"/>
        <v/>
      </c>
      <c r="J121" s="9">
        <f>IFERROR(LOOKUP(2,1/((Order_History!$A$2:$A$200=A121)*(Order_History!$B$2:$B$200=B121)*(Order_History!$E$2:$E$200&lt;=E121)),Order_History!$G$2:$G$200),"")</f>
        <v>0</v>
      </c>
      <c r="K121" s="10" t="str">
        <f>IF(C121="","",IFERROR(SUMIFS(Pricing!$G:$G,Pricing!$A:$A,C121,Pricing!$B:$B,B121),""))</f>
        <v/>
      </c>
      <c r="L121" s="11" t="str">
        <f t="shared" si="19"/>
        <v/>
      </c>
      <c r="M121" s="7">
        <v>0</v>
      </c>
      <c r="N121" s="7">
        <v>0</v>
      </c>
      <c r="O121" s="11" t="str">
        <f t="shared" si="20"/>
        <v/>
      </c>
      <c r="P121" s="14" t="str">
        <f t="shared" si="21"/>
        <v/>
      </c>
      <c r="Q121" s="15" t="str">
        <f t="shared" si="22"/>
        <v/>
      </c>
      <c r="R121" s="12" t="str">
        <f t="shared" si="23"/>
        <v/>
      </c>
    </row>
    <row r="122" spans="1:18">
      <c r="A122" s="2" t="str">
        <f>IF(Sell_History!A122="","",Sell_History!A122)</f>
        <v/>
      </c>
      <c r="B122" s="2" t="str">
        <f>IF(Sell_History!B122="","",Sell_History!B122)</f>
        <v/>
      </c>
      <c r="C122" s="8" t="str">
        <f>IF(A122="","",IFERROR(INDEX(Buy_History!#REF!,MATCH(A122,Buy_History!$A:$A,0)),A122))</f>
        <v/>
      </c>
      <c r="D122" s="13" t="str">
        <f>IF(C122="","",IFERROR(INDEX(Buy_History!$C:$C,MATCH(C122,Buy_History!$A:$A,0)),""))</f>
        <v/>
      </c>
      <c r="E122" s="13" t="str">
        <f>IF(A122="","",IFERROR(SUMIFS(Sell_History!$D:$D,Sell_History!$A:$A,A122,Sell_History!$B:$B,B122),""))</f>
        <v/>
      </c>
      <c r="F122" s="9" t="str">
        <f>IF(A122="","",IF(SUMIFS(Sell_History!$E:$E,Sell_History!$A:$A,A122,Sell_History!$B:$B,B122)=0,"",SUMIFS(Sell_History!$E:$E,Sell_History!$A:$A,A122,Sell_History!$B:$B,B122)))</f>
        <v/>
      </c>
      <c r="G122" s="9" t="str">
        <f>IF(C122="","",IFERROR(INDEX(Buy_History!$E:$E,MATCH(C122,Buy_History!$A:$A,0)),""))</f>
        <v/>
      </c>
      <c r="H122" s="9" t="str">
        <f>IF(C122="","",IFERROR(SUMIFS(Raw_Observations!$D:$D,Raw_Observations!$A:$A,C122,Raw_Observations!$B:$B,B122),""))</f>
        <v/>
      </c>
      <c r="I122" s="9" t="str">
        <f t="shared" si="18"/>
        <v/>
      </c>
      <c r="J122" s="9">
        <f>IFERROR(LOOKUP(2,1/((Order_History!$A$2:$A$200=A122)*(Order_History!$B$2:$B$200=B122)*(Order_History!$E$2:$E$200&lt;=E122)),Order_History!$G$2:$G$200),"")</f>
        <v>0</v>
      </c>
      <c r="K122" s="10" t="str">
        <f>IF(C122="","",IFERROR(SUMIFS(Pricing!$G:$G,Pricing!$A:$A,C122,Pricing!$B:$B,B122),""))</f>
        <v/>
      </c>
      <c r="L122" s="11" t="str">
        <f t="shared" si="19"/>
        <v/>
      </c>
      <c r="M122" s="7">
        <v>0</v>
      </c>
      <c r="N122" s="7">
        <v>0</v>
      </c>
      <c r="O122" s="11" t="str">
        <f t="shared" si="20"/>
        <v/>
      </c>
      <c r="P122" s="14" t="str">
        <f t="shared" si="21"/>
        <v/>
      </c>
      <c r="Q122" s="15" t="str">
        <f t="shared" si="22"/>
        <v/>
      </c>
      <c r="R122" s="12" t="str">
        <f t="shared" si="23"/>
        <v/>
      </c>
    </row>
    <row r="123" spans="1:18">
      <c r="A123" s="2" t="str">
        <f>IF(Sell_History!A123="","",Sell_History!A123)</f>
        <v/>
      </c>
      <c r="B123" s="2" t="str">
        <f>IF(Sell_History!B123="","",Sell_History!B123)</f>
        <v/>
      </c>
      <c r="C123" s="8" t="str">
        <f>IF(A123="","",IFERROR(INDEX(Buy_History!#REF!,MATCH(A123,Buy_History!$A:$A,0)),A123))</f>
        <v/>
      </c>
      <c r="D123" s="13" t="str">
        <f>IF(C123="","",IFERROR(INDEX(Buy_History!$C:$C,MATCH(C123,Buy_History!$A:$A,0)),""))</f>
        <v/>
      </c>
      <c r="E123" s="13" t="str">
        <f>IF(A123="","",IFERROR(SUMIFS(Sell_History!$D:$D,Sell_History!$A:$A,A123,Sell_History!$B:$B,B123),""))</f>
        <v/>
      </c>
      <c r="F123" s="9" t="str">
        <f>IF(A123="","",IF(SUMIFS(Sell_History!$E:$E,Sell_History!$A:$A,A123,Sell_History!$B:$B,B123)=0,"",SUMIFS(Sell_History!$E:$E,Sell_History!$A:$A,A123,Sell_History!$B:$B,B123)))</f>
        <v/>
      </c>
      <c r="G123" s="9" t="str">
        <f>IF(C123="","",IFERROR(INDEX(Buy_History!$E:$E,MATCH(C123,Buy_History!$A:$A,0)),""))</f>
        <v/>
      </c>
      <c r="H123" s="9" t="str">
        <f>IF(C123="","",IFERROR(SUMIFS(Raw_Observations!$D:$D,Raw_Observations!$A:$A,C123,Raw_Observations!$B:$B,B123),""))</f>
        <v/>
      </c>
      <c r="I123" s="9" t="str">
        <f t="shared" si="18"/>
        <v/>
      </c>
      <c r="J123" s="9">
        <f>IFERROR(LOOKUP(2,1/((Order_History!$A$2:$A$200=A123)*(Order_History!$B$2:$B$200=B123)*(Order_History!$E$2:$E$200&lt;=E123)),Order_History!$G$2:$G$200),"")</f>
        <v>0</v>
      </c>
      <c r="K123" s="10" t="str">
        <f>IF(C123="","",IFERROR(SUMIFS(Pricing!$G:$G,Pricing!$A:$A,C123,Pricing!$B:$B,B123),""))</f>
        <v/>
      </c>
      <c r="L123" s="11" t="str">
        <f t="shared" si="19"/>
        <v/>
      </c>
      <c r="M123" s="7">
        <v>0</v>
      </c>
      <c r="N123" s="7">
        <v>0</v>
      </c>
      <c r="O123" s="11" t="str">
        <f t="shared" si="20"/>
        <v/>
      </c>
      <c r="P123" s="14" t="str">
        <f t="shared" si="21"/>
        <v/>
      </c>
      <c r="Q123" s="15" t="str">
        <f t="shared" si="22"/>
        <v/>
      </c>
      <c r="R123" s="12" t="str">
        <f t="shared" si="23"/>
        <v/>
      </c>
    </row>
    <row r="124" spans="1:18">
      <c r="A124" s="2" t="str">
        <f>IF(Sell_History!A124="","",Sell_History!A124)</f>
        <v/>
      </c>
      <c r="B124" s="2" t="str">
        <f>IF(Sell_History!B124="","",Sell_History!B124)</f>
        <v/>
      </c>
      <c r="C124" s="8" t="str">
        <f>IF(A124="","",IFERROR(INDEX(Buy_History!#REF!,MATCH(A124,Buy_History!$A:$A,0)),A124))</f>
        <v/>
      </c>
      <c r="D124" s="13" t="str">
        <f>IF(C124="","",IFERROR(INDEX(Buy_History!$C:$C,MATCH(C124,Buy_History!$A:$A,0)),""))</f>
        <v/>
      </c>
      <c r="E124" s="13" t="str">
        <f>IF(A124="","",IFERROR(SUMIFS(Sell_History!$D:$D,Sell_History!$A:$A,A124,Sell_History!$B:$B,B124),""))</f>
        <v/>
      </c>
      <c r="F124" s="9" t="str">
        <f>IF(A124="","",IF(SUMIFS(Sell_History!$E:$E,Sell_History!$A:$A,A124,Sell_History!$B:$B,B124)=0,"",SUMIFS(Sell_History!$E:$E,Sell_History!$A:$A,A124,Sell_History!$B:$B,B124)))</f>
        <v/>
      </c>
      <c r="G124" s="9" t="str">
        <f>IF(C124="","",IFERROR(INDEX(Buy_History!$E:$E,MATCH(C124,Buy_History!$A:$A,0)),""))</f>
        <v/>
      </c>
      <c r="H124" s="9" t="str">
        <f>IF(C124="","",IFERROR(SUMIFS(Raw_Observations!$D:$D,Raw_Observations!$A:$A,C124,Raw_Observations!$B:$B,B124),""))</f>
        <v/>
      </c>
      <c r="I124" s="9" t="str">
        <f t="shared" si="18"/>
        <v/>
      </c>
      <c r="J124" s="9">
        <f>IFERROR(LOOKUP(2,1/((Order_History!$A$2:$A$200=A124)*(Order_History!$B$2:$B$200=B124)*(Order_History!$E$2:$E$200&lt;=E124)),Order_History!$G$2:$G$200),"")</f>
        <v>0</v>
      </c>
      <c r="K124" s="10" t="str">
        <f>IF(C124="","",IFERROR(SUMIFS(Pricing!$G:$G,Pricing!$A:$A,C124,Pricing!$B:$B,B124),""))</f>
        <v/>
      </c>
      <c r="L124" s="11" t="str">
        <f t="shared" si="19"/>
        <v/>
      </c>
      <c r="M124" s="7">
        <v>0</v>
      </c>
      <c r="N124" s="7">
        <v>0</v>
      </c>
      <c r="O124" s="11" t="str">
        <f t="shared" si="20"/>
        <v/>
      </c>
      <c r="P124" s="14" t="str">
        <f t="shared" si="21"/>
        <v/>
      </c>
      <c r="Q124" s="15" t="str">
        <f t="shared" si="22"/>
        <v/>
      </c>
      <c r="R124" s="12" t="str">
        <f t="shared" si="23"/>
        <v/>
      </c>
    </row>
    <row r="125" spans="1:18">
      <c r="A125" s="2" t="str">
        <f>IF(Sell_History!A125="","",Sell_History!A125)</f>
        <v/>
      </c>
      <c r="B125" s="2" t="str">
        <f>IF(Sell_History!B125="","",Sell_History!B125)</f>
        <v/>
      </c>
      <c r="C125" s="8" t="str">
        <f>IF(A125="","",IFERROR(INDEX(Buy_History!#REF!,MATCH(A125,Buy_History!$A:$A,0)),A125))</f>
        <v/>
      </c>
      <c r="D125" s="13" t="str">
        <f>IF(C125="","",IFERROR(INDEX(Buy_History!$C:$C,MATCH(C125,Buy_History!$A:$A,0)),""))</f>
        <v/>
      </c>
      <c r="E125" s="13" t="str">
        <f>IF(A125="","",IFERROR(SUMIFS(Sell_History!$D:$D,Sell_History!$A:$A,A125,Sell_History!$B:$B,B125),""))</f>
        <v/>
      </c>
      <c r="F125" s="9" t="str">
        <f>IF(A125="","",IF(SUMIFS(Sell_History!$E:$E,Sell_History!$A:$A,A125,Sell_History!$B:$B,B125)=0,"",SUMIFS(Sell_History!$E:$E,Sell_History!$A:$A,A125,Sell_History!$B:$B,B125)))</f>
        <v/>
      </c>
      <c r="G125" s="9" t="str">
        <f>IF(C125="","",IFERROR(INDEX(Buy_History!$E:$E,MATCH(C125,Buy_History!$A:$A,0)),""))</f>
        <v/>
      </c>
      <c r="H125" s="9" t="str">
        <f>IF(C125="","",IFERROR(SUMIFS(Raw_Observations!$D:$D,Raw_Observations!$A:$A,C125,Raw_Observations!$B:$B,B125),""))</f>
        <v/>
      </c>
      <c r="I125" s="9" t="str">
        <f t="shared" si="18"/>
        <v/>
      </c>
      <c r="J125" s="9">
        <f>IFERROR(LOOKUP(2,1/((Order_History!$A$2:$A$200=A125)*(Order_History!$B$2:$B$200=B125)*(Order_History!$E$2:$E$200&lt;=E125)),Order_History!$G$2:$G$200),"")</f>
        <v>0</v>
      </c>
      <c r="K125" s="10" t="str">
        <f>IF(C125="","",IFERROR(SUMIFS(Pricing!$G:$G,Pricing!$A:$A,C125,Pricing!$B:$B,B125),""))</f>
        <v/>
      </c>
      <c r="L125" s="11" t="str">
        <f t="shared" si="19"/>
        <v/>
      </c>
      <c r="M125" s="7">
        <v>0</v>
      </c>
      <c r="N125" s="7">
        <v>0</v>
      </c>
      <c r="O125" s="11" t="str">
        <f t="shared" si="20"/>
        <v/>
      </c>
      <c r="P125" s="14" t="str">
        <f t="shared" si="21"/>
        <v/>
      </c>
      <c r="Q125" s="15" t="str">
        <f t="shared" si="22"/>
        <v/>
      </c>
      <c r="R125" s="12" t="str">
        <f t="shared" si="23"/>
        <v/>
      </c>
    </row>
    <row r="126" spans="1:18">
      <c r="A126" s="2" t="str">
        <f>IF(Sell_History!A126="","",Sell_History!A126)</f>
        <v/>
      </c>
      <c r="B126" s="2" t="str">
        <f>IF(Sell_History!B126="","",Sell_History!B126)</f>
        <v/>
      </c>
      <c r="C126" s="8" t="str">
        <f>IF(A126="","",IFERROR(INDEX(Buy_History!#REF!,MATCH(A126,Buy_History!$A:$A,0)),A126))</f>
        <v/>
      </c>
      <c r="D126" s="13" t="str">
        <f>IF(C126="","",IFERROR(INDEX(Buy_History!$C:$C,MATCH(C126,Buy_History!$A:$A,0)),""))</f>
        <v/>
      </c>
      <c r="E126" s="13" t="str">
        <f>IF(A126="","",IFERROR(SUMIFS(Sell_History!$D:$D,Sell_History!$A:$A,A126,Sell_History!$B:$B,B126),""))</f>
        <v/>
      </c>
      <c r="F126" s="9" t="str">
        <f>IF(A126="","",IF(SUMIFS(Sell_History!$E:$E,Sell_History!$A:$A,A126,Sell_History!$B:$B,B126)=0,"",SUMIFS(Sell_History!$E:$E,Sell_History!$A:$A,A126,Sell_History!$B:$B,B126)))</f>
        <v/>
      </c>
      <c r="G126" s="9" t="str">
        <f>IF(C126="","",IFERROR(INDEX(Buy_History!$E:$E,MATCH(C126,Buy_History!$A:$A,0)),""))</f>
        <v/>
      </c>
      <c r="H126" s="9" t="str">
        <f>IF(C126="","",IFERROR(SUMIFS(Raw_Observations!$D:$D,Raw_Observations!$A:$A,C126,Raw_Observations!$B:$B,B126),""))</f>
        <v/>
      </c>
      <c r="I126" s="9" t="str">
        <f t="shared" si="18"/>
        <v/>
      </c>
      <c r="J126" s="9">
        <f>IFERROR(LOOKUP(2,1/((Order_History!$A$2:$A$200=A126)*(Order_History!$B$2:$B$200=B126)*(Order_History!$E$2:$E$200&lt;=E126)),Order_History!$G$2:$G$200),"")</f>
        <v>0</v>
      </c>
      <c r="K126" s="10" t="str">
        <f>IF(C126="","",IFERROR(SUMIFS(Pricing!$G:$G,Pricing!$A:$A,C126,Pricing!$B:$B,B126),""))</f>
        <v/>
      </c>
      <c r="L126" s="11" t="str">
        <f t="shared" si="19"/>
        <v/>
      </c>
      <c r="M126" s="7">
        <v>0</v>
      </c>
      <c r="N126" s="7">
        <v>0</v>
      </c>
      <c r="O126" s="11" t="str">
        <f t="shared" si="20"/>
        <v/>
      </c>
      <c r="P126" s="14" t="str">
        <f t="shared" si="21"/>
        <v/>
      </c>
      <c r="Q126" s="15" t="str">
        <f t="shared" si="22"/>
        <v/>
      </c>
      <c r="R126" s="12" t="str">
        <f t="shared" si="23"/>
        <v/>
      </c>
    </row>
    <row r="127" spans="1:18">
      <c r="A127" s="2" t="str">
        <f>IF(Sell_History!A127="","",Sell_History!A127)</f>
        <v/>
      </c>
      <c r="B127" s="2" t="str">
        <f>IF(Sell_History!B127="","",Sell_History!B127)</f>
        <v/>
      </c>
      <c r="C127" s="8" t="str">
        <f>IF(A127="","",IFERROR(INDEX(Buy_History!#REF!,MATCH(A127,Buy_History!$A:$A,0)),A127))</f>
        <v/>
      </c>
      <c r="D127" s="13" t="str">
        <f>IF(C127="","",IFERROR(INDEX(Buy_History!$C:$C,MATCH(C127,Buy_History!$A:$A,0)),""))</f>
        <v/>
      </c>
      <c r="E127" s="13" t="str">
        <f>IF(A127="","",IFERROR(SUMIFS(Sell_History!$D:$D,Sell_History!$A:$A,A127,Sell_History!$B:$B,B127),""))</f>
        <v/>
      </c>
      <c r="F127" s="9" t="str">
        <f>IF(A127="","",IF(SUMIFS(Sell_History!$E:$E,Sell_History!$A:$A,A127,Sell_History!$B:$B,B127)=0,"",SUMIFS(Sell_History!$E:$E,Sell_History!$A:$A,A127,Sell_History!$B:$B,B127)))</f>
        <v/>
      </c>
      <c r="G127" s="9" t="str">
        <f>IF(C127="","",IFERROR(INDEX(Buy_History!$E:$E,MATCH(C127,Buy_History!$A:$A,0)),""))</f>
        <v/>
      </c>
      <c r="H127" s="9" t="str">
        <f>IF(C127="","",IFERROR(SUMIFS(Raw_Observations!$D:$D,Raw_Observations!$A:$A,C127,Raw_Observations!$B:$B,B127),""))</f>
        <v/>
      </c>
      <c r="I127" s="9" t="str">
        <f t="shared" si="18"/>
        <v/>
      </c>
      <c r="J127" s="9">
        <f>IFERROR(LOOKUP(2,1/((Order_History!$A$2:$A$200=A127)*(Order_History!$B$2:$B$200=B127)*(Order_History!$E$2:$E$200&lt;=E127)),Order_History!$G$2:$G$200),"")</f>
        <v>0</v>
      </c>
      <c r="K127" s="10" t="str">
        <f>IF(C127="","",IFERROR(SUMIFS(Pricing!$G:$G,Pricing!$A:$A,C127,Pricing!$B:$B,B127),""))</f>
        <v/>
      </c>
      <c r="L127" s="11" t="str">
        <f t="shared" si="19"/>
        <v/>
      </c>
      <c r="M127" s="7">
        <v>0</v>
      </c>
      <c r="N127" s="7">
        <v>0</v>
      </c>
      <c r="O127" s="11" t="str">
        <f t="shared" si="20"/>
        <v/>
      </c>
      <c r="P127" s="14" t="str">
        <f t="shared" si="21"/>
        <v/>
      </c>
      <c r="Q127" s="15" t="str">
        <f t="shared" si="22"/>
        <v/>
      </c>
      <c r="R127" s="12" t="str">
        <f t="shared" si="23"/>
        <v/>
      </c>
    </row>
    <row r="128" spans="1:18">
      <c r="A128" s="2" t="str">
        <f>IF(Sell_History!A128="","",Sell_History!A128)</f>
        <v/>
      </c>
      <c r="B128" s="2" t="str">
        <f>IF(Sell_History!B128="","",Sell_History!B128)</f>
        <v/>
      </c>
      <c r="C128" s="8" t="str">
        <f>IF(A128="","",IFERROR(INDEX(Buy_History!#REF!,MATCH(A128,Buy_History!$A:$A,0)),A128))</f>
        <v/>
      </c>
      <c r="D128" s="13" t="str">
        <f>IF(C128="","",IFERROR(INDEX(Buy_History!$C:$C,MATCH(C128,Buy_History!$A:$A,0)),""))</f>
        <v/>
      </c>
      <c r="E128" s="13" t="str">
        <f>IF(A128="","",IFERROR(SUMIFS(Sell_History!$D:$D,Sell_History!$A:$A,A128,Sell_History!$B:$B,B128),""))</f>
        <v/>
      </c>
      <c r="F128" s="9" t="str">
        <f>IF(A128="","",IF(SUMIFS(Sell_History!$E:$E,Sell_History!$A:$A,A128,Sell_History!$B:$B,B128)=0,"",SUMIFS(Sell_History!$E:$E,Sell_History!$A:$A,A128,Sell_History!$B:$B,B128)))</f>
        <v/>
      </c>
      <c r="G128" s="9" t="str">
        <f>IF(C128="","",IFERROR(INDEX(Buy_History!$E:$E,MATCH(C128,Buy_History!$A:$A,0)),""))</f>
        <v/>
      </c>
      <c r="H128" s="9" t="str">
        <f>IF(C128="","",IFERROR(SUMIFS(Raw_Observations!$D:$D,Raw_Observations!$A:$A,C128,Raw_Observations!$B:$B,B128),""))</f>
        <v/>
      </c>
      <c r="I128" s="9" t="str">
        <f t="shared" si="18"/>
        <v/>
      </c>
      <c r="J128" s="9">
        <f>IFERROR(LOOKUP(2,1/((Order_History!$A$2:$A$200=A128)*(Order_History!$B$2:$B$200=B128)*(Order_History!$E$2:$E$200&lt;=E128)),Order_History!$G$2:$G$200),"")</f>
        <v>0</v>
      </c>
      <c r="K128" s="10" t="str">
        <f>IF(C128="","",IFERROR(SUMIFS(Pricing!$G:$G,Pricing!$A:$A,C128,Pricing!$B:$B,B128),""))</f>
        <v/>
      </c>
      <c r="L128" s="11" t="str">
        <f t="shared" si="19"/>
        <v/>
      </c>
      <c r="M128" s="7">
        <v>0</v>
      </c>
      <c r="N128" s="7">
        <v>0</v>
      </c>
      <c r="O128" s="11" t="str">
        <f t="shared" si="20"/>
        <v/>
      </c>
      <c r="P128" s="14" t="str">
        <f t="shared" si="21"/>
        <v/>
      </c>
      <c r="Q128" s="15" t="str">
        <f t="shared" si="22"/>
        <v/>
      </c>
      <c r="R128" s="12" t="str">
        <f t="shared" si="23"/>
        <v/>
      </c>
    </row>
    <row r="129" spans="1:18">
      <c r="A129" s="2" t="str">
        <f>IF(Sell_History!A129="","",Sell_History!A129)</f>
        <v/>
      </c>
      <c r="B129" s="2" t="str">
        <f>IF(Sell_History!B129="","",Sell_History!B129)</f>
        <v/>
      </c>
      <c r="C129" s="8" t="str">
        <f>IF(A129="","",IFERROR(INDEX(Buy_History!#REF!,MATCH(A129,Buy_History!$A:$A,0)),A129))</f>
        <v/>
      </c>
      <c r="D129" s="13" t="str">
        <f>IF(C129="","",IFERROR(INDEX(Buy_History!$C:$C,MATCH(C129,Buy_History!$A:$A,0)),""))</f>
        <v/>
      </c>
      <c r="E129" s="13" t="str">
        <f>IF(A129="","",IFERROR(SUMIFS(Sell_History!$D:$D,Sell_History!$A:$A,A129,Sell_History!$B:$B,B129),""))</f>
        <v/>
      </c>
      <c r="F129" s="9" t="str">
        <f>IF(A129="","",IF(SUMIFS(Sell_History!$E:$E,Sell_History!$A:$A,A129,Sell_History!$B:$B,B129)=0,"",SUMIFS(Sell_History!$E:$E,Sell_History!$A:$A,A129,Sell_History!$B:$B,B129)))</f>
        <v/>
      </c>
      <c r="G129" s="9" t="str">
        <f>IF(C129="","",IFERROR(INDEX(Buy_History!$E:$E,MATCH(C129,Buy_History!$A:$A,0)),""))</f>
        <v/>
      </c>
      <c r="H129" s="9" t="str">
        <f>IF(C129="","",IFERROR(SUMIFS(Raw_Observations!$D:$D,Raw_Observations!$A:$A,C129,Raw_Observations!$B:$B,B129),""))</f>
        <v/>
      </c>
      <c r="I129" s="9" t="str">
        <f t="shared" si="18"/>
        <v/>
      </c>
      <c r="J129" s="9">
        <f>IFERROR(LOOKUP(2,1/((Order_History!$A$2:$A$200=A129)*(Order_History!$B$2:$B$200=B129)*(Order_History!$E$2:$E$200&lt;=E129)),Order_History!$G$2:$G$200),"")</f>
        <v>0</v>
      </c>
      <c r="K129" s="10" t="str">
        <f>IF(C129="","",IFERROR(SUMIFS(Pricing!$G:$G,Pricing!$A:$A,C129,Pricing!$B:$B,B129),""))</f>
        <v/>
      </c>
      <c r="L129" s="11" t="str">
        <f t="shared" si="19"/>
        <v/>
      </c>
      <c r="M129" s="7">
        <v>0</v>
      </c>
      <c r="N129" s="7">
        <v>0</v>
      </c>
      <c r="O129" s="11" t="str">
        <f t="shared" si="20"/>
        <v/>
      </c>
      <c r="P129" s="14" t="str">
        <f t="shared" si="21"/>
        <v/>
      </c>
      <c r="Q129" s="15" t="str">
        <f t="shared" si="22"/>
        <v/>
      </c>
      <c r="R129" s="12" t="str">
        <f t="shared" si="23"/>
        <v/>
      </c>
    </row>
    <row r="130" spans="1:18">
      <c r="A130" s="2" t="str">
        <f>IF(Sell_History!A130="","",Sell_History!A130)</f>
        <v/>
      </c>
      <c r="B130" s="2" t="str">
        <f>IF(Sell_History!B130="","",Sell_History!B130)</f>
        <v/>
      </c>
      <c r="C130" s="8" t="str">
        <f>IF(A130="","",IFERROR(INDEX(Buy_History!#REF!,MATCH(A130,Buy_History!$A:$A,0)),A130))</f>
        <v/>
      </c>
      <c r="D130" s="13" t="str">
        <f>IF(C130="","",IFERROR(INDEX(Buy_History!$C:$C,MATCH(C130,Buy_History!$A:$A,0)),""))</f>
        <v/>
      </c>
      <c r="E130" s="13" t="str">
        <f>IF(A130="","",IFERROR(SUMIFS(Sell_History!$D:$D,Sell_History!$A:$A,A130,Sell_History!$B:$B,B130),""))</f>
        <v/>
      </c>
      <c r="F130" s="9" t="str">
        <f>IF(A130="","",IF(SUMIFS(Sell_History!$E:$E,Sell_History!$A:$A,A130,Sell_History!$B:$B,B130)=0,"",SUMIFS(Sell_History!$E:$E,Sell_History!$A:$A,A130,Sell_History!$B:$B,B130)))</f>
        <v/>
      </c>
      <c r="G130" s="9" t="str">
        <f>IF(C130="","",IFERROR(INDEX(Buy_History!$E:$E,MATCH(C130,Buy_History!$A:$A,0)),""))</f>
        <v/>
      </c>
      <c r="H130" s="9" t="str">
        <f>IF(C130="","",IFERROR(SUMIFS(Raw_Observations!$D:$D,Raw_Observations!$A:$A,C130,Raw_Observations!$B:$B,B130),""))</f>
        <v/>
      </c>
      <c r="I130" s="9" t="str">
        <f t="shared" ref="I130:I161" si="24">IF(H130="","",IF(OR(F130="",G130="",G130=0),H130,H130*F130/G130))</f>
        <v/>
      </c>
      <c r="J130" s="9">
        <f>IFERROR(LOOKUP(2,1/((Order_History!$A$2:$A$200=A130)*(Order_History!$B$2:$B$200=B130)*(Order_History!$E$2:$E$200&lt;=E130)),Order_History!$G$2:$G$200),"")</f>
        <v>0</v>
      </c>
      <c r="K130" s="10" t="str">
        <f>IF(C130="","",IFERROR(SUMIFS(Pricing!$G:$G,Pricing!$A:$A,C130,Pricing!$B:$B,B130),""))</f>
        <v/>
      </c>
      <c r="L130" s="11" t="str">
        <f t="shared" ref="L130:L161" si="25">IF(OR(I130="",J130=""),"",J130-I130)</f>
        <v/>
      </c>
      <c r="M130" s="7">
        <v>0</v>
      </c>
      <c r="N130" s="7">
        <v>0</v>
      </c>
      <c r="O130" s="11" t="str">
        <f t="shared" ref="O130:O161" si="26">IF(L130="","",L130-M130-N130)</f>
        <v/>
      </c>
      <c r="P130" s="14" t="str">
        <f t="shared" ref="P130:P161" si="27">IF(OR(O130="",I130=""),"",O130/I130)</f>
        <v/>
      </c>
      <c r="Q130" s="15" t="str">
        <f t="shared" ref="Q130:Q161" si="28">IF(OR(D130="",E130=""),"",MAX(1,ROUNDUP(E130-D130,0)))</f>
        <v/>
      </c>
      <c r="R130" s="12" t="str">
        <f t="shared" ref="R130:R161" si="29">IF(OR(P130="",Q130=""),"",(1+P130)^(365/Q130)-1)</f>
        <v/>
      </c>
    </row>
    <row r="131" spans="1:18">
      <c r="A131" s="2" t="str">
        <f>IF(Sell_History!A131="","",Sell_History!A131)</f>
        <v/>
      </c>
      <c r="B131" s="2" t="str">
        <f>IF(Sell_History!B131="","",Sell_History!B131)</f>
        <v/>
      </c>
      <c r="C131" s="8" t="str">
        <f>IF(A131="","",IFERROR(INDEX(Buy_History!#REF!,MATCH(A131,Buy_History!$A:$A,0)),A131))</f>
        <v/>
      </c>
      <c r="D131" s="13" t="str">
        <f>IF(C131="","",IFERROR(INDEX(Buy_History!$C:$C,MATCH(C131,Buy_History!$A:$A,0)),""))</f>
        <v/>
      </c>
      <c r="E131" s="13" t="str">
        <f>IF(A131="","",IFERROR(SUMIFS(Sell_History!$D:$D,Sell_History!$A:$A,A131,Sell_History!$B:$B,B131),""))</f>
        <v/>
      </c>
      <c r="F131" s="9" t="str">
        <f>IF(A131="","",IF(SUMIFS(Sell_History!$E:$E,Sell_History!$A:$A,A131,Sell_History!$B:$B,B131)=0,"",SUMIFS(Sell_History!$E:$E,Sell_History!$A:$A,A131,Sell_History!$B:$B,B131)))</f>
        <v/>
      </c>
      <c r="G131" s="9" t="str">
        <f>IF(C131="","",IFERROR(INDEX(Buy_History!$E:$E,MATCH(C131,Buy_History!$A:$A,0)),""))</f>
        <v/>
      </c>
      <c r="H131" s="9" t="str">
        <f>IF(C131="","",IFERROR(SUMIFS(Raw_Observations!$D:$D,Raw_Observations!$A:$A,C131,Raw_Observations!$B:$B,B131),""))</f>
        <v/>
      </c>
      <c r="I131" s="9" t="str">
        <f t="shared" si="24"/>
        <v/>
      </c>
      <c r="J131" s="9">
        <f>IFERROR(LOOKUP(2,1/((Order_History!$A$2:$A$200=A131)*(Order_History!$B$2:$B$200=B131)*(Order_History!$E$2:$E$200&lt;=E131)),Order_History!$G$2:$G$200),"")</f>
        <v>0</v>
      </c>
      <c r="K131" s="10" t="str">
        <f>IF(C131="","",IFERROR(SUMIFS(Pricing!$G:$G,Pricing!$A:$A,C131,Pricing!$B:$B,B131),""))</f>
        <v/>
      </c>
      <c r="L131" s="11" t="str">
        <f t="shared" si="25"/>
        <v/>
      </c>
      <c r="M131" s="7">
        <v>0</v>
      </c>
      <c r="N131" s="7">
        <v>0</v>
      </c>
      <c r="O131" s="11" t="str">
        <f t="shared" si="26"/>
        <v/>
      </c>
      <c r="P131" s="14" t="str">
        <f t="shared" si="27"/>
        <v/>
      </c>
      <c r="Q131" s="15" t="str">
        <f t="shared" si="28"/>
        <v/>
      </c>
      <c r="R131" s="12" t="str">
        <f t="shared" si="29"/>
        <v/>
      </c>
    </row>
    <row r="132" spans="1:18">
      <c r="A132" s="2" t="str">
        <f>IF(Sell_History!A132="","",Sell_History!A132)</f>
        <v/>
      </c>
      <c r="B132" s="2" t="str">
        <f>IF(Sell_History!B132="","",Sell_History!B132)</f>
        <v/>
      </c>
      <c r="C132" s="8" t="str">
        <f>IF(A132="","",IFERROR(INDEX(Buy_History!#REF!,MATCH(A132,Buy_History!$A:$A,0)),A132))</f>
        <v/>
      </c>
      <c r="D132" s="13" t="str">
        <f>IF(C132="","",IFERROR(INDEX(Buy_History!$C:$C,MATCH(C132,Buy_History!$A:$A,0)),""))</f>
        <v/>
      </c>
      <c r="E132" s="13" t="str">
        <f>IF(A132="","",IFERROR(SUMIFS(Sell_History!$D:$D,Sell_History!$A:$A,A132,Sell_History!$B:$B,B132),""))</f>
        <v/>
      </c>
      <c r="F132" s="9" t="str">
        <f>IF(A132="","",IF(SUMIFS(Sell_History!$E:$E,Sell_History!$A:$A,A132,Sell_History!$B:$B,B132)=0,"",SUMIFS(Sell_History!$E:$E,Sell_History!$A:$A,A132,Sell_History!$B:$B,B132)))</f>
        <v/>
      </c>
      <c r="G132" s="9" t="str">
        <f>IF(C132="","",IFERROR(INDEX(Buy_History!$E:$E,MATCH(C132,Buy_History!$A:$A,0)),""))</f>
        <v/>
      </c>
      <c r="H132" s="9" t="str">
        <f>IF(C132="","",IFERROR(SUMIFS(Raw_Observations!$D:$D,Raw_Observations!$A:$A,C132,Raw_Observations!$B:$B,B132),""))</f>
        <v/>
      </c>
      <c r="I132" s="9" t="str">
        <f t="shared" si="24"/>
        <v/>
      </c>
      <c r="J132" s="9">
        <f>IFERROR(LOOKUP(2,1/((Order_History!$A$2:$A$200=A132)*(Order_History!$B$2:$B$200=B132)*(Order_History!$E$2:$E$200&lt;=E132)),Order_History!$G$2:$G$200),"")</f>
        <v>0</v>
      </c>
      <c r="K132" s="10" t="str">
        <f>IF(C132="","",IFERROR(SUMIFS(Pricing!$G:$G,Pricing!$A:$A,C132,Pricing!$B:$B,B132),""))</f>
        <v/>
      </c>
      <c r="L132" s="11" t="str">
        <f t="shared" si="25"/>
        <v/>
      </c>
      <c r="M132" s="7">
        <v>0</v>
      </c>
      <c r="N132" s="7">
        <v>0</v>
      </c>
      <c r="O132" s="11" t="str">
        <f t="shared" si="26"/>
        <v/>
      </c>
      <c r="P132" s="14" t="str">
        <f t="shared" si="27"/>
        <v/>
      </c>
      <c r="Q132" s="15" t="str">
        <f t="shared" si="28"/>
        <v/>
      </c>
      <c r="R132" s="12" t="str">
        <f t="shared" si="29"/>
        <v/>
      </c>
    </row>
    <row r="133" spans="1:18">
      <c r="A133" s="2" t="str">
        <f>IF(Sell_History!A133="","",Sell_History!A133)</f>
        <v/>
      </c>
      <c r="B133" s="2" t="str">
        <f>IF(Sell_History!B133="","",Sell_History!B133)</f>
        <v/>
      </c>
      <c r="C133" s="8" t="str">
        <f>IF(A133="","",IFERROR(INDEX(Buy_History!#REF!,MATCH(A133,Buy_History!$A:$A,0)),A133))</f>
        <v/>
      </c>
      <c r="D133" s="13" t="str">
        <f>IF(C133="","",IFERROR(INDEX(Buy_History!$C:$C,MATCH(C133,Buy_History!$A:$A,0)),""))</f>
        <v/>
      </c>
      <c r="E133" s="13" t="str">
        <f>IF(A133="","",IFERROR(SUMIFS(Sell_History!$D:$D,Sell_History!$A:$A,A133,Sell_History!$B:$B,B133),""))</f>
        <v/>
      </c>
      <c r="F133" s="9" t="str">
        <f>IF(A133="","",IF(SUMIFS(Sell_History!$E:$E,Sell_History!$A:$A,A133,Sell_History!$B:$B,B133)=0,"",SUMIFS(Sell_History!$E:$E,Sell_History!$A:$A,A133,Sell_History!$B:$B,B133)))</f>
        <v/>
      </c>
      <c r="G133" s="9" t="str">
        <f>IF(C133="","",IFERROR(INDEX(Buy_History!$E:$E,MATCH(C133,Buy_History!$A:$A,0)),""))</f>
        <v/>
      </c>
      <c r="H133" s="9" t="str">
        <f>IF(C133="","",IFERROR(SUMIFS(Raw_Observations!$D:$D,Raw_Observations!$A:$A,C133,Raw_Observations!$B:$B,B133),""))</f>
        <v/>
      </c>
      <c r="I133" s="9" t="str">
        <f t="shared" si="24"/>
        <v/>
      </c>
      <c r="J133" s="9">
        <f>IFERROR(LOOKUP(2,1/((Order_History!$A$2:$A$200=A133)*(Order_History!$B$2:$B$200=B133)*(Order_History!$E$2:$E$200&lt;=E133)),Order_History!$G$2:$G$200),"")</f>
        <v>0</v>
      </c>
      <c r="K133" s="10" t="str">
        <f>IF(C133="","",IFERROR(SUMIFS(Pricing!$G:$G,Pricing!$A:$A,C133,Pricing!$B:$B,B133),""))</f>
        <v/>
      </c>
      <c r="L133" s="11" t="str">
        <f t="shared" si="25"/>
        <v/>
      </c>
      <c r="M133" s="7">
        <v>0</v>
      </c>
      <c r="N133" s="7">
        <v>0</v>
      </c>
      <c r="O133" s="11" t="str">
        <f t="shared" si="26"/>
        <v/>
      </c>
      <c r="P133" s="14" t="str">
        <f t="shared" si="27"/>
        <v/>
      </c>
      <c r="Q133" s="15" t="str">
        <f t="shared" si="28"/>
        <v/>
      </c>
      <c r="R133" s="12" t="str">
        <f t="shared" si="29"/>
        <v/>
      </c>
    </row>
    <row r="134" spans="1:18">
      <c r="A134" s="2" t="str">
        <f>IF(Sell_History!A134="","",Sell_History!A134)</f>
        <v/>
      </c>
      <c r="B134" s="2" t="str">
        <f>IF(Sell_History!B134="","",Sell_History!B134)</f>
        <v/>
      </c>
      <c r="C134" s="8" t="str">
        <f>IF(A134="","",IFERROR(INDEX(Buy_History!#REF!,MATCH(A134,Buy_History!$A:$A,0)),A134))</f>
        <v/>
      </c>
      <c r="D134" s="13" t="str">
        <f>IF(C134="","",IFERROR(INDEX(Buy_History!$C:$C,MATCH(C134,Buy_History!$A:$A,0)),""))</f>
        <v/>
      </c>
      <c r="E134" s="13" t="str">
        <f>IF(A134="","",IFERROR(SUMIFS(Sell_History!$D:$D,Sell_History!$A:$A,A134,Sell_History!$B:$B,B134),""))</f>
        <v/>
      </c>
      <c r="F134" s="9" t="str">
        <f>IF(A134="","",IF(SUMIFS(Sell_History!$E:$E,Sell_History!$A:$A,A134,Sell_History!$B:$B,B134)=0,"",SUMIFS(Sell_History!$E:$E,Sell_History!$A:$A,A134,Sell_History!$B:$B,B134)))</f>
        <v/>
      </c>
      <c r="G134" s="9" t="str">
        <f>IF(C134="","",IFERROR(INDEX(Buy_History!$E:$E,MATCH(C134,Buy_History!$A:$A,0)),""))</f>
        <v/>
      </c>
      <c r="H134" s="9" t="str">
        <f>IF(C134="","",IFERROR(SUMIFS(Raw_Observations!$D:$D,Raw_Observations!$A:$A,C134,Raw_Observations!$B:$B,B134),""))</f>
        <v/>
      </c>
      <c r="I134" s="9" t="str">
        <f t="shared" si="24"/>
        <v/>
      </c>
      <c r="J134" s="9">
        <f>IFERROR(LOOKUP(2,1/((Order_History!$A$2:$A$200=A134)*(Order_History!$B$2:$B$200=B134)*(Order_History!$E$2:$E$200&lt;=E134)),Order_History!$G$2:$G$200),"")</f>
        <v>0</v>
      </c>
      <c r="K134" s="10" t="str">
        <f>IF(C134="","",IFERROR(SUMIFS(Pricing!$G:$G,Pricing!$A:$A,C134,Pricing!$B:$B,B134),""))</f>
        <v/>
      </c>
      <c r="L134" s="11" t="str">
        <f t="shared" si="25"/>
        <v/>
      </c>
      <c r="M134" s="7">
        <v>0</v>
      </c>
      <c r="N134" s="7">
        <v>0</v>
      </c>
      <c r="O134" s="11" t="str">
        <f t="shared" si="26"/>
        <v/>
      </c>
      <c r="P134" s="14" t="str">
        <f t="shared" si="27"/>
        <v/>
      </c>
      <c r="Q134" s="15" t="str">
        <f t="shared" si="28"/>
        <v/>
      </c>
      <c r="R134" s="12" t="str">
        <f t="shared" si="29"/>
        <v/>
      </c>
    </row>
    <row r="135" spans="1:18">
      <c r="A135" s="2" t="str">
        <f>IF(Sell_History!A135="","",Sell_History!A135)</f>
        <v/>
      </c>
      <c r="B135" s="2" t="str">
        <f>IF(Sell_History!B135="","",Sell_History!B135)</f>
        <v/>
      </c>
      <c r="C135" s="8" t="str">
        <f>IF(A135="","",IFERROR(INDEX(Buy_History!#REF!,MATCH(A135,Buy_History!$A:$A,0)),A135))</f>
        <v/>
      </c>
      <c r="D135" s="13" t="str">
        <f>IF(C135="","",IFERROR(INDEX(Buy_History!$C:$C,MATCH(C135,Buy_History!$A:$A,0)),""))</f>
        <v/>
      </c>
      <c r="E135" s="13" t="str">
        <f>IF(A135="","",IFERROR(SUMIFS(Sell_History!$D:$D,Sell_History!$A:$A,A135,Sell_History!$B:$B,B135),""))</f>
        <v/>
      </c>
      <c r="F135" s="9" t="str">
        <f>IF(A135="","",IF(SUMIFS(Sell_History!$E:$E,Sell_History!$A:$A,A135,Sell_History!$B:$B,B135)=0,"",SUMIFS(Sell_History!$E:$E,Sell_History!$A:$A,A135,Sell_History!$B:$B,B135)))</f>
        <v/>
      </c>
      <c r="G135" s="9" t="str">
        <f>IF(C135="","",IFERROR(INDEX(Buy_History!$E:$E,MATCH(C135,Buy_History!$A:$A,0)),""))</f>
        <v/>
      </c>
      <c r="H135" s="9" t="str">
        <f>IF(C135="","",IFERROR(SUMIFS(Raw_Observations!$D:$D,Raw_Observations!$A:$A,C135,Raw_Observations!$B:$B,B135),""))</f>
        <v/>
      </c>
      <c r="I135" s="9" t="str">
        <f t="shared" si="24"/>
        <v/>
      </c>
      <c r="J135" s="9">
        <f>IFERROR(LOOKUP(2,1/((Order_History!$A$2:$A$200=A135)*(Order_History!$B$2:$B$200=B135)*(Order_History!$E$2:$E$200&lt;=E135)),Order_History!$G$2:$G$200),"")</f>
        <v>0</v>
      </c>
      <c r="K135" s="10" t="str">
        <f>IF(C135="","",IFERROR(SUMIFS(Pricing!$G:$G,Pricing!$A:$A,C135,Pricing!$B:$B,B135),""))</f>
        <v/>
      </c>
      <c r="L135" s="11" t="str">
        <f t="shared" si="25"/>
        <v/>
      </c>
      <c r="M135" s="7">
        <v>0</v>
      </c>
      <c r="N135" s="7">
        <v>0</v>
      </c>
      <c r="O135" s="11" t="str">
        <f t="shared" si="26"/>
        <v/>
      </c>
      <c r="P135" s="14" t="str">
        <f t="shared" si="27"/>
        <v/>
      </c>
      <c r="Q135" s="15" t="str">
        <f t="shared" si="28"/>
        <v/>
      </c>
      <c r="R135" s="12" t="str">
        <f t="shared" si="29"/>
        <v/>
      </c>
    </row>
    <row r="136" spans="1:18">
      <c r="A136" s="2" t="str">
        <f>IF(Sell_History!A136="","",Sell_History!A136)</f>
        <v/>
      </c>
      <c r="B136" s="2" t="str">
        <f>IF(Sell_History!B136="","",Sell_History!B136)</f>
        <v/>
      </c>
      <c r="C136" s="8" t="str">
        <f>IF(A136="","",IFERROR(INDEX(Buy_History!#REF!,MATCH(A136,Buy_History!$A:$A,0)),A136))</f>
        <v/>
      </c>
      <c r="D136" s="13" t="str">
        <f>IF(C136="","",IFERROR(INDEX(Buy_History!$C:$C,MATCH(C136,Buy_History!$A:$A,0)),""))</f>
        <v/>
      </c>
      <c r="E136" s="13" t="str">
        <f>IF(A136="","",IFERROR(SUMIFS(Sell_History!$D:$D,Sell_History!$A:$A,A136,Sell_History!$B:$B,B136),""))</f>
        <v/>
      </c>
      <c r="F136" s="9" t="str">
        <f>IF(A136="","",IF(SUMIFS(Sell_History!$E:$E,Sell_History!$A:$A,A136,Sell_History!$B:$B,B136)=0,"",SUMIFS(Sell_History!$E:$E,Sell_History!$A:$A,A136,Sell_History!$B:$B,B136)))</f>
        <v/>
      </c>
      <c r="G136" s="9" t="str">
        <f>IF(C136="","",IFERROR(INDEX(Buy_History!$E:$E,MATCH(C136,Buy_History!$A:$A,0)),""))</f>
        <v/>
      </c>
      <c r="H136" s="9" t="str">
        <f>IF(C136="","",IFERROR(SUMIFS(Raw_Observations!$D:$D,Raw_Observations!$A:$A,C136,Raw_Observations!$B:$B,B136),""))</f>
        <v/>
      </c>
      <c r="I136" s="9" t="str">
        <f t="shared" si="24"/>
        <v/>
      </c>
      <c r="J136" s="9">
        <f>IFERROR(LOOKUP(2,1/((Order_History!$A$2:$A$200=A136)*(Order_History!$B$2:$B$200=B136)*(Order_History!$E$2:$E$200&lt;=E136)),Order_History!$G$2:$G$200),"")</f>
        <v>0</v>
      </c>
      <c r="K136" s="10" t="str">
        <f>IF(C136="","",IFERROR(SUMIFS(Pricing!$G:$G,Pricing!$A:$A,C136,Pricing!$B:$B,B136),""))</f>
        <v/>
      </c>
      <c r="L136" s="11" t="str">
        <f t="shared" si="25"/>
        <v/>
      </c>
      <c r="M136" s="7">
        <v>0</v>
      </c>
      <c r="N136" s="7">
        <v>0</v>
      </c>
      <c r="O136" s="11" t="str">
        <f t="shared" si="26"/>
        <v/>
      </c>
      <c r="P136" s="14" t="str">
        <f t="shared" si="27"/>
        <v/>
      </c>
      <c r="Q136" s="15" t="str">
        <f t="shared" si="28"/>
        <v/>
      </c>
      <c r="R136" s="12" t="str">
        <f t="shared" si="29"/>
        <v/>
      </c>
    </row>
    <row r="137" spans="1:18">
      <c r="A137" s="2" t="str">
        <f>IF(Sell_History!A137="","",Sell_History!A137)</f>
        <v/>
      </c>
      <c r="B137" s="2" t="str">
        <f>IF(Sell_History!B137="","",Sell_History!B137)</f>
        <v/>
      </c>
      <c r="C137" s="8" t="str">
        <f>IF(A137="","",IFERROR(INDEX(Buy_History!#REF!,MATCH(A137,Buy_History!$A:$A,0)),A137))</f>
        <v/>
      </c>
      <c r="D137" s="13" t="str">
        <f>IF(C137="","",IFERROR(INDEX(Buy_History!$C:$C,MATCH(C137,Buy_History!$A:$A,0)),""))</f>
        <v/>
      </c>
      <c r="E137" s="13" t="str">
        <f>IF(A137="","",IFERROR(SUMIFS(Sell_History!$D:$D,Sell_History!$A:$A,A137,Sell_History!$B:$B,B137),""))</f>
        <v/>
      </c>
      <c r="F137" s="9" t="str">
        <f>IF(A137="","",IF(SUMIFS(Sell_History!$E:$E,Sell_History!$A:$A,A137,Sell_History!$B:$B,B137)=0,"",SUMIFS(Sell_History!$E:$E,Sell_History!$A:$A,A137,Sell_History!$B:$B,B137)))</f>
        <v/>
      </c>
      <c r="G137" s="9" t="str">
        <f>IF(C137="","",IFERROR(INDEX(Buy_History!$E:$E,MATCH(C137,Buy_History!$A:$A,0)),""))</f>
        <v/>
      </c>
      <c r="H137" s="9" t="str">
        <f>IF(C137="","",IFERROR(SUMIFS(Raw_Observations!$D:$D,Raw_Observations!$A:$A,C137,Raw_Observations!$B:$B,B137),""))</f>
        <v/>
      </c>
      <c r="I137" s="9" t="str">
        <f t="shared" si="24"/>
        <v/>
      </c>
      <c r="J137" s="9">
        <f>IFERROR(LOOKUP(2,1/((Order_History!$A$2:$A$200=A137)*(Order_History!$B$2:$B$200=B137)*(Order_History!$E$2:$E$200&lt;=E137)),Order_History!$G$2:$G$200),"")</f>
        <v>0</v>
      </c>
      <c r="K137" s="10" t="str">
        <f>IF(C137="","",IFERROR(SUMIFS(Pricing!$G:$G,Pricing!$A:$A,C137,Pricing!$B:$B,B137),""))</f>
        <v/>
      </c>
      <c r="L137" s="11" t="str">
        <f t="shared" si="25"/>
        <v/>
      </c>
      <c r="M137" s="7">
        <v>0</v>
      </c>
      <c r="N137" s="7">
        <v>0</v>
      </c>
      <c r="O137" s="11" t="str">
        <f t="shared" si="26"/>
        <v/>
      </c>
      <c r="P137" s="14" t="str">
        <f t="shared" si="27"/>
        <v/>
      </c>
      <c r="Q137" s="15" t="str">
        <f t="shared" si="28"/>
        <v/>
      </c>
      <c r="R137" s="12" t="str">
        <f t="shared" si="29"/>
        <v/>
      </c>
    </row>
    <row r="138" spans="1:18">
      <c r="A138" s="2" t="str">
        <f>IF(Sell_History!A138="","",Sell_History!A138)</f>
        <v/>
      </c>
      <c r="B138" s="2" t="str">
        <f>IF(Sell_History!B138="","",Sell_History!B138)</f>
        <v/>
      </c>
      <c r="C138" s="8" t="str">
        <f>IF(A138="","",IFERROR(INDEX(Buy_History!#REF!,MATCH(A138,Buy_History!$A:$A,0)),A138))</f>
        <v/>
      </c>
      <c r="D138" s="13" t="str">
        <f>IF(C138="","",IFERROR(INDEX(Buy_History!$C:$C,MATCH(C138,Buy_History!$A:$A,0)),""))</f>
        <v/>
      </c>
      <c r="E138" s="13" t="str">
        <f>IF(A138="","",IFERROR(SUMIFS(Sell_History!$D:$D,Sell_History!$A:$A,A138,Sell_History!$B:$B,B138),""))</f>
        <v/>
      </c>
      <c r="F138" s="9" t="str">
        <f>IF(A138="","",IF(SUMIFS(Sell_History!$E:$E,Sell_History!$A:$A,A138,Sell_History!$B:$B,B138)=0,"",SUMIFS(Sell_History!$E:$E,Sell_History!$A:$A,A138,Sell_History!$B:$B,B138)))</f>
        <v/>
      </c>
      <c r="G138" s="9" t="str">
        <f>IF(C138="","",IFERROR(INDEX(Buy_History!$E:$E,MATCH(C138,Buy_History!$A:$A,0)),""))</f>
        <v/>
      </c>
      <c r="H138" s="9" t="str">
        <f>IF(C138="","",IFERROR(SUMIFS(Raw_Observations!$D:$D,Raw_Observations!$A:$A,C138,Raw_Observations!$B:$B,B138),""))</f>
        <v/>
      </c>
      <c r="I138" s="9" t="str">
        <f t="shared" si="24"/>
        <v/>
      </c>
      <c r="J138" s="9">
        <f>IFERROR(LOOKUP(2,1/((Order_History!$A$2:$A$200=A138)*(Order_History!$B$2:$B$200=B138)*(Order_History!$E$2:$E$200&lt;=E138)),Order_History!$G$2:$G$200),"")</f>
        <v>0</v>
      </c>
      <c r="K138" s="10" t="str">
        <f>IF(C138="","",IFERROR(SUMIFS(Pricing!$G:$G,Pricing!$A:$A,C138,Pricing!$B:$B,B138),""))</f>
        <v/>
      </c>
      <c r="L138" s="11" t="str">
        <f t="shared" si="25"/>
        <v/>
      </c>
      <c r="M138" s="7">
        <v>0</v>
      </c>
      <c r="N138" s="7">
        <v>0</v>
      </c>
      <c r="O138" s="11" t="str">
        <f t="shared" si="26"/>
        <v/>
      </c>
      <c r="P138" s="14" t="str">
        <f t="shared" si="27"/>
        <v/>
      </c>
      <c r="Q138" s="15" t="str">
        <f t="shared" si="28"/>
        <v/>
      </c>
      <c r="R138" s="12" t="str">
        <f t="shared" si="29"/>
        <v/>
      </c>
    </row>
    <row r="139" spans="1:18">
      <c r="A139" s="2" t="str">
        <f>IF(Sell_History!A139="","",Sell_History!A139)</f>
        <v/>
      </c>
      <c r="B139" s="2" t="str">
        <f>IF(Sell_History!B139="","",Sell_History!B139)</f>
        <v/>
      </c>
      <c r="C139" s="8" t="str">
        <f>IF(A139="","",IFERROR(INDEX(Buy_History!#REF!,MATCH(A139,Buy_History!$A:$A,0)),A139))</f>
        <v/>
      </c>
      <c r="D139" s="13" t="str">
        <f>IF(C139="","",IFERROR(INDEX(Buy_History!$C:$C,MATCH(C139,Buy_History!$A:$A,0)),""))</f>
        <v/>
      </c>
      <c r="E139" s="13" t="str">
        <f>IF(A139="","",IFERROR(SUMIFS(Sell_History!$D:$D,Sell_History!$A:$A,A139,Sell_History!$B:$B,B139),""))</f>
        <v/>
      </c>
      <c r="F139" s="9" t="str">
        <f>IF(A139="","",IF(SUMIFS(Sell_History!$E:$E,Sell_History!$A:$A,A139,Sell_History!$B:$B,B139)=0,"",SUMIFS(Sell_History!$E:$E,Sell_History!$A:$A,A139,Sell_History!$B:$B,B139)))</f>
        <v/>
      </c>
      <c r="G139" s="9" t="str">
        <f>IF(C139="","",IFERROR(INDEX(Buy_History!$E:$E,MATCH(C139,Buy_History!$A:$A,0)),""))</f>
        <v/>
      </c>
      <c r="H139" s="9" t="str">
        <f>IF(C139="","",IFERROR(SUMIFS(Raw_Observations!$D:$D,Raw_Observations!$A:$A,C139,Raw_Observations!$B:$B,B139),""))</f>
        <v/>
      </c>
      <c r="I139" s="9" t="str">
        <f t="shared" si="24"/>
        <v/>
      </c>
      <c r="J139" s="9">
        <f>IFERROR(LOOKUP(2,1/((Order_History!$A$2:$A$200=A139)*(Order_History!$B$2:$B$200=B139)*(Order_History!$E$2:$E$200&lt;=E139)),Order_History!$G$2:$G$200),"")</f>
        <v>0</v>
      </c>
      <c r="K139" s="10" t="str">
        <f>IF(C139="","",IFERROR(SUMIFS(Pricing!$G:$G,Pricing!$A:$A,C139,Pricing!$B:$B,B139),""))</f>
        <v/>
      </c>
      <c r="L139" s="11" t="str">
        <f t="shared" si="25"/>
        <v/>
      </c>
      <c r="M139" s="7">
        <v>0</v>
      </c>
      <c r="N139" s="7">
        <v>0</v>
      </c>
      <c r="O139" s="11" t="str">
        <f t="shared" si="26"/>
        <v/>
      </c>
      <c r="P139" s="14" t="str">
        <f t="shared" si="27"/>
        <v/>
      </c>
      <c r="Q139" s="15" t="str">
        <f t="shared" si="28"/>
        <v/>
      </c>
      <c r="R139" s="12" t="str">
        <f t="shared" si="29"/>
        <v/>
      </c>
    </row>
    <row r="140" spans="1:18">
      <c r="A140" s="2" t="str">
        <f>IF(Sell_History!A140="","",Sell_History!A140)</f>
        <v/>
      </c>
      <c r="B140" s="2" t="str">
        <f>IF(Sell_History!B140="","",Sell_History!B140)</f>
        <v/>
      </c>
      <c r="C140" s="8" t="str">
        <f>IF(A140="","",IFERROR(INDEX(Buy_History!#REF!,MATCH(A140,Buy_History!$A:$A,0)),A140))</f>
        <v/>
      </c>
      <c r="D140" s="13" t="str">
        <f>IF(C140="","",IFERROR(INDEX(Buy_History!$C:$C,MATCH(C140,Buy_History!$A:$A,0)),""))</f>
        <v/>
      </c>
      <c r="E140" s="13" t="str">
        <f>IF(A140="","",IFERROR(SUMIFS(Sell_History!$D:$D,Sell_History!$A:$A,A140,Sell_History!$B:$B,B140),""))</f>
        <v/>
      </c>
      <c r="F140" s="9" t="str">
        <f>IF(A140="","",IF(SUMIFS(Sell_History!$E:$E,Sell_History!$A:$A,A140,Sell_History!$B:$B,B140)=0,"",SUMIFS(Sell_History!$E:$E,Sell_History!$A:$A,A140,Sell_History!$B:$B,B140)))</f>
        <v/>
      </c>
      <c r="G140" s="9" t="str">
        <f>IF(C140="","",IFERROR(INDEX(Buy_History!$E:$E,MATCH(C140,Buy_History!$A:$A,0)),""))</f>
        <v/>
      </c>
      <c r="H140" s="9" t="str">
        <f>IF(C140="","",IFERROR(SUMIFS(Raw_Observations!$D:$D,Raw_Observations!$A:$A,C140,Raw_Observations!$B:$B,B140),""))</f>
        <v/>
      </c>
      <c r="I140" s="9" t="str">
        <f t="shared" si="24"/>
        <v/>
      </c>
      <c r="J140" s="9">
        <f>IFERROR(LOOKUP(2,1/((Order_History!$A$2:$A$200=A140)*(Order_History!$B$2:$B$200=B140)*(Order_History!$E$2:$E$200&lt;=E140)),Order_History!$G$2:$G$200),"")</f>
        <v>0</v>
      </c>
      <c r="K140" s="10" t="str">
        <f>IF(C140="","",IFERROR(SUMIFS(Pricing!$G:$G,Pricing!$A:$A,C140,Pricing!$B:$B,B140),""))</f>
        <v/>
      </c>
      <c r="L140" s="11" t="str">
        <f t="shared" si="25"/>
        <v/>
      </c>
      <c r="M140" s="7">
        <v>0</v>
      </c>
      <c r="N140" s="7">
        <v>0</v>
      </c>
      <c r="O140" s="11" t="str">
        <f t="shared" si="26"/>
        <v/>
      </c>
      <c r="P140" s="14" t="str">
        <f t="shared" si="27"/>
        <v/>
      </c>
      <c r="Q140" s="15" t="str">
        <f t="shared" si="28"/>
        <v/>
      </c>
      <c r="R140" s="12" t="str">
        <f t="shared" si="29"/>
        <v/>
      </c>
    </row>
    <row r="141" spans="1:18">
      <c r="A141" s="2" t="str">
        <f>IF(Sell_History!A141="","",Sell_History!A141)</f>
        <v/>
      </c>
      <c r="B141" s="2" t="str">
        <f>IF(Sell_History!B141="","",Sell_History!B141)</f>
        <v/>
      </c>
      <c r="C141" s="8" t="str">
        <f>IF(A141="","",IFERROR(INDEX(Buy_History!#REF!,MATCH(A141,Buy_History!$A:$A,0)),A141))</f>
        <v/>
      </c>
      <c r="D141" s="13" t="str">
        <f>IF(C141="","",IFERROR(INDEX(Buy_History!$C:$C,MATCH(C141,Buy_History!$A:$A,0)),""))</f>
        <v/>
      </c>
      <c r="E141" s="13" t="str">
        <f>IF(A141="","",IFERROR(SUMIFS(Sell_History!$D:$D,Sell_History!$A:$A,A141,Sell_History!$B:$B,B141),""))</f>
        <v/>
      </c>
      <c r="F141" s="9" t="str">
        <f>IF(A141="","",IF(SUMIFS(Sell_History!$E:$E,Sell_History!$A:$A,A141,Sell_History!$B:$B,B141)=0,"",SUMIFS(Sell_History!$E:$E,Sell_History!$A:$A,A141,Sell_History!$B:$B,B141)))</f>
        <v/>
      </c>
      <c r="G141" s="9" t="str">
        <f>IF(C141="","",IFERROR(INDEX(Buy_History!$E:$E,MATCH(C141,Buy_History!$A:$A,0)),""))</f>
        <v/>
      </c>
      <c r="H141" s="9" t="str">
        <f>IF(C141="","",IFERROR(SUMIFS(Raw_Observations!$D:$D,Raw_Observations!$A:$A,C141,Raw_Observations!$B:$B,B141),""))</f>
        <v/>
      </c>
      <c r="I141" s="9" t="str">
        <f t="shared" si="24"/>
        <v/>
      </c>
      <c r="J141" s="9">
        <f>IFERROR(LOOKUP(2,1/((Order_History!$A$2:$A$200=A141)*(Order_History!$B$2:$B$200=B141)*(Order_History!$E$2:$E$200&lt;=E141)),Order_History!$G$2:$G$200),"")</f>
        <v>0</v>
      </c>
      <c r="K141" s="10" t="str">
        <f>IF(C141="","",IFERROR(SUMIFS(Pricing!$G:$G,Pricing!$A:$A,C141,Pricing!$B:$B,B141),""))</f>
        <v/>
      </c>
      <c r="L141" s="11" t="str">
        <f t="shared" si="25"/>
        <v/>
      </c>
      <c r="M141" s="7">
        <v>0</v>
      </c>
      <c r="N141" s="7">
        <v>0</v>
      </c>
      <c r="O141" s="11" t="str">
        <f t="shared" si="26"/>
        <v/>
      </c>
      <c r="P141" s="14" t="str">
        <f t="shared" si="27"/>
        <v/>
      </c>
      <c r="Q141" s="15" t="str">
        <f t="shared" si="28"/>
        <v/>
      </c>
      <c r="R141" s="12" t="str">
        <f t="shared" si="29"/>
        <v/>
      </c>
    </row>
    <row r="142" spans="1:18">
      <c r="A142" s="2" t="str">
        <f>IF(Sell_History!A142="","",Sell_History!A142)</f>
        <v/>
      </c>
      <c r="B142" s="2" t="str">
        <f>IF(Sell_History!B142="","",Sell_History!B142)</f>
        <v/>
      </c>
      <c r="C142" s="8" t="str">
        <f>IF(A142="","",IFERROR(INDEX(Buy_History!#REF!,MATCH(A142,Buy_History!$A:$A,0)),A142))</f>
        <v/>
      </c>
      <c r="D142" s="13" t="str">
        <f>IF(C142="","",IFERROR(INDEX(Buy_History!$C:$C,MATCH(C142,Buy_History!$A:$A,0)),""))</f>
        <v/>
      </c>
      <c r="E142" s="13" t="str">
        <f>IF(A142="","",IFERROR(SUMIFS(Sell_History!$D:$D,Sell_History!$A:$A,A142,Sell_History!$B:$B,B142),""))</f>
        <v/>
      </c>
      <c r="F142" s="9" t="str">
        <f>IF(A142="","",IF(SUMIFS(Sell_History!$E:$E,Sell_History!$A:$A,A142,Sell_History!$B:$B,B142)=0,"",SUMIFS(Sell_History!$E:$E,Sell_History!$A:$A,A142,Sell_History!$B:$B,B142)))</f>
        <v/>
      </c>
      <c r="G142" s="9" t="str">
        <f>IF(C142="","",IFERROR(INDEX(Buy_History!$E:$E,MATCH(C142,Buy_History!$A:$A,0)),""))</f>
        <v/>
      </c>
      <c r="H142" s="9" t="str">
        <f>IF(C142="","",IFERROR(SUMIFS(Raw_Observations!$D:$D,Raw_Observations!$A:$A,C142,Raw_Observations!$B:$B,B142),""))</f>
        <v/>
      </c>
      <c r="I142" s="9" t="str">
        <f t="shared" si="24"/>
        <v/>
      </c>
      <c r="J142" s="9">
        <f>IFERROR(LOOKUP(2,1/((Order_History!$A$2:$A$200=A142)*(Order_History!$B$2:$B$200=B142)*(Order_History!$E$2:$E$200&lt;=E142)),Order_History!$G$2:$G$200),"")</f>
        <v>0</v>
      </c>
      <c r="K142" s="10" t="str">
        <f>IF(C142="","",IFERROR(SUMIFS(Pricing!$G:$G,Pricing!$A:$A,C142,Pricing!$B:$B,B142),""))</f>
        <v/>
      </c>
      <c r="L142" s="11" t="str">
        <f t="shared" si="25"/>
        <v/>
      </c>
      <c r="M142" s="7">
        <v>0</v>
      </c>
      <c r="N142" s="7">
        <v>0</v>
      </c>
      <c r="O142" s="11" t="str">
        <f t="shared" si="26"/>
        <v/>
      </c>
      <c r="P142" s="14" t="str">
        <f t="shared" si="27"/>
        <v/>
      </c>
      <c r="Q142" s="15" t="str">
        <f t="shared" si="28"/>
        <v/>
      </c>
      <c r="R142" s="12" t="str">
        <f t="shared" si="29"/>
        <v/>
      </c>
    </row>
    <row r="143" spans="1:18">
      <c r="A143" s="2" t="str">
        <f>IF(Sell_History!A143="","",Sell_History!A143)</f>
        <v/>
      </c>
      <c r="B143" s="2" t="str">
        <f>IF(Sell_History!B143="","",Sell_History!B143)</f>
        <v/>
      </c>
      <c r="C143" s="8" t="str">
        <f>IF(A143="","",IFERROR(INDEX(Buy_History!#REF!,MATCH(A143,Buy_History!$A:$A,0)),A143))</f>
        <v/>
      </c>
      <c r="D143" s="13" t="str">
        <f>IF(C143="","",IFERROR(INDEX(Buy_History!$C:$C,MATCH(C143,Buy_History!$A:$A,0)),""))</f>
        <v/>
      </c>
      <c r="E143" s="13" t="str">
        <f>IF(A143="","",IFERROR(SUMIFS(Sell_History!$D:$D,Sell_History!$A:$A,A143,Sell_History!$B:$B,B143),""))</f>
        <v/>
      </c>
      <c r="F143" s="9" t="str">
        <f>IF(A143="","",IF(SUMIFS(Sell_History!$E:$E,Sell_History!$A:$A,A143,Sell_History!$B:$B,B143)=0,"",SUMIFS(Sell_History!$E:$E,Sell_History!$A:$A,A143,Sell_History!$B:$B,B143)))</f>
        <v/>
      </c>
      <c r="G143" s="9" t="str">
        <f>IF(C143="","",IFERROR(INDEX(Buy_History!$E:$E,MATCH(C143,Buy_History!$A:$A,0)),""))</f>
        <v/>
      </c>
      <c r="H143" s="9" t="str">
        <f>IF(C143="","",IFERROR(SUMIFS(Raw_Observations!$D:$D,Raw_Observations!$A:$A,C143,Raw_Observations!$B:$B,B143),""))</f>
        <v/>
      </c>
      <c r="I143" s="9" t="str">
        <f t="shared" si="24"/>
        <v/>
      </c>
      <c r="J143" s="9">
        <f>IFERROR(LOOKUP(2,1/((Order_History!$A$2:$A$200=A143)*(Order_History!$B$2:$B$200=B143)*(Order_History!$E$2:$E$200&lt;=E143)),Order_History!$G$2:$G$200),"")</f>
        <v>0</v>
      </c>
      <c r="K143" s="10" t="str">
        <f>IF(C143="","",IFERROR(SUMIFS(Pricing!$G:$G,Pricing!$A:$A,C143,Pricing!$B:$B,B143),""))</f>
        <v/>
      </c>
      <c r="L143" s="11" t="str">
        <f t="shared" si="25"/>
        <v/>
      </c>
      <c r="M143" s="7">
        <v>0</v>
      </c>
      <c r="N143" s="7">
        <v>0</v>
      </c>
      <c r="O143" s="11" t="str">
        <f t="shared" si="26"/>
        <v/>
      </c>
      <c r="P143" s="14" t="str">
        <f t="shared" si="27"/>
        <v/>
      </c>
      <c r="Q143" s="15" t="str">
        <f t="shared" si="28"/>
        <v/>
      </c>
      <c r="R143" s="12" t="str">
        <f t="shared" si="29"/>
        <v/>
      </c>
    </row>
    <row r="144" spans="1:18">
      <c r="A144" s="2" t="str">
        <f>IF(Sell_History!A144="","",Sell_History!A144)</f>
        <v/>
      </c>
      <c r="B144" s="2" t="str">
        <f>IF(Sell_History!B144="","",Sell_History!B144)</f>
        <v/>
      </c>
      <c r="C144" s="8" t="str">
        <f>IF(A144="","",IFERROR(INDEX(Buy_History!#REF!,MATCH(A144,Buy_History!$A:$A,0)),A144))</f>
        <v/>
      </c>
      <c r="D144" s="13" t="str">
        <f>IF(C144="","",IFERROR(INDEX(Buy_History!$C:$C,MATCH(C144,Buy_History!$A:$A,0)),""))</f>
        <v/>
      </c>
      <c r="E144" s="13" t="str">
        <f>IF(A144="","",IFERROR(SUMIFS(Sell_History!$D:$D,Sell_History!$A:$A,A144,Sell_History!$B:$B,B144),""))</f>
        <v/>
      </c>
      <c r="F144" s="9" t="str">
        <f>IF(A144="","",IF(SUMIFS(Sell_History!$E:$E,Sell_History!$A:$A,A144,Sell_History!$B:$B,B144)=0,"",SUMIFS(Sell_History!$E:$E,Sell_History!$A:$A,A144,Sell_History!$B:$B,B144)))</f>
        <v/>
      </c>
      <c r="G144" s="9" t="str">
        <f>IF(C144="","",IFERROR(INDEX(Buy_History!$E:$E,MATCH(C144,Buy_History!$A:$A,0)),""))</f>
        <v/>
      </c>
      <c r="H144" s="9" t="str">
        <f>IF(C144="","",IFERROR(SUMIFS(Raw_Observations!$D:$D,Raw_Observations!$A:$A,C144,Raw_Observations!$B:$B,B144),""))</f>
        <v/>
      </c>
      <c r="I144" s="9" t="str">
        <f t="shared" si="24"/>
        <v/>
      </c>
      <c r="J144" s="9">
        <f>IFERROR(LOOKUP(2,1/((Order_History!$A$2:$A$200=A144)*(Order_History!$B$2:$B$200=B144)*(Order_History!$E$2:$E$200&lt;=E144)),Order_History!$G$2:$G$200),"")</f>
        <v>0</v>
      </c>
      <c r="K144" s="10" t="str">
        <f>IF(C144="","",IFERROR(SUMIFS(Pricing!$G:$G,Pricing!$A:$A,C144,Pricing!$B:$B,B144),""))</f>
        <v/>
      </c>
      <c r="L144" s="11" t="str">
        <f t="shared" si="25"/>
        <v/>
      </c>
      <c r="M144" s="7">
        <v>0</v>
      </c>
      <c r="N144" s="7">
        <v>0</v>
      </c>
      <c r="O144" s="11" t="str">
        <f t="shared" si="26"/>
        <v/>
      </c>
      <c r="P144" s="14" t="str">
        <f t="shared" si="27"/>
        <v/>
      </c>
      <c r="Q144" s="15" t="str">
        <f t="shared" si="28"/>
        <v/>
      </c>
      <c r="R144" s="12" t="str">
        <f t="shared" si="29"/>
        <v/>
      </c>
    </row>
    <row r="145" spans="1:18">
      <c r="A145" s="2" t="str">
        <f>IF(Sell_History!A145="","",Sell_History!A145)</f>
        <v/>
      </c>
      <c r="B145" s="2" t="str">
        <f>IF(Sell_History!B145="","",Sell_History!B145)</f>
        <v/>
      </c>
      <c r="C145" s="8" t="str">
        <f>IF(A145="","",IFERROR(INDEX(Buy_History!#REF!,MATCH(A145,Buy_History!$A:$A,0)),A145))</f>
        <v/>
      </c>
      <c r="D145" s="13" t="str">
        <f>IF(C145="","",IFERROR(INDEX(Buy_History!$C:$C,MATCH(C145,Buy_History!$A:$A,0)),""))</f>
        <v/>
      </c>
      <c r="E145" s="13" t="str">
        <f>IF(A145="","",IFERROR(SUMIFS(Sell_History!$D:$D,Sell_History!$A:$A,A145,Sell_History!$B:$B,B145),""))</f>
        <v/>
      </c>
      <c r="F145" s="9" t="str">
        <f>IF(A145="","",IF(SUMIFS(Sell_History!$E:$E,Sell_History!$A:$A,A145,Sell_History!$B:$B,B145)=0,"",SUMIFS(Sell_History!$E:$E,Sell_History!$A:$A,A145,Sell_History!$B:$B,B145)))</f>
        <v/>
      </c>
      <c r="G145" s="9" t="str">
        <f>IF(C145="","",IFERROR(INDEX(Buy_History!$E:$E,MATCH(C145,Buy_History!$A:$A,0)),""))</f>
        <v/>
      </c>
      <c r="H145" s="9" t="str">
        <f>IF(C145="","",IFERROR(SUMIFS(Raw_Observations!$D:$D,Raw_Observations!$A:$A,C145,Raw_Observations!$B:$B,B145),""))</f>
        <v/>
      </c>
      <c r="I145" s="9" t="str">
        <f t="shared" si="24"/>
        <v/>
      </c>
      <c r="J145" s="9">
        <f>IFERROR(LOOKUP(2,1/((Order_History!$A$2:$A$200=A145)*(Order_History!$B$2:$B$200=B145)*(Order_History!$E$2:$E$200&lt;=E145)),Order_History!$G$2:$G$200),"")</f>
        <v>0</v>
      </c>
      <c r="K145" s="10" t="str">
        <f>IF(C145="","",IFERROR(SUMIFS(Pricing!$G:$G,Pricing!$A:$A,C145,Pricing!$B:$B,B145),""))</f>
        <v/>
      </c>
      <c r="L145" s="11" t="str">
        <f t="shared" si="25"/>
        <v/>
      </c>
      <c r="M145" s="7">
        <v>0</v>
      </c>
      <c r="N145" s="7">
        <v>0</v>
      </c>
      <c r="O145" s="11" t="str">
        <f t="shared" si="26"/>
        <v/>
      </c>
      <c r="P145" s="14" t="str">
        <f t="shared" si="27"/>
        <v/>
      </c>
      <c r="Q145" s="15" t="str">
        <f t="shared" si="28"/>
        <v/>
      </c>
      <c r="R145" s="12" t="str">
        <f t="shared" si="29"/>
        <v/>
      </c>
    </row>
    <row r="146" spans="1:18">
      <c r="A146" s="2" t="str">
        <f>IF(Sell_History!A146="","",Sell_History!A146)</f>
        <v/>
      </c>
      <c r="B146" s="2" t="str">
        <f>IF(Sell_History!B146="","",Sell_History!B146)</f>
        <v/>
      </c>
      <c r="C146" s="8" t="str">
        <f>IF(A146="","",IFERROR(INDEX(Buy_History!#REF!,MATCH(A146,Buy_History!$A:$A,0)),A146))</f>
        <v/>
      </c>
      <c r="D146" s="13" t="str">
        <f>IF(C146="","",IFERROR(INDEX(Buy_History!$C:$C,MATCH(C146,Buy_History!$A:$A,0)),""))</f>
        <v/>
      </c>
      <c r="E146" s="13" t="str">
        <f>IF(A146="","",IFERROR(SUMIFS(Sell_History!$D:$D,Sell_History!$A:$A,A146,Sell_History!$B:$B,B146),""))</f>
        <v/>
      </c>
      <c r="F146" s="9" t="str">
        <f>IF(A146="","",IF(SUMIFS(Sell_History!$E:$E,Sell_History!$A:$A,A146,Sell_History!$B:$B,B146)=0,"",SUMIFS(Sell_History!$E:$E,Sell_History!$A:$A,A146,Sell_History!$B:$B,B146)))</f>
        <v/>
      </c>
      <c r="G146" s="9" t="str">
        <f>IF(C146="","",IFERROR(INDEX(Buy_History!$E:$E,MATCH(C146,Buy_History!$A:$A,0)),""))</f>
        <v/>
      </c>
      <c r="H146" s="9" t="str">
        <f>IF(C146="","",IFERROR(SUMIFS(Raw_Observations!$D:$D,Raw_Observations!$A:$A,C146,Raw_Observations!$B:$B,B146),""))</f>
        <v/>
      </c>
      <c r="I146" s="9" t="str">
        <f t="shared" si="24"/>
        <v/>
      </c>
      <c r="J146" s="9">
        <f>IFERROR(LOOKUP(2,1/((Order_History!$A$2:$A$200=A146)*(Order_History!$B$2:$B$200=B146)*(Order_History!$E$2:$E$200&lt;=E146)),Order_History!$G$2:$G$200),"")</f>
        <v>0</v>
      </c>
      <c r="K146" s="10" t="str">
        <f>IF(C146="","",IFERROR(SUMIFS(Pricing!$G:$G,Pricing!$A:$A,C146,Pricing!$B:$B,B146),""))</f>
        <v/>
      </c>
      <c r="L146" s="11" t="str">
        <f t="shared" si="25"/>
        <v/>
      </c>
      <c r="M146" s="7">
        <v>0</v>
      </c>
      <c r="N146" s="7">
        <v>0</v>
      </c>
      <c r="O146" s="11" t="str">
        <f t="shared" si="26"/>
        <v/>
      </c>
      <c r="P146" s="14" t="str">
        <f t="shared" si="27"/>
        <v/>
      </c>
      <c r="Q146" s="15" t="str">
        <f t="shared" si="28"/>
        <v/>
      </c>
      <c r="R146" s="12" t="str">
        <f t="shared" si="29"/>
        <v/>
      </c>
    </row>
    <row r="147" spans="1:18">
      <c r="A147" s="2" t="str">
        <f>IF(Sell_History!A147="","",Sell_History!A147)</f>
        <v/>
      </c>
      <c r="B147" s="2" t="str">
        <f>IF(Sell_History!B147="","",Sell_History!B147)</f>
        <v/>
      </c>
      <c r="C147" s="8" t="str">
        <f>IF(A147="","",IFERROR(INDEX(Buy_History!#REF!,MATCH(A147,Buy_History!$A:$A,0)),A147))</f>
        <v/>
      </c>
      <c r="D147" s="13" t="str">
        <f>IF(C147="","",IFERROR(INDEX(Buy_History!$C:$C,MATCH(C147,Buy_History!$A:$A,0)),""))</f>
        <v/>
      </c>
      <c r="E147" s="13" t="str">
        <f>IF(A147="","",IFERROR(SUMIFS(Sell_History!$D:$D,Sell_History!$A:$A,A147,Sell_History!$B:$B,B147),""))</f>
        <v/>
      </c>
      <c r="F147" s="9" t="str">
        <f>IF(A147="","",IF(SUMIFS(Sell_History!$E:$E,Sell_History!$A:$A,A147,Sell_History!$B:$B,B147)=0,"",SUMIFS(Sell_History!$E:$E,Sell_History!$A:$A,A147,Sell_History!$B:$B,B147)))</f>
        <v/>
      </c>
      <c r="G147" s="9" t="str">
        <f>IF(C147="","",IFERROR(INDEX(Buy_History!$E:$E,MATCH(C147,Buy_History!$A:$A,0)),""))</f>
        <v/>
      </c>
      <c r="H147" s="9" t="str">
        <f>IF(C147="","",IFERROR(SUMIFS(Raw_Observations!$D:$D,Raw_Observations!$A:$A,C147,Raw_Observations!$B:$B,B147),""))</f>
        <v/>
      </c>
      <c r="I147" s="9" t="str">
        <f t="shared" si="24"/>
        <v/>
      </c>
      <c r="J147" s="9">
        <f>IFERROR(LOOKUP(2,1/((Order_History!$A$2:$A$200=A147)*(Order_History!$B$2:$B$200=B147)*(Order_History!$E$2:$E$200&lt;=E147)),Order_History!$G$2:$G$200),"")</f>
        <v>0</v>
      </c>
      <c r="K147" s="10" t="str">
        <f>IF(C147="","",IFERROR(SUMIFS(Pricing!$G:$G,Pricing!$A:$A,C147,Pricing!$B:$B,B147),""))</f>
        <v/>
      </c>
      <c r="L147" s="11" t="str">
        <f t="shared" si="25"/>
        <v/>
      </c>
      <c r="M147" s="7">
        <v>0</v>
      </c>
      <c r="N147" s="7">
        <v>0</v>
      </c>
      <c r="O147" s="11" t="str">
        <f t="shared" si="26"/>
        <v/>
      </c>
      <c r="P147" s="14" t="str">
        <f t="shared" si="27"/>
        <v/>
      </c>
      <c r="Q147" s="15" t="str">
        <f t="shared" si="28"/>
        <v/>
      </c>
      <c r="R147" s="12" t="str">
        <f t="shared" si="29"/>
        <v/>
      </c>
    </row>
    <row r="148" spans="1:18">
      <c r="A148" s="2" t="str">
        <f>IF(Sell_History!A148="","",Sell_History!A148)</f>
        <v/>
      </c>
      <c r="B148" s="2" t="str">
        <f>IF(Sell_History!B148="","",Sell_History!B148)</f>
        <v/>
      </c>
      <c r="C148" s="8" t="str">
        <f>IF(A148="","",IFERROR(INDEX(Buy_History!#REF!,MATCH(A148,Buy_History!$A:$A,0)),A148))</f>
        <v/>
      </c>
      <c r="D148" s="13" t="str">
        <f>IF(C148="","",IFERROR(INDEX(Buy_History!$C:$C,MATCH(C148,Buy_History!$A:$A,0)),""))</f>
        <v/>
      </c>
      <c r="E148" s="13" t="str">
        <f>IF(A148="","",IFERROR(SUMIFS(Sell_History!$D:$D,Sell_History!$A:$A,A148,Sell_History!$B:$B,B148),""))</f>
        <v/>
      </c>
      <c r="F148" s="9" t="str">
        <f>IF(A148="","",IF(SUMIFS(Sell_History!$E:$E,Sell_History!$A:$A,A148,Sell_History!$B:$B,B148)=0,"",SUMIFS(Sell_History!$E:$E,Sell_History!$A:$A,A148,Sell_History!$B:$B,B148)))</f>
        <v/>
      </c>
      <c r="G148" s="9" t="str">
        <f>IF(C148="","",IFERROR(INDEX(Buy_History!$E:$E,MATCH(C148,Buy_History!$A:$A,0)),""))</f>
        <v/>
      </c>
      <c r="H148" s="9" t="str">
        <f>IF(C148="","",IFERROR(SUMIFS(Raw_Observations!$D:$D,Raw_Observations!$A:$A,C148,Raw_Observations!$B:$B,B148),""))</f>
        <v/>
      </c>
      <c r="I148" s="9" t="str">
        <f t="shared" si="24"/>
        <v/>
      </c>
      <c r="J148" s="9">
        <f>IFERROR(LOOKUP(2,1/((Order_History!$A$2:$A$200=A148)*(Order_History!$B$2:$B$200=B148)*(Order_History!$E$2:$E$200&lt;=E148)),Order_History!$G$2:$G$200),"")</f>
        <v>0</v>
      </c>
      <c r="K148" s="10" t="str">
        <f>IF(C148="","",IFERROR(SUMIFS(Pricing!$G:$G,Pricing!$A:$A,C148,Pricing!$B:$B,B148),""))</f>
        <v/>
      </c>
      <c r="L148" s="11" t="str">
        <f t="shared" si="25"/>
        <v/>
      </c>
      <c r="M148" s="7">
        <v>0</v>
      </c>
      <c r="N148" s="7">
        <v>0</v>
      </c>
      <c r="O148" s="11" t="str">
        <f t="shared" si="26"/>
        <v/>
      </c>
      <c r="P148" s="14" t="str">
        <f t="shared" si="27"/>
        <v/>
      </c>
      <c r="Q148" s="15" t="str">
        <f t="shared" si="28"/>
        <v/>
      </c>
      <c r="R148" s="12" t="str">
        <f t="shared" si="29"/>
        <v/>
      </c>
    </row>
    <row r="149" spans="1:18">
      <c r="A149" s="2" t="str">
        <f>IF(Sell_History!A149="","",Sell_History!A149)</f>
        <v/>
      </c>
      <c r="B149" s="2" t="str">
        <f>IF(Sell_History!B149="","",Sell_History!B149)</f>
        <v/>
      </c>
      <c r="C149" s="8" t="str">
        <f>IF(A149="","",IFERROR(INDEX(Buy_History!#REF!,MATCH(A149,Buy_History!$A:$A,0)),A149))</f>
        <v/>
      </c>
      <c r="D149" s="13" t="str">
        <f>IF(C149="","",IFERROR(INDEX(Buy_History!$C:$C,MATCH(C149,Buy_History!$A:$A,0)),""))</f>
        <v/>
      </c>
      <c r="E149" s="13" t="str">
        <f>IF(A149="","",IFERROR(SUMIFS(Sell_History!$D:$D,Sell_History!$A:$A,A149,Sell_History!$B:$B,B149),""))</f>
        <v/>
      </c>
      <c r="F149" s="9" t="str">
        <f>IF(A149="","",IF(SUMIFS(Sell_History!$E:$E,Sell_History!$A:$A,A149,Sell_History!$B:$B,B149)=0,"",SUMIFS(Sell_History!$E:$E,Sell_History!$A:$A,A149,Sell_History!$B:$B,B149)))</f>
        <v/>
      </c>
      <c r="G149" s="9" t="str">
        <f>IF(C149="","",IFERROR(INDEX(Buy_History!$E:$E,MATCH(C149,Buy_History!$A:$A,0)),""))</f>
        <v/>
      </c>
      <c r="H149" s="9" t="str">
        <f>IF(C149="","",IFERROR(SUMIFS(Raw_Observations!$D:$D,Raw_Observations!$A:$A,C149,Raw_Observations!$B:$B,B149),""))</f>
        <v/>
      </c>
      <c r="I149" s="9" t="str">
        <f t="shared" si="24"/>
        <v/>
      </c>
      <c r="J149" s="9">
        <f>IFERROR(LOOKUP(2,1/((Order_History!$A$2:$A$200=A149)*(Order_History!$B$2:$B$200=B149)*(Order_History!$E$2:$E$200&lt;=E149)),Order_History!$G$2:$G$200),"")</f>
        <v>0</v>
      </c>
      <c r="K149" s="10" t="str">
        <f>IF(C149="","",IFERROR(SUMIFS(Pricing!$G:$G,Pricing!$A:$A,C149,Pricing!$B:$B,B149),""))</f>
        <v/>
      </c>
      <c r="L149" s="11" t="str">
        <f t="shared" si="25"/>
        <v/>
      </c>
      <c r="M149" s="7">
        <v>0</v>
      </c>
      <c r="N149" s="7">
        <v>0</v>
      </c>
      <c r="O149" s="11" t="str">
        <f t="shared" si="26"/>
        <v/>
      </c>
      <c r="P149" s="14" t="str">
        <f t="shared" si="27"/>
        <v/>
      </c>
      <c r="Q149" s="15" t="str">
        <f t="shared" si="28"/>
        <v/>
      </c>
      <c r="R149" s="12" t="str">
        <f t="shared" si="29"/>
        <v/>
      </c>
    </row>
    <row r="150" spans="1:18">
      <c r="A150" s="2" t="str">
        <f>IF(Sell_History!A150="","",Sell_History!A150)</f>
        <v/>
      </c>
      <c r="B150" s="2" t="str">
        <f>IF(Sell_History!B150="","",Sell_History!B150)</f>
        <v/>
      </c>
      <c r="C150" s="8" t="str">
        <f>IF(A150="","",IFERROR(INDEX(Buy_History!#REF!,MATCH(A150,Buy_History!$A:$A,0)),A150))</f>
        <v/>
      </c>
      <c r="D150" s="13" t="str">
        <f>IF(C150="","",IFERROR(INDEX(Buy_History!$C:$C,MATCH(C150,Buy_History!$A:$A,0)),""))</f>
        <v/>
      </c>
      <c r="E150" s="13" t="str">
        <f>IF(A150="","",IFERROR(SUMIFS(Sell_History!$D:$D,Sell_History!$A:$A,A150,Sell_History!$B:$B,B150),""))</f>
        <v/>
      </c>
      <c r="F150" s="9" t="str">
        <f>IF(A150="","",IF(SUMIFS(Sell_History!$E:$E,Sell_History!$A:$A,A150,Sell_History!$B:$B,B150)=0,"",SUMIFS(Sell_History!$E:$E,Sell_History!$A:$A,A150,Sell_History!$B:$B,B150)))</f>
        <v/>
      </c>
      <c r="G150" s="9" t="str">
        <f>IF(C150="","",IFERROR(INDEX(Buy_History!$E:$E,MATCH(C150,Buy_History!$A:$A,0)),""))</f>
        <v/>
      </c>
      <c r="H150" s="9" t="str">
        <f>IF(C150="","",IFERROR(SUMIFS(Raw_Observations!$D:$D,Raw_Observations!$A:$A,C150,Raw_Observations!$B:$B,B150),""))</f>
        <v/>
      </c>
      <c r="I150" s="9" t="str">
        <f t="shared" si="24"/>
        <v/>
      </c>
      <c r="J150" s="9">
        <f>IFERROR(LOOKUP(2,1/((Order_History!$A$2:$A$200=A150)*(Order_History!$B$2:$B$200=B150)*(Order_History!$E$2:$E$200&lt;=E150)),Order_History!$G$2:$G$200),"")</f>
        <v>0</v>
      </c>
      <c r="K150" s="10" t="str">
        <f>IF(C150="","",IFERROR(SUMIFS(Pricing!$G:$G,Pricing!$A:$A,C150,Pricing!$B:$B,B150),""))</f>
        <v/>
      </c>
      <c r="L150" s="11" t="str">
        <f t="shared" si="25"/>
        <v/>
      </c>
      <c r="M150" s="7">
        <v>0</v>
      </c>
      <c r="N150" s="7">
        <v>0</v>
      </c>
      <c r="O150" s="11" t="str">
        <f t="shared" si="26"/>
        <v/>
      </c>
      <c r="P150" s="14" t="str">
        <f t="shared" si="27"/>
        <v/>
      </c>
      <c r="Q150" s="15" t="str">
        <f t="shared" si="28"/>
        <v/>
      </c>
      <c r="R150" s="12" t="str">
        <f t="shared" si="29"/>
        <v/>
      </c>
    </row>
    <row r="151" spans="1:18">
      <c r="A151" s="2" t="str">
        <f>IF(Sell_History!A151="","",Sell_History!A151)</f>
        <v/>
      </c>
      <c r="B151" s="2" t="str">
        <f>IF(Sell_History!B151="","",Sell_History!B151)</f>
        <v/>
      </c>
      <c r="C151" s="8" t="str">
        <f>IF(A151="","",IFERROR(INDEX(Buy_History!#REF!,MATCH(A151,Buy_History!$A:$A,0)),A151))</f>
        <v/>
      </c>
      <c r="D151" s="13" t="str">
        <f>IF(C151="","",IFERROR(INDEX(Buy_History!$C:$C,MATCH(C151,Buy_History!$A:$A,0)),""))</f>
        <v/>
      </c>
      <c r="E151" s="13" t="str">
        <f>IF(A151="","",IFERROR(SUMIFS(Sell_History!$D:$D,Sell_History!$A:$A,A151,Sell_History!$B:$B,B151),""))</f>
        <v/>
      </c>
      <c r="F151" s="9" t="str">
        <f>IF(A151="","",IF(SUMIFS(Sell_History!$E:$E,Sell_History!$A:$A,A151,Sell_History!$B:$B,B151)=0,"",SUMIFS(Sell_History!$E:$E,Sell_History!$A:$A,A151,Sell_History!$B:$B,B151)))</f>
        <v/>
      </c>
      <c r="G151" s="9" t="str">
        <f>IF(C151="","",IFERROR(INDEX(Buy_History!$E:$E,MATCH(C151,Buy_History!$A:$A,0)),""))</f>
        <v/>
      </c>
      <c r="H151" s="9" t="str">
        <f>IF(C151="","",IFERROR(SUMIFS(Raw_Observations!$D:$D,Raw_Observations!$A:$A,C151,Raw_Observations!$B:$B,B151),""))</f>
        <v/>
      </c>
      <c r="I151" s="9" t="str">
        <f t="shared" si="24"/>
        <v/>
      </c>
      <c r="J151" s="9">
        <f>IFERROR(LOOKUP(2,1/((Order_History!$A$2:$A$200=A151)*(Order_History!$B$2:$B$200=B151)*(Order_History!$E$2:$E$200&lt;=E151)),Order_History!$G$2:$G$200),"")</f>
        <v>0</v>
      </c>
      <c r="K151" s="10" t="str">
        <f>IF(C151="","",IFERROR(SUMIFS(Pricing!$G:$G,Pricing!$A:$A,C151,Pricing!$B:$B,B151),""))</f>
        <v/>
      </c>
      <c r="L151" s="11" t="str">
        <f t="shared" si="25"/>
        <v/>
      </c>
      <c r="M151" s="7">
        <v>0</v>
      </c>
      <c r="N151" s="7">
        <v>0</v>
      </c>
      <c r="O151" s="11" t="str">
        <f t="shared" si="26"/>
        <v/>
      </c>
      <c r="P151" s="14" t="str">
        <f t="shared" si="27"/>
        <v/>
      </c>
      <c r="Q151" s="15" t="str">
        <f t="shared" si="28"/>
        <v/>
      </c>
      <c r="R151" s="12" t="str">
        <f t="shared" si="29"/>
        <v/>
      </c>
    </row>
    <row r="152" spans="1:18">
      <c r="A152" s="2" t="str">
        <f>IF(Sell_History!A152="","",Sell_History!A152)</f>
        <v/>
      </c>
      <c r="B152" s="2" t="str">
        <f>IF(Sell_History!B152="","",Sell_History!B152)</f>
        <v/>
      </c>
      <c r="C152" s="8" t="str">
        <f>IF(A152="","",IFERROR(INDEX(Buy_History!#REF!,MATCH(A152,Buy_History!$A:$A,0)),A152))</f>
        <v/>
      </c>
      <c r="D152" s="13" t="str">
        <f>IF(C152="","",IFERROR(INDEX(Buy_History!$C:$C,MATCH(C152,Buy_History!$A:$A,0)),""))</f>
        <v/>
      </c>
      <c r="E152" s="13" t="str">
        <f>IF(A152="","",IFERROR(SUMIFS(Sell_History!$D:$D,Sell_History!$A:$A,A152,Sell_History!$B:$B,B152),""))</f>
        <v/>
      </c>
      <c r="F152" s="9" t="str">
        <f>IF(A152="","",IF(SUMIFS(Sell_History!$E:$E,Sell_History!$A:$A,A152,Sell_History!$B:$B,B152)=0,"",SUMIFS(Sell_History!$E:$E,Sell_History!$A:$A,A152,Sell_History!$B:$B,B152)))</f>
        <v/>
      </c>
      <c r="G152" s="9" t="str">
        <f>IF(C152="","",IFERROR(INDEX(Buy_History!$E:$E,MATCH(C152,Buy_History!$A:$A,0)),""))</f>
        <v/>
      </c>
      <c r="H152" s="9" t="str">
        <f>IF(C152="","",IFERROR(SUMIFS(Raw_Observations!$D:$D,Raw_Observations!$A:$A,C152,Raw_Observations!$B:$B,B152),""))</f>
        <v/>
      </c>
      <c r="I152" s="9" t="str">
        <f t="shared" si="24"/>
        <v/>
      </c>
      <c r="J152" s="9">
        <f>IFERROR(LOOKUP(2,1/((Order_History!$A$2:$A$200=A152)*(Order_History!$B$2:$B$200=B152)*(Order_History!$E$2:$E$200&lt;=E152)),Order_History!$G$2:$G$200),"")</f>
        <v>0</v>
      </c>
      <c r="K152" s="10" t="str">
        <f>IF(C152="","",IFERROR(SUMIFS(Pricing!$G:$G,Pricing!$A:$A,C152,Pricing!$B:$B,B152),""))</f>
        <v/>
      </c>
      <c r="L152" s="11" t="str">
        <f t="shared" si="25"/>
        <v/>
      </c>
      <c r="M152" s="7">
        <v>0</v>
      </c>
      <c r="N152" s="7">
        <v>0</v>
      </c>
      <c r="O152" s="11" t="str">
        <f t="shared" si="26"/>
        <v/>
      </c>
      <c r="P152" s="14" t="str">
        <f t="shared" si="27"/>
        <v/>
      </c>
      <c r="Q152" s="15" t="str">
        <f t="shared" si="28"/>
        <v/>
      </c>
      <c r="R152" s="12" t="str">
        <f t="shared" si="29"/>
        <v/>
      </c>
    </row>
    <row r="153" spans="1:18">
      <c r="A153" s="2" t="str">
        <f>IF(Sell_History!A153="","",Sell_History!A153)</f>
        <v/>
      </c>
      <c r="B153" s="2" t="str">
        <f>IF(Sell_History!B153="","",Sell_History!B153)</f>
        <v/>
      </c>
      <c r="C153" s="8" t="str">
        <f>IF(A153="","",IFERROR(INDEX(Buy_History!#REF!,MATCH(A153,Buy_History!$A:$A,0)),A153))</f>
        <v/>
      </c>
      <c r="D153" s="13" t="str">
        <f>IF(C153="","",IFERROR(INDEX(Buy_History!$C:$C,MATCH(C153,Buy_History!$A:$A,0)),""))</f>
        <v/>
      </c>
      <c r="E153" s="13" t="str">
        <f>IF(A153="","",IFERROR(SUMIFS(Sell_History!$D:$D,Sell_History!$A:$A,A153,Sell_History!$B:$B,B153),""))</f>
        <v/>
      </c>
      <c r="F153" s="9" t="str">
        <f>IF(A153="","",IF(SUMIFS(Sell_History!$E:$E,Sell_History!$A:$A,A153,Sell_History!$B:$B,B153)=0,"",SUMIFS(Sell_History!$E:$E,Sell_History!$A:$A,A153,Sell_History!$B:$B,B153)))</f>
        <v/>
      </c>
      <c r="G153" s="9" t="str">
        <f>IF(C153="","",IFERROR(INDEX(Buy_History!$E:$E,MATCH(C153,Buy_History!$A:$A,0)),""))</f>
        <v/>
      </c>
      <c r="H153" s="9" t="str">
        <f>IF(C153="","",IFERROR(SUMIFS(Raw_Observations!$D:$D,Raw_Observations!$A:$A,C153,Raw_Observations!$B:$B,B153),""))</f>
        <v/>
      </c>
      <c r="I153" s="9" t="str">
        <f t="shared" si="24"/>
        <v/>
      </c>
      <c r="J153" s="9">
        <f>IFERROR(LOOKUP(2,1/((Order_History!$A$2:$A$200=A153)*(Order_History!$B$2:$B$200=B153)*(Order_History!$E$2:$E$200&lt;=E153)),Order_History!$G$2:$G$200),"")</f>
        <v>0</v>
      </c>
      <c r="K153" s="10" t="str">
        <f>IF(C153="","",IFERROR(SUMIFS(Pricing!$G:$G,Pricing!$A:$A,C153,Pricing!$B:$B,B153),""))</f>
        <v/>
      </c>
      <c r="L153" s="11" t="str">
        <f t="shared" si="25"/>
        <v/>
      </c>
      <c r="M153" s="7">
        <v>0</v>
      </c>
      <c r="N153" s="7">
        <v>0</v>
      </c>
      <c r="O153" s="11" t="str">
        <f t="shared" si="26"/>
        <v/>
      </c>
      <c r="P153" s="14" t="str">
        <f t="shared" si="27"/>
        <v/>
      </c>
      <c r="Q153" s="15" t="str">
        <f t="shared" si="28"/>
        <v/>
      </c>
      <c r="R153" s="12" t="str">
        <f t="shared" si="29"/>
        <v/>
      </c>
    </row>
    <row r="154" spans="1:18">
      <c r="A154" s="2" t="str">
        <f>IF(Sell_History!A154="","",Sell_History!A154)</f>
        <v/>
      </c>
      <c r="B154" s="2" t="str">
        <f>IF(Sell_History!B154="","",Sell_History!B154)</f>
        <v/>
      </c>
      <c r="C154" s="8" t="str">
        <f>IF(A154="","",IFERROR(INDEX(Buy_History!#REF!,MATCH(A154,Buy_History!$A:$A,0)),A154))</f>
        <v/>
      </c>
      <c r="D154" s="13" t="str">
        <f>IF(C154="","",IFERROR(INDEX(Buy_History!$C:$C,MATCH(C154,Buy_History!$A:$A,0)),""))</f>
        <v/>
      </c>
      <c r="E154" s="13" t="str">
        <f>IF(A154="","",IFERROR(SUMIFS(Sell_History!$D:$D,Sell_History!$A:$A,A154,Sell_History!$B:$B,B154),""))</f>
        <v/>
      </c>
      <c r="F154" s="9" t="str">
        <f>IF(A154="","",IF(SUMIFS(Sell_History!$E:$E,Sell_History!$A:$A,A154,Sell_History!$B:$B,B154)=0,"",SUMIFS(Sell_History!$E:$E,Sell_History!$A:$A,A154,Sell_History!$B:$B,B154)))</f>
        <v/>
      </c>
      <c r="G154" s="9" t="str">
        <f>IF(C154="","",IFERROR(INDEX(Buy_History!$E:$E,MATCH(C154,Buy_History!$A:$A,0)),""))</f>
        <v/>
      </c>
      <c r="H154" s="9" t="str">
        <f>IF(C154="","",IFERROR(SUMIFS(Raw_Observations!$D:$D,Raw_Observations!$A:$A,C154,Raw_Observations!$B:$B,B154),""))</f>
        <v/>
      </c>
      <c r="I154" s="9" t="str">
        <f t="shared" si="24"/>
        <v/>
      </c>
      <c r="J154" s="9">
        <f>IFERROR(LOOKUP(2,1/((Order_History!$A$2:$A$200=A154)*(Order_History!$B$2:$B$200=B154)*(Order_History!$E$2:$E$200&lt;=E154)),Order_History!$G$2:$G$200),"")</f>
        <v>0</v>
      </c>
      <c r="K154" s="10" t="str">
        <f>IF(C154="","",IFERROR(SUMIFS(Pricing!$G:$G,Pricing!$A:$A,C154,Pricing!$B:$B,B154),""))</f>
        <v/>
      </c>
      <c r="L154" s="11" t="str">
        <f t="shared" si="25"/>
        <v/>
      </c>
      <c r="M154" s="7">
        <v>0</v>
      </c>
      <c r="N154" s="7">
        <v>0</v>
      </c>
      <c r="O154" s="11" t="str">
        <f t="shared" si="26"/>
        <v/>
      </c>
      <c r="P154" s="14" t="str">
        <f t="shared" si="27"/>
        <v/>
      </c>
      <c r="Q154" s="15" t="str">
        <f t="shared" si="28"/>
        <v/>
      </c>
      <c r="R154" s="12" t="str">
        <f t="shared" si="29"/>
        <v/>
      </c>
    </row>
    <row r="155" spans="1:18">
      <c r="A155" s="2" t="str">
        <f>IF(Sell_History!A155="","",Sell_History!A155)</f>
        <v/>
      </c>
      <c r="B155" s="2" t="str">
        <f>IF(Sell_History!B155="","",Sell_History!B155)</f>
        <v/>
      </c>
      <c r="C155" s="8" t="str">
        <f>IF(A155="","",IFERROR(INDEX(Buy_History!#REF!,MATCH(A155,Buy_History!$A:$A,0)),A155))</f>
        <v/>
      </c>
      <c r="D155" s="13" t="str">
        <f>IF(C155="","",IFERROR(INDEX(Buy_History!$C:$C,MATCH(C155,Buy_History!$A:$A,0)),""))</f>
        <v/>
      </c>
      <c r="E155" s="13" t="str">
        <f>IF(A155="","",IFERROR(SUMIFS(Sell_History!$D:$D,Sell_History!$A:$A,A155,Sell_History!$B:$B,B155),""))</f>
        <v/>
      </c>
      <c r="F155" s="9" t="str">
        <f>IF(A155="","",IF(SUMIFS(Sell_History!$E:$E,Sell_History!$A:$A,A155,Sell_History!$B:$B,B155)=0,"",SUMIFS(Sell_History!$E:$E,Sell_History!$A:$A,A155,Sell_History!$B:$B,B155)))</f>
        <v/>
      </c>
      <c r="G155" s="9" t="str">
        <f>IF(C155="","",IFERROR(INDEX(Buy_History!$E:$E,MATCH(C155,Buy_History!$A:$A,0)),""))</f>
        <v/>
      </c>
      <c r="H155" s="9" t="str">
        <f>IF(C155="","",IFERROR(SUMIFS(Raw_Observations!$D:$D,Raw_Observations!$A:$A,C155,Raw_Observations!$B:$B,B155),""))</f>
        <v/>
      </c>
      <c r="I155" s="9" t="str">
        <f t="shared" si="24"/>
        <v/>
      </c>
      <c r="J155" s="9">
        <f>IFERROR(LOOKUP(2,1/((Order_History!$A$2:$A$200=A155)*(Order_History!$B$2:$B$200=B155)*(Order_History!$E$2:$E$200&lt;=E155)),Order_History!$G$2:$G$200),"")</f>
        <v>0</v>
      </c>
      <c r="K155" s="10" t="str">
        <f>IF(C155="","",IFERROR(SUMIFS(Pricing!$G:$G,Pricing!$A:$A,C155,Pricing!$B:$B,B155),""))</f>
        <v/>
      </c>
      <c r="L155" s="11" t="str">
        <f t="shared" si="25"/>
        <v/>
      </c>
      <c r="M155" s="7">
        <v>0</v>
      </c>
      <c r="N155" s="7">
        <v>0</v>
      </c>
      <c r="O155" s="11" t="str">
        <f t="shared" si="26"/>
        <v/>
      </c>
      <c r="P155" s="14" t="str">
        <f t="shared" si="27"/>
        <v/>
      </c>
      <c r="Q155" s="15" t="str">
        <f t="shared" si="28"/>
        <v/>
      </c>
      <c r="R155" s="12" t="str">
        <f t="shared" si="29"/>
        <v/>
      </c>
    </row>
    <row r="156" spans="1:18">
      <c r="A156" s="2" t="str">
        <f>IF(Sell_History!A156="","",Sell_History!A156)</f>
        <v/>
      </c>
      <c r="B156" s="2" t="str">
        <f>IF(Sell_History!B156="","",Sell_History!B156)</f>
        <v/>
      </c>
      <c r="C156" s="8" t="str">
        <f>IF(A156="","",IFERROR(INDEX(Buy_History!#REF!,MATCH(A156,Buy_History!$A:$A,0)),A156))</f>
        <v/>
      </c>
      <c r="D156" s="13" t="str">
        <f>IF(C156="","",IFERROR(INDEX(Buy_History!$C:$C,MATCH(C156,Buy_History!$A:$A,0)),""))</f>
        <v/>
      </c>
      <c r="E156" s="13" t="str">
        <f>IF(A156="","",IFERROR(SUMIFS(Sell_History!$D:$D,Sell_History!$A:$A,A156,Sell_History!$B:$B,B156),""))</f>
        <v/>
      </c>
      <c r="F156" s="9" t="str">
        <f>IF(A156="","",IF(SUMIFS(Sell_History!$E:$E,Sell_History!$A:$A,A156,Sell_History!$B:$B,B156)=0,"",SUMIFS(Sell_History!$E:$E,Sell_History!$A:$A,A156,Sell_History!$B:$B,B156)))</f>
        <v/>
      </c>
      <c r="G156" s="9" t="str">
        <f>IF(C156="","",IFERROR(INDEX(Buy_History!$E:$E,MATCH(C156,Buy_History!$A:$A,0)),""))</f>
        <v/>
      </c>
      <c r="H156" s="9" t="str">
        <f>IF(C156="","",IFERROR(SUMIFS(Raw_Observations!$D:$D,Raw_Observations!$A:$A,C156,Raw_Observations!$B:$B,B156),""))</f>
        <v/>
      </c>
      <c r="I156" s="9" t="str">
        <f t="shared" si="24"/>
        <v/>
      </c>
      <c r="J156" s="9">
        <f>IFERROR(LOOKUP(2,1/((Order_History!$A$2:$A$200=A156)*(Order_History!$B$2:$B$200=B156)*(Order_History!$E$2:$E$200&lt;=E156)),Order_History!$G$2:$G$200),"")</f>
        <v>0</v>
      </c>
      <c r="K156" s="10" t="str">
        <f>IF(C156="","",IFERROR(SUMIFS(Pricing!$G:$G,Pricing!$A:$A,C156,Pricing!$B:$B,B156),""))</f>
        <v/>
      </c>
      <c r="L156" s="11" t="str">
        <f t="shared" si="25"/>
        <v/>
      </c>
      <c r="M156" s="7">
        <v>0</v>
      </c>
      <c r="N156" s="7">
        <v>0</v>
      </c>
      <c r="O156" s="11" t="str">
        <f t="shared" si="26"/>
        <v/>
      </c>
      <c r="P156" s="14" t="str">
        <f t="shared" si="27"/>
        <v/>
      </c>
      <c r="Q156" s="15" t="str">
        <f t="shared" si="28"/>
        <v/>
      </c>
      <c r="R156" s="12" t="str">
        <f t="shared" si="29"/>
        <v/>
      </c>
    </row>
    <row r="157" spans="1:18">
      <c r="A157" s="2" t="str">
        <f>IF(Sell_History!A157="","",Sell_History!A157)</f>
        <v/>
      </c>
      <c r="B157" s="2" t="str">
        <f>IF(Sell_History!B157="","",Sell_History!B157)</f>
        <v/>
      </c>
      <c r="C157" s="8" t="str">
        <f>IF(A157="","",IFERROR(INDEX(Buy_History!#REF!,MATCH(A157,Buy_History!$A:$A,0)),A157))</f>
        <v/>
      </c>
      <c r="D157" s="13" t="str">
        <f>IF(C157="","",IFERROR(INDEX(Buy_History!$C:$C,MATCH(C157,Buy_History!$A:$A,0)),""))</f>
        <v/>
      </c>
      <c r="E157" s="13" t="str">
        <f>IF(A157="","",IFERROR(SUMIFS(Sell_History!$D:$D,Sell_History!$A:$A,A157,Sell_History!$B:$B,B157),""))</f>
        <v/>
      </c>
      <c r="F157" s="9" t="str">
        <f>IF(A157="","",IF(SUMIFS(Sell_History!$E:$E,Sell_History!$A:$A,A157,Sell_History!$B:$B,B157)=0,"",SUMIFS(Sell_History!$E:$E,Sell_History!$A:$A,A157,Sell_History!$B:$B,B157)))</f>
        <v/>
      </c>
      <c r="G157" s="9" t="str">
        <f>IF(C157="","",IFERROR(INDEX(Buy_History!$E:$E,MATCH(C157,Buy_History!$A:$A,0)),""))</f>
        <v/>
      </c>
      <c r="H157" s="9" t="str">
        <f>IF(C157="","",IFERROR(SUMIFS(Raw_Observations!$D:$D,Raw_Observations!$A:$A,C157,Raw_Observations!$B:$B,B157),""))</f>
        <v/>
      </c>
      <c r="I157" s="9" t="str">
        <f t="shared" si="24"/>
        <v/>
      </c>
      <c r="J157" s="9">
        <f>IFERROR(LOOKUP(2,1/((Order_History!$A$2:$A$200=A157)*(Order_History!$B$2:$B$200=B157)*(Order_History!$E$2:$E$200&lt;=E157)),Order_History!$G$2:$G$200),"")</f>
        <v>0</v>
      </c>
      <c r="K157" s="10" t="str">
        <f>IF(C157="","",IFERROR(SUMIFS(Pricing!$G:$G,Pricing!$A:$A,C157,Pricing!$B:$B,B157),""))</f>
        <v/>
      </c>
      <c r="L157" s="11" t="str">
        <f t="shared" si="25"/>
        <v/>
      </c>
      <c r="M157" s="7">
        <v>0</v>
      </c>
      <c r="N157" s="7">
        <v>0</v>
      </c>
      <c r="O157" s="11" t="str">
        <f t="shared" si="26"/>
        <v/>
      </c>
      <c r="P157" s="14" t="str">
        <f t="shared" si="27"/>
        <v/>
      </c>
      <c r="Q157" s="15" t="str">
        <f t="shared" si="28"/>
        <v/>
      </c>
      <c r="R157" s="12" t="str">
        <f t="shared" si="29"/>
        <v/>
      </c>
    </row>
    <row r="158" spans="1:18">
      <c r="A158" s="2" t="str">
        <f>IF(Sell_History!A158="","",Sell_History!A158)</f>
        <v/>
      </c>
      <c r="B158" s="2" t="str">
        <f>IF(Sell_History!B158="","",Sell_History!B158)</f>
        <v/>
      </c>
      <c r="C158" s="8" t="str">
        <f>IF(A158="","",IFERROR(INDEX(Buy_History!#REF!,MATCH(A158,Buy_History!$A:$A,0)),A158))</f>
        <v/>
      </c>
      <c r="D158" s="13" t="str">
        <f>IF(C158="","",IFERROR(INDEX(Buy_History!$C:$C,MATCH(C158,Buy_History!$A:$A,0)),""))</f>
        <v/>
      </c>
      <c r="E158" s="13" t="str">
        <f>IF(A158="","",IFERROR(SUMIFS(Sell_History!$D:$D,Sell_History!$A:$A,A158,Sell_History!$B:$B,B158),""))</f>
        <v/>
      </c>
      <c r="F158" s="9" t="str">
        <f>IF(A158="","",IF(SUMIFS(Sell_History!$E:$E,Sell_History!$A:$A,A158,Sell_History!$B:$B,B158)=0,"",SUMIFS(Sell_History!$E:$E,Sell_History!$A:$A,A158,Sell_History!$B:$B,B158)))</f>
        <v/>
      </c>
      <c r="G158" s="9" t="str">
        <f>IF(C158="","",IFERROR(INDEX(Buy_History!$E:$E,MATCH(C158,Buy_History!$A:$A,0)),""))</f>
        <v/>
      </c>
      <c r="H158" s="9" t="str">
        <f>IF(C158="","",IFERROR(SUMIFS(Raw_Observations!$D:$D,Raw_Observations!$A:$A,C158,Raw_Observations!$B:$B,B158),""))</f>
        <v/>
      </c>
      <c r="I158" s="9" t="str">
        <f t="shared" si="24"/>
        <v/>
      </c>
      <c r="J158" s="9">
        <f>IFERROR(LOOKUP(2,1/((Order_History!$A$2:$A$200=A158)*(Order_History!$B$2:$B$200=B158)*(Order_History!$E$2:$E$200&lt;=E158)),Order_History!$G$2:$G$200),"")</f>
        <v>0</v>
      </c>
      <c r="K158" s="10" t="str">
        <f>IF(C158="","",IFERROR(SUMIFS(Pricing!$G:$G,Pricing!$A:$A,C158,Pricing!$B:$B,B158),""))</f>
        <v/>
      </c>
      <c r="L158" s="11" t="str">
        <f t="shared" si="25"/>
        <v/>
      </c>
      <c r="M158" s="7">
        <v>0</v>
      </c>
      <c r="N158" s="7">
        <v>0</v>
      </c>
      <c r="O158" s="11" t="str">
        <f t="shared" si="26"/>
        <v/>
      </c>
      <c r="P158" s="14" t="str">
        <f t="shared" si="27"/>
        <v/>
      </c>
      <c r="Q158" s="15" t="str">
        <f t="shared" si="28"/>
        <v/>
      </c>
      <c r="R158" s="12" t="str">
        <f t="shared" si="29"/>
        <v/>
      </c>
    </row>
    <row r="159" spans="1:18">
      <c r="A159" s="2" t="str">
        <f>IF(Sell_History!A159="","",Sell_History!A159)</f>
        <v/>
      </c>
      <c r="B159" s="2" t="str">
        <f>IF(Sell_History!B159="","",Sell_History!B159)</f>
        <v/>
      </c>
      <c r="C159" s="8" t="str">
        <f>IF(A159="","",IFERROR(INDEX(Buy_History!#REF!,MATCH(A159,Buy_History!$A:$A,0)),A159))</f>
        <v/>
      </c>
      <c r="D159" s="13" t="str">
        <f>IF(C159="","",IFERROR(INDEX(Buy_History!$C:$C,MATCH(C159,Buy_History!$A:$A,0)),""))</f>
        <v/>
      </c>
      <c r="E159" s="13" t="str">
        <f>IF(A159="","",IFERROR(SUMIFS(Sell_History!$D:$D,Sell_History!$A:$A,A159,Sell_History!$B:$B,B159),""))</f>
        <v/>
      </c>
      <c r="F159" s="9" t="str">
        <f>IF(A159="","",IF(SUMIFS(Sell_History!$E:$E,Sell_History!$A:$A,A159,Sell_History!$B:$B,B159)=0,"",SUMIFS(Sell_History!$E:$E,Sell_History!$A:$A,A159,Sell_History!$B:$B,B159)))</f>
        <v/>
      </c>
      <c r="G159" s="9" t="str">
        <f>IF(C159="","",IFERROR(INDEX(Buy_History!$E:$E,MATCH(C159,Buy_History!$A:$A,0)),""))</f>
        <v/>
      </c>
      <c r="H159" s="9" t="str">
        <f>IF(C159="","",IFERROR(SUMIFS(Raw_Observations!$D:$D,Raw_Observations!$A:$A,C159,Raw_Observations!$B:$B,B159),""))</f>
        <v/>
      </c>
      <c r="I159" s="9" t="str">
        <f t="shared" si="24"/>
        <v/>
      </c>
      <c r="J159" s="9">
        <f>IFERROR(LOOKUP(2,1/((Order_History!$A$2:$A$200=A159)*(Order_History!$B$2:$B$200=B159)*(Order_History!$E$2:$E$200&lt;=E159)),Order_History!$G$2:$G$200),"")</f>
        <v>0</v>
      </c>
      <c r="K159" s="10" t="str">
        <f>IF(C159="","",IFERROR(SUMIFS(Pricing!$G:$G,Pricing!$A:$A,C159,Pricing!$B:$B,B159),""))</f>
        <v/>
      </c>
      <c r="L159" s="11" t="str">
        <f t="shared" si="25"/>
        <v/>
      </c>
      <c r="M159" s="7">
        <v>0</v>
      </c>
      <c r="N159" s="7">
        <v>0</v>
      </c>
      <c r="O159" s="11" t="str">
        <f t="shared" si="26"/>
        <v/>
      </c>
      <c r="P159" s="14" t="str">
        <f t="shared" si="27"/>
        <v/>
      </c>
      <c r="Q159" s="15" t="str">
        <f t="shared" si="28"/>
        <v/>
      </c>
      <c r="R159" s="12" t="str">
        <f t="shared" si="29"/>
        <v/>
      </c>
    </row>
    <row r="160" spans="1:18">
      <c r="A160" s="2" t="str">
        <f>IF(Sell_History!A160="","",Sell_History!A160)</f>
        <v/>
      </c>
      <c r="B160" s="2" t="str">
        <f>IF(Sell_History!B160="","",Sell_History!B160)</f>
        <v/>
      </c>
      <c r="C160" s="8" t="str">
        <f>IF(A160="","",IFERROR(INDEX(Buy_History!#REF!,MATCH(A160,Buy_History!$A:$A,0)),A160))</f>
        <v/>
      </c>
      <c r="D160" s="13" t="str">
        <f>IF(C160="","",IFERROR(INDEX(Buy_History!$C:$C,MATCH(C160,Buy_History!$A:$A,0)),""))</f>
        <v/>
      </c>
      <c r="E160" s="13" t="str">
        <f>IF(A160="","",IFERROR(SUMIFS(Sell_History!$D:$D,Sell_History!$A:$A,A160,Sell_History!$B:$B,B160),""))</f>
        <v/>
      </c>
      <c r="F160" s="9" t="str">
        <f>IF(A160="","",IF(SUMIFS(Sell_History!$E:$E,Sell_History!$A:$A,A160,Sell_History!$B:$B,B160)=0,"",SUMIFS(Sell_History!$E:$E,Sell_History!$A:$A,A160,Sell_History!$B:$B,B160)))</f>
        <v/>
      </c>
      <c r="G160" s="9" t="str">
        <f>IF(C160="","",IFERROR(INDEX(Buy_History!$E:$E,MATCH(C160,Buy_History!$A:$A,0)),""))</f>
        <v/>
      </c>
      <c r="H160" s="9" t="str">
        <f>IF(C160="","",IFERROR(SUMIFS(Raw_Observations!$D:$D,Raw_Observations!$A:$A,C160,Raw_Observations!$B:$B,B160),""))</f>
        <v/>
      </c>
      <c r="I160" s="9" t="str">
        <f t="shared" si="24"/>
        <v/>
      </c>
      <c r="J160" s="9">
        <f>IFERROR(LOOKUP(2,1/((Order_History!$A$2:$A$200=A160)*(Order_History!$B$2:$B$200=B160)*(Order_History!$E$2:$E$200&lt;=E160)),Order_History!$G$2:$G$200),"")</f>
        <v>0</v>
      </c>
      <c r="K160" s="10" t="str">
        <f>IF(C160="","",IFERROR(SUMIFS(Pricing!$G:$G,Pricing!$A:$A,C160,Pricing!$B:$B,B160),""))</f>
        <v/>
      </c>
      <c r="L160" s="11" t="str">
        <f t="shared" si="25"/>
        <v/>
      </c>
      <c r="M160" s="7">
        <v>0</v>
      </c>
      <c r="N160" s="7">
        <v>0</v>
      </c>
      <c r="O160" s="11" t="str">
        <f t="shared" si="26"/>
        <v/>
      </c>
      <c r="P160" s="14" t="str">
        <f t="shared" si="27"/>
        <v/>
      </c>
      <c r="Q160" s="15" t="str">
        <f t="shared" si="28"/>
        <v/>
      </c>
      <c r="R160" s="12" t="str">
        <f t="shared" si="29"/>
        <v/>
      </c>
    </row>
    <row r="161" spans="1:18">
      <c r="A161" s="2" t="str">
        <f>IF(Sell_History!A161="","",Sell_History!A161)</f>
        <v/>
      </c>
      <c r="B161" s="2" t="str">
        <f>IF(Sell_History!B161="","",Sell_History!B161)</f>
        <v/>
      </c>
      <c r="C161" s="8" t="str">
        <f>IF(A161="","",IFERROR(INDEX(Buy_History!#REF!,MATCH(A161,Buy_History!$A:$A,0)),A161))</f>
        <v/>
      </c>
      <c r="D161" s="13" t="str">
        <f>IF(C161="","",IFERROR(INDEX(Buy_History!$C:$C,MATCH(C161,Buy_History!$A:$A,0)),""))</f>
        <v/>
      </c>
      <c r="E161" s="13" t="str">
        <f>IF(A161="","",IFERROR(SUMIFS(Sell_History!$D:$D,Sell_History!$A:$A,A161,Sell_History!$B:$B,B161),""))</f>
        <v/>
      </c>
      <c r="F161" s="9" t="str">
        <f>IF(A161="","",IF(SUMIFS(Sell_History!$E:$E,Sell_History!$A:$A,A161,Sell_History!$B:$B,B161)=0,"",SUMIFS(Sell_History!$E:$E,Sell_History!$A:$A,A161,Sell_History!$B:$B,B161)))</f>
        <v/>
      </c>
      <c r="G161" s="9" t="str">
        <f>IF(C161="","",IFERROR(INDEX(Buy_History!$E:$E,MATCH(C161,Buy_History!$A:$A,0)),""))</f>
        <v/>
      </c>
      <c r="H161" s="9" t="str">
        <f>IF(C161="","",IFERROR(SUMIFS(Raw_Observations!$D:$D,Raw_Observations!$A:$A,C161,Raw_Observations!$B:$B,B161),""))</f>
        <v/>
      </c>
      <c r="I161" s="9" t="str">
        <f t="shared" si="24"/>
        <v/>
      </c>
      <c r="J161" s="9">
        <f>IFERROR(LOOKUP(2,1/((Order_History!$A$2:$A$200=A161)*(Order_History!$B$2:$B$200=B161)*(Order_History!$E$2:$E$200&lt;=E161)),Order_History!$G$2:$G$200),"")</f>
        <v>0</v>
      </c>
      <c r="K161" s="10" t="str">
        <f>IF(C161="","",IFERROR(SUMIFS(Pricing!$G:$G,Pricing!$A:$A,C161,Pricing!$B:$B,B161),""))</f>
        <v/>
      </c>
      <c r="L161" s="11" t="str">
        <f t="shared" si="25"/>
        <v/>
      </c>
      <c r="M161" s="7">
        <v>0</v>
      </c>
      <c r="N161" s="7">
        <v>0</v>
      </c>
      <c r="O161" s="11" t="str">
        <f t="shared" si="26"/>
        <v/>
      </c>
      <c r="P161" s="14" t="str">
        <f t="shared" si="27"/>
        <v/>
      </c>
      <c r="Q161" s="15" t="str">
        <f t="shared" si="28"/>
        <v/>
      </c>
      <c r="R161" s="12" t="str">
        <f t="shared" si="29"/>
        <v/>
      </c>
    </row>
    <row r="162" spans="1:18">
      <c r="A162" s="2" t="str">
        <f>IF(Sell_History!A162="","",Sell_History!A162)</f>
        <v/>
      </c>
      <c r="B162" s="2" t="str">
        <f>IF(Sell_History!B162="","",Sell_History!B162)</f>
        <v/>
      </c>
      <c r="C162" s="8" t="str">
        <f>IF(A162="","",IFERROR(INDEX(Buy_History!#REF!,MATCH(A162,Buy_History!$A:$A,0)),A162))</f>
        <v/>
      </c>
      <c r="D162" s="13" t="str">
        <f>IF(C162="","",IFERROR(INDEX(Buy_History!$C:$C,MATCH(C162,Buy_History!$A:$A,0)),""))</f>
        <v/>
      </c>
      <c r="E162" s="13" t="str">
        <f>IF(A162="","",IFERROR(SUMIFS(Sell_History!$D:$D,Sell_History!$A:$A,A162,Sell_History!$B:$B,B162),""))</f>
        <v/>
      </c>
      <c r="F162" s="9" t="str">
        <f>IF(A162="","",IF(SUMIFS(Sell_History!$E:$E,Sell_History!$A:$A,A162,Sell_History!$B:$B,B162)=0,"",SUMIFS(Sell_History!$E:$E,Sell_History!$A:$A,A162,Sell_History!$B:$B,B162)))</f>
        <v/>
      </c>
      <c r="G162" s="9" t="str">
        <f>IF(C162="","",IFERROR(INDEX(Buy_History!$E:$E,MATCH(C162,Buy_History!$A:$A,0)),""))</f>
        <v/>
      </c>
      <c r="H162" s="9" t="str">
        <f>IF(C162="","",IFERROR(SUMIFS(Raw_Observations!$D:$D,Raw_Observations!$A:$A,C162,Raw_Observations!$B:$B,B162),""))</f>
        <v/>
      </c>
      <c r="I162" s="9" t="str">
        <f t="shared" ref="I162:I193" si="30">IF(H162="","",IF(OR(F162="",G162="",G162=0),H162,H162*F162/G162))</f>
        <v/>
      </c>
      <c r="J162" s="9">
        <f>IFERROR(LOOKUP(2,1/((Order_History!$A$2:$A$200=A162)*(Order_History!$B$2:$B$200=B162)*(Order_History!$E$2:$E$200&lt;=E162)),Order_History!$G$2:$G$200),"")</f>
        <v>0</v>
      </c>
      <c r="K162" s="10" t="str">
        <f>IF(C162="","",IFERROR(SUMIFS(Pricing!$G:$G,Pricing!$A:$A,C162,Pricing!$B:$B,B162),""))</f>
        <v/>
      </c>
      <c r="L162" s="11" t="str">
        <f t="shared" ref="L162:L193" si="31">IF(OR(I162="",J162=""),"",J162-I162)</f>
        <v/>
      </c>
      <c r="M162" s="7">
        <v>0</v>
      </c>
      <c r="N162" s="7">
        <v>0</v>
      </c>
      <c r="O162" s="11" t="str">
        <f t="shared" ref="O162:O193" si="32">IF(L162="","",L162-M162-N162)</f>
        <v/>
      </c>
      <c r="P162" s="14" t="str">
        <f t="shared" ref="P162:P193" si="33">IF(OR(O162="",I162=""),"",O162/I162)</f>
        <v/>
      </c>
      <c r="Q162" s="15" t="str">
        <f t="shared" ref="Q162:Q193" si="34">IF(OR(D162="",E162=""),"",MAX(1,ROUNDUP(E162-D162,0)))</f>
        <v/>
      </c>
      <c r="R162" s="12" t="str">
        <f t="shared" ref="R162:R193" si="35">IF(OR(P162="",Q162=""),"",(1+P162)^(365/Q162)-1)</f>
        <v/>
      </c>
    </row>
    <row r="163" spans="1:18">
      <c r="A163" s="2" t="str">
        <f>IF(Sell_History!A163="","",Sell_History!A163)</f>
        <v/>
      </c>
      <c r="B163" s="2" t="str">
        <f>IF(Sell_History!B163="","",Sell_History!B163)</f>
        <v/>
      </c>
      <c r="C163" s="8" t="str">
        <f>IF(A163="","",IFERROR(INDEX(Buy_History!#REF!,MATCH(A163,Buy_History!$A:$A,0)),A163))</f>
        <v/>
      </c>
      <c r="D163" s="13" t="str">
        <f>IF(C163="","",IFERROR(INDEX(Buy_History!$C:$C,MATCH(C163,Buy_History!$A:$A,0)),""))</f>
        <v/>
      </c>
      <c r="E163" s="13" t="str">
        <f>IF(A163="","",IFERROR(SUMIFS(Sell_History!$D:$D,Sell_History!$A:$A,A163,Sell_History!$B:$B,B163),""))</f>
        <v/>
      </c>
      <c r="F163" s="9" t="str">
        <f>IF(A163="","",IF(SUMIFS(Sell_History!$E:$E,Sell_History!$A:$A,A163,Sell_History!$B:$B,B163)=0,"",SUMIFS(Sell_History!$E:$E,Sell_History!$A:$A,A163,Sell_History!$B:$B,B163)))</f>
        <v/>
      </c>
      <c r="G163" s="9" t="str">
        <f>IF(C163="","",IFERROR(INDEX(Buy_History!$E:$E,MATCH(C163,Buy_History!$A:$A,0)),""))</f>
        <v/>
      </c>
      <c r="H163" s="9" t="str">
        <f>IF(C163="","",IFERROR(SUMIFS(Raw_Observations!$D:$D,Raw_Observations!$A:$A,C163,Raw_Observations!$B:$B,B163),""))</f>
        <v/>
      </c>
      <c r="I163" s="9" t="str">
        <f t="shared" si="30"/>
        <v/>
      </c>
      <c r="J163" s="9">
        <f>IFERROR(LOOKUP(2,1/((Order_History!$A$2:$A$200=A163)*(Order_History!$B$2:$B$200=B163)*(Order_History!$E$2:$E$200&lt;=E163)),Order_History!$G$2:$G$200),"")</f>
        <v>0</v>
      </c>
      <c r="K163" s="10" t="str">
        <f>IF(C163="","",IFERROR(SUMIFS(Pricing!$G:$G,Pricing!$A:$A,C163,Pricing!$B:$B,B163),""))</f>
        <v/>
      </c>
      <c r="L163" s="11" t="str">
        <f t="shared" si="31"/>
        <v/>
      </c>
      <c r="M163" s="7">
        <v>0</v>
      </c>
      <c r="N163" s="7">
        <v>0</v>
      </c>
      <c r="O163" s="11" t="str">
        <f t="shared" si="32"/>
        <v/>
      </c>
      <c r="P163" s="14" t="str">
        <f t="shared" si="33"/>
        <v/>
      </c>
      <c r="Q163" s="15" t="str">
        <f t="shared" si="34"/>
        <v/>
      </c>
      <c r="R163" s="12" t="str">
        <f t="shared" si="35"/>
        <v/>
      </c>
    </row>
    <row r="164" spans="1:18">
      <c r="A164" s="2" t="str">
        <f>IF(Sell_History!A164="","",Sell_History!A164)</f>
        <v/>
      </c>
      <c r="B164" s="2" t="str">
        <f>IF(Sell_History!B164="","",Sell_History!B164)</f>
        <v/>
      </c>
      <c r="C164" s="8" t="str">
        <f>IF(A164="","",IFERROR(INDEX(Buy_History!#REF!,MATCH(A164,Buy_History!$A:$A,0)),A164))</f>
        <v/>
      </c>
      <c r="D164" s="13" t="str">
        <f>IF(C164="","",IFERROR(INDEX(Buy_History!$C:$C,MATCH(C164,Buy_History!$A:$A,0)),""))</f>
        <v/>
      </c>
      <c r="E164" s="13" t="str">
        <f>IF(A164="","",IFERROR(SUMIFS(Sell_History!$D:$D,Sell_History!$A:$A,A164,Sell_History!$B:$B,B164),""))</f>
        <v/>
      </c>
      <c r="F164" s="9" t="str">
        <f>IF(A164="","",IF(SUMIFS(Sell_History!$E:$E,Sell_History!$A:$A,A164,Sell_History!$B:$B,B164)=0,"",SUMIFS(Sell_History!$E:$E,Sell_History!$A:$A,A164,Sell_History!$B:$B,B164)))</f>
        <v/>
      </c>
      <c r="G164" s="9" t="str">
        <f>IF(C164="","",IFERROR(INDEX(Buy_History!$E:$E,MATCH(C164,Buy_History!$A:$A,0)),""))</f>
        <v/>
      </c>
      <c r="H164" s="9" t="str">
        <f>IF(C164="","",IFERROR(SUMIFS(Raw_Observations!$D:$D,Raw_Observations!$A:$A,C164,Raw_Observations!$B:$B,B164),""))</f>
        <v/>
      </c>
      <c r="I164" s="9" t="str">
        <f t="shared" si="30"/>
        <v/>
      </c>
      <c r="J164" s="9">
        <f>IFERROR(LOOKUP(2,1/((Order_History!$A$2:$A$200=A164)*(Order_History!$B$2:$B$200=B164)*(Order_History!$E$2:$E$200&lt;=E164)),Order_History!$G$2:$G$200),"")</f>
        <v>0</v>
      </c>
      <c r="K164" s="10" t="str">
        <f>IF(C164="","",IFERROR(SUMIFS(Pricing!$G:$G,Pricing!$A:$A,C164,Pricing!$B:$B,B164),""))</f>
        <v/>
      </c>
      <c r="L164" s="11" t="str">
        <f t="shared" si="31"/>
        <v/>
      </c>
      <c r="M164" s="7">
        <v>0</v>
      </c>
      <c r="N164" s="7">
        <v>0</v>
      </c>
      <c r="O164" s="11" t="str">
        <f t="shared" si="32"/>
        <v/>
      </c>
      <c r="P164" s="14" t="str">
        <f t="shared" si="33"/>
        <v/>
      </c>
      <c r="Q164" s="15" t="str">
        <f t="shared" si="34"/>
        <v/>
      </c>
      <c r="R164" s="12" t="str">
        <f t="shared" si="35"/>
        <v/>
      </c>
    </row>
    <row r="165" spans="1:18">
      <c r="A165" s="2" t="str">
        <f>IF(Sell_History!A165="","",Sell_History!A165)</f>
        <v/>
      </c>
      <c r="B165" s="2" t="str">
        <f>IF(Sell_History!B165="","",Sell_History!B165)</f>
        <v/>
      </c>
      <c r="C165" s="8" t="str">
        <f>IF(A165="","",IFERROR(INDEX(Buy_History!#REF!,MATCH(A165,Buy_History!$A:$A,0)),A165))</f>
        <v/>
      </c>
      <c r="D165" s="13" t="str">
        <f>IF(C165="","",IFERROR(INDEX(Buy_History!$C:$C,MATCH(C165,Buy_History!$A:$A,0)),""))</f>
        <v/>
      </c>
      <c r="E165" s="13" t="str">
        <f>IF(A165="","",IFERROR(SUMIFS(Sell_History!$D:$D,Sell_History!$A:$A,A165,Sell_History!$B:$B,B165),""))</f>
        <v/>
      </c>
      <c r="F165" s="9" t="str">
        <f>IF(A165="","",IF(SUMIFS(Sell_History!$E:$E,Sell_History!$A:$A,A165,Sell_History!$B:$B,B165)=0,"",SUMIFS(Sell_History!$E:$E,Sell_History!$A:$A,A165,Sell_History!$B:$B,B165)))</f>
        <v/>
      </c>
      <c r="G165" s="9" t="str">
        <f>IF(C165="","",IFERROR(INDEX(Buy_History!$E:$E,MATCH(C165,Buy_History!$A:$A,0)),""))</f>
        <v/>
      </c>
      <c r="H165" s="9" t="str">
        <f>IF(C165="","",IFERROR(SUMIFS(Raw_Observations!$D:$D,Raw_Observations!$A:$A,C165,Raw_Observations!$B:$B,B165),""))</f>
        <v/>
      </c>
      <c r="I165" s="9" t="str">
        <f t="shared" si="30"/>
        <v/>
      </c>
      <c r="J165" s="9">
        <f>IFERROR(LOOKUP(2,1/((Order_History!$A$2:$A$200=A165)*(Order_History!$B$2:$B$200=B165)*(Order_History!$E$2:$E$200&lt;=E165)),Order_History!$G$2:$G$200),"")</f>
        <v>0</v>
      </c>
      <c r="K165" s="10" t="str">
        <f>IF(C165="","",IFERROR(SUMIFS(Pricing!$G:$G,Pricing!$A:$A,C165,Pricing!$B:$B,B165),""))</f>
        <v/>
      </c>
      <c r="L165" s="11" t="str">
        <f t="shared" si="31"/>
        <v/>
      </c>
      <c r="M165" s="7">
        <v>0</v>
      </c>
      <c r="N165" s="7">
        <v>0</v>
      </c>
      <c r="O165" s="11" t="str">
        <f t="shared" si="32"/>
        <v/>
      </c>
      <c r="P165" s="14" t="str">
        <f t="shared" si="33"/>
        <v/>
      </c>
      <c r="Q165" s="15" t="str">
        <f t="shared" si="34"/>
        <v/>
      </c>
      <c r="R165" s="12" t="str">
        <f t="shared" si="35"/>
        <v/>
      </c>
    </row>
    <row r="166" spans="1:18">
      <c r="A166" s="2" t="str">
        <f>IF(Sell_History!A166="","",Sell_History!A166)</f>
        <v/>
      </c>
      <c r="B166" s="2" t="str">
        <f>IF(Sell_History!B166="","",Sell_History!B166)</f>
        <v/>
      </c>
      <c r="C166" s="8" t="str">
        <f>IF(A166="","",IFERROR(INDEX(Buy_History!#REF!,MATCH(A166,Buy_History!$A:$A,0)),A166))</f>
        <v/>
      </c>
      <c r="D166" s="13" t="str">
        <f>IF(C166="","",IFERROR(INDEX(Buy_History!$C:$C,MATCH(C166,Buy_History!$A:$A,0)),""))</f>
        <v/>
      </c>
      <c r="E166" s="13" t="str">
        <f>IF(A166="","",IFERROR(SUMIFS(Sell_History!$D:$D,Sell_History!$A:$A,A166,Sell_History!$B:$B,B166),""))</f>
        <v/>
      </c>
      <c r="F166" s="9" t="str">
        <f>IF(A166="","",IF(SUMIFS(Sell_History!$E:$E,Sell_History!$A:$A,A166,Sell_History!$B:$B,B166)=0,"",SUMIFS(Sell_History!$E:$E,Sell_History!$A:$A,A166,Sell_History!$B:$B,B166)))</f>
        <v/>
      </c>
      <c r="G166" s="9" t="str">
        <f>IF(C166="","",IFERROR(INDEX(Buy_History!$E:$E,MATCH(C166,Buy_History!$A:$A,0)),""))</f>
        <v/>
      </c>
      <c r="H166" s="9" t="str">
        <f>IF(C166="","",IFERROR(SUMIFS(Raw_Observations!$D:$D,Raw_Observations!$A:$A,C166,Raw_Observations!$B:$B,B166),""))</f>
        <v/>
      </c>
      <c r="I166" s="9" t="str">
        <f t="shared" si="30"/>
        <v/>
      </c>
      <c r="J166" s="9">
        <f>IFERROR(LOOKUP(2,1/((Order_History!$A$2:$A$200=A166)*(Order_History!$B$2:$B$200=B166)*(Order_History!$E$2:$E$200&lt;=E166)),Order_History!$G$2:$G$200),"")</f>
        <v>0</v>
      </c>
      <c r="K166" s="10" t="str">
        <f>IF(C166="","",IFERROR(SUMIFS(Pricing!$G:$G,Pricing!$A:$A,C166,Pricing!$B:$B,B166),""))</f>
        <v/>
      </c>
      <c r="L166" s="11" t="str">
        <f t="shared" si="31"/>
        <v/>
      </c>
      <c r="M166" s="7">
        <v>0</v>
      </c>
      <c r="N166" s="7">
        <v>0</v>
      </c>
      <c r="O166" s="11" t="str">
        <f t="shared" si="32"/>
        <v/>
      </c>
      <c r="P166" s="14" t="str">
        <f t="shared" si="33"/>
        <v/>
      </c>
      <c r="Q166" s="15" t="str">
        <f t="shared" si="34"/>
        <v/>
      </c>
      <c r="R166" s="12" t="str">
        <f t="shared" si="35"/>
        <v/>
      </c>
    </row>
    <row r="167" spans="1:18">
      <c r="A167" s="2" t="str">
        <f>IF(Sell_History!A167="","",Sell_History!A167)</f>
        <v/>
      </c>
      <c r="B167" s="2" t="str">
        <f>IF(Sell_History!B167="","",Sell_History!B167)</f>
        <v/>
      </c>
      <c r="C167" s="8" t="str">
        <f>IF(A167="","",IFERROR(INDEX(Buy_History!#REF!,MATCH(A167,Buy_History!$A:$A,0)),A167))</f>
        <v/>
      </c>
      <c r="D167" s="13" t="str">
        <f>IF(C167="","",IFERROR(INDEX(Buy_History!$C:$C,MATCH(C167,Buy_History!$A:$A,0)),""))</f>
        <v/>
      </c>
      <c r="E167" s="13" t="str">
        <f>IF(A167="","",IFERROR(SUMIFS(Sell_History!$D:$D,Sell_History!$A:$A,A167,Sell_History!$B:$B,B167),""))</f>
        <v/>
      </c>
      <c r="F167" s="9" t="str">
        <f>IF(A167="","",IF(SUMIFS(Sell_History!$E:$E,Sell_History!$A:$A,A167,Sell_History!$B:$B,B167)=0,"",SUMIFS(Sell_History!$E:$E,Sell_History!$A:$A,A167,Sell_History!$B:$B,B167)))</f>
        <v/>
      </c>
      <c r="G167" s="9" t="str">
        <f>IF(C167="","",IFERROR(INDEX(Buy_History!$E:$E,MATCH(C167,Buy_History!$A:$A,0)),""))</f>
        <v/>
      </c>
      <c r="H167" s="9" t="str">
        <f>IF(C167="","",IFERROR(SUMIFS(Raw_Observations!$D:$D,Raw_Observations!$A:$A,C167,Raw_Observations!$B:$B,B167),""))</f>
        <v/>
      </c>
      <c r="I167" s="9" t="str">
        <f t="shared" si="30"/>
        <v/>
      </c>
      <c r="J167" s="9">
        <f>IFERROR(LOOKUP(2,1/((Order_History!$A$2:$A$200=A167)*(Order_History!$B$2:$B$200=B167)*(Order_History!$E$2:$E$200&lt;=E167)),Order_History!$G$2:$G$200),"")</f>
        <v>0</v>
      </c>
      <c r="K167" s="10" t="str">
        <f>IF(C167="","",IFERROR(SUMIFS(Pricing!$G:$G,Pricing!$A:$A,C167,Pricing!$B:$B,B167),""))</f>
        <v/>
      </c>
      <c r="L167" s="11" t="str">
        <f t="shared" si="31"/>
        <v/>
      </c>
      <c r="M167" s="7">
        <v>0</v>
      </c>
      <c r="N167" s="7">
        <v>0</v>
      </c>
      <c r="O167" s="11" t="str">
        <f t="shared" si="32"/>
        <v/>
      </c>
      <c r="P167" s="14" t="str">
        <f t="shared" si="33"/>
        <v/>
      </c>
      <c r="Q167" s="15" t="str">
        <f t="shared" si="34"/>
        <v/>
      </c>
      <c r="R167" s="12" t="str">
        <f t="shared" si="35"/>
        <v/>
      </c>
    </row>
    <row r="168" spans="1:18">
      <c r="A168" s="2" t="str">
        <f>IF(Sell_History!A168="","",Sell_History!A168)</f>
        <v/>
      </c>
      <c r="B168" s="2" t="str">
        <f>IF(Sell_History!B168="","",Sell_History!B168)</f>
        <v/>
      </c>
      <c r="C168" s="8" t="str">
        <f>IF(A168="","",IFERROR(INDEX(Buy_History!#REF!,MATCH(A168,Buy_History!$A:$A,0)),A168))</f>
        <v/>
      </c>
      <c r="D168" s="13" t="str">
        <f>IF(C168="","",IFERROR(INDEX(Buy_History!$C:$C,MATCH(C168,Buy_History!$A:$A,0)),""))</f>
        <v/>
      </c>
      <c r="E168" s="13" t="str">
        <f>IF(A168="","",IFERROR(SUMIFS(Sell_History!$D:$D,Sell_History!$A:$A,A168,Sell_History!$B:$B,B168),""))</f>
        <v/>
      </c>
      <c r="F168" s="9" t="str">
        <f>IF(A168="","",IF(SUMIFS(Sell_History!$E:$E,Sell_History!$A:$A,A168,Sell_History!$B:$B,B168)=0,"",SUMIFS(Sell_History!$E:$E,Sell_History!$A:$A,A168,Sell_History!$B:$B,B168)))</f>
        <v/>
      </c>
      <c r="G168" s="9" t="str">
        <f>IF(C168="","",IFERROR(INDEX(Buy_History!$E:$E,MATCH(C168,Buy_History!$A:$A,0)),""))</f>
        <v/>
      </c>
      <c r="H168" s="9" t="str">
        <f>IF(C168="","",IFERROR(SUMIFS(Raw_Observations!$D:$D,Raw_Observations!$A:$A,C168,Raw_Observations!$B:$B,B168),""))</f>
        <v/>
      </c>
      <c r="I168" s="9" t="str">
        <f t="shared" si="30"/>
        <v/>
      </c>
      <c r="J168" s="9">
        <f>IFERROR(LOOKUP(2,1/((Order_History!$A$2:$A$200=A168)*(Order_History!$B$2:$B$200=B168)*(Order_History!$E$2:$E$200&lt;=E168)),Order_History!$G$2:$G$200),"")</f>
        <v>0</v>
      </c>
      <c r="K168" s="10" t="str">
        <f>IF(C168="","",IFERROR(SUMIFS(Pricing!$G:$G,Pricing!$A:$A,C168,Pricing!$B:$B,B168),""))</f>
        <v/>
      </c>
      <c r="L168" s="11" t="str">
        <f t="shared" si="31"/>
        <v/>
      </c>
      <c r="M168" s="7">
        <v>0</v>
      </c>
      <c r="N168" s="7">
        <v>0</v>
      </c>
      <c r="O168" s="11" t="str">
        <f t="shared" si="32"/>
        <v/>
      </c>
      <c r="P168" s="14" t="str">
        <f t="shared" si="33"/>
        <v/>
      </c>
      <c r="Q168" s="15" t="str">
        <f t="shared" si="34"/>
        <v/>
      </c>
      <c r="R168" s="12" t="str">
        <f t="shared" si="35"/>
        <v/>
      </c>
    </row>
    <row r="169" spans="1:18">
      <c r="A169" s="2" t="str">
        <f>IF(Sell_History!A169="","",Sell_History!A169)</f>
        <v/>
      </c>
      <c r="B169" s="2" t="str">
        <f>IF(Sell_History!B169="","",Sell_History!B169)</f>
        <v/>
      </c>
      <c r="C169" s="8" t="str">
        <f>IF(A169="","",IFERROR(INDEX(Buy_History!#REF!,MATCH(A169,Buy_History!$A:$A,0)),A169))</f>
        <v/>
      </c>
      <c r="D169" s="13" t="str">
        <f>IF(C169="","",IFERROR(INDEX(Buy_History!$C:$C,MATCH(C169,Buy_History!$A:$A,0)),""))</f>
        <v/>
      </c>
      <c r="E169" s="13" t="str">
        <f>IF(A169="","",IFERROR(SUMIFS(Sell_History!$D:$D,Sell_History!$A:$A,A169,Sell_History!$B:$B,B169),""))</f>
        <v/>
      </c>
      <c r="F169" s="9" t="str">
        <f>IF(A169="","",IF(SUMIFS(Sell_History!$E:$E,Sell_History!$A:$A,A169,Sell_History!$B:$B,B169)=0,"",SUMIFS(Sell_History!$E:$E,Sell_History!$A:$A,A169,Sell_History!$B:$B,B169)))</f>
        <v/>
      </c>
      <c r="G169" s="9" t="str">
        <f>IF(C169="","",IFERROR(INDEX(Buy_History!$E:$E,MATCH(C169,Buy_History!$A:$A,0)),""))</f>
        <v/>
      </c>
      <c r="H169" s="9" t="str">
        <f>IF(C169="","",IFERROR(SUMIFS(Raw_Observations!$D:$D,Raw_Observations!$A:$A,C169,Raw_Observations!$B:$B,B169),""))</f>
        <v/>
      </c>
      <c r="I169" s="9" t="str">
        <f t="shared" si="30"/>
        <v/>
      </c>
      <c r="J169" s="9">
        <f>IFERROR(LOOKUP(2,1/((Order_History!$A$2:$A$200=A169)*(Order_History!$B$2:$B$200=B169)*(Order_History!$E$2:$E$200&lt;=E169)),Order_History!$G$2:$G$200),"")</f>
        <v>0</v>
      </c>
      <c r="K169" s="10" t="str">
        <f>IF(C169="","",IFERROR(SUMIFS(Pricing!$G:$G,Pricing!$A:$A,C169,Pricing!$B:$B,B169),""))</f>
        <v/>
      </c>
      <c r="L169" s="11" t="str">
        <f t="shared" si="31"/>
        <v/>
      </c>
      <c r="M169" s="7">
        <v>0</v>
      </c>
      <c r="N169" s="7">
        <v>0</v>
      </c>
      <c r="O169" s="11" t="str">
        <f t="shared" si="32"/>
        <v/>
      </c>
      <c r="P169" s="14" t="str">
        <f t="shared" si="33"/>
        <v/>
      </c>
      <c r="Q169" s="15" t="str">
        <f t="shared" si="34"/>
        <v/>
      </c>
      <c r="R169" s="12" t="str">
        <f t="shared" si="35"/>
        <v/>
      </c>
    </row>
    <row r="170" spans="1:18">
      <c r="A170" s="2" t="str">
        <f>IF(Sell_History!A170="","",Sell_History!A170)</f>
        <v/>
      </c>
      <c r="B170" s="2" t="str">
        <f>IF(Sell_History!B170="","",Sell_History!B170)</f>
        <v/>
      </c>
      <c r="C170" s="8" t="str">
        <f>IF(A170="","",IFERROR(INDEX(Buy_History!#REF!,MATCH(A170,Buy_History!$A:$A,0)),A170))</f>
        <v/>
      </c>
      <c r="D170" s="13" t="str">
        <f>IF(C170="","",IFERROR(INDEX(Buy_History!$C:$C,MATCH(C170,Buy_History!$A:$A,0)),""))</f>
        <v/>
      </c>
      <c r="E170" s="13" t="str">
        <f>IF(A170="","",IFERROR(SUMIFS(Sell_History!$D:$D,Sell_History!$A:$A,A170,Sell_History!$B:$B,B170),""))</f>
        <v/>
      </c>
      <c r="F170" s="9" t="str">
        <f>IF(A170="","",IF(SUMIFS(Sell_History!$E:$E,Sell_History!$A:$A,A170,Sell_History!$B:$B,B170)=0,"",SUMIFS(Sell_History!$E:$E,Sell_History!$A:$A,A170,Sell_History!$B:$B,B170)))</f>
        <v/>
      </c>
      <c r="G170" s="9" t="str">
        <f>IF(C170="","",IFERROR(INDEX(Buy_History!$E:$E,MATCH(C170,Buy_History!$A:$A,0)),""))</f>
        <v/>
      </c>
      <c r="H170" s="9" t="str">
        <f>IF(C170="","",IFERROR(SUMIFS(Raw_Observations!$D:$D,Raw_Observations!$A:$A,C170,Raw_Observations!$B:$B,B170),""))</f>
        <v/>
      </c>
      <c r="I170" s="9" t="str">
        <f t="shared" si="30"/>
        <v/>
      </c>
      <c r="J170" s="9">
        <f>IFERROR(LOOKUP(2,1/((Order_History!$A$2:$A$200=A170)*(Order_History!$B$2:$B$200=B170)*(Order_History!$E$2:$E$200&lt;=E170)),Order_History!$G$2:$G$200),"")</f>
        <v>0</v>
      </c>
      <c r="K170" s="10" t="str">
        <f>IF(C170="","",IFERROR(SUMIFS(Pricing!$G:$G,Pricing!$A:$A,C170,Pricing!$B:$B,B170),""))</f>
        <v/>
      </c>
      <c r="L170" s="11" t="str">
        <f t="shared" si="31"/>
        <v/>
      </c>
      <c r="M170" s="7">
        <v>0</v>
      </c>
      <c r="N170" s="7">
        <v>0</v>
      </c>
      <c r="O170" s="11" t="str">
        <f t="shared" si="32"/>
        <v/>
      </c>
      <c r="P170" s="14" t="str">
        <f t="shared" si="33"/>
        <v/>
      </c>
      <c r="Q170" s="15" t="str">
        <f t="shared" si="34"/>
        <v/>
      </c>
      <c r="R170" s="12" t="str">
        <f t="shared" si="35"/>
        <v/>
      </c>
    </row>
    <row r="171" spans="1:18">
      <c r="A171" s="2" t="str">
        <f>IF(Sell_History!A171="","",Sell_History!A171)</f>
        <v/>
      </c>
      <c r="B171" s="2" t="str">
        <f>IF(Sell_History!B171="","",Sell_History!B171)</f>
        <v/>
      </c>
      <c r="C171" s="8" t="str">
        <f>IF(A171="","",IFERROR(INDEX(Buy_History!#REF!,MATCH(A171,Buy_History!$A:$A,0)),A171))</f>
        <v/>
      </c>
      <c r="D171" s="13" t="str">
        <f>IF(C171="","",IFERROR(INDEX(Buy_History!$C:$C,MATCH(C171,Buy_History!$A:$A,0)),""))</f>
        <v/>
      </c>
      <c r="E171" s="13" t="str">
        <f>IF(A171="","",IFERROR(SUMIFS(Sell_History!$D:$D,Sell_History!$A:$A,A171,Sell_History!$B:$B,B171),""))</f>
        <v/>
      </c>
      <c r="F171" s="9" t="str">
        <f>IF(A171="","",IF(SUMIFS(Sell_History!$E:$E,Sell_History!$A:$A,A171,Sell_History!$B:$B,B171)=0,"",SUMIFS(Sell_History!$E:$E,Sell_History!$A:$A,A171,Sell_History!$B:$B,B171)))</f>
        <v/>
      </c>
      <c r="G171" s="9" t="str">
        <f>IF(C171="","",IFERROR(INDEX(Buy_History!$E:$E,MATCH(C171,Buy_History!$A:$A,0)),""))</f>
        <v/>
      </c>
      <c r="H171" s="9" t="str">
        <f>IF(C171="","",IFERROR(SUMIFS(Raw_Observations!$D:$D,Raw_Observations!$A:$A,C171,Raw_Observations!$B:$B,B171),""))</f>
        <v/>
      </c>
      <c r="I171" s="9" t="str">
        <f t="shared" si="30"/>
        <v/>
      </c>
      <c r="J171" s="9">
        <f>IFERROR(LOOKUP(2,1/((Order_History!$A$2:$A$200=A171)*(Order_History!$B$2:$B$200=B171)*(Order_History!$E$2:$E$200&lt;=E171)),Order_History!$G$2:$G$200),"")</f>
        <v>0</v>
      </c>
      <c r="K171" s="10" t="str">
        <f>IF(C171="","",IFERROR(SUMIFS(Pricing!$G:$G,Pricing!$A:$A,C171,Pricing!$B:$B,B171),""))</f>
        <v/>
      </c>
      <c r="L171" s="11" t="str">
        <f t="shared" si="31"/>
        <v/>
      </c>
      <c r="M171" s="7">
        <v>0</v>
      </c>
      <c r="N171" s="7">
        <v>0</v>
      </c>
      <c r="O171" s="11" t="str">
        <f t="shared" si="32"/>
        <v/>
      </c>
      <c r="P171" s="14" t="str">
        <f t="shared" si="33"/>
        <v/>
      </c>
      <c r="Q171" s="15" t="str">
        <f t="shared" si="34"/>
        <v/>
      </c>
      <c r="R171" s="12" t="str">
        <f t="shared" si="35"/>
        <v/>
      </c>
    </row>
    <row r="172" spans="1:18">
      <c r="A172" s="2" t="str">
        <f>IF(Sell_History!A172="","",Sell_History!A172)</f>
        <v/>
      </c>
      <c r="B172" s="2" t="str">
        <f>IF(Sell_History!B172="","",Sell_History!B172)</f>
        <v/>
      </c>
      <c r="C172" s="8" t="str">
        <f>IF(A172="","",IFERROR(INDEX(Buy_History!#REF!,MATCH(A172,Buy_History!$A:$A,0)),A172))</f>
        <v/>
      </c>
      <c r="D172" s="13" t="str">
        <f>IF(C172="","",IFERROR(INDEX(Buy_History!$C:$C,MATCH(C172,Buy_History!$A:$A,0)),""))</f>
        <v/>
      </c>
      <c r="E172" s="13" t="str">
        <f>IF(A172="","",IFERROR(SUMIFS(Sell_History!$D:$D,Sell_History!$A:$A,A172,Sell_History!$B:$B,B172),""))</f>
        <v/>
      </c>
      <c r="F172" s="9" t="str">
        <f>IF(A172="","",IF(SUMIFS(Sell_History!$E:$E,Sell_History!$A:$A,A172,Sell_History!$B:$B,B172)=0,"",SUMIFS(Sell_History!$E:$E,Sell_History!$A:$A,A172,Sell_History!$B:$B,B172)))</f>
        <v/>
      </c>
      <c r="G172" s="9" t="str">
        <f>IF(C172="","",IFERROR(INDEX(Buy_History!$E:$E,MATCH(C172,Buy_History!$A:$A,0)),""))</f>
        <v/>
      </c>
      <c r="H172" s="9" t="str">
        <f>IF(C172="","",IFERROR(SUMIFS(Raw_Observations!$D:$D,Raw_Observations!$A:$A,C172,Raw_Observations!$B:$B,B172),""))</f>
        <v/>
      </c>
      <c r="I172" s="9" t="str">
        <f t="shared" si="30"/>
        <v/>
      </c>
      <c r="J172" s="9">
        <f>IFERROR(LOOKUP(2,1/((Order_History!$A$2:$A$200=A172)*(Order_History!$B$2:$B$200=B172)*(Order_History!$E$2:$E$200&lt;=E172)),Order_History!$G$2:$G$200),"")</f>
        <v>0</v>
      </c>
      <c r="K172" s="10" t="str">
        <f>IF(C172="","",IFERROR(SUMIFS(Pricing!$G:$G,Pricing!$A:$A,C172,Pricing!$B:$B,B172),""))</f>
        <v/>
      </c>
      <c r="L172" s="11" t="str">
        <f t="shared" si="31"/>
        <v/>
      </c>
      <c r="M172" s="7">
        <v>0</v>
      </c>
      <c r="N172" s="7">
        <v>0</v>
      </c>
      <c r="O172" s="11" t="str">
        <f t="shared" si="32"/>
        <v/>
      </c>
      <c r="P172" s="14" t="str">
        <f t="shared" si="33"/>
        <v/>
      </c>
      <c r="Q172" s="15" t="str">
        <f t="shared" si="34"/>
        <v/>
      </c>
      <c r="R172" s="12" t="str">
        <f t="shared" si="35"/>
        <v/>
      </c>
    </row>
    <row r="173" spans="1:18">
      <c r="A173" s="2" t="str">
        <f>IF(Sell_History!A173="","",Sell_History!A173)</f>
        <v/>
      </c>
      <c r="B173" s="2" t="str">
        <f>IF(Sell_History!B173="","",Sell_History!B173)</f>
        <v/>
      </c>
      <c r="C173" s="8" t="str">
        <f>IF(A173="","",IFERROR(INDEX(Buy_History!#REF!,MATCH(A173,Buy_History!$A:$A,0)),A173))</f>
        <v/>
      </c>
      <c r="D173" s="13" t="str">
        <f>IF(C173="","",IFERROR(INDEX(Buy_History!$C:$C,MATCH(C173,Buy_History!$A:$A,0)),""))</f>
        <v/>
      </c>
      <c r="E173" s="13" t="str">
        <f>IF(A173="","",IFERROR(SUMIFS(Sell_History!$D:$D,Sell_History!$A:$A,A173,Sell_History!$B:$B,B173),""))</f>
        <v/>
      </c>
      <c r="F173" s="9" t="str">
        <f>IF(A173="","",IF(SUMIFS(Sell_History!$E:$E,Sell_History!$A:$A,A173,Sell_History!$B:$B,B173)=0,"",SUMIFS(Sell_History!$E:$E,Sell_History!$A:$A,A173,Sell_History!$B:$B,B173)))</f>
        <v/>
      </c>
      <c r="G173" s="9" t="str">
        <f>IF(C173="","",IFERROR(INDEX(Buy_History!$E:$E,MATCH(C173,Buy_History!$A:$A,0)),""))</f>
        <v/>
      </c>
      <c r="H173" s="9" t="str">
        <f>IF(C173="","",IFERROR(SUMIFS(Raw_Observations!$D:$D,Raw_Observations!$A:$A,C173,Raw_Observations!$B:$B,B173),""))</f>
        <v/>
      </c>
      <c r="I173" s="9" t="str">
        <f t="shared" si="30"/>
        <v/>
      </c>
      <c r="J173" s="9">
        <f>IFERROR(LOOKUP(2,1/((Order_History!$A$2:$A$200=A173)*(Order_History!$B$2:$B$200=B173)*(Order_History!$E$2:$E$200&lt;=E173)),Order_History!$G$2:$G$200),"")</f>
        <v>0</v>
      </c>
      <c r="K173" s="10" t="str">
        <f>IF(C173="","",IFERROR(SUMIFS(Pricing!$G:$G,Pricing!$A:$A,C173,Pricing!$B:$B,B173),""))</f>
        <v/>
      </c>
      <c r="L173" s="11" t="str">
        <f t="shared" si="31"/>
        <v/>
      </c>
      <c r="M173" s="7">
        <v>0</v>
      </c>
      <c r="N173" s="7">
        <v>0</v>
      </c>
      <c r="O173" s="11" t="str">
        <f t="shared" si="32"/>
        <v/>
      </c>
      <c r="P173" s="14" t="str">
        <f t="shared" si="33"/>
        <v/>
      </c>
      <c r="Q173" s="15" t="str">
        <f t="shared" si="34"/>
        <v/>
      </c>
      <c r="R173" s="12" t="str">
        <f t="shared" si="35"/>
        <v/>
      </c>
    </row>
    <row r="174" spans="1:18">
      <c r="A174" s="2" t="str">
        <f>IF(Sell_History!A174="","",Sell_History!A174)</f>
        <v/>
      </c>
      <c r="B174" s="2" t="str">
        <f>IF(Sell_History!B174="","",Sell_History!B174)</f>
        <v/>
      </c>
      <c r="C174" s="8" t="str">
        <f>IF(A174="","",IFERROR(INDEX(Buy_History!#REF!,MATCH(A174,Buy_History!$A:$A,0)),A174))</f>
        <v/>
      </c>
      <c r="D174" s="13" t="str">
        <f>IF(C174="","",IFERROR(INDEX(Buy_History!$C:$C,MATCH(C174,Buy_History!$A:$A,0)),""))</f>
        <v/>
      </c>
      <c r="E174" s="13" t="str">
        <f>IF(A174="","",IFERROR(SUMIFS(Sell_History!$D:$D,Sell_History!$A:$A,A174,Sell_History!$B:$B,B174),""))</f>
        <v/>
      </c>
      <c r="F174" s="9" t="str">
        <f>IF(A174="","",IF(SUMIFS(Sell_History!$E:$E,Sell_History!$A:$A,A174,Sell_History!$B:$B,B174)=0,"",SUMIFS(Sell_History!$E:$E,Sell_History!$A:$A,A174,Sell_History!$B:$B,B174)))</f>
        <v/>
      </c>
      <c r="G174" s="9" t="str">
        <f>IF(C174="","",IFERROR(INDEX(Buy_History!$E:$E,MATCH(C174,Buy_History!$A:$A,0)),""))</f>
        <v/>
      </c>
      <c r="H174" s="9" t="str">
        <f>IF(C174="","",IFERROR(SUMIFS(Raw_Observations!$D:$D,Raw_Observations!$A:$A,C174,Raw_Observations!$B:$B,B174),""))</f>
        <v/>
      </c>
      <c r="I174" s="9" t="str">
        <f t="shared" si="30"/>
        <v/>
      </c>
      <c r="J174" s="9">
        <f>IFERROR(LOOKUP(2,1/((Order_History!$A$2:$A$200=A174)*(Order_History!$B$2:$B$200=B174)*(Order_History!$E$2:$E$200&lt;=E174)),Order_History!$G$2:$G$200),"")</f>
        <v>0</v>
      </c>
      <c r="K174" s="10" t="str">
        <f>IF(C174="","",IFERROR(SUMIFS(Pricing!$G:$G,Pricing!$A:$A,C174,Pricing!$B:$B,B174),""))</f>
        <v/>
      </c>
      <c r="L174" s="11" t="str">
        <f t="shared" si="31"/>
        <v/>
      </c>
      <c r="M174" s="7">
        <v>0</v>
      </c>
      <c r="N174" s="7">
        <v>0</v>
      </c>
      <c r="O174" s="11" t="str">
        <f t="shared" si="32"/>
        <v/>
      </c>
      <c r="P174" s="14" t="str">
        <f t="shared" si="33"/>
        <v/>
      </c>
      <c r="Q174" s="15" t="str">
        <f t="shared" si="34"/>
        <v/>
      </c>
      <c r="R174" s="12" t="str">
        <f t="shared" si="35"/>
        <v/>
      </c>
    </row>
    <row r="175" spans="1:18">
      <c r="A175" s="2" t="str">
        <f>IF(Sell_History!A175="","",Sell_History!A175)</f>
        <v/>
      </c>
      <c r="B175" s="2" t="str">
        <f>IF(Sell_History!B175="","",Sell_History!B175)</f>
        <v/>
      </c>
      <c r="C175" s="8" t="str">
        <f>IF(A175="","",IFERROR(INDEX(Buy_History!#REF!,MATCH(A175,Buy_History!$A:$A,0)),A175))</f>
        <v/>
      </c>
      <c r="D175" s="13" t="str">
        <f>IF(C175="","",IFERROR(INDEX(Buy_History!$C:$C,MATCH(C175,Buy_History!$A:$A,0)),""))</f>
        <v/>
      </c>
      <c r="E175" s="13" t="str">
        <f>IF(A175="","",IFERROR(SUMIFS(Sell_History!$D:$D,Sell_History!$A:$A,A175,Sell_History!$B:$B,B175),""))</f>
        <v/>
      </c>
      <c r="F175" s="9" t="str">
        <f>IF(A175="","",IF(SUMIFS(Sell_History!$E:$E,Sell_History!$A:$A,A175,Sell_History!$B:$B,B175)=0,"",SUMIFS(Sell_History!$E:$E,Sell_History!$A:$A,A175,Sell_History!$B:$B,B175)))</f>
        <v/>
      </c>
      <c r="G175" s="9" t="str">
        <f>IF(C175="","",IFERROR(INDEX(Buy_History!$E:$E,MATCH(C175,Buy_History!$A:$A,0)),""))</f>
        <v/>
      </c>
      <c r="H175" s="9" t="str">
        <f>IF(C175="","",IFERROR(SUMIFS(Raw_Observations!$D:$D,Raw_Observations!$A:$A,C175,Raw_Observations!$B:$B,B175),""))</f>
        <v/>
      </c>
      <c r="I175" s="9" t="str">
        <f t="shared" si="30"/>
        <v/>
      </c>
      <c r="J175" s="9">
        <f>IFERROR(LOOKUP(2,1/((Order_History!$A$2:$A$200=A175)*(Order_History!$B$2:$B$200=B175)*(Order_History!$E$2:$E$200&lt;=E175)),Order_History!$G$2:$G$200),"")</f>
        <v>0</v>
      </c>
      <c r="K175" s="10" t="str">
        <f>IF(C175="","",IFERROR(SUMIFS(Pricing!$G:$G,Pricing!$A:$A,C175,Pricing!$B:$B,B175),""))</f>
        <v/>
      </c>
      <c r="L175" s="11" t="str">
        <f t="shared" si="31"/>
        <v/>
      </c>
      <c r="M175" s="7">
        <v>0</v>
      </c>
      <c r="N175" s="7">
        <v>0</v>
      </c>
      <c r="O175" s="11" t="str">
        <f t="shared" si="32"/>
        <v/>
      </c>
      <c r="P175" s="14" t="str">
        <f t="shared" si="33"/>
        <v/>
      </c>
      <c r="Q175" s="15" t="str">
        <f t="shared" si="34"/>
        <v/>
      </c>
      <c r="R175" s="12" t="str">
        <f t="shared" si="35"/>
        <v/>
      </c>
    </row>
    <row r="176" spans="1:18">
      <c r="A176" s="2" t="str">
        <f>IF(Sell_History!A176="","",Sell_History!A176)</f>
        <v/>
      </c>
      <c r="B176" s="2" t="str">
        <f>IF(Sell_History!B176="","",Sell_History!B176)</f>
        <v/>
      </c>
      <c r="C176" s="8" t="str">
        <f>IF(A176="","",IFERROR(INDEX(Buy_History!#REF!,MATCH(A176,Buy_History!$A:$A,0)),A176))</f>
        <v/>
      </c>
      <c r="D176" s="13" t="str">
        <f>IF(C176="","",IFERROR(INDEX(Buy_History!$C:$C,MATCH(C176,Buy_History!$A:$A,0)),""))</f>
        <v/>
      </c>
      <c r="E176" s="13" t="str">
        <f>IF(A176="","",IFERROR(SUMIFS(Sell_History!$D:$D,Sell_History!$A:$A,A176,Sell_History!$B:$B,B176),""))</f>
        <v/>
      </c>
      <c r="F176" s="9" t="str">
        <f>IF(A176="","",IF(SUMIFS(Sell_History!$E:$E,Sell_History!$A:$A,A176,Sell_History!$B:$B,B176)=0,"",SUMIFS(Sell_History!$E:$E,Sell_History!$A:$A,A176,Sell_History!$B:$B,B176)))</f>
        <v/>
      </c>
      <c r="G176" s="9" t="str">
        <f>IF(C176="","",IFERROR(INDEX(Buy_History!$E:$E,MATCH(C176,Buy_History!$A:$A,0)),""))</f>
        <v/>
      </c>
      <c r="H176" s="9" t="str">
        <f>IF(C176="","",IFERROR(SUMIFS(Raw_Observations!$D:$D,Raw_Observations!$A:$A,C176,Raw_Observations!$B:$B,B176),""))</f>
        <v/>
      </c>
      <c r="I176" s="9" t="str">
        <f t="shared" si="30"/>
        <v/>
      </c>
      <c r="J176" s="9">
        <f>IFERROR(LOOKUP(2,1/((Order_History!$A$2:$A$200=A176)*(Order_History!$B$2:$B$200=B176)*(Order_History!$E$2:$E$200&lt;=E176)),Order_History!$G$2:$G$200),"")</f>
        <v>0</v>
      </c>
      <c r="K176" s="10" t="str">
        <f>IF(C176="","",IFERROR(SUMIFS(Pricing!$G:$G,Pricing!$A:$A,C176,Pricing!$B:$B,B176),""))</f>
        <v/>
      </c>
      <c r="L176" s="11" t="str">
        <f t="shared" si="31"/>
        <v/>
      </c>
      <c r="M176" s="7">
        <v>0</v>
      </c>
      <c r="N176" s="7">
        <v>0</v>
      </c>
      <c r="O176" s="11" t="str">
        <f t="shared" si="32"/>
        <v/>
      </c>
      <c r="P176" s="14" t="str">
        <f t="shared" si="33"/>
        <v/>
      </c>
      <c r="Q176" s="15" t="str">
        <f t="shared" si="34"/>
        <v/>
      </c>
      <c r="R176" s="12" t="str">
        <f t="shared" si="35"/>
        <v/>
      </c>
    </row>
    <row r="177" spans="1:18">
      <c r="A177" s="2" t="str">
        <f>IF(Sell_History!A177="","",Sell_History!A177)</f>
        <v/>
      </c>
      <c r="B177" s="2" t="str">
        <f>IF(Sell_History!B177="","",Sell_History!B177)</f>
        <v/>
      </c>
      <c r="C177" s="8" t="str">
        <f>IF(A177="","",IFERROR(INDEX(Buy_History!#REF!,MATCH(A177,Buy_History!$A:$A,0)),A177))</f>
        <v/>
      </c>
      <c r="D177" s="13" t="str">
        <f>IF(C177="","",IFERROR(INDEX(Buy_History!$C:$C,MATCH(C177,Buy_History!$A:$A,0)),""))</f>
        <v/>
      </c>
      <c r="E177" s="13" t="str">
        <f>IF(A177="","",IFERROR(SUMIFS(Sell_History!$D:$D,Sell_History!$A:$A,A177,Sell_History!$B:$B,B177),""))</f>
        <v/>
      </c>
      <c r="F177" s="9" t="str">
        <f>IF(A177="","",IF(SUMIFS(Sell_History!$E:$E,Sell_History!$A:$A,A177,Sell_History!$B:$B,B177)=0,"",SUMIFS(Sell_History!$E:$E,Sell_History!$A:$A,A177,Sell_History!$B:$B,B177)))</f>
        <v/>
      </c>
      <c r="G177" s="9" t="str">
        <f>IF(C177="","",IFERROR(INDEX(Buy_History!$E:$E,MATCH(C177,Buy_History!$A:$A,0)),""))</f>
        <v/>
      </c>
      <c r="H177" s="9" t="str">
        <f>IF(C177="","",IFERROR(SUMIFS(Raw_Observations!$D:$D,Raw_Observations!$A:$A,C177,Raw_Observations!$B:$B,B177),""))</f>
        <v/>
      </c>
      <c r="I177" s="9" t="str">
        <f t="shared" si="30"/>
        <v/>
      </c>
      <c r="J177" s="9">
        <f>IFERROR(LOOKUP(2,1/((Order_History!$A$2:$A$200=A177)*(Order_History!$B$2:$B$200=B177)*(Order_History!$E$2:$E$200&lt;=E177)),Order_History!$G$2:$G$200),"")</f>
        <v>0</v>
      </c>
      <c r="K177" s="10" t="str">
        <f>IF(C177="","",IFERROR(SUMIFS(Pricing!$G:$G,Pricing!$A:$A,C177,Pricing!$B:$B,B177),""))</f>
        <v/>
      </c>
      <c r="L177" s="11" t="str">
        <f t="shared" si="31"/>
        <v/>
      </c>
      <c r="M177" s="7">
        <v>0</v>
      </c>
      <c r="N177" s="7">
        <v>0</v>
      </c>
      <c r="O177" s="11" t="str">
        <f t="shared" si="32"/>
        <v/>
      </c>
      <c r="P177" s="14" t="str">
        <f t="shared" si="33"/>
        <v/>
      </c>
      <c r="Q177" s="15" t="str">
        <f t="shared" si="34"/>
        <v/>
      </c>
      <c r="R177" s="12" t="str">
        <f t="shared" si="35"/>
        <v/>
      </c>
    </row>
    <row r="178" spans="1:18">
      <c r="A178" s="2" t="str">
        <f>IF(Sell_History!A178="","",Sell_History!A178)</f>
        <v/>
      </c>
      <c r="B178" s="2" t="str">
        <f>IF(Sell_History!B178="","",Sell_History!B178)</f>
        <v/>
      </c>
      <c r="C178" s="8" t="str">
        <f>IF(A178="","",IFERROR(INDEX(Buy_History!#REF!,MATCH(A178,Buy_History!$A:$A,0)),A178))</f>
        <v/>
      </c>
      <c r="D178" s="13" t="str">
        <f>IF(C178="","",IFERROR(INDEX(Buy_History!$C:$C,MATCH(C178,Buy_History!$A:$A,0)),""))</f>
        <v/>
      </c>
      <c r="E178" s="13" t="str">
        <f>IF(A178="","",IFERROR(SUMIFS(Sell_History!$D:$D,Sell_History!$A:$A,A178,Sell_History!$B:$B,B178),""))</f>
        <v/>
      </c>
      <c r="F178" s="9" t="str">
        <f>IF(A178="","",IF(SUMIFS(Sell_History!$E:$E,Sell_History!$A:$A,A178,Sell_History!$B:$B,B178)=0,"",SUMIFS(Sell_History!$E:$E,Sell_History!$A:$A,A178,Sell_History!$B:$B,B178)))</f>
        <v/>
      </c>
      <c r="G178" s="9" t="str">
        <f>IF(C178="","",IFERROR(INDEX(Buy_History!$E:$E,MATCH(C178,Buy_History!$A:$A,0)),""))</f>
        <v/>
      </c>
      <c r="H178" s="9" t="str">
        <f>IF(C178="","",IFERROR(SUMIFS(Raw_Observations!$D:$D,Raw_Observations!$A:$A,C178,Raw_Observations!$B:$B,B178),""))</f>
        <v/>
      </c>
      <c r="I178" s="9" t="str">
        <f t="shared" si="30"/>
        <v/>
      </c>
      <c r="J178" s="9">
        <f>IFERROR(LOOKUP(2,1/((Order_History!$A$2:$A$200=A178)*(Order_History!$B$2:$B$200=B178)*(Order_History!$E$2:$E$200&lt;=E178)),Order_History!$G$2:$G$200),"")</f>
        <v>0</v>
      </c>
      <c r="K178" s="10" t="str">
        <f>IF(C178="","",IFERROR(SUMIFS(Pricing!$G:$G,Pricing!$A:$A,C178,Pricing!$B:$B,B178),""))</f>
        <v/>
      </c>
      <c r="L178" s="11" t="str">
        <f t="shared" si="31"/>
        <v/>
      </c>
      <c r="M178" s="7">
        <v>0</v>
      </c>
      <c r="N178" s="7">
        <v>0</v>
      </c>
      <c r="O178" s="11" t="str">
        <f t="shared" si="32"/>
        <v/>
      </c>
      <c r="P178" s="14" t="str">
        <f t="shared" si="33"/>
        <v/>
      </c>
      <c r="Q178" s="15" t="str">
        <f t="shared" si="34"/>
        <v/>
      </c>
      <c r="R178" s="12" t="str">
        <f t="shared" si="35"/>
        <v/>
      </c>
    </row>
    <row r="179" spans="1:18">
      <c r="A179" s="2" t="str">
        <f>IF(Sell_History!A179="","",Sell_History!A179)</f>
        <v/>
      </c>
      <c r="B179" s="2" t="str">
        <f>IF(Sell_History!B179="","",Sell_History!B179)</f>
        <v/>
      </c>
      <c r="C179" s="8" t="str">
        <f>IF(A179="","",IFERROR(INDEX(Buy_History!#REF!,MATCH(A179,Buy_History!$A:$A,0)),A179))</f>
        <v/>
      </c>
      <c r="D179" s="13" t="str">
        <f>IF(C179="","",IFERROR(INDEX(Buy_History!$C:$C,MATCH(C179,Buy_History!$A:$A,0)),""))</f>
        <v/>
      </c>
      <c r="E179" s="13" t="str">
        <f>IF(A179="","",IFERROR(SUMIFS(Sell_History!$D:$D,Sell_History!$A:$A,A179,Sell_History!$B:$B,B179),""))</f>
        <v/>
      </c>
      <c r="F179" s="9" t="str">
        <f>IF(A179="","",IF(SUMIFS(Sell_History!$E:$E,Sell_History!$A:$A,A179,Sell_History!$B:$B,B179)=0,"",SUMIFS(Sell_History!$E:$E,Sell_History!$A:$A,A179,Sell_History!$B:$B,B179)))</f>
        <v/>
      </c>
      <c r="G179" s="9" t="str">
        <f>IF(C179="","",IFERROR(INDEX(Buy_History!$E:$E,MATCH(C179,Buy_History!$A:$A,0)),""))</f>
        <v/>
      </c>
      <c r="H179" s="9" t="str">
        <f>IF(C179="","",IFERROR(SUMIFS(Raw_Observations!$D:$D,Raw_Observations!$A:$A,C179,Raw_Observations!$B:$B,B179),""))</f>
        <v/>
      </c>
      <c r="I179" s="9" t="str">
        <f t="shared" si="30"/>
        <v/>
      </c>
      <c r="J179" s="9">
        <f>IFERROR(LOOKUP(2,1/((Order_History!$A$2:$A$200=A179)*(Order_History!$B$2:$B$200=B179)*(Order_History!$E$2:$E$200&lt;=E179)),Order_History!$G$2:$G$200),"")</f>
        <v>0</v>
      </c>
      <c r="K179" s="10" t="str">
        <f>IF(C179="","",IFERROR(SUMIFS(Pricing!$G:$G,Pricing!$A:$A,C179,Pricing!$B:$B,B179),""))</f>
        <v/>
      </c>
      <c r="L179" s="11" t="str">
        <f t="shared" si="31"/>
        <v/>
      </c>
      <c r="M179" s="7">
        <v>0</v>
      </c>
      <c r="N179" s="7">
        <v>0</v>
      </c>
      <c r="O179" s="11" t="str">
        <f t="shared" si="32"/>
        <v/>
      </c>
      <c r="P179" s="14" t="str">
        <f t="shared" si="33"/>
        <v/>
      </c>
      <c r="Q179" s="15" t="str">
        <f t="shared" si="34"/>
        <v/>
      </c>
      <c r="R179" s="12" t="str">
        <f t="shared" si="35"/>
        <v/>
      </c>
    </row>
    <row r="180" spans="1:18">
      <c r="A180" s="2" t="str">
        <f>IF(Sell_History!A180="","",Sell_History!A180)</f>
        <v/>
      </c>
      <c r="B180" s="2" t="str">
        <f>IF(Sell_History!B180="","",Sell_History!B180)</f>
        <v/>
      </c>
      <c r="C180" s="8" t="str">
        <f>IF(A180="","",IFERROR(INDEX(Buy_History!#REF!,MATCH(A180,Buy_History!$A:$A,0)),A180))</f>
        <v/>
      </c>
      <c r="D180" s="13" t="str">
        <f>IF(C180="","",IFERROR(INDEX(Buy_History!$C:$C,MATCH(C180,Buy_History!$A:$A,0)),""))</f>
        <v/>
      </c>
      <c r="E180" s="13" t="str">
        <f>IF(A180="","",IFERROR(SUMIFS(Sell_History!$D:$D,Sell_History!$A:$A,A180,Sell_History!$B:$B,B180),""))</f>
        <v/>
      </c>
      <c r="F180" s="9" t="str">
        <f>IF(A180="","",IF(SUMIFS(Sell_History!$E:$E,Sell_History!$A:$A,A180,Sell_History!$B:$B,B180)=0,"",SUMIFS(Sell_History!$E:$E,Sell_History!$A:$A,A180,Sell_History!$B:$B,B180)))</f>
        <v/>
      </c>
      <c r="G180" s="9" t="str">
        <f>IF(C180="","",IFERROR(INDEX(Buy_History!$E:$E,MATCH(C180,Buy_History!$A:$A,0)),""))</f>
        <v/>
      </c>
      <c r="H180" s="9" t="str">
        <f>IF(C180="","",IFERROR(SUMIFS(Raw_Observations!$D:$D,Raw_Observations!$A:$A,C180,Raw_Observations!$B:$B,B180),""))</f>
        <v/>
      </c>
      <c r="I180" s="9" t="str">
        <f t="shared" si="30"/>
        <v/>
      </c>
      <c r="J180" s="9">
        <f>IFERROR(LOOKUP(2,1/((Order_History!$A$2:$A$200=A180)*(Order_History!$B$2:$B$200=B180)*(Order_History!$E$2:$E$200&lt;=E180)),Order_History!$G$2:$G$200),"")</f>
        <v>0</v>
      </c>
      <c r="K180" s="10" t="str">
        <f>IF(C180="","",IFERROR(SUMIFS(Pricing!$G:$G,Pricing!$A:$A,C180,Pricing!$B:$B,B180),""))</f>
        <v/>
      </c>
      <c r="L180" s="11" t="str">
        <f t="shared" si="31"/>
        <v/>
      </c>
      <c r="M180" s="7">
        <v>0</v>
      </c>
      <c r="N180" s="7">
        <v>0</v>
      </c>
      <c r="O180" s="11" t="str">
        <f t="shared" si="32"/>
        <v/>
      </c>
      <c r="P180" s="14" t="str">
        <f t="shared" si="33"/>
        <v/>
      </c>
      <c r="Q180" s="15" t="str">
        <f t="shared" si="34"/>
        <v/>
      </c>
      <c r="R180" s="12" t="str">
        <f t="shared" si="35"/>
        <v/>
      </c>
    </row>
    <row r="181" spans="1:18">
      <c r="A181" s="2" t="str">
        <f>IF(Sell_History!A181="","",Sell_History!A181)</f>
        <v/>
      </c>
      <c r="B181" s="2" t="str">
        <f>IF(Sell_History!B181="","",Sell_History!B181)</f>
        <v/>
      </c>
      <c r="C181" s="8" t="str">
        <f>IF(A181="","",IFERROR(INDEX(Buy_History!#REF!,MATCH(A181,Buy_History!$A:$A,0)),A181))</f>
        <v/>
      </c>
      <c r="D181" s="13" t="str">
        <f>IF(C181="","",IFERROR(INDEX(Buy_History!$C:$C,MATCH(C181,Buy_History!$A:$A,0)),""))</f>
        <v/>
      </c>
      <c r="E181" s="13" t="str">
        <f>IF(A181="","",IFERROR(SUMIFS(Sell_History!$D:$D,Sell_History!$A:$A,A181,Sell_History!$B:$B,B181),""))</f>
        <v/>
      </c>
      <c r="F181" s="9" t="str">
        <f>IF(A181="","",IF(SUMIFS(Sell_History!$E:$E,Sell_History!$A:$A,A181,Sell_History!$B:$B,B181)=0,"",SUMIFS(Sell_History!$E:$E,Sell_History!$A:$A,A181,Sell_History!$B:$B,B181)))</f>
        <v/>
      </c>
      <c r="G181" s="9" t="str">
        <f>IF(C181="","",IFERROR(INDEX(Buy_History!$E:$E,MATCH(C181,Buy_History!$A:$A,0)),""))</f>
        <v/>
      </c>
      <c r="H181" s="9" t="str">
        <f>IF(C181="","",IFERROR(SUMIFS(Raw_Observations!$D:$D,Raw_Observations!$A:$A,C181,Raw_Observations!$B:$B,B181),""))</f>
        <v/>
      </c>
      <c r="I181" s="9" t="str">
        <f t="shared" si="30"/>
        <v/>
      </c>
      <c r="J181" s="9">
        <f>IFERROR(LOOKUP(2,1/((Order_History!$A$2:$A$200=A181)*(Order_History!$B$2:$B$200=B181)*(Order_History!$E$2:$E$200&lt;=E181)),Order_History!$G$2:$G$200),"")</f>
        <v>0</v>
      </c>
      <c r="K181" s="10" t="str">
        <f>IF(C181="","",IFERROR(SUMIFS(Pricing!$G:$G,Pricing!$A:$A,C181,Pricing!$B:$B,B181),""))</f>
        <v/>
      </c>
      <c r="L181" s="11" t="str">
        <f t="shared" si="31"/>
        <v/>
      </c>
      <c r="M181" s="7">
        <v>0</v>
      </c>
      <c r="N181" s="7">
        <v>0</v>
      </c>
      <c r="O181" s="11" t="str">
        <f t="shared" si="32"/>
        <v/>
      </c>
      <c r="P181" s="14" t="str">
        <f t="shared" si="33"/>
        <v/>
      </c>
      <c r="Q181" s="15" t="str">
        <f t="shared" si="34"/>
        <v/>
      </c>
      <c r="R181" s="12" t="str">
        <f t="shared" si="35"/>
        <v/>
      </c>
    </row>
    <row r="182" spans="1:18">
      <c r="A182" s="2" t="str">
        <f>IF(Sell_History!A182="","",Sell_History!A182)</f>
        <v/>
      </c>
      <c r="B182" s="2" t="str">
        <f>IF(Sell_History!B182="","",Sell_History!B182)</f>
        <v/>
      </c>
      <c r="C182" s="8" t="str">
        <f>IF(A182="","",IFERROR(INDEX(Buy_History!#REF!,MATCH(A182,Buy_History!$A:$A,0)),A182))</f>
        <v/>
      </c>
      <c r="D182" s="13" t="str">
        <f>IF(C182="","",IFERROR(INDEX(Buy_History!$C:$C,MATCH(C182,Buy_History!$A:$A,0)),""))</f>
        <v/>
      </c>
      <c r="E182" s="13" t="str">
        <f>IF(A182="","",IFERROR(SUMIFS(Sell_History!$D:$D,Sell_History!$A:$A,A182,Sell_History!$B:$B,B182),""))</f>
        <v/>
      </c>
      <c r="F182" s="9" t="str">
        <f>IF(A182="","",IF(SUMIFS(Sell_History!$E:$E,Sell_History!$A:$A,A182,Sell_History!$B:$B,B182)=0,"",SUMIFS(Sell_History!$E:$E,Sell_History!$A:$A,A182,Sell_History!$B:$B,B182)))</f>
        <v/>
      </c>
      <c r="G182" s="9" t="str">
        <f>IF(C182="","",IFERROR(INDEX(Buy_History!$E:$E,MATCH(C182,Buy_History!$A:$A,0)),""))</f>
        <v/>
      </c>
      <c r="H182" s="9" t="str">
        <f>IF(C182="","",IFERROR(SUMIFS(Raw_Observations!$D:$D,Raw_Observations!$A:$A,C182,Raw_Observations!$B:$B,B182),""))</f>
        <v/>
      </c>
      <c r="I182" s="9" t="str">
        <f t="shared" si="30"/>
        <v/>
      </c>
      <c r="J182" s="9">
        <f>IFERROR(LOOKUP(2,1/((Order_History!$A$2:$A$200=A182)*(Order_History!$B$2:$B$200=B182)*(Order_History!$E$2:$E$200&lt;=E182)),Order_History!$G$2:$G$200),"")</f>
        <v>0</v>
      </c>
      <c r="K182" s="10" t="str">
        <f>IF(C182="","",IFERROR(SUMIFS(Pricing!$G:$G,Pricing!$A:$A,C182,Pricing!$B:$B,B182),""))</f>
        <v/>
      </c>
      <c r="L182" s="11" t="str">
        <f t="shared" si="31"/>
        <v/>
      </c>
      <c r="M182" s="7">
        <v>0</v>
      </c>
      <c r="N182" s="7">
        <v>0</v>
      </c>
      <c r="O182" s="11" t="str">
        <f t="shared" si="32"/>
        <v/>
      </c>
      <c r="P182" s="14" t="str">
        <f t="shared" si="33"/>
        <v/>
      </c>
      <c r="Q182" s="15" t="str">
        <f t="shared" si="34"/>
        <v/>
      </c>
      <c r="R182" s="12" t="str">
        <f t="shared" si="35"/>
        <v/>
      </c>
    </row>
    <row r="183" spans="1:18">
      <c r="A183" s="2" t="str">
        <f>IF(Sell_History!A183="","",Sell_History!A183)</f>
        <v/>
      </c>
      <c r="B183" s="2" t="str">
        <f>IF(Sell_History!B183="","",Sell_History!B183)</f>
        <v/>
      </c>
      <c r="C183" s="8" t="str">
        <f>IF(A183="","",IFERROR(INDEX(Buy_History!#REF!,MATCH(A183,Buy_History!$A:$A,0)),A183))</f>
        <v/>
      </c>
      <c r="D183" s="13" t="str">
        <f>IF(C183="","",IFERROR(INDEX(Buy_History!$C:$C,MATCH(C183,Buy_History!$A:$A,0)),""))</f>
        <v/>
      </c>
      <c r="E183" s="13" t="str">
        <f>IF(A183="","",IFERROR(SUMIFS(Sell_History!$D:$D,Sell_History!$A:$A,A183,Sell_History!$B:$B,B183),""))</f>
        <v/>
      </c>
      <c r="F183" s="9" t="str">
        <f>IF(A183="","",IF(SUMIFS(Sell_History!$E:$E,Sell_History!$A:$A,A183,Sell_History!$B:$B,B183)=0,"",SUMIFS(Sell_History!$E:$E,Sell_History!$A:$A,A183,Sell_History!$B:$B,B183)))</f>
        <v/>
      </c>
      <c r="G183" s="9" t="str">
        <f>IF(C183="","",IFERROR(INDEX(Buy_History!$E:$E,MATCH(C183,Buy_History!$A:$A,0)),""))</f>
        <v/>
      </c>
      <c r="H183" s="9" t="str">
        <f>IF(C183="","",IFERROR(SUMIFS(Raw_Observations!$D:$D,Raw_Observations!$A:$A,C183,Raw_Observations!$B:$B,B183),""))</f>
        <v/>
      </c>
      <c r="I183" s="9" t="str">
        <f t="shared" si="30"/>
        <v/>
      </c>
      <c r="J183" s="9">
        <f>IFERROR(LOOKUP(2,1/((Order_History!$A$2:$A$200=A183)*(Order_History!$B$2:$B$200=B183)*(Order_History!$E$2:$E$200&lt;=E183)),Order_History!$G$2:$G$200),"")</f>
        <v>0</v>
      </c>
      <c r="K183" s="10" t="str">
        <f>IF(C183="","",IFERROR(SUMIFS(Pricing!$G:$G,Pricing!$A:$A,C183,Pricing!$B:$B,B183),""))</f>
        <v/>
      </c>
      <c r="L183" s="11" t="str">
        <f t="shared" si="31"/>
        <v/>
      </c>
      <c r="M183" s="7">
        <v>0</v>
      </c>
      <c r="N183" s="7">
        <v>0</v>
      </c>
      <c r="O183" s="11" t="str">
        <f t="shared" si="32"/>
        <v/>
      </c>
      <c r="P183" s="14" t="str">
        <f t="shared" si="33"/>
        <v/>
      </c>
      <c r="Q183" s="15" t="str">
        <f t="shared" si="34"/>
        <v/>
      </c>
      <c r="R183" s="12" t="str">
        <f t="shared" si="35"/>
        <v/>
      </c>
    </row>
    <row r="184" spans="1:18">
      <c r="A184" s="2" t="str">
        <f>IF(Sell_History!A184="","",Sell_History!A184)</f>
        <v/>
      </c>
      <c r="B184" s="2" t="str">
        <f>IF(Sell_History!B184="","",Sell_History!B184)</f>
        <v/>
      </c>
      <c r="C184" s="8" t="str">
        <f>IF(A184="","",IFERROR(INDEX(Buy_History!#REF!,MATCH(A184,Buy_History!$A:$A,0)),A184))</f>
        <v/>
      </c>
      <c r="D184" s="13" t="str">
        <f>IF(C184="","",IFERROR(INDEX(Buy_History!$C:$C,MATCH(C184,Buy_History!$A:$A,0)),""))</f>
        <v/>
      </c>
      <c r="E184" s="13" t="str">
        <f>IF(A184="","",IFERROR(SUMIFS(Sell_History!$D:$D,Sell_History!$A:$A,A184,Sell_History!$B:$B,B184),""))</f>
        <v/>
      </c>
      <c r="F184" s="9" t="str">
        <f>IF(A184="","",IF(SUMIFS(Sell_History!$E:$E,Sell_History!$A:$A,A184,Sell_History!$B:$B,B184)=0,"",SUMIFS(Sell_History!$E:$E,Sell_History!$A:$A,A184,Sell_History!$B:$B,B184)))</f>
        <v/>
      </c>
      <c r="G184" s="9" t="str">
        <f>IF(C184="","",IFERROR(INDEX(Buy_History!$E:$E,MATCH(C184,Buy_History!$A:$A,0)),""))</f>
        <v/>
      </c>
      <c r="H184" s="9" t="str">
        <f>IF(C184="","",IFERROR(SUMIFS(Raw_Observations!$D:$D,Raw_Observations!$A:$A,C184,Raw_Observations!$B:$B,B184),""))</f>
        <v/>
      </c>
      <c r="I184" s="9" t="str">
        <f t="shared" si="30"/>
        <v/>
      </c>
      <c r="J184" s="9">
        <f>IFERROR(LOOKUP(2,1/((Order_History!$A$2:$A$200=A184)*(Order_History!$B$2:$B$200=B184)*(Order_History!$E$2:$E$200&lt;=E184)),Order_History!$G$2:$G$200),"")</f>
        <v>0</v>
      </c>
      <c r="K184" s="10" t="str">
        <f>IF(C184="","",IFERROR(SUMIFS(Pricing!$G:$G,Pricing!$A:$A,C184,Pricing!$B:$B,B184),""))</f>
        <v/>
      </c>
      <c r="L184" s="11" t="str">
        <f t="shared" si="31"/>
        <v/>
      </c>
      <c r="M184" s="7">
        <v>0</v>
      </c>
      <c r="N184" s="7">
        <v>0</v>
      </c>
      <c r="O184" s="11" t="str">
        <f t="shared" si="32"/>
        <v/>
      </c>
      <c r="P184" s="14" t="str">
        <f t="shared" si="33"/>
        <v/>
      </c>
      <c r="Q184" s="15" t="str">
        <f t="shared" si="34"/>
        <v/>
      </c>
      <c r="R184" s="12" t="str">
        <f t="shared" si="35"/>
        <v/>
      </c>
    </row>
    <row r="185" spans="1:18">
      <c r="A185" s="2" t="str">
        <f>IF(Sell_History!A185="","",Sell_History!A185)</f>
        <v/>
      </c>
      <c r="B185" s="2" t="str">
        <f>IF(Sell_History!B185="","",Sell_History!B185)</f>
        <v/>
      </c>
      <c r="C185" s="8" t="str">
        <f>IF(A185="","",IFERROR(INDEX(Buy_History!#REF!,MATCH(A185,Buy_History!$A:$A,0)),A185))</f>
        <v/>
      </c>
      <c r="D185" s="13" t="str">
        <f>IF(C185="","",IFERROR(INDEX(Buy_History!$C:$C,MATCH(C185,Buy_History!$A:$A,0)),""))</f>
        <v/>
      </c>
      <c r="E185" s="13" t="str">
        <f>IF(A185="","",IFERROR(SUMIFS(Sell_History!$D:$D,Sell_History!$A:$A,A185,Sell_History!$B:$B,B185),""))</f>
        <v/>
      </c>
      <c r="F185" s="9" t="str">
        <f>IF(A185="","",IF(SUMIFS(Sell_History!$E:$E,Sell_History!$A:$A,A185,Sell_History!$B:$B,B185)=0,"",SUMIFS(Sell_History!$E:$E,Sell_History!$A:$A,A185,Sell_History!$B:$B,B185)))</f>
        <v/>
      </c>
      <c r="G185" s="9" t="str">
        <f>IF(C185="","",IFERROR(INDEX(Buy_History!$E:$E,MATCH(C185,Buy_History!$A:$A,0)),""))</f>
        <v/>
      </c>
      <c r="H185" s="9" t="str">
        <f>IF(C185="","",IFERROR(SUMIFS(Raw_Observations!$D:$D,Raw_Observations!$A:$A,C185,Raw_Observations!$B:$B,B185),""))</f>
        <v/>
      </c>
      <c r="I185" s="9" t="str">
        <f t="shared" si="30"/>
        <v/>
      </c>
      <c r="J185" s="9">
        <f>IFERROR(LOOKUP(2,1/((Order_History!$A$2:$A$200=A185)*(Order_History!$B$2:$B$200=B185)*(Order_History!$E$2:$E$200&lt;=E185)),Order_History!$G$2:$G$200),"")</f>
        <v>0</v>
      </c>
      <c r="K185" s="10" t="str">
        <f>IF(C185="","",IFERROR(SUMIFS(Pricing!$G:$G,Pricing!$A:$A,C185,Pricing!$B:$B,B185),""))</f>
        <v/>
      </c>
      <c r="L185" s="11" t="str">
        <f t="shared" si="31"/>
        <v/>
      </c>
      <c r="M185" s="7">
        <v>0</v>
      </c>
      <c r="N185" s="7">
        <v>0</v>
      </c>
      <c r="O185" s="11" t="str">
        <f t="shared" si="32"/>
        <v/>
      </c>
      <c r="P185" s="14" t="str">
        <f t="shared" si="33"/>
        <v/>
      </c>
      <c r="Q185" s="15" t="str">
        <f t="shared" si="34"/>
        <v/>
      </c>
      <c r="R185" s="12" t="str">
        <f t="shared" si="35"/>
        <v/>
      </c>
    </row>
    <row r="186" spans="1:18">
      <c r="A186" s="2" t="str">
        <f>IF(Sell_History!A186="","",Sell_History!A186)</f>
        <v/>
      </c>
      <c r="B186" s="2" t="str">
        <f>IF(Sell_History!B186="","",Sell_History!B186)</f>
        <v/>
      </c>
      <c r="C186" s="8" t="str">
        <f>IF(A186="","",IFERROR(INDEX(Buy_History!#REF!,MATCH(A186,Buy_History!$A:$A,0)),A186))</f>
        <v/>
      </c>
      <c r="D186" s="13" t="str">
        <f>IF(C186="","",IFERROR(INDEX(Buy_History!$C:$C,MATCH(C186,Buy_History!$A:$A,0)),""))</f>
        <v/>
      </c>
      <c r="E186" s="13" t="str">
        <f>IF(A186="","",IFERROR(SUMIFS(Sell_History!$D:$D,Sell_History!$A:$A,A186,Sell_History!$B:$B,B186),""))</f>
        <v/>
      </c>
      <c r="F186" s="9" t="str">
        <f>IF(A186="","",IF(SUMIFS(Sell_History!$E:$E,Sell_History!$A:$A,A186,Sell_History!$B:$B,B186)=0,"",SUMIFS(Sell_History!$E:$E,Sell_History!$A:$A,A186,Sell_History!$B:$B,B186)))</f>
        <v/>
      </c>
      <c r="G186" s="9" t="str">
        <f>IF(C186="","",IFERROR(INDEX(Buy_History!$E:$E,MATCH(C186,Buy_History!$A:$A,0)),""))</f>
        <v/>
      </c>
      <c r="H186" s="9" t="str">
        <f>IF(C186="","",IFERROR(SUMIFS(Raw_Observations!$D:$D,Raw_Observations!$A:$A,C186,Raw_Observations!$B:$B,B186),""))</f>
        <v/>
      </c>
      <c r="I186" s="9" t="str">
        <f t="shared" si="30"/>
        <v/>
      </c>
      <c r="J186" s="9">
        <f>IFERROR(LOOKUP(2,1/((Order_History!$A$2:$A$200=A186)*(Order_History!$B$2:$B$200=B186)*(Order_History!$E$2:$E$200&lt;=E186)),Order_History!$G$2:$G$200),"")</f>
        <v>0</v>
      </c>
      <c r="K186" s="10" t="str">
        <f>IF(C186="","",IFERROR(SUMIFS(Pricing!$G:$G,Pricing!$A:$A,C186,Pricing!$B:$B,B186),""))</f>
        <v/>
      </c>
      <c r="L186" s="11" t="str">
        <f t="shared" si="31"/>
        <v/>
      </c>
      <c r="M186" s="7">
        <v>0</v>
      </c>
      <c r="N186" s="7">
        <v>0</v>
      </c>
      <c r="O186" s="11" t="str">
        <f t="shared" si="32"/>
        <v/>
      </c>
      <c r="P186" s="14" t="str">
        <f t="shared" si="33"/>
        <v/>
      </c>
      <c r="Q186" s="15" t="str">
        <f t="shared" si="34"/>
        <v/>
      </c>
      <c r="R186" s="12" t="str">
        <f t="shared" si="35"/>
        <v/>
      </c>
    </row>
    <row r="187" spans="1:18">
      <c r="A187" s="2" t="str">
        <f>IF(Sell_History!A187="","",Sell_History!A187)</f>
        <v/>
      </c>
      <c r="B187" s="2" t="str">
        <f>IF(Sell_History!B187="","",Sell_History!B187)</f>
        <v/>
      </c>
      <c r="C187" s="8" t="str">
        <f>IF(A187="","",IFERROR(INDEX(Buy_History!#REF!,MATCH(A187,Buy_History!$A:$A,0)),A187))</f>
        <v/>
      </c>
      <c r="D187" s="13" t="str">
        <f>IF(C187="","",IFERROR(INDEX(Buy_History!$C:$C,MATCH(C187,Buy_History!$A:$A,0)),""))</f>
        <v/>
      </c>
      <c r="E187" s="13" t="str">
        <f>IF(A187="","",IFERROR(SUMIFS(Sell_History!$D:$D,Sell_History!$A:$A,A187,Sell_History!$B:$B,B187),""))</f>
        <v/>
      </c>
      <c r="F187" s="9" t="str">
        <f>IF(A187="","",IF(SUMIFS(Sell_History!$E:$E,Sell_History!$A:$A,A187,Sell_History!$B:$B,B187)=0,"",SUMIFS(Sell_History!$E:$E,Sell_History!$A:$A,A187,Sell_History!$B:$B,B187)))</f>
        <v/>
      </c>
      <c r="G187" s="9" t="str">
        <f>IF(C187="","",IFERROR(INDEX(Buy_History!$E:$E,MATCH(C187,Buy_History!$A:$A,0)),""))</f>
        <v/>
      </c>
      <c r="H187" s="9" t="str">
        <f>IF(C187="","",IFERROR(SUMIFS(Raw_Observations!$D:$D,Raw_Observations!$A:$A,C187,Raw_Observations!$B:$B,B187),""))</f>
        <v/>
      </c>
      <c r="I187" s="9" t="str">
        <f t="shared" si="30"/>
        <v/>
      </c>
      <c r="J187" s="9">
        <f>IFERROR(LOOKUP(2,1/((Order_History!$A$2:$A$200=A187)*(Order_History!$B$2:$B$200=B187)*(Order_History!$E$2:$E$200&lt;=E187)),Order_History!$G$2:$G$200),"")</f>
        <v>0</v>
      </c>
      <c r="K187" s="10" t="str">
        <f>IF(C187="","",IFERROR(SUMIFS(Pricing!$G:$G,Pricing!$A:$A,C187,Pricing!$B:$B,B187),""))</f>
        <v/>
      </c>
      <c r="L187" s="11" t="str">
        <f t="shared" si="31"/>
        <v/>
      </c>
      <c r="M187" s="7">
        <v>0</v>
      </c>
      <c r="N187" s="7">
        <v>0</v>
      </c>
      <c r="O187" s="11" t="str">
        <f t="shared" si="32"/>
        <v/>
      </c>
      <c r="P187" s="14" t="str">
        <f t="shared" si="33"/>
        <v/>
      </c>
      <c r="Q187" s="15" t="str">
        <f t="shared" si="34"/>
        <v/>
      </c>
      <c r="R187" s="12" t="str">
        <f t="shared" si="35"/>
        <v/>
      </c>
    </row>
    <row r="188" spans="1:18">
      <c r="A188" s="2" t="str">
        <f>IF(Sell_History!A188="","",Sell_History!A188)</f>
        <v/>
      </c>
      <c r="B188" s="2" t="str">
        <f>IF(Sell_History!B188="","",Sell_History!B188)</f>
        <v/>
      </c>
      <c r="C188" s="8" t="str">
        <f>IF(A188="","",IFERROR(INDEX(Buy_History!#REF!,MATCH(A188,Buy_History!$A:$A,0)),A188))</f>
        <v/>
      </c>
      <c r="D188" s="13" t="str">
        <f>IF(C188="","",IFERROR(INDEX(Buy_History!$C:$C,MATCH(C188,Buy_History!$A:$A,0)),""))</f>
        <v/>
      </c>
      <c r="E188" s="13" t="str">
        <f>IF(A188="","",IFERROR(SUMIFS(Sell_History!$D:$D,Sell_History!$A:$A,A188,Sell_History!$B:$B,B188),""))</f>
        <v/>
      </c>
      <c r="F188" s="9" t="str">
        <f>IF(A188="","",IF(SUMIFS(Sell_History!$E:$E,Sell_History!$A:$A,A188,Sell_History!$B:$B,B188)=0,"",SUMIFS(Sell_History!$E:$E,Sell_History!$A:$A,A188,Sell_History!$B:$B,B188)))</f>
        <v/>
      </c>
      <c r="G188" s="9" t="str">
        <f>IF(C188="","",IFERROR(INDEX(Buy_History!$E:$E,MATCH(C188,Buy_History!$A:$A,0)),""))</f>
        <v/>
      </c>
      <c r="H188" s="9" t="str">
        <f>IF(C188="","",IFERROR(SUMIFS(Raw_Observations!$D:$D,Raw_Observations!$A:$A,C188,Raw_Observations!$B:$B,B188),""))</f>
        <v/>
      </c>
      <c r="I188" s="9" t="str">
        <f t="shared" si="30"/>
        <v/>
      </c>
      <c r="J188" s="9">
        <f>IFERROR(LOOKUP(2,1/((Order_History!$A$2:$A$200=A188)*(Order_History!$B$2:$B$200=B188)*(Order_History!$E$2:$E$200&lt;=E188)),Order_History!$G$2:$G$200),"")</f>
        <v>0</v>
      </c>
      <c r="K188" s="10" t="str">
        <f>IF(C188="","",IFERROR(SUMIFS(Pricing!$G:$G,Pricing!$A:$A,C188,Pricing!$B:$B,B188),""))</f>
        <v/>
      </c>
      <c r="L188" s="11" t="str">
        <f t="shared" si="31"/>
        <v/>
      </c>
      <c r="M188" s="7">
        <v>0</v>
      </c>
      <c r="N188" s="7">
        <v>0</v>
      </c>
      <c r="O188" s="11" t="str">
        <f t="shared" si="32"/>
        <v/>
      </c>
      <c r="P188" s="14" t="str">
        <f t="shared" si="33"/>
        <v/>
      </c>
      <c r="Q188" s="15" t="str">
        <f t="shared" si="34"/>
        <v/>
      </c>
      <c r="R188" s="12" t="str">
        <f t="shared" si="35"/>
        <v/>
      </c>
    </row>
    <row r="189" spans="1:18">
      <c r="A189" s="2" t="str">
        <f>IF(Sell_History!A189="","",Sell_History!A189)</f>
        <v/>
      </c>
      <c r="B189" s="2" t="str">
        <f>IF(Sell_History!B189="","",Sell_History!B189)</f>
        <v/>
      </c>
      <c r="C189" s="8" t="str">
        <f>IF(A189="","",IFERROR(INDEX(Buy_History!#REF!,MATCH(A189,Buy_History!$A:$A,0)),A189))</f>
        <v/>
      </c>
      <c r="D189" s="13" t="str">
        <f>IF(C189="","",IFERROR(INDEX(Buy_History!$C:$C,MATCH(C189,Buy_History!$A:$A,0)),""))</f>
        <v/>
      </c>
      <c r="E189" s="13" t="str">
        <f>IF(A189="","",IFERROR(SUMIFS(Sell_History!$D:$D,Sell_History!$A:$A,A189,Sell_History!$B:$B,B189),""))</f>
        <v/>
      </c>
      <c r="F189" s="9" t="str">
        <f>IF(A189="","",IF(SUMIFS(Sell_History!$E:$E,Sell_History!$A:$A,A189,Sell_History!$B:$B,B189)=0,"",SUMIFS(Sell_History!$E:$E,Sell_History!$A:$A,A189,Sell_History!$B:$B,B189)))</f>
        <v/>
      </c>
      <c r="G189" s="9" t="str">
        <f>IF(C189="","",IFERROR(INDEX(Buy_History!$E:$E,MATCH(C189,Buy_History!$A:$A,0)),""))</f>
        <v/>
      </c>
      <c r="H189" s="9" t="str">
        <f>IF(C189="","",IFERROR(SUMIFS(Raw_Observations!$D:$D,Raw_Observations!$A:$A,C189,Raw_Observations!$B:$B,B189),""))</f>
        <v/>
      </c>
      <c r="I189" s="9" t="str">
        <f t="shared" si="30"/>
        <v/>
      </c>
      <c r="J189" s="9">
        <f>IFERROR(LOOKUP(2,1/((Order_History!$A$2:$A$200=A189)*(Order_History!$B$2:$B$200=B189)*(Order_History!$E$2:$E$200&lt;=E189)),Order_History!$G$2:$G$200),"")</f>
        <v>0</v>
      </c>
      <c r="K189" s="10" t="str">
        <f>IF(C189="","",IFERROR(SUMIFS(Pricing!$G:$G,Pricing!$A:$A,C189,Pricing!$B:$B,B189),""))</f>
        <v/>
      </c>
      <c r="L189" s="11" t="str">
        <f t="shared" si="31"/>
        <v/>
      </c>
      <c r="M189" s="7">
        <v>0</v>
      </c>
      <c r="N189" s="7">
        <v>0</v>
      </c>
      <c r="O189" s="11" t="str">
        <f t="shared" si="32"/>
        <v/>
      </c>
      <c r="P189" s="14" t="str">
        <f t="shared" si="33"/>
        <v/>
      </c>
      <c r="Q189" s="15" t="str">
        <f t="shared" si="34"/>
        <v/>
      </c>
      <c r="R189" s="12" t="str">
        <f t="shared" si="35"/>
        <v/>
      </c>
    </row>
    <row r="190" spans="1:18">
      <c r="A190" s="2" t="str">
        <f>IF(Sell_History!A190="","",Sell_History!A190)</f>
        <v/>
      </c>
      <c r="B190" s="2" t="str">
        <f>IF(Sell_History!B190="","",Sell_History!B190)</f>
        <v/>
      </c>
      <c r="C190" s="8" t="str">
        <f>IF(A190="","",IFERROR(INDEX(Buy_History!#REF!,MATCH(A190,Buy_History!$A:$A,0)),A190))</f>
        <v/>
      </c>
      <c r="D190" s="13" t="str">
        <f>IF(C190="","",IFERROR(INDEX(Buy_History!$C:$C,MATCH(C190,Buy_History!$A:$A,0)),""))</f>
        <v/>
      </c>
      <c r="E190" s="13" t="str">
        <f>IF(A190="","",IFERROR(SUMIFS(Sell_History!$D:$D,Sell_History!$A:$A,A190,Sell_History!$B:$B,B190),""))</f>
        <v/>
      </c>
      <c r="F190" s="9" t="str">
        <f>IF(A190="","",IF(SUMIFS(Sell_History!$E:$E,Sell_History!$A:$A,A190,Sell_History!$B:$B,B190)=0,"",SUMIFS(Sell_History!$E:$E,Sell_History!$A:$A,A190,Sell_History!$B:$B,B190)))</f>
        <v/>
      </c>
      <c r="G190" s="9" t="str">
        <f>IF(C190="","",IFERROR(INDEX(Buy_History!$E:$E,MATCH(C190,Buy_History!$A:$A,0)),""))</f>
        <v/>
      </c>
      <c r="H190" s="9" t="str">
        <f>IF(C190="","",IFERROR(SUMIFS(Raw_Observations!$D:$D,Raw_Observations!$A:$A,C190,Raw_Observations!$B:$B,B190),""))</f>
        <v/>
      </c>
      <c r="I190" s="9" t="str">
        <f t="shared" si="30"/>
        <v/>
      </c>
      <c r="J190" s="9">
        <f>IFERROR(LOOKUP(2,1/((Order_History!$A$2:$A$200=A190)*(Order_History!$B$2:$B$200=B190)*(Order_History!$E$2:$E$200&lt;=E190)),Order_History!$G$2:$G$200),"")</f>
        <v>0</v>
      </c>
      <c r="K190" s="10" t="str">
        <f>IF(C190="","",IFERROR(SUMIFS(Pricing!$G:$G,Pricing!$A:$A,C190,Pricing!$B:$B,B190),""))</f>
        <v/>
      </c>
      <c r="L190" s="11" t="str">
        <f t="shared" si="31"/>
        <v/>
      </c>
      <c r="M190" s="7">
        <v>0</v>
      </c>
      <c r="N190" s="7">
        <v>0</v>
      </c>
      <c r="O190" s="11" t="str">
        <f t="shared" si="32"/>
        <v/>
      </c>
      <c r="P190" s="14" t="str">
        <f t="shared" si="33"/>
        <v/>
      </c>
      <c r="Q190" s="15" t="str">
        <f t="shared" si="34"/>
        <v/>
      </c>
      <c r="R190" s="12" t="str">
        <f t="shared" si="35"/>
        <v/>
      </c>
    </row>
    <row r="191" spans="1:18">
      <c r="A191" s="2" t="str">
        <f>IF(Sell_History!A191="","",Sell_History!A191)</f>
        <v/>
      </c>
      <c r="B191" s="2" t="str">
        <f>IF(Sell_History!B191="","",Sell_History!B191)</f>
        <v/>
      </c>
      <c r="C191" s="8" t="str">
        <f>IF(A191="","",IFERROR(INDEX(Buy_History!#REF!,MATCH(A191,Buy_History!$A:$A,0)),A191))</f>
        <v/>
      </c>
      <c r="D191" s="13" t="str">
        <f>IF(C191="","",IFERROR(INDEX(Buy_History!$C:$C,MATCH(C191,Buy_History!$A:$A,0)),""))</f>
        <v/>
      </c>
      <c r="E191" s="13" t="str">
        <f>IF(A191="","",IFERROR(SUMIFS(Sell_History!$D:$D,Sell_History!$A:$A,A191,Sell_History!$B:$B,B191),""))</f>
        <v/>
      </c>
      <c r="F191" s="9" t="str">
        <f>IF(A191="","",IF(SUMIFS(Sell_History!$E:$E,Sell_History!$A:$A,A191,Sell_History!$B:$B,B191)=0,"",SUMIFS(Sell_History!$E:$E,Sell_History!$A:$A,A191,Sell_History!$B:$B,B191)))</f>
        <v/>
      </c>
      <c r="G191" s="9" t="str">
        <f>IF(C191="","",IFERROR(INDEX(Buy_History!$E:$E,MATCH(C191,Buy_History!$A:$A,0)),""))</f>
        <v/>
      </c>
      <c r="H191" s="9" t="str">
        <f>IF(C191="","",IFERROR(SUMIFS(Raw_Observations!$D:$D,Raw_Observations!$A:$A,C191,Raw_Observations!$B:$B,B191),""))</f>
        <v/>
      </c>
      <c r="I191" s="9" t="str">
        <f t="shared" si="30"/>
        <v/>
      </c>
      <c r="J191" s="9">
        <f>IFERROR(LOOKUP(2,1/((Order_History!$A$2:$A$200=A191)*(Order_History!$B$2:$B$200=B191)*(Order_History!$E$2:$E$200&lt;=E191)),Order_History!$G$2:$G$200),"")</f>
        <v>0</v>
      </c>
      <c r="K191" s="10" t="str">
        <f>IF(C191="","",IFERROR(SUMIFS(Pricing!$G:$G,Pricing!$A:$A,C191,Pricing!$B:$B,B191),""))</f>
        <v/>
      </c>
      <c r="L191" s="11" t="str">
        <f t="shared" si="31"/>
        <v/>
      </c>
      <c r="M191" s="7">
        <v>0</v>
      </c>
      <c r="N191" s="7">
        <v>0</v>
      </c>
      <c r="O191" s="11" t="str">
        <f t="shared" si="32"/>
        <v/>
      </c>
      <c r="P191" s="14" t="str">
        <f t="shared" si="33"/>
        <v/>
      </c>
      <c r="Q191" s="15" t="str">
        <f t="shared" si="34"/>
        <v/>
      </c>
      <c r="R191" s="12" t="str">
        <f t="shared" si="35"/>
        <v/>
      </c>
    </row>
    <row r="192" spans="1:18">
      <c r="A192" s="2" t="str">
        <f>IF(Sell_History!A192="","",Sell_History!A192)</f>
        <v/>
      </c>
      <c r="B192" s="2" t="str">
        <f>IF(Sell_History!B192="","",Sell_History!B192)</f>
        <v/>
      </c>
      <c r="C192" s="8" t="str">
        <f>IF(A192="","",IFERROR(INDEX(Buy_History!#REF!,MATCH(A192,Buy_History!$A:$A,0)),A192))</f>
        <v/>
      </c>
      <c r="D192" s="13" t="str">
        <f>IF(C192="","",IFERROR(INDEX(Buy_History!$C:$C,MATCH(C192,Buy_History!$A:$A,0)),""))</f>
        <v/>
      </c>
      <c r="E192" s="13" t="str">
        <f>IF(A192="","",IFERROR(SUMIFS(Sell_History!$D:$D,Sell_History!$A:$A,A192,Sell_History!$B:$B,B192),""))</f>
        <v/>
      </c>
      <c r="F192" s="9" t="str">
        <f>IF(A192="","",IF(SUMIFS(Sell_History!$E:$E,Sell_History!$A:$A,A192,Sell_History!$B:$B,B192)=0,"",SUMIFS(Sell_History!$E:$E,Sell_History!$A:$A,A192,Sell_History!$B:$B,B192)))</f>
        <v/>
      </c>
      <c r="G192" s="9" t="str">
        <f>IF(C192="","",IFERROR(INDEX(Buy_History!$E:$E,MATCH(C192,Buy_History!$A:$A,0)),""))</f>
        <v/>
      </c>
      <c r="H192" s="9" t="str">
        <f>IF(C192="","",IFERROR(SUMIFS(Raw_Observations!$D:$D,Raw_Observations!$A:$A,C192,Raw_Observations!$B:$B,B192),""))</f>
        <v/>
      </c>
      <c r="I192" s="9" t="str">
        <f t="shared" si="30"/>
        <v/>
      </c>
      <c r="J192" s="9">
        <f>IFERROR(LOOKUP(2,1/((Order_History!$A$2:$A$200=A192)*(Order_History!$B$2:$B$200=B192)*(Order_History!$E$2:$E$200&lt;=E192)),Order_History!$G$2:$G$200),"")</f>
        <v>0</v>
      </c>
      <c r="K192" s="10" t="str">
        <f>IF(C192="","",IFERROR(SUMIFS(Pricing!$G:$G,Pricing!$A:$A,C192,Pricing!$B:$B,B192),""))</f>
        <v/>
      </c>
      <c r="L192" s="11" t="str">
        <f t="shared" si="31"/>
        <v/>
      </c>
      <c r="M192" s="7">
        <v>0</v>
      </c>
      <c r="N192" s="7">
        <v>0</v>
      </c>
      <c r="O192" s="11" t="str">
        <f t="shared" si="32"/>
        <v/>
      </c>
      <c r="P192" s="14" t="str">
        <f t="shared" si="33"/>
        <v/>
      </c>
      <c r="Q192" s="15" t="str">
        <f t="shared" si="34"/>
        <v/>
      </c>
      <c r="R192" s="12" t="str">
        <f t="shared" si="35"/>
        <v/>
      </c>
    </row>
    <row r="193" spans="1:18">
      <c r="A193" s="2" t="str">
        <f>IF(Sell_History!A193="","",Sell_History!A193)</f>
        <v/>
      </c>
      <c r="B193" s="2" t="str">
        <f>IF(Sell_History!B193="","",Sell_History!B193)</f>
        <v/>
      </c>
      <c r="C193" s="8" t="str">
        <f>IF(A193="","",IFERROR(INDEX(Buy_History!#REF!,MATCH(A193,Buy_History!$A:$A,0)),A193))</f>
        <v/>
      </c>
      <c r="D193" s="13" t="str">
        <f>IF(C193="","",IFERROR(INDEX(Buy_History!$C:$C,MATCH(C193,Buy_History!$A:$A,0)),""))</f>
        <v/>
      </c>
      <c r="E193" s="13" t="str">
        <f>IF(A193="","",IFERROR(SUMIFS(Sell_History!$D:$D,Sell_History!$A:$A,A193,Sell_History!$B:$B,B193),""))</f>
        <v/>
      </c>
      <c r="F193" s="9" t="str">
        <f>IF(A193="","",IF(SUMIFS(Sell_History!$E:$E,Sell_History!$A:$A,A193,Sell_History!$B:$B,B193)=0,"",SUMIFS(Sell_History!$E:$E,Sell_History!$A:$A,A193,Sell_History!$B:$B,B193)))</f>
        <v/>
      </c>
      <c r="G193" s="9" t="str">
        <f>IF(C193="","",IFERROR(INDEX(Buy_History!$E:$E,MATCH(C193,Buy_History!$A:$A,0)),""))</f>
        <v/>
      </c>
      <c r="H193" s="9" t="str">
        <f>IF(C193="","",IFERROR(SUMIFS(Raw_Observations!$D:$D,Raw_Observations!$A:$A,C193,Raw_Observations!$B:$B,B193),""))</f>
        <v/>
      </c>
      <c r="I193" s="9" t="str">
        <f t="shared" si="30"/>
        <v/>
      </c>
      <c r="J193" s="9">
        <f>IFERROR(LOOKUP(2,1/((Order_History!$A$2:$A$200=A193)*(Order_History!$B$2:$B$200=B193)*(Order_History!$E$2:$E$200&lt;=E193)),Order_History!$G$2:$G$200),"")</f>
        <v>0</v>
      </c>
      <c r="K193" s="10" t="str">
        <f>IF(C193="","",IFERROR(SUMIFS(Pricing!$G:$G,Pricing!$A:$A,C193,Pricing!$B:$B,B193),""))</f>
        <v/>
      </c>
      <c r="L193" s="11" t="str">
        <f t="shared" si="31"/>
        <v/>
      </c>
      <c r="M193" s="7">
        <v>0</v>
      </c>
      <c r="N193" s="7">
        <v>0</v>
      </c>
      <c r="O193" s="11" t="str">
        <f t="shared" si="32"/>
        <v/>
      </c>
      <c r="P193" s="14" t="str">
        <f t="shared" si="33"/>
        <v/>
      </c>
      <c r="Q193" s="15" t="str">
        <f t="shared" si="34"/>
        <v/>
      </c>
      <c r="R193" s="12" t="str">
        <f t="shared" si="35"/>
        <v/>
      </c>
    </row>
    <row r="194" spans="1:18">
      <c r="A194" s="2" t="str">
        <f>IF(Sell_History!A194="","",Sell_History!A194)</f>
        <v/>
      </c>
      <c r="B194" s="2" t="str">
        <f>IF(Sell_History!B194="","",Sell_History!B194)</f>
        <v/>
      </c>
      <c r="C194" s="8" t="str">
        <f>IF(A194="","",IFERROR(INDEX(Buy_History!#REF!,MATCH(A194,Buy_History!$A:$A,0)),A194))</f>
        <v/>
      </c>
      <c r="D194" s="13" t="str">
        <f>IF(C194="","",IFERROR(INDEX(Buy_History!$C:$C,MATCH(C194,Buy_History!$A:$A,0)),""))</f>
        <v/>
      </c>
      <c r="E194" s="13" t="str">
        <f>IF(A194="","",IFERROR(SUMIFS(Sell_History!$D:$D,Sell_History!$A:$A,A194,Sell_History!$B:$B,B194),""))</f>
        <v/>
      </c>
      <c r="F194" s="9" t="str">
        <f>IF(A194="","",IF(SUMIFS(Sell_History!$E:$E,Sell_History!$A:$A,A194,Sell_History!$B:$B,B194)=0,"",SUMIFS(Sell_History!$E:$E,Sell_History!$A:$A,A194,Sell_History!$B:$B,B194)))</f>
        <v/>
      </c>
      <c r="G194" s="9" t="str">
        <f>IF(C194="","",IFERROR(INDEX(Buy_History!$E:$E,MATCH(C194,Buy_History!$A:$A,0)),""))</f>
        <v/>
      </c>
      <c r="H194" s="9" t="str">
        <f>IF(C194="","",IFERROR(SUMIFS(Raw_Observations!$D:$D,Raw_Observations!$A:$A,C194,Raw_Observations!$B:$B,B194),""))</f>
        <v/>
      </c>
      <c r="I194" s="9" t="str">
        <f t="shared" ref="I194:I200" si="36">IF(H194="","",IF(OR(F194="",G194="",G194=0),H194,H194*F194/G194))</f>
        <v/>
      </c>
      <c r="J194" s="9">
        <f>IFERROR(LOOKUP(2,1/((Order_History!$A$2:$A$200=A194)*(Order_History!$B$2:$B$200=B194)*(Order_History!$E$2:$E$200&lt;=E194)),Order_History!$G$2:$G$200),"")</f>
        <v>0</v>
      </c>
      <c r="K194" s="10" t="str">
        <f>IF(C194="","",IFERROR(SUMIFS(Pricing!$G:$G,Pricing!$A:$A,C194,Pricing!$B:$B,B194),""))</f>
        <v/>
      </c>
      <c r="L194" s="11" t="str">
        <f t="shared" ref="L194:L200" si="37">IF(OR(I194="",J194=""),"",J194-I194)</f>
        <v/>
      </c>
      <c r="M194" s="7">
        <v>0</v>
      </c>
      <c r="N194" s="7">
        <v>0</v>
      </c>
      <c r="O194" s="11" t="str">
        <f t="shared" ref="O194:O200" si="38">IF(L194="","",L194-M194-N194)</f>
        <v/>
      </c>
      <c r="P194" s="14" t="str">
        <f t="shared" ref="P194:P200" si="39">IF(OR(O194="",I194=""),"",O194/I194)</f>
        <v/>
      </c>
      <c r="Q194" s="15" t="str">
        <f t="shared" ref="Q194:Q200" si="40">IF(OR(D194="",E194=""),"",MAX(1,ROUNDUP(E194-D194,0)))</f>
        <v/>
      </c>
      <c r="R194" s="12" t="str">
        <f t="shared" ref="R194:R200" si="41">IF(OR(P194="",Q194=""),"",(1+P194)^(365/Q194)-1)</f>
        <v/>
      </c>
    </row>
    <row r="195" spans="1:18">
      <c r="A195" s="2" t="str">
        <f>IF(Sell_History!A195="","",Sell_History!A195)</f>
        <v/>
      </c>
      <c r="B195" s="2" t="str">
        <f>IF(Sell_History!B195="","",Sell_History!B195)</f>
        <v/>
      </c>
      <c r="C195" s="8" t="str">
        <f>IF(A195="","",IFERROR(INDEX(Buy_History!#REF!,MATCH(A195,Buy_History!$A:$A,0)),A195))</f>
        <v/>
      </c>
      <c r="D195" s="13" t="str">
        <f>IF(C195="","",IFERROR(INDEX(Buy_History!$C:$C,MATCH(C195,Buy_History!$A:$A,0)),""))</f>
        <v/>
      </c>
      <c r="E195" s="13" t="str">
        <f>IF(A195="","",IFERROR(SUMIFS(Sell_History!$D:$D,Sell_History!$A:$A,A195,Sell_History!$B:$B,B195),""))</f>
        <v/>
      </c>
      <c r="F195" s="9" t="str">
        <f>IF(A195="","",IF(SUMIFS(Sell_History!$E:$E,Sell_History!$A:$A,A195,Sell_History!$B:$B,B195)=0,"",SUMIFS(Sell_History!$E:$E,Sell_History!$A:$A,A195,Sell_History!$B:$B,B195)))</f>
        <v/>
      </c>
      <c r="G195" s="9" t="str">
        <f>IF(C195="","",IFERROR(INDEX(Buy_History!$E:$E,MATCH(C195,Buy_History!$A:$A,0)),""))</f>
        <v/>
      </c>
      <c r="H195" s="9" t="str">
        <f>IF(C195="","",IFERROR(SUMIFS(Raw_Observations!$D:$D,Raw_Observations!$A:$A,C195,Raw_Observations!$B:$B,B195),""))</f>
        <v/>
      </c>
      <c r="I195" s="9" t="str">
        <f t="shared" si="36"/>
        <v/>
      </c>
      <c r="J195" s="9">
        <f>IFERROR(LOOKUP(2,1/((Order_History!$A$2:$A$200=A195)*(Order_History!$B$2:$B$200=B195)*(Order_History!$E$2:$E$200&lt;=E195)),Order_History!$G$2:$G$200),"")</f>
        <v>0</v>
      </c>
      <c r="K195" s="10" t="str">
        <f>IF(C195="","",IFERROR(SUMIFS(Pricing!$G:$G,Pricing!$A:$A,C195,Pricing!$B:$B,B195),""))</f>
        <v/>
      </c>
      <c r="L195" s="11" t="str">
        <f t="shared" si="37"/>
        <v/>
      </c>
      <c r="M195" s="7">
        <v>0</v>
      </c>
      <c r="N195" s="7">
        <v>0</v>
      </c>
      <c r="O195" s="11" t="str">
        <f t="shared" si="38"/>
        <v/>
      </c>
      <c r="P195" s="14" t="str">
        <f t="shared" si="39"/>
        <v/>
      </c>
      <c r="Q195" s="15" t="str">
        <f t="shared" si="40"/>
        <v/>
      </c>
      <c r="R195" s="12" t="str">
        <f t="shared" si="41"/>
        <v/>
      </c>
    </row>
    <row r="196" spans="1:18">
      <c r="A196" s="2" t="str">
        <f>IF(Sell_History!A196="","",Sell_History!A196)</f>
        <v/>
      </c>
      <c r="B196" s="2" t="str">
        <f>IF(Sell_History!B196="","",Sell_History!B196)</f>
        <v/>
      </c>
      <c r="C196" s="8" t="str">
        <f>IF(A196="","",IFERROR(INDEX(Buy_History!#REF!,MATCH(A196,Buy_History!$A:$A,0)),A196))</f>
        <v/>
      </c>
      <c r="D196" s="13" t="str">
        <f>IF(C196="","",IFERROR(INDEX(Buy_History!$C:$C,MATCH(C196,Buy_History!$A:$A,0)),""))</f>
        <v/>
      </c>
      <c r="E196" s="13" t="str">
        <f>IF(A196="","",IFERROR(SUMIFS(Sell_History!$D:$D,Sell_History!$A:$A,A196,Sell_History!$B:$B,B196),""))</f>
        <v/>
      </c>
      <c r="F196" s="9" t="str">
        <f>IF(A196="","",IF(SUMIFS(Sell_History!$E:$E,Sell_History!$A:$A,A196,Sell_History!$B:$B,B196)=0,"",SUMIFS(Sell_History!$E:$E,Sell_History!$A:$A,A196,Sell_History!$B:$B,B196)))</f>
        <v/>
      </c>
      <c r="G196" s="9" t="str">
        <f>IF(C196="","",IFERROR(INDEX(Buy_History!$E:$E,MATCH(C196,Buy_History!$A:$A,0)),""))</f>
        <v/>
      </c>
      <c r="H196" s="9" t="str">
        <f>IF(C196="","",IFERROR(SUMIFS(Raw_Observations!$D:$D,Raw_Observations!$A:$A,C196,Raw_Observations!$B:$B,B196),""))</f>
        <v/>
      </c>
      <c r="I196" s="9" t="str">
        <f t="shared" si="36"/>
        <v/>
      </c>
      <c r="J196" s="9">
        <f>IFERROR(LOOKUP(2,1/((Order_History!$A$2:$A$200=A196)*(Order_History!$B$2:$B$200=B196)*(Order_History!$E$2:$E$200&lt;=E196)),Order_History!$G$2:$G$200),"")</f>
        <v>0</v>
      </c>
      <c r="K196" s="10" t="str">
        <f>IF(C196="","",IFERROR(SUMIFS(Pricing!$G:$G,Pricing!$A:$A,C196,Pricing!$B:$B,B196),""))</f>
        <v/>
      </c>
      <c r="L196" s="11" t="str">
        <f t="shared" si="37"/>
        <v/>
      </c>
      <c r="M196" s="7">
        <v>0</v>
      </c>
      <c r="N196" s="7">
        <v>0</v>
      </c>
      <c r="O196" s="11" t="str">
        <f t="shared" si="38"/>
        <v/>
      </c>
      <c r="P196" s="14" t="str">
        <f t="shared" si="39"/>
        <v/>
      </c>
      <c r="Q196" s="15" t="str">
        <f t="shared" si="40"/>
        <v/>
      </c>
      <c r="R196" s="12" t="str">
        <f t="shared" si="41"/>
        <v/>
      </c>
    </row>
    <row r="197" spans="1:18">
      <c r="A197" s="2" t="str">
        <f>IF(Sell_History!A197="","",Sell_History!A197)</f>
        <v/>
      </c>
      <c r="B197" s="2" t="str">
        <f>IF(Sell_History!B197="","",Sell_History!B197)</f>
        <v/>
      </c>
      <c r="C197" s="8" t="str">
        <f>IF(A197="","",IFERROR(INDEX(Buy_History!#REF!,MATCH(A197,Buy_History!$A:$A,0)),A197))</f>
        <v/>
      </c>
      <c r="D197" s="13" t="str">
        <f>IF(C197="","",IFERROR(INDEX(Buy_History!$C:$C,MATCH(C197,Buy_History!$A:$A,0)),""))</f>
        <v/>
      </c>
      <c r="E197" s="13" t="str">
        <f>IF(A197="","",IFERROR(SUMIFS(Sell_History!$D:$D,Sell_History!$A:$A,A197,Sell_History!$B:$B,B197),""))</f>
        <v/>
      </c>
      <c r="F197" s="9" t="str">
        <f>IF(A197="","",IF(SUMIFS(Sell_History!$E:$E,Sell_History!$A:$A,A197,Sell_History!$B:$B,B197)=0,"",SUMIFS(Sell_History!$E:$E,Sell_History!$A:$A,A197,Sell_History!$B:$B,B197)))</f>
        <v/>
      </c>
      <c r="G197" s="9" t="str">
        <f>IF(C197="","",IFERROR(INDEX(Buy_History!$E:$E,MATCH(C197,Buy_History!$A:$A,0)),""))</f>
        <v/>
      </c>
      <c r="H197" s="9" t="str">
        <f>IF(C197="","",IFERROR(SUMIFS(Raw_Observations!$D:$D,Raw_Observations!$A:$A,C197,Raw_Observations!$B:$B,B197),""))</f>
        <v/>
      </c>
      <c r="I197" s="9" t="str">
        <f t="shared" si="36"/>
        <v/>
      </c>
      <c r="J197" s="9">
        <f>IFERROR(LOOKUP(2,1/((Order_History!$A$2:$A$200=A197)*(Order_History!$B$2:$B$200=B197)*(Order_History!$E$2:$E$200&lt;=E197)),Order_History!$G$2:$G$200),"")</f>
        <v>0</v>
      </c>
      <c r="K197" s="10" t="str">
        <f>IF(C197="","",IFERROR(SUMIFS(Pricing!$G:$G,Pricing!$A:$A,C197,Pricing!$B:$B,B197),""))</f>
        <v/>
      </c>
      <c r="L197" s="11" t="str">
        <f t="shared" si="37"/>
        <v/>
      </c>
      <c r="M197" s="7">
        <v>0</v>
      </c>
      <c r="N197" s="7">
        <v>0</v>
      </c>
      <c r="O197" s="11" t="str">
        <f t="shared" si="38"/>
        <v/>
      </c>
      <c r="P197" s="14" t="str">
        <f t="shared" si="39"/>
        <v/>
      </c>
      <c r="Q197" s="15" t="str">
        <f t="shared" si="40"/>
        <v/>
      </c>
      <c r="R197" s="12" t="str">
        <f t="shared" si="41"/>
        <v/>
      </c>
    </row>
    <row r="198" spans="1:18">
      <c r="A198" s="2" t="str">
        <f>IF(Sell_History!A198="","",Sell_History!A198)</f>
        <v/>
      </c>
      <c r="B198" s="2" t="str">
        <f>IF(Sell_History!B198="","",Sell_History!B198)</f>
        <v/>
      </c>
      <c r="C198" s="8" t="str">
        <f>IF(A198="","",IFERROR(INDEX(Buy_History!#REF!,MATCH(A198,Buy_History!$A:$A,0)),A198))</f>
        <v/>
      </c>
      <c r="D198" s="13" t="str">
        <f>IF(C198="","",IFERROR(INDEX(Buy_History!$C:$C,MATCH(C198,Buy_History!$A:$A,0)),""))</f>
        <v/>
      </c>
      <c r="E198" s="13" t="str">
        <f>IF(A198="","",IFERROR(SUMIFS(Sell_History!$D:$D,Sell_History!$A:$A,A198,Sell_History!$B:$B,B198),""))</f>
        <v/>
      </c>
      <c r="F198" s="9" t="str">
        <f>IF(A198="","",IF(SUMIFS(Sell_History!$E:$E,Sell_History!$A:$A,A198,Sell_History!$B:$B,B198)=0,"",SUMIFS(Sell_History!$E:$E,Sell_History!$A:$A,A198,Sell_History!$B:$B,B198)))</f>
        <v/>
      </c>
      <c r="G198" s="9" t="str">
        <f>IF(C198="","",IFERROR(INDEX(Buy_History!$E:$E,MATCH(C198,Buy_History!$A:$A,0)),""))</f>
        <v/>
      </c>
      <c r="H198" s="9" t="str">
        <f>IF(C198="","",IFERROR(SUMIFS(Raw_Observations!$D:$D,Raw_Observations!$A:$A,C198,Raw_Observations!$B:$B,B198),""))</f>
        <v/>
      </c>
      <c r="I198" s="9" t="str">
        <f t="shared" si="36"/>
        <v/>
      </c>
      <c r="J198" s="9">
        <f>IFERROR(LOOKUP(2,1/((Order_History!$A$2:$A$200=A198)*(Order_History!$B$2:$B$200=B198)*(Order_History!$E$2:$E$200&lt;=E198)),Order_History!$G$2:$G$200),"")</f>
        <v>0</v>
      </c>
      <c r="K198" s="10" t="str">
        <f>IF(C198="","",IFERROR(SUMIFS(Pricing!$G:$G,Pricing!$A:$A,C198,Pricing!$B:$B,B198),""))</f>
        <v/>
      </c>
      <c r="L198" s="11" t="str">
        <f t="shared" si="37"/>
        <v/>
      </c>
      <c r="M198" s="7">
        <v>0</v>
      </c>
      <c r="N198" s="7">
        <v>0</v>
      </c>
      <c r="O198" s="11" t="str">
        <f t="shared" si="38"/>
        <v/>
      </c>
      <c r="P198" s="14" t="str">
        <f t="shared" si="39"/>
        <v/>
      </c>
      <c r="Q198" s="15" t="str">
        <f t="shared" si="40"/>
        <v/>
      </c>
      <c r="R198" s="12" t="str">
        <f t="shared" si="41"/>
        <v/>
      </c>
    </row>
    <row r="199" spans="1:18">
      <c r="A199" s="2" t="str">
        <f>IF(Sell_History!A199="","",Sell_History!A199)</f>
        <v/>
      </c>
      <c r="B199" s="2" t="str">
        <f>IF(Sell_History!B199="","",Sell_History!B199)</f>
        <v/>
      </c>
      <c r="C199" s="8" t="str">
        <f>IF(A199="","",IFERROR(INDEX(Buy_History!#REF!,MATCH(A199,Buy_History!$A:$A,0)),A199))</f>
        <v/>
      </c>
      <c r="D199" s="13" t="str">
        <f>IF(C199="","",IFERROR(INDEX(Buy_History!$C:$C,MATCH(C199,Buy_History!$A:$A,0)),""))</f>
        <v/>
      </c>
      <c r="E199" s="13" t="str">
        <f>IF(A199="","",IFERROR(SUMIFS(Sell_History!$D:$D,Sell_History!$A:$A,A199,Sell_History!$B:$B,B199),""))</f>
        <v/>
      </c>
      <c r="F199" s="9" t="str">
        <f>IF(A199="","",IF(SUMIFS(Sell_History!$E:$E,Sell_History!$A:$A,A199,Sell_History!$B:$B,B199)=0,"",SUMIFS(Sell_History!$E:$E,Sell_History!$A:$A,A199,Sell_History!$B:$B,B199)))</f>
        <v/>
      </c>
      <c r="G199" s="9" t="str">
        <f>IF(C199="","",IFERROR(INDEX(Buy_History!$E:$E,MATCH(C199,Buy_History!$A:$A,0)),""))</f>
        <v/>
      </c>
      <c r="H199" s="9" t="str">
        <f>IF(C199="","",IFERROR(SUMIFS(Raw_Observations!$D:$D,Raw_Observations!$A:$A,C199,Raw_Observations!$B:$B,B199),""))</f>
        <v/>
      </c>
      <c r="I199" s="9" t="str">
        <f t="shared" si="36"/>
        <v/>
      </c>
      <c r="J199" s="9">
        <f>IFERROR(LOOKUP(2,1/((Order_History!$A$2:$A$200=A199)*(Order_History!$B$2:$B$200=B199)*(Order_History!$E$2:$E$200&lt;=E199)),Order_History!$G$2:$G$200),"")</f>
        <v>0</v>
      </c>
      <c r="K199" s="10" t="str">
        <f>IF(C199="","",IFERROR(SUMIFS(Pricing!$G:$G,Pricing!$A:$A,C199,Pricing!$B:$B,B199),""))</f>
        <v/>
      </c>
      <c r="L199" s="11" t="str">
        <f t="shared" si="37"/>
        <v/>
      </c>
      <c r="M199" s="7">
        <v>0</v>
      </c>
      <c r="N199" s="7">
        <v>0</v>
      </c>
      <c r="O199" s="11" t="str">
        <f t="shared" si="38"/>
        <v/>
      </c>
      <c r="P199" s="14" t="str">
        <f t="shared" si="39"/>
        <v/>
      </c>
      <c r="Q199" s="15" t="str">
        <f t="shared" si="40"/>
        <v/>
      </c>
      <c r="R199" s="12" t="str">
        <f t="shared" si="41"/>
        <v/>
      </c>
    </row>
    <row r="200" spans="1:18">
      <c r="A200" s="2" t="str">
        <f>IF(Sell_History!A200="","",Sell_History!A200)</f>
        <v/>
      </c>
      <c r="B200" s="2" t="str">
        <f>IF(Sell_History!B200="","",Sell_History!B200)</f>
        <v/>
      </c>
      <c r="C200" s="8" t="str">
        <f>IF(A200="","",IFERROR(INDEX(Buy_History!#REF!,MATCH(A200,Buy_History!$A:$A,0)),A200))</f>
        <v/>
      </c>
      <c r="D200" s="13" t="str">
        <f>IF(C200="","",IFERROR(INDEX(Buy_History!$C:$C,MATCH(C200,Buy_History!$A:$A,0)),""))</f>
        <v/>
      </c>
      <c r="E200" s="13" t="str">
        <f>IF(A200="","",IFERROR(SUMIFS(Sell_History!$D:$D,Sell_History!$A:$A,A200,Sell_History!$B:$B,B200),""))</f>
        <v/>
      </c>
      <c r="F200" s="9" t="str">
        <f>IF(A200="","",IF(SUMIFS(Sell_History!$E:$E,Sell_History!$A:$A,A200,Sell_History!$B:$B,B200)=0,"",SUMIFS(Sell_History!$E:$E,Sell_History!$A:$A,A200,Sell_History!$B:$B,B200)))</f>
        <v/>
      </c>
      <c r="G200" s="9" t="str">
        <f>IF(C200="","",IFERROR(INDEX(Buy_History!$E:$E,MATCH(C200,Buy_History!$A:$A,0)),""))</f>
        <v/>
      </c>
      <c r="H200" s="9" t="str">
        <f>IF(C200="","",IFERROR(SUMIFS(Raw_Observations!$D:$D,Raw_Observations!$A:$A,C200,Raw_Observations!$B:$B,B200),""))</f>
        <v/>
      </c>
      <c r="I200" s="9" t="str">
        <f t="shared" si="36"/>
        <v/>
      </c>
      <c r="J200" s="9">
        <f>IFERROR(LOOKUP(2,1/((Order_History!$A$2:$A$200=A200)*(Order_History!$B$2:$B$200=B200)*(Order_History!$E$2:$E$200&lt;=E200)),Order_History!$G$2:$G$200),"")</f>
        <v>0</v>
      </c>
      <c r="K200" s="10" t="str">
        <f>IF(C200="","",IFERROR(SUMIFS(Pricing!$G:$G,Pricing!$A:$A,C200,Pricing!$B:$B,B200),""))</f>
        <v/>
      </c>
      <c r="L200" s="11" t="str">
        <f t="shared" si="37"/>
        <v/>
      </c>
      <c r="M200" s="7">
        <v>0</v>
      </c>
      <c r="N200" s="7">
        <v>0</v>
      </c>
      <c r="O200" s="11" t="str">
        <f t="shared" si="38"/>
        <v/>
      </c>
      <c r="P200" s="14" t="str">
        <f t="shared" si="39"/>
        <v/>
      </c>
      <c r="Q200" s="15" t="str">
        <f t="shared" si="40"/>
        <v/>
      </c>
      <c r="R200" s="12" t="str">
        <f t="shared" si="41"/>
        <v/>
      </c>
    </row>
    <row r="201" spans="1:18">
      <c r="A201" s="2"/>
      <c r="B201" s="2"/>
      <c r="C201" s="8"/>
      <c r="D201" s="13"/>
      <c r="E201" s="13"/>
      <c r="F201" s="9"/>
      <c r="G201" s="9"/>
      <c r="H201" s="9"/>
      <c r="I201" s="9"/>
      <c r="J201" s="9"/>
      <c r="K201" s="10"/>
      <c r="L201" s="11"/>
      <c r="M201" s="7"/>
      <c r="N201" s="7"/>
      <c r="O201" s="11"/>
      <c r="P201" s="14"/>
      <c r="Q201" s="15"/>
      <c r="R201" s="12"/>
    </row>
    <row r="202" spans="1:18">
      <c r="A202" s="2"/>
      <c r="B202" s="2"/>
      <c r="C202" s="8"/>
      <c r="D202" s="13"/>
      <c r="E202" s="13"/>
      <c r="F202" s="9"/>
      <c r="G202" s="9"/>
      <c r="H202" s="9"/>
      <c r="I202" s="9"/>
      <c r="J202" s="9"/>
      <c r="K202" s="10"/>
      <c r="L202" s="11"/>
      <c r="M202" s="7"/>
      <c r="N202" s="7"/>
      <c r="O202" s="11"/>
      <c r="P202" s="14"/>
      <c r="Q202" s="15"/>
      <c r="R202" s="12"/>
    </row>
    <row r="203" spans="1:18">
      <c r="A203" s="2"/>
      <c r="B203" s="2"/>
      <c r="C203" s="8"/>
      <c r="D203" s="13"/>
      <c r="E203" s="13"/>
      <c r="F203" s="9"/>
      <c r="G203" s="9"/>
      <c r="H203" s="9"/>
      <c r="I203" s="9"/>
      <c r="J203" s="9"/>
      <c r="K203" s="10"/>
      <c r="L203" s="11"/>
      <c r="M203" s="7"/>
      <c r="N203" s="7"/>
      <c r="O203" s="11"/>
      <c r="P203" s="14"/>
      <c r="Q203" s="15"/>
      <c r="R203" s="12"/>
    </row>
    <row r="204" spans="1:18">
      <c r="A204" s="2"/>
      <c r="B204" s="2"/>
      <c r="C204" s="8"/>
      <c r="D204" s="13"/>
      <c r="E204" s="13"/>
      <c r="F204" s="9"/>
      <c r="G204" s="9"/>
      <c r="H204" s="9"/>
      <c r="I204" s="9"/>
      <c r="J204" s="9"/>
      <c r="K204" s="10"/>
      <c r="L204" s="11"/>
      <c r="M204" s="7"/>
      <c r="N204" s="7"/>
      <c r="O204" s="11"/>
      <c r="P204" s="14"/>
      <c r="Q204" s="15"/>
      <c r="R204" s="12"/>
    </row>
    <row r="205" spans="1:18">
      <c r="A205" s="2"/>
      <c r="B205" s="2"/>
      <c r="C205" s="8"/>
      <c r="D205" s="13"/>
      <c r="E205" s="13"/>
      <c r="F205" s="9"/>
      <c r="G205" s="9"/>
      <c r="H205" s="9"/>
      <c r="I205" s="9"/>
      <c r="J205" s="9"/>
      <c r="K205" s="10"/>
      <c r="L205" s="11"/>
      <c r="M205" s="7"/>
      <c r="N205" s="7"/>
      <c r="O205" s="11"/>
      <c r="P205" s="14"/>
      <c r="Q205" s="15"/>
      <c r="R205" s="12"/>
    </row>
    <row r="206" spans="1:18">
      <c r="A206" s="2"/>
      <c r="B206" s="2"/>
      <c r="C206" s="8"/>
      <c r="D206" s="13"/>
      <c r="E206" s="13"/>
      <c r="F206" s="9"/>
      <c r="G206" s="9"/>
      <c r="H206" s="9"/>
      <c r="I206" s="9"/>
      <c r="J206" s="9"/>
      <c r="K206" s="10"/>
      <c r="L206" s="11"/>
      <c r="M206" s="7"/>
      <c r="N206" s="7"/>
      <c r="O206" s="11"/>
      <c r="P206" s="14"/>
      <c r="Q206" s="15"/>
      <c r="R206" s="12"/>
    </row>
    <row r="207" spans="1:18">
      <c r="A207" s="2"/>
      <c r="B207" s="2"/>
      <c r="C207" s="8"/>
      <c r="D207" s="13"/>
      <c r="E207" s="13"/>
      <c r="F207" s="9"/>
      <c r="G207" s="9"/>
      <c r="H207" s="9"/>
      <c r="I207" s="9"/>
      <c r="J207" s="9"/>
      <c r="K207" s="10"/>
      <c r="L207" s="11"/>
      <c r="M207" s="7"/>
      <c r="N207" s="7"/>
      <c r="O207" s="11"/>
      <c r="P207" s="14"/>
      <c r="Q207" s="15"/>
      <c r="R207" s="12"/>
    </row>
    <row r="208" spans="1:18">
      <c r="A208" s="2"/>
      <c r="B208" s="2"/>
      <c r="C208" s="8"/>
      <c r="D208" s="13"/>
      <c r="E208" s="13"/>
      <c r="F208" s="9"/>
      <c r="G208" s="9"/>
      <c r="H208" s="9"/>
      <c r="I208" s="9"/>
      <c r="J208" s="9"/>
      <c r="K208" s="10"/>
      <c r="L208" s="11"/>
      <c r="M208" s="7"/>
      <c r="N208" s="7"/>
      <c r="O208" s="11"/>
      <c r="P208" s="14"/>
      <c r="Q208" s="15"/>
      <c r="R208" s="12"/>
    </row>
    <row r="209" spans="1:18">
      <c r="A209" s="2"/>
      <c r="B209" s="2"/>
      <c r="C209" s="8"/>
      <c r="D209" s="13"/>
      <c r="E209" s="13"/>
      <c r="F209" s="9"/>
      <c r="G209" s="9"/>
      <c r="H209" s="9"/>
      <c r="I209" s="9"/>
      <c r="J209" s="9"/>
      <c r="K209" s="10"/>
      <c r="L209" s="11"/>
      <c r="M209" s="7"/>
      <c r="N209" s="7"/>
      <c r="O209" s="11"/>
      <c r="P209" s="14"/>
      <c r="Q209" s="15"/>
      <c r="R209" s="12"/>
    </row>
    <row r="210" spans="1:18">
      <c r="A210" s="2"/>
      <c r="B210" s="2"/>
      <c r="C210" s="8"/>
      <c r="D210" s="13"/>
      <c r="E210" s="13"/>
      <c r="F210" s="9"/>
      <c r="G210" s="9"/>
      <c r="H210" s="9"/>
      <c r="I210" s="9"/>
      <c r="J210" s="9"/>
      <c r="K210" s="10"/>
      <c r="L210" s="11"/>
      <c r="M210" s="7"/>
      <c r="N210" s="7"/>
      <c r="O210" s="11"/>
      <c r="P210" s="14"/>
      <c r="Q210" s="15"/>
      <c r="R210" s="12"/>
    </row>
    <row r="211" spans="1:18">
      <c r="A211" s="2"/>
      <c r="B211" s="2"/>
      <c r="C211" s="8"/>
      <c r="D211" s="13"/>
      <c r="E211" s="13"/>
      <c r="F211" s="9"/>
      <c r="G211" s="9"/>
      <c r="H211" s="9"/>
      <c r="I211" s="9"/>
      <c r="J211" s="9"/>
      <c r="K211" s="10"/>
      <c r="L211" s="11"/>
      <c r="M211" s="7"/>
      <c r="N211" s="7"/>
      <c r="O211" s="11"/>
      <c r="P211" s="14"/>
      <c r="Q211" s="15"/>
      <c r="R211" s="12"/>
    </row>
    <row r="212" spans="1:18">
      <c r="A212" s="2"/>
      <c r="B212" s="2"/>
      <c r="C212" s="8"/>
      <c r="D212" s="13"/>
      <c r="E212" s="13"/>
      <c r="F212" s="9"/>
      <c r="G212" s="9"/>
      <c r="H212" s="9"/>
      <c r="I212" s="9"/>
      <c r="J212" s="9"/>
      <c r="K212" s="10"/>
      <c r="L212" s="11"/>
      <c r="M212" s="7"/>
      <c r="N212" s="7"/>
      <c r="O212" s="11"/>
      <c r="P212" s="14"/>
      <c r="Q212" s="15"/>
      <c r="R212" s="12"/>
    </row>
    <row r="213" spans="1:18">
      <c r="A213" s="2"/>
      <c r="B213" s="2"/>
      <c r="C213" s="8"/>
      <c r="D213" s="13"/>
      <c r="E213" s="13"/>
      <c r="F213" s="9"/>
      <c r="G213" s="9"/>
      <c r="H213" s="9"/>
      <c r="I213" s="9"/>
      <c r="J213" s="9"/>
      <c r="K213" s="10"/>
      <c r="L213" s="11"/>
      <c r="M213" s="7"/>
      <c r="N213" s="7"/>
      <c r="O213" s="11"/>
      <c r="P213" s="14"/>
      <c r="Q213" s="15"/>
      <c r="R213" s="12"/>
    </row>
    <row r="214" spans="1:18">
      <c r="A214" s="2"/>
      <c r="B214" s="2"/>
      <c r="C214" s="8"/>
      <c r="D214" s="13"/>
      <c r="E214" s="13"/>
      <c r="F214" s="9"/>
      <c r="G214" s="9"/>
      <c r="H214" s="9"/>
      <c r="I214" s="9"/>
      <c r="J214" s="9"/>
      <c r="K214" s="10"/>
      <c r="L214" s="11"/>
      <c r="M214" s="7"/>
      <c r="N214" s="7"/>
      <c r="O214" s="11"/>
      <c r="P214" s="14"/>
      <c r="Q214" s="15"/>
      <c r="R214" s="12"/>
    </row>
    <row r="215" spans="1:18">
      <c r="A215" s="2"/>
      <c r="B215" s="2"/>
      <c r="C215" s="8"/>
      <c r="D215" s="13"/>
      <c r="E215" s="13"/>
      <c r="F215" s="9"/>
      <c r="G215" s="9"/>
      <c r="H215" s="9"/>
      <c r="I215" s="9"/>
      <c r="J215" s="9"/>
      <c r="K215" s="10"/>
      <c r="L215" s="11"/>
      <c r="M215" s="7"/>
      <c r="N215" s="7"/>
      <c r="O215" s="11"/>
      <c r="P215" s="14"/>
      <c r="Q215" s="15"/>
      <c r="R215" s="12"/>
    </row>
    <row r="216" spans="1:18">
      <c r="A216" s="2"/>
      <c r="B216" s="2"/>
      <c r="C216" s="8"/>
      <c r="D216" s="13"/>
      <c r="E216" s="13"/>
      <c r="F216" s="9"/>
      <c r="G216" s="9"/>
      <c r="H216" s="9"/>
      <c r="I216" s="9"/>
      <c r="J216" s="9"/>
      <c r="K216" s="10"/>
      <c r="L216" s="11"/>
      <c r="M216" s="7"/>
      <c r="N216" s="7"/>
      <c r="O216" s="11"/>
      <c r="P216" s="14"/>
      <c r="Q216" s="15"/>
      <c r="R216" s="12"/>
    </row>
    <row r="217" spans="1:18">
      <c r="A217" s="2"/>
      <c r="B217" s="2"/>
      <c r="C217" s="8"/>
      <c r="D217" s="13"/>
      <c r="E217" s="13"/>
      <c r="F217" s="9"/>
      <c r="G217" s="9"/>
      <c r="H217" s="9"/>
      <c r="I217" s="9"/>
      <c r="J217" s="9"/>
      <c r="K217" s="10"/>
      <c r="L217" s="11"/>
      <c r="M217" s="7"/>
      <c r="N217" s="7"/>
      <c r="O217" s="11"/>
      <c r="P217" s="14"/>
      <c r="Q217" s="15"/>
      <c r="R217" s="12"/>
    </row>
    <row r="218" spans="1:18">
      <c r="A218" s="2"/>
      <c r="B218" s="2"/>
      <c r="C218" s="8"/>
      <c r="D218" s="13"/>
      <c r="E218" s="13"/>
      <c r="F218" s="9"/>
      <c r="G218" s="9"/>
      <c r="H218" s="9"/>
      <c r="I218" s="9"/>
      <c r="J218" s="9"/>
      <c r="K218" s="10"/>
      <c r="L218" s="11"/>
      <c r="M218" s="7"/>
      <c r="N218" s="7"/>
      <c r="O218" s="11"/>
      <c r="P218" s="14"/>
      <c r="Q218" s="15"/>
      <c r="R218" s="12"/>
    </row>
    <row r="219" spans="1:18">
      <c r="A219" s="2"/>
      <c r="B219" s="2"/>
      <c r="C219" s="8"/>
      <c r="D219" s="13"/>
      <c r="E219" s="13"/>
      <c r="F219" s="9"/>
      <c r="G219" s="9"/>
      <c r="H219" s="9"/>
      <c r="I219" s="9"/>
      <c r="J219" s="9"/>
      <c r="K219" s="10"/>
      <c r="L219" s="11"/>
      <c r="M219" s="7"/>
      <c r="N219" s="7"/>
      <c r="O219" s="11"/>
      <c r="P219" s="14"/>
      <c r="Q219" s="15"/>
      <c r="R219" s="12"/>
    </row>
    <row r="220" spans="1:18">
      <c r="A220" s="2"/>
      <c r="B220" s="2"/>
      <c r="C220" s="8"/>
      <c r="D220" s="13"/>
      <c r="E220" s="13"/>
      <c r="F220" s="9"/>
      <c r="G220" s="9"/>
      <c r="H220" s="9"/>
      <c r="I220" s="9"/>
      <c r="J220" s="9"/>
      <c r="K220" s="10"/>
      <c r="L220" s="11"/>
      <c r="M220" s="7"/>
      <c r="N220" s="7"/>
      <c r="O220" s="11"/>
      <c r="P220" s="14"/>
      <c r="Q220" s="15"/>
      <c r="R220" s="12"/>
    </row>
    <row r="221" spans="1:18">
      <c r="A221" s="2"/>
      <c r="B221" s="2"/>
      <c r="C221" s="8"/>
      <c r="D221" s="13"/>
      <c r="E221" s="13"/>
      <c r="F221" s="9"/>
      <c r="G221" s="9"/>
      <c r="H221" s="9"/>
      <c r="I221" s="9"/>
      <c r="J221" s="9"/>
      <c r="K221" s="10"/>
      <c r="L221" s="11"/>
      <c r="M221" s="7"/>
      <c r="N221" s="7"/>
      <c r="O221" s="11"/>
      <c r="P221" s="14"/>
      <c r="Q221" s="15"/>
      <c r="R221" s="12"/>
    </row>
    <row r="222" spans="1:18">
      <c r="A222" s="2"/>
      <c r="B222" s="2"/>
      <c r="C222" s="8"/>
      <c r="D222" s="13"/>
      <c r="E222" s="13"/>
      <c r="F222" s="9"/>
      <c r="G222" s="9"/>
      <c r="H222" s="9"/>
      <c r="I222" s="9"/>
      <c r="J222" s="9"/>
      <c r="K222" s="10"/>
      <c r="L222" s="11"/>
      <c r="M222" s="7"/>
      <c r="N222" s="7"/>
      <c r="O222" s="11"/>
      <c r="P222" s="14"/>
      <c r="Q222" s="15"/>
      <c r="R222" s="12"/>
    </row>
    <row r="223" spans="1:18">
      <c r="A223" s="2"/>
      <c r="B223" s="2"/>
      <c r="C223" s="8"/>
      <c r="D223" s="13"/>
      <c r="E223" s="13"/>
      <c r="F223" s="9"/>
      <c r="G223" s="9"/>
      <c r="H223" s="9"/>
      <c r="I223" s="9"/>
      <c r="J223" s="9"/>
      <c r="K223" s="10"/>
      <c r="L223" s="11"/>
      <c r="M223" s="7"/>
      <c r="N223" s="7"/>
      <c r="O223" s="11"/>
      <c r="P223" s="14"/>
      <c r="Q223" s="15"/>
      <c r="R223" s="12"/>
    </row>
    <row r="224" spans="1:18">
      <c r="A224" s="2"/>
      <c r="B224" s="2"/>
      <c r="C224" s="8"/>
      <c r="D224" s="13"/>
      <c r="E224" s="13"/>
      <c r="F224" s="9"/>
      <c r="G224" s="9"/>
      <c r="H224" s="9"/>
      <c r="I224" s="9"/>
      <c r="J224" s="9"/>
      <c r="K224" s="10"/>
      <c r="L224" s="11"/>
      <c r="M224" s="7"/>
      <c r="N224" s="7"/>
      <c r="O224" s="11"/>
      <c r="P224" s="14"/>
      <c r="Q224" s="15"/>
      <c r="R224" s="12"/>
    </row>
    <row r="225" spans="1:18">
      <c r="A225" s="2"/>
      <c r="B225" s="2"/>
      <c r="C225" s="8"/>
      <c r="D225" s="13"/>
      <c r="E225" s="13"/>
      <c r="F225" s="9"/>
      <c r="G225" s="9"/>
      <c r="H225" s="9"/>
      <c r="I225" s="9"/>
      <c r="J225" s="9"/>
      <c r="K225" s="10"/>
      <c r="L225" s="11"/>
      <c r="M225" s="7"/>
      <c r="N225" s="7"/>
      <c r="O225" s="11"/>
      <c r="P225" s="14"/>
      <c r="Q225" s="15"/>
      <c r="R225" s="12"/>
    </row>
    <row r="226" spans="1:18">
      <c r="A226" s="2"/>
      <c r="B226" s="2"/>
      <c r="C226" s="8"/>
      <c r="D226" s="13"/>
      <c r="E226" s="13"/>
      <c r="F226" s="9"/>
      <c r="G226" s="9"/>
      <c r="H226" s="9"/>
      <c r="I226" s="9"/>
      <c r="J226" s="9"/>
      <c r="K226" s="10"/>
      <c r="L226" s="11"/>
      <c r="M226" s="7"/>
      <c r="N226" s="7"/>
      <c r="O226" s="11"/>
      <c r="P226" s="14"/>
      <c r="Q226" s="15"/>
      <c r="R226" s="12"/>
    </row>
    <row r="227" spans="1:18">
      <c r="A227" s="2"/>
      <c r="B227" s="2"/>
      <c r="C227" s="8"/>
      <c r="D227" s="13"/>
      <c r="E227" s="13"/>
      <c r="F227" s="9"/>
      <c r="G227" s="9"/>
      <c r="H227" s="9"/>
      <c r="I227" s="9"/>
      <c r="J227" s="9"/>
      <c r="K227" s="10"/>
      <c r="L227" s="11"/>
      <c r="M227" s="7"/>
      <c r="N227" s="7"/>
      <c r="O227" s="11"/>
      <c r="P227" s="14"/>
      <c r="Q227" s="15"/>
      <c r="R227" s="12"/>
    </row>
    <row r="228" spans="1:18">
      <c r="A228" s="2"/>
      <c r="B228" s="2"/>
      <c r="C228" s="8"/>
      <c r="D228" s="13"/>
      <c r="E228" s="13"/>
      <c r="F228" s="9"/>
      <c r="G228" s="9"/>
      <c r="H228" s="9"/>
      <c r="I228" s="9"/>
      <c r="J228" s="9"/>
      <c r="K228" s="10"/>
      <c r="L228" s="11"/>
      <c r="M228" s="7"/>
      <c r="N228" s="7"/>
      <c r="O228" s="11"/>
      <c r="P228" s="14"/>
      <c r="Q228" s="15"/>
      <c r="R228" s="12"/>
    </row>
    <row r="229" spans="1:18">
      <c r="A229" s="2"/>
      <c r="B229" s="2"/>
      <c r="C229" s="8"/>
      <c r="D229" s="13"/>
      <c r="E229" s="13"/>
      <c r="F229" s="9"/>
      <c r="G229" s="9"/>
      <c r="H229" s="9"/>
      <c r="I229" s="9"/>
      <c r="J229" s="9"/>
      <c r="K229" s="10"/>
      <c r="L229" s="11"/>
      <c r="M229" s="7"/>
      <c r="N229" s="7"/>
      <c r="O229" s="11"/>
      <c r="P229" s="14"/>
      <c r="Q229" s="15"/>
      <c r="R229" s="12"/>
    </row>
    <row r="230" spans="1:18">
      <c r="A230" s="2"/>
      <c r="B230" s="2"/>
      <c r="C230" s="8"/>
      <c r="D230" s="13"/>
      <c r="E230" s="13"/>
      <c r="F230" s="9"/>
      <c r="G230" s="9"/>
      <c r="H230" s="9"/>
      <c r="I230" s="9"/>
      <c r="J230" s="9"/>
      <c r="K230" s="10"/>
      <c r="L230" s="11"/>
      <c r="M230" s="7"/>
      <c r="N230" s="7"/>
      <c r="O230" s="11"/>
      <c r="P230" s="14"/>
      <c r="Q230" s="15"/>
      <c r="R230" s="12"/>
    </row>
    <row r="231" spans="1:18">
      <c r="A231" s="2"/>
      <c r="B231" s="2"/>
      <c r="C231" s="8"/>
      <c r="D231" s="13"/>
      <c r="E231" s="13"/>
      <c r="F231" s="9"/>
      <c r="G231" s="9"/>
      <c r="H231" s="9"/>
      <c r="I231" s="9"/>
      <c r="J231" s="9"/>
      <c r="K231" s="10"/>
      <c r="L231" s="11"/>
      <c r="M231" s="7"/>
      <c r="N231" s="7"/>
      <c r="O231" s="11"/>
      <c r="P231" s="14"/>
      <c r="Q231" s="15"/>
      <c r="R231" s="12"/>
    </row>
    <row r="232" spans="1:18">
      <c r="A232" s="2"/>
      <c r="B232" s="2"/>
      <c r="C232" s="8"/>
      <c r="D232" s="13"/>
      <c r="E232" s="13"/>
      <c r="F232" s="9"/>
      <c r="G232" s="9"/>
      <c r="H232" s="9"/>
      <c r="I232" s="9"/>
      <c r="J232" s="9"/>
      <c r="K232" s="10"/>
      <c r="L232" s="11"/>
      <c r="M232" s="7"/>
      <c r="N232" s="7"/>
      <c r="O232" s="11"/>
      <c r="P232" s="14"/>
      <c r="Q232" s="15"/>
      <c r="R232" s="12"/>
    </row>
    <row r="233" spans="1:18">
      <c r="A233" s="2"/>
      <c r="B233" s="2"/>
      <c r="C233" s="8"/>
      <c r="D233" s="13"/>
      <c r="E233" s="13"/>
      <c r="F233" s="9"/>
      <c r="G233" s="9"/>
      <c r="H233" s="9"/>
      <c r="I233" s="9"/>
      <c r="J233" s="9"/>
      <c r="K233" s="10"/>
      <c r="L233" s="11"/>
      <c r="M233" s="7"/>
      <c r="N233" s="7"/>
      <c r="O233" s="11"/>
      <c r="P233" s="14"/>
      <c r="Q233" s="15"/>
      <c r="R233" s="12"/>
    </row>
    <row r="234" spans="1:18">
      <c r="A234" s="2"/>
      <c r="B234" s="2"/>
      <c r="C234" s="8"/>
      <c r="D234" s="13"/>
      <c r="E234" s="13"/>
      <c r="F234" s="9"/>
      <c r="G234" s="9"/>
      <c r="H234" s="9"/>
      <c r="I234" s="9"/>
      <c r="J234" s="9"/>
      <c r="K234" s="10"/>
      <c r="L234" s="11"/>
      <c r="M234" s="7"/>
      <c r="N234" s="7"/>
      <c r="O234" s="11"/>
      <c r="P234" s="14"/>
      <c r="Q234" s="15"/>
      <c r="R234" s="12"/>
    </row>
    <row r="235" spans="1:18">
      <c r="A235" s="2"/>
      <c r="B235" s="2"/>
      <c r="C235" s="8"/>
      <c r="D235" s="13"/>
      <c r="E235" s="13"/>
      <c r="F235" s="9"/>
      <c r="G235" s="9"/>
      <c r="H235" s="9"/>
      <c r="I235" s="9"/>
      <c r="J235" s="9"/>
      <c r="K235" s="10"/>
      <c r="L235" s="11"/>
      <c r="M235" s="7"/>
      <c r="N235" s="7"/>
      <c r="O235" s="11"/>
      <c r="P235" s="14"/>
      <c r="Q235" s="15"/>
      <c r="R235" s="12"/>
    </row>
    <row r="236" spans="1:18">
      <c r="A236" s="2"/>
      <c r="B236" s="2"/>
      <c r="C236" s="8"/>
      <c r="D236" s="13"/>
      <c r="E236" s="13"/>
      <c r="F236" s="9"/>
      <c r="G236" s="9"/>
      <c r="H236" s="9"/>
      <c r="I236" s="9"/>
      <c r="J236" s="9"/>
      <c r="K236" s="10"/>
      <c r="L236" s="11"/>
      <c r="M236" s="7"/>
      <c r="N236" s="7"/>
      <c r="O236" s="11"/>
      <c r="P236" s="14"/>
      <c r="Q236" s="15"/>
      <c r="R236" s="12"/>
    </row>
    <row r="237" spans="1:18">
      <c r="A237" s="2"/>
      <c r="B237" s="2"/>
      <c r="C237" s="8"/>
      <c r="D237" s="13"/>
      <c r="E237" s="13"/>
      <c r="F237" s="9"/>
      <c r="G237" s="9"/>
      <c r="H237" s="9"/>
      <c r="I237" s="9"/>
      <c r="J237" s="9"/>
      <c r="K237" s="10"/>
      <c r="L237" s="11"/>
      <c r="M237" s="7"/>
      <c r="N237" s="7"/>
      <c r="O237" s="11"/>
      <c r="P237" s="14"/>
      <c r="Q237" s="15"/>
      <c r="R237" s="12"/>
    </row>
    <row r="238" spans="1:18">
      <c r="A238" s="2"/>
      <c r="B238" s="2"/>
      <c r="C238" s="8"/>
      <c r="D238" s="13"/>
      <c r="E238" s="13"/>
      <c r="F238" s="9"/>
      <c r="G238" s="9"/>
      <c r="H238" s="9"/>
      <c r="I238" s="9"/>
      <c r="J238" s="9"/>
      <c r="K238" s="10"/>
      <c r="L238" s="11"/>
      <c r="M238" s="7"/>
      <c r="N238" s="7"/>
      <c r="O238" s="11"/>
      <c r="P238" s="14"/>
      <c r="Q238" s="15"/>
      <c r="R238" s="12"/>
    </row>
    <row r="239" spans="1:18">
      <c r="A239" s="2"/>
      <c r="B239" s="2"/>
      <c r="C239" s="8"/>
      <c r="D239" s="13"/>
      <c r="E239" s="13"/>
      <c r="F239" s="9"/>
      <c r="G239" s="9"/>
      <c r="H239" s="9"/>
      <c r="I239" s="9"/>
      <c r="J239" s="9"/>
      <c r="K239" s="10"/>
      <c r="L239" s="11"/>
      <c r="M239" s="7"/>
      <c r="N239" s="7"/>
      <c r="O239" s="11"/>
      <c r="P239" s="14"/>
      <c r="Q239" s="15"/>
      <c r="R239" s="12"/>
    </row>
    <row r="240" spans="1:18">
      <c r="A240" s="2"/>
      <c r="B240" s="2"/>
      <c r="C240" s="8"/>
      <c r="D240" s="13"/>
      <c r="E240" s="13"/>
      <c r="F240" s="9"/>
      <c r="G240" s="9"/>
      <c r="H240" s="9"/>
      <c r="I240" s="9"/>
      <c r="J240" s="9"/>
      <c r="K240" s="10"/>
      <c r="L240" s="11"/>
      <c r="M240" s="7"/>
      <c r="N240" s="7"/>
      <c r="O240" s="11"/>
      <c r="P240" s="14"/>
      <c r="Q240" s="15"/>
      <c r="R240" s="12"/>
    </row>
    <row r="241" spans="1:18">
      <c r="A241" s="2"/>
      <c r="B241" s="2"/>
      <c r="C241" s="8"/>
      <c r="D241" s="13"/>
      <c r="E241" s="13"/>
      <c r="F241" s="9"/>
      <c r="G241" s="9"/>
      <c r="H241" s="9"/>
      <c r="I241" s="9"/>
      <c r="J241" s="9"/>
      <c r="K241" s="10"/>
      <c r="L241" s="11"/>
      <c r="M241" s="7"/>
      <c r="N241" s="7"/>
      <c r="O241" s="11"/>
      <c r="P241" s="14"/>
      <c r="Q241" s="15"/>
      <c r="R241" s="12"/>
    </row>
    <row r="242" spans="1:18">
      <c r="A242" s="2"/>
      <c r="B242" s="2"/>
      <c r="C242" s="8"/>
      <c r="D242" s="13"/>
      <c r="E242" s="13"/>
      <c r="F242" s="9"/>
      <c r="G242" s="9"/>
      <c r="H242" s="9"/>
      <c r="I242" s="9"/>
      <c r="J242" s="9"/>
      <c r="K242" s="10"/>
      <c r="L242" s="11"/>
      <c r="M242" s="7"/>
      <c r="N242" s="7"/>
      <c r="O242" s="11"/>
      <c r="P242" s="14"/>
      <c r="Q242" s="15"/>
      <c r="R242" s="12"/>
    </row>
    <row r="243" spans="1:18">
      <c r="A243" s="2"/>
      <c r="B243" s="2"/>
      <c r="C243" s="8"/>
      <c r="D243" s="13"/>
      <c r="E243" s="13"/>
      <c r="F243" s="9"/>
      <c r="G243" s="9"/>
      <c r="H243" s="9"/>
      <c r="I243" s="9"/>
      <c r="J243" s="9"/>
      <c r="K243" s="10"/>
      <c r="L243" s="11"/>
      <c r="M243" s="7"/>
      <c r="N243" s="7"/>
      <c r="O243" s="11"/>
      <c r="P243" s="14"/>
      <c r="Q243" s="15"/>
      <c r="R243" s="12"/>
    </row>
    <row r="244" spans="1:18">
      <c r="A244" s="2"/>
      <c r="B244" s="2"/>
      <c r="C244" s="8"/>
      <c r="D244" s="13"/>
      <c r="E244" s="13"/>
      <c r="F244" s="9"/>
      <c r="G244" s="9"/>
      <c r="H244" s="9"/>
      <c r="I244" s="9"/>
      <c r="J244" s="9"/>
      <c r="K244" s="10"/>
      <c r="L244" s="11"/>
      <c r="M244" s="7"/>
      <c r="N244" s="7"/>
      <c r="O244" s="11"/>
      <c r="P244" s="14"/>
      <c r="Q244" s="15"/>
      <c r="R244" s="12"/>
    </row>
    <row r="245" spans="1:18">
      <c r="A245" s="2"/>
      <c r="B245" s="2"/>
      <c r="C245" s="8"/>
      <c r="D245" s="13"/>
      <c r="E245" s="13"/>
      <c r="F245" s="9"/>
      <c r="G245" s="9"/>
      <c r="H245" s="9"/>
      <c r="I245" s="9"/>
      <c r="J245" s="9"/>
      <c r="K245" s="10"/>
      <c r="L245" s="11"/>
      <c r="M245" s="7"/>
      <c r="N245" s="7"/>
      <c r="O245" s="11"/>
      <c r="P245" s="14"/>
      <c r="Q245" s="15"/>
      <c r="R245" s="12"/>
    </row>
    <row r="246" spans="1:18">
      <c r="A246" s="2"/>
      <c r="B246" s="2"/>
      <c r="C246" s="8"/>
      <c r="D246" s="13"/>
      <c r="E246" s="13"/>
      <c r="F246" s="9"/>
      <c r="G246" s="9"/>
      <c r="H246" s="9"/>
      <c r="I246" s="9"/>
      <c r="J246" s="9"/>
      <c r="K246" s="10"/>
      <c r="L246" s="11"/>
      <c r="M246" s="7"/>
      <c r="N246" s="7"/>
      <c r="O246" s="11"/>
      <c r="P246" s="14"/>
      <c r="Q246" s="15"/>
      <c r="R246" s="12"/>
    </row>
    <row r="247" spans="1:18">
      <c r="A247" s="2"/>
      <c r="B247" s="2"/>
      <c r="C247" s="8"/>
      <c r="D247" s="13"/>
      <c r="E247" s="13"/>
      <c r="F247" s="9"/>
      <c r="G247" s="9"/>
      <c r="H247" s="9"/>
      <c r="I247" s="9"/>
      <c r="J247" s="9"/>
      <c r="K247" s="10"/>
      <c r="L247" s="11"/>
      <c r="M247" s="7"/>
      <c r="N247" s="7"/>
      <c r="O247" s="11"/>
      <c r="P247" s="14"/>
      <c r="Q247" s="15"/>
      <c r="R247" s="12"/>
    </row>
    <row r="248" spans="1:18">
      <c r="A248" s="2"/>
      <c r="B248" s="2"/>
      <c r="C248" s="8"/>
      <c r="D248" s="13"/>
      <c r="E248" s="13"/>
      <c r="F248" s="9"/>
      <c r="G248" s="9"/>
      <c r="H248" s="9"/>
      <c r="I248" s="9"/>
      <c r="J248" s="9"/>
      <c r="K248" s="10"/>
      <c r="L248" s="11"/>
      <c r="M248" s="7"/>
      <c r="N248" s="7"/>
      <c r="O248" s="11"/>
      <c r="P248" s="14"/>
      <c r="Q248" s="15"/>
      <c r="R248" s="12"/>
    </row>
    <row r="249" spans="1:18">
      <c r="A249" s="2"/>
      <c r="B249" s="2"/>
      <c r="C249" s="8"/>
      <c r="D249" s="13"/>
      <c r="E249" s="13"/>
      <c r="F249" s="9"/>
      <c r="G249" s="9"/>
      <c r="H249" s="9"/>
      <c r="I249" s="9"/>
      <c r="J249" s="9"/>
      <c r="K249" s="10"/>
      <c r="L249" s="11"/>
      <c r="M249" s="7"/>
      <c r="N249" s="7"/>
      <c r="O249" s="11"/>
      <c r="P249" s="14"/>
      <c r="Q249" s="15"/>
      <c r="R249" s="12"/>
    </row>
    <row r="250" spans="1:18">
      <c r="A250" s="2"/>
      <c r="B250" s="2"/>
      <c r="C250" s="8"/>
      <c r="D250" s="13"/>
      <c r="E250" s="13"/>
      <c r="F250" s="9"/>
      <c r="G250" s="9"/>
      <c r="H250" s="9"/>
      <c r="I250" s="9"/>
      <c r="J250" s="9"/>
      <c r="K250" s="10"/>
      <c r="L250" s="11"/>
      <c r="M250" s="7"/>
      <c r="N250" s="7"/>
      <c r="O250" s="11"/>
      <c r="P250" s="14"/>
      <c r="Q250" s="15"/>
      <c r="R250" s="12"/>
    </row>
    <row r="251" spans="1:18">
      <c r="A251" s="2"/>
      <c r="B251" s="2"/>
      <c r="C251" s="8"/>
      <c r="D251" s="13"/>
      <c r="E251" s="13"/>
      <c r="F251" s="9"/>
      <c r="G251" s="9"/>
      <c r="H251" s="9"/>
      <c r="I251" s="9"/>
      <c r="J251" s="9"/>
      <c r="K251" s="10"/>
      <c r="L251" s="11"/>
      <c r="M251" s="7"/>
      <c r="N251" s="7"/>
      <c r="O251" s="11"/>
      <c r="P251" s="14"/>
      <c r="Q251" s="15"/>
      <c r="R251" s="12"/>
    </row>
    <row r="252" spans="1:18">
      <c r="A252" s="2"/>
      <c r="B252" s="2"/>
      <c r="C252" s="8"/>
      <c r="D252" s="13"/>
      <c r="E252" s="13"/>
      <c r="F252" s="9"/>
      <c r="G252" s="9"/>
      <c r="H252" s="9"/>
      <c r="I252" s="9"/>
      <c r="J252" s="9"/>
      <c r="K252" s="10"/>
      <c r="L252" s="11"/>
      <c r="M252" s="7"/>
      <c r="N252" s="7"/>
      <c r="O252" s="11"/>
      <c r="P252" s="14"/>
      <c r="Q252" s="15"/>
      <c r="R252" s="12"/>
    </row>
    <row r="253" spans="1:18">
      <c r="A253" s="2"/>
      <c r="B253" s="2"/>
      <c r="C253" s="8"/>
      <c r="D253" s="13"/>
      <c r="E253" s="13"/>
      <c r="F253" s="9"/>
      <c r="G253" s="9"/>
      <c r="H253" s="9"/>
      <c r="I253" s="9"/>
      <c r="J253" s="9"/>
      <c r="K253" s="10"/>
      <c r="L253" s="11"/>
      <c r="M253" s="7"/>
      <c r="N253" s="7"/>
      <c r="O253" s="11"/>
      <c r="P253" s="14"/>
      <c r="Q253" s="15"/>
      <c r="R253" s="12"/>
    </row>
    <row r="254" spans="1:18">
      <c r="A254" s="2"/>
      <c r="B254" s="2"/>
      <c r="C254" s="8"/>
      <c r="D254" s="13"/>
      <c r="E254" s="13"/>
      <c r="F254" s="9"/>
      <c r="G254" s="9"/>
      <c r="H254" s="9"/>
      <c r="I254" s="9"/>
      <c r="J254" s="9"/>
      <c r="K254" s="10"/>
      <c r="L254" s="11"/>
      <c r="M254" s="7"/>
      <c r="N254" s="7"/>
      <c r="O254" s="11"/>
      <c r="P254" s="14"/>
      <c r="Q254" s="15"/>
      <c r="R254" s="12"/>
    </row>
    <row r="255" spans="1:18">
      <c r="A255" s="2"/>
      <c r="B255" s="2"/>
      <c r="C255" s="8"/>
      <c r="D255" s="13"/>
      <c r="E255" s="13"/>
      <c r="F255" s="9"/>
      <c r="G255" s="9"/>
      <c r="H255" s="9"/>
      <c r="I255" s="9"/>
      <c r="J255" s="9"/>
      <c r="K255" s="10"/>
      <c r="L255" s="11"/>
      <c r="M255" s="7"/>
      <c r="N255" s="7"/>
      <c r="O255" s="11"/>
      <c r="P255" s="14"/>
      <c r="Q255" s="15"/>
      <c r="R255" s="12"/>
    </row>
    <row r="256" spans="1:18">
      <c r="A256" s="2"/>
      <c r="B256" s="2"/>
      <c r="C256" s="8"/>
      <c r="D256" s="13"/>
      <c r="E256" s="13"/>
      <c r="F256" s="9"/>
      <c r="G256" s="9"/>
      <c r="H256" s="9"/>
      <c r="I256" s="9"/>
      <c r="J256" s="9"/>
      <c r="K256" s="10"/>
      <c r="L256" s="11"/>
      <c r="M256" s="7"/>
      <c r="N256" s="7"/>
      <c r="O256" s="11"/>
      <c r="P256" s="14"/>
      <c r="Q256" s="15"/>
      <c r="R256" s="12"/>
    </row>
    <row r="257" spans="1:18">
      <c r="A257" s="2"/>
      <c r="B257" s="2"/>
      <c r="C257" s="8"/>
      <c r="D257" s="13"/>
      <c r="E257" s="13"/>
      <c r="F257" s="9"/>
      <c r="G257" s="9"/>
      <c r="H257" s="9"/>
      <c r="I257" s="9"/>
      <c r="J257" s="9"/>
      <c r="K257" s="10"/>
      <c r="L257" s="11"/>
      <c r="M257" s="7"/>
      <c r="N257" s="7"/>
      <c r="O257" s="11"/>
      <c r="P257" s="14"/>
      <c r="Q257" s="15"/>
      <c r="R257" s="12"/>
    </row>
    <row r="258" spans="1:18">
      <c r="A258" s="2"/>
      <c r="B258" s="2"/>
      <c r="C258" s="8"/>
      <c r="D258" s="13"/>
      <c r="E258" s="13"/>
      <c r="F258" s="9"/>
      <c r="G258" s="9"/>
      <c r="H258" s="9"/>
      <c r="I258" s="9"/>
      <c r="J258" s="9"/>
      <c r="K258" s="10"/>
      <c r="L258" s="11"/>
      <c r="M258" s="7"/>
      <c r="N258" s="7"/>
      <c r="O258" s="11"/>
      <c r="P258" s="14"/>
      <c r="Q258" s="15"/>
      <c r="R258" s="12"/>
    </row>
    <row r="259" spans="1:18">
      <c r="A259" s="2"/>
      <c r="B259" s="2"/>
      <c r="C259" s="8"/>
      <c r="D259" s="13"/>
      <c r="E259" s="13"/>
      <c r="F259" s="9"/>
      <c r="G259" s="9"/>
      <c r="H259" s="9"/>
      <c r="I259" s="9"/>
      <c r="J259" s="9"/>
      <c r="K259" s="10"/>
      <c r="L259" s="11"/>
      <c r="M259" s="7"/>
      <c r="N259" s="7"/>
      <c r="O259" s="11"/>
      <c r="P259" s="14"/>
      <c r="Q259" s="15"/>
      <c r="R259" s="12"/>
    </row>
    <row r="260" spans="1:18">
      <c r="A260" s="2"/>
      <c r="B260" s="2"/>
      <c r="C260" s="8"/>
      <c r="D260" s="13"/>
      <c r="E260" s="13"/>
      <c r="F260" s="9"/>
      <c r="G260" s="9"/>
      <c r="H260" s="9"/>
      <c r="I260" s="9"/>
      <c r="J260" s="9"/>
      <c r="K260" s="10"/>
      <c r="L260" s="11"/>
      <c r="M260" s="7"/>
      <c r="N260" s="7"/>
      <c r="O260" s="11"/>
      <c r="P260" s="14"/>
      <c r="Q260" s="15"/>
      <c r="R260" s="12"/>
    </row>
    <row r="261" spans="1:18">
      <c r="A261" s="2"/>
      <c r="B261" s="2"/>
      <c r="C261" s="8"/>
      <c r="D261" s="13"/>
      <c r="E261" s="13"/>
      <c r="F261" s="9"/>
      <c r="G261" s="9"/>
      <c r="H261" s="9"/>
      <c r="I261" s="9"/>
      <c r="J261" s="9"/>
      <c r="K261" s="10"/>
      <c r="L261" s="11"/>
      <c r="M261" s="7"/>
      <c r="N261" s="7"/>
      <c r="O261" s="11"/>
      <c r="P261" s="14"/>
      <c r="Q261" s="15"/>
      <c r="R261" s="12"/>
    </row>
    <row r="262" spans="1:18">
      <c r="A262" s="2"/>
      <c r="B262" s="2"/>
      <c r="C262" s="8"/>
      <c r="D262" s="13"/>
      <c r="E262" s="13"/>
      <c r="F262" s="9"/>
      <c r="G262" s="9"/>
      <c r="H262" s="9"/>
      <c r="I262" s="9"/>
      <c r="J262" s="9"/>
      <c r="K262" s="10"/>
      <c r="L262" s="11"/>
      <c r="M262" s="7"/>
      <c r="N262" s="7"/>
      <c r="O262" s="11"/>
      <c r="P262" s="14"/>
      <c r="Q262" s="15"/>
      <c r="R262" s="12"/>
    </row>
    <row r="263" spans="1:18">
      <c r="A263" s="2"/>
      <c r="B263" s="2"/>
      <c r="C263" s="8"/>
      <c r="D263" s="13"/>
      <c r="E263" s="13"/>
      <c r="F263" s="9"/>
      <c r="G263" s="9"/>
      <c r="H263" s="9"/>
      <c r="I263" s="9"/>
      <c r="J263" s="9"/>
      <c r="K263" s="10"/>
      <c r="L263" s="11"/>
      <c r="M263" s="7"/>
      <c r="N263" s="7"/>
      <c r="O263" s="11"/>
      <c r="P263" s="14"/>
      <c r="Q263" s="15"/>
      <c r="R263" s="12"/>
    </row>
    <row r="264" spans="1:18">
      <c r="A264" s="2"/>
      <c r="B264" s="2"/>
      <c r="C264" s="8"/>
      <c r="D264" s="13"/>
      <c r="E264" s="13"/>
      <c r="F264" s="9"/>
      <c r="G264" s="9"/>
      <c r="H264" s="9"/>
      <c r="I264" s="9"/>
      <c r="J264" s="9"/>
      <c r="K264" s="10"/>
      <c r="L264" s="11"/>
      <c r="M264" s="7"/>
      <c r="N264" s="7"/>
      <c r="O264" s="11"/>
      <c r="P264" s="14"/>
      <c r="Q264" s="15"/>
      <c r="R264" s="12"/>
    </row>
    <row r="265" spans="1:18">
      <c r="A265" s="2"/>
      <c r="B265" s="2"/>
      <c r="C265" s="8"/>
      <c r="D265" s="13"/>
      <c r="E265" s="13"/>
      <c r="F265" s="9"/>
      <c r="G265" s="9"/>
      <c r="H265" s="9"/>
      <c r="I265" s="9"/>
      <c r="J265" s="9"/>
      <c r="K265" s="10"/>
      <c r="L265" s="11"/>
      <c r="M265" s="7"/>
      <c r="N265" s="7"/>
      <c r="O265" s="11"/>
      <c r="P265" s="14"/>
      <c r="Q265" s="15"/>
      <c r="R265" s="12"/>
    </row>
    <row r="266" spans="1:18">
      <c r="A266" s="2"/>
      <c r="B266" s="2"/>
      <c r="C266" s="8"/>
      <c r="D266" s="13"/>
      <c r="E266" s="13"/>
      <c r="F266" s="9"/>
      <c r="G266" s="9"/>
      <c r="H266" s="9"/>
      <c r="I266" s="9"/>
      <c r="J266" s="9"/>
      <c r="K266" s="10"/>
      <c r="L266" s="11"/>
      <c r="M266" s="7"/>
      <c r="N266" s="7"/>
      <c r="O266" s="11"/>
      <c r="P266" s="14"/>
      <c r="Q266" s="15"/>
      <c r="R266" s="12"/>
    </row>
    <row r="267" spans="1:18">
      <c r="A267" s="2"/>
      <c r="B267" s="2"/>
      <c r="C267" s="8"/>
      <c r="D267" s="13"/>
      <c r="E267" s="13"/>
      <c r="F267" s="9"/>
      <c r="G267" s="9"/>
      <c r="H267" s="9"/>
      <c r="I267" s="9"/>
      <c r="J267" s="9"/>
      <c r="K267" s="10"/>
      <c r="L267" s="11"/>
      <c r="M267" s="7"/>
      <c r="N267" s="7"/>
      <c r="O267" s="11"/>
      <c r="P267" s="14"/>
      <c r="Q267" s="15"/>
      <c r="R267" s="12"/>
    </row>
    <row r="268" spans="1:18">
      <c r="A268" s="2"/>
      <c r="B268" s="2"/>
      <c r="C268" s="8"/>
      <c r="D268" s="13"/>
      <c r="E268" s="13"/>
      <c r="F268" s="9"/>
      <c r="G268" s="9"/>
      <c r="H268" s="9"/>
      <c r="I268" s="9"/>
      <c r="J268" s="9"/>
      <c r="K268" s="10"/>
      <c r="L268" s="11"/>
      <c r="M268" s="7"/>
      <c r="N268" s="7"/>
      <c r="O268" s="11"/>
      <c r="P268" s="14"/>
      <c r="Q268" s="15"/>
      <c r="R268" s="12"/>
    </row>
    <row r="269" spans="1:18">
      <c r="A269" s="2"/>
      <c r="B269" s="2"/>
      <c r="C269" s="8"/>
      <c r="D269" s="13"/>
      <c r="E269" s="13"/>
      <c r="F269" s="9"/>
      <c r="G269" s="9"/>
      <c r="H269" s="9"/>
      <c r="I269" s="9"/>
      <c r="J269" s="9"/>
      <c r="K269" s="10"/>
      <c r="L269" s="11"/>
      <c r="M269" s="7"/>
      <c r="N269" s="7"/>
      <c r="O269" s="11"/>
      <c r="P269" s="14"/>
      <c r="Q269" s="15"/>
      <c r="R269" s="12"/>
    </row>
    <row r="270" spans="1:18">
      <c r="A270" s="2"/>
      <c r="B270" s="2"/>
      <c r="C270" s="8"/>
      <c r="D270" s="13"/>
      <c r="E270" s="13"/>
      <c r="F270" s="9"/>
      <c r="G270" s="9"/>
      <c r="H270" s="9"/>
      <c r="I270" s="9"/>
      <c r="J270" s="9"/>
      <c r="K270" s="10"/>
      <c r="L270" s="11"/>
      <c r="M270" s="7"/>
      <c r="N270" s="7"/>
      <c r="O270" s="11"/>
      <c r="P270" s="14"/>
      <c r="Q270" s="15"/>
      <c r="R270" s="12"/>
    </row>
    <row r="271" spans="1:18">
      <c r="A271" s="2"/>
      <c r="B271" s="2"/>
      <c r="C271" s="8"/>
      <c r="D271" s="13"/>
      <c r="E271" s="13"/>
      <c r="F271" s="9"/>
      <c r="G271" s="9"/>
      <c r="H271" s="9"/>
      <c r="I271" s="9"/>
      <c r="J271" s="9"/>
      <c r="K271" s="10"/>
      <c r="L271" s="11"/>
      <c r="M271" s="7"/>
      <c r="N271" s="7"/>
      <c r="O271" s="11"/>
      <c r="P271" s="14"/>
      <c r="Q271" s="15"/>
      <c r="R271" s="12"/>
    </row>
    <row r="272" spans="1:18">
      <c r="A272" s="2"/>
      <c r="B272" s="2"/>
      <c r="C272" s="8"/>
      <c r="D272" s="13"/>
      <c r="E272" s="13"/>
      <c r="F272" s="9"/>
      <c r="G272" s="9"/>
      <c r="H272" s="9"/>
      <c r="I272" s="9"/>
      <c r="J272" s="9"/>
      <c r="K272" s="10"/>
      <c r="L272" s="11"/>
      <c r="M272" s="7"/>
      <c r="N272" s="7"/>
      <c r="O272" s="11"/>
      <c r="P272" s="14"/>
      <c r="Q272" s="15"/>
      <c r="R272" s="12"/>
    </row>
    <row r="273" spans="1:18">
      <c r="A273" s="2"/>
      <c r="B273" s="2"/>
      <c r="C273" s="8"/>
      <c r="D273" s="13"/>
      <c r="E273" s="13"/>
      <c r="F273" s="9"/>
      <c r="G273" s="9"/>
      <c r="H273" s="9"/>
      <c r="I273" s="9"/>
      <c r="J273" s="9"/>
      <c r="K273" s="10"/>
      <c r="L273" s="11"/>
      <c r="M273" s="7"/>
      <c r="N273" s="7"/>
      <c r="O273" s="11"/>
      <c r="P273" s="14"/>
      <c r="Q273" s="15"/>
      <c r="R273" s="12"/>
    </row>
    <row r="274" spans="1:18">
      <c r="A274" s="2"/>
      <c r="B274" s="2"/>
      <c r="C274" s="8"/>
      <c r="D274" s="13"/>
      <c r="E274" s="13"/>
      <c r="F274" s="9"/>
      <c r="G274" s="9"/>
      <c r="H274" s="9"/>
      <c r="I274" s="9"/>
      <c r="J274" s="9"/>
      <c r="K274" s="10"/>
      <c r="L274" s="11"/>
      <c r="M274" s="7"/>
      <c r="N274" s="7"/>
      <c r="O274" s="11"/>
      <c r="P274" s="14"/>
      <c r="Q274" s="15"/>
      <c r="R274" s="12"/>
    </row>
    <row r="275" spans="1:18">
      <c r="A275" s="2"/>
      <c r="B275" s="2"/>
      <c r="C275" s="8"/>
      <c r="D275" s="13"/>
      <c r="E275" s="13"/>
      <c r="F275" s="9"/>
      <c r="G275" s="9"/>
      <c r="H275" s="9"/>
      <c r="I275" s="9"/>
      <c r="J275" s="9"/>
      <c r="K275" s="10"/>
      <c r="L275" s="11"/>
      <c r="M275" s="7"/>
      <c r="N275" s="7"/>
      <c r="O275" s="11"/>
      <c r="P275" s="14"/>
      <c r="Q275" s="15"/>
      <c r="R275" s="12"/>
    </row>
    <row r="276" spans="1:18">
      <c r="A276" s="2"/>
      <c r="B276" s="2"/>
      <c r="C276" s="8"/>
      <c r="D276" s="13"/>
      <c r="E276" s="13"/>
      <c r="F276" s="9"/>
      <c r="G276" s="9"/>
      <c r="H276" s="9"/>
      <c r="I276" s="9"/>
      <c r="J276" s="9"/>
      <c r="K276" s="10"/>
      <c r="L276" s="11"/>
      <c r="M276" s="7"/>
      <c r="N276" s="7"/>
      <c r="O276" s="11"/>
      <c r="P276" s="14"/>
      <c r="Q276" s="15"/>
      <c r="R276" s="12"/>
    </row>
    <row r="277" spans="1:18">
      <c r="A277" s="2"/>
      <c r="B277" s="2"/>
      <c r="C277" s="8"/>
      <c r="D277" s="13"/>
      <c r="E277" s="13"/>
      <c r="F277" s="9"/>
      <c r="G277" s="9"/>
      <c r="H277" s="9"/>
      <c r="I277" s="9"/>
      <c r="J277" s="9"/>
      <c r="K277" s="10"/>
      <c r="L277" s="11"/>
      <c r="M277" s="7"/>
      <c r="N277" s="7"/>
      <c r="O277" s="11"/>
      <c r="P277" s="14"/>
      <c r="Q277" s="15"/>
      <c r="R277" s="12"/>
    </row>
    <row r="278" spans="1:18">
      <c r="A278" s="2"/>
      <c r="B278" s="2"/>
      <c r="C278" s="8"/>
      <c r="D278" s="13"/>
      <c r="E278" s="13"/>
      <c r="F278" s="9"/>
      <c r="G278" s="9"/>
      <c r="H278" s="9"/>
      <c r="I278" s="9"/>
      <c r="J278" s="9"/>
      <c r="K278" s="10"/>
      <c r="L278" s="11"/>
      <c r="M278" s="7"/>
      <c r="N278" s="7"/>
      <c r="O278" s="11"/>
      <c r="P278" s="14"/>
      <c r="Q278" s="15"/>
      <c r="R278" s="12"/>
    </row>
    <row r="279" spans="1:18">
      <c r="A279" s="2"/>
      <c r="B279" s="2"/>
      <c r="C279" s="8"/>
      <c r="D279" s="13"/>
      <c r="E279" s="13"/>
      <c r="F279" s="9"/>
      <c r="G279" s="9"/>
      <c r="H279" s="9"/>
      <c r="I279" s="9"/>
      <c r="J279" s="9"/>
      <c r="K279" s="10"/>
      <c r="L279" s="11"/>
      <c r="M279" s="7"/>
      <c r="N279" s="7"/>
      <c r="O279" s="11"/>
      <c r="P279" s="14"/>
      <c r="Q279" s="15"/>
      <c r="R279" s="12"/>
    </row>
    <row r="280" spans="1:18">
      <c r="A280" s="2"/>
      <c r="B280" s="2"/>
      <c r="C280" s="8"/>
      <c r="D280" s="13"/>
      <c r="E280" s="13"/>
      <c r="F280" s="9"/>
      <c r="G280" s="9"/>
      <c r="H280" s="9"/>
      <c r="I280" s="9"/>
      <c r="J280" s="9"/>
      <c r="K280" s="10"/>
      <c r="L280" s="11"/>
      <c r="M280" s="7"/>
      <c r="N280" s="7"/>
      <c r="O280" s="11"/>
      <c r="P280" s="14"/>
      <c r="Q280" s="15"/>
      <c r="R280" s="12"/>
    </row>
    <row r="281" spans="1:18">
      <c r="A281" s="2"/>
      <c r="B281" s="2"/>
      <c r="C281" s="8"/>
      <c r="D281" s="13"/>
      <c r="E281" s="13"/>
      <c r="F281" s="9"/>
      <c r="G281" s="9"/>
      <c r="H281" s="9"/>
      <c r="I281" s="9"/>
      <c r="J281" s="9"/>
      <c r="K281" s="10"/>
      <c r="L281" s="11"/>
      <c r="M281" s="7"/>
      <c r="N281" s="7"/>
      <c r="O281" s="11"/>
      <c r="P281" s="14"/>
      <c r="Q281" s="15"/>
      <c r="R281" s="12"/>
    </row>
    <row r="282" spans="1:18">
      <c r="A282" s="2"/>
      <c r="B282" s="2"/>
      <c r="C282" s="8"/>
      <c r="D282" s="13"/>
      <c r="E282" s="13"/>
      <c r="F282" s="9"/>
      <c r="G282" s="9"/>
      <c r="H282" s="9"/>
      <c r="I282" s="9"/>
      <c r="J282" s="9"/>
      <c r="K282" s="10"/>
      <c r="L282" s="11"/>
      <c r="M282" s="7"/>
      <c r="N282" s="7"/>
      <c r="O282" s="11"/>
      <c r="P282" s="14"/>
      <c r="Q282" s="15"/>
      <c r="R282" s="12"/>
    </row>
    <row r="283" spans="1:18">
      <c r="A283" s="2"/>
      <c r="B283" s="2"/>
      <c r="C283" s="8"/>
      <c r="D283" s="13"/>
      <c r="E283" s="13"/>
      <c r="F283" s="9"/>
      <c r="G283" s="9"/>
      <c r="H283" s="9"/>
      <c r="I283" s="9"/>
      <c r="J283" s="9"/>
      <c r="K283" s="10"/>
      <c r="L283" s="11"/>
      <c r="M283" s="7"/>
      <c r="N283" s="7"/>
      <c r="O283" s="11"/>
      <c r="P283" s="14"/>
      <c r="Q283" s="15"/>
      <c r="R283" s="12"/>
    </row>
    <row r="284" spans="1:18">
      <c r="A284" s="2"/>
      <c r="B284" s="2"/>
      <c r="C284" s="8"/>
      <c r="D284" s="13"/>
      <c r="E284" s="13"/>
      <c r="F284" s="9"/>
      <c r="G284" s="9"/>
      <c r="H284" s="9"/>
      <c r="I284" s="9"/>
      <c r="J284" s="9"/>
      <c r="K284" s="10"/>
      <c r="L284" s="11"/>
      <c r="M284" s="7"/>
      <c r="N284" s="7"/>
      <c r="O284" s="11"/>
      <c r="P284" s="14"/>
      <c r="Q284" s="15"/>
      <c r="R284" s="12"/>
    </row>
    <row r="285" spans="1:18">
      <c r="A285" s="2"/>
      <c r="B285" s="2"/>
      <c r="C285" s="8"/>
      <c r="D285" s="13"/>
      <c r="E285" s="13"/>
      <c r="F285" s="9"/>
      <c r="G285" s="9"/>
      <c r="H285" s="9"/>
      <c r="I285" s="9"/>
      <c r="J285" s="9"/>
      <c r="K285" s="10"/>
      <c r="L285" s="11"/>
      <c r="M285" s="7"/>
      <c r="N285" s="7"/>
      <c r="O285" s="11"/>
      <c r="P285" s="14"/>
      <c r="Q285" s="15"/>
      <c r="R285" s="12"/>
    </row>
    <row r="286" spans="1:18">
      <c r="A286" s="2"/>
      <c r="B286" s="2"/>
      <c r="C286" s="8"/>
      <c r="D286" s="13"/>
      <c r="E286" s="13"/>
      <c r="F286" s="9"/>
      <c r="G286" s="9"/>
      <c r="H286" s="9"/>
      <c r="I286" s="9"/>
      <c r="J286" s="9"/>
      <c r="K286" s="10"/>
      <c r="L286" s="11"/>
      <c r="M286" s="7"/>
      <c r="N286" s="7"/>
      <c r="O286" s="11"/>
      <c r="P286" s="14"/>
      <c r="Q286" s="15"/>
      <c r="R286" s="12"/>
    </row>
    <row r="287" spans="1:18">
      <c r="A287" s="2"/>
      <c r="B287" s="2"/>
      <c r="C287" s="8"/>
      <c r="D287" s="13"/>
      <c r="E287" s="13"/>
      <c r="F287" s="9"/>
      <c r="G287" s="9"/>
      <c r="H287" s="9"/>
      <c r="I287" s="9"/>
      <c r="J287" s="9"/>
      <c r="K287" s="10"/>
      <c r="L287" s="11"/>
      <c r="M287" s="7"/>
      <c r="N287" s="7"/>
      <c r="O287" s="11"/>
      <c r="P287" s="14"/>
      <c r="Q287" s="15"/>
      <c r="R287" s="12"/>
    </row>
    <row r="288" spans="1:18">
      <c r="A288" s="2"/>
      <c r="B288" s="2"/>
      <c r="C288" s="8"/>
      <c r="D288" s="13"/>
      <c r="E288" s="13"/>
      <c r="F288" s="9"/>
      <c r="G288" s="9"/>
      <c r="H288" s="9"/>
      <c r="I288" s="9"/>
      <c r="J288" s="9"/>
      <c r="K288" s="10"/>
      <c r="L288" s="11"/>
      <c r="M288" s="7"/>
      <c r="N288" s="7"/>
      <c r="O288" s="11"/>
      <c r="P288" s="14"/>
      <c r="Q288" s="15"/>
      <c r="R288" s="12"/>
    </row>
    <row r="289" spans="1:18">
      <c r="A289" s="2"/>
      <c r="B289" s="2"/>
      <c r="C289" s="8"/>
      <c r="D289" s="13"/>
      <c r="E289" s="13"/>
      <c r="F289" s="9"/>
      <c r="G289" s="9"/>
      <c r="H289" s="9"/>
      <c r="I289" s="9"/>
      <c r="J289" s="9"/>
      <c r="K289" s="10"/>
      <c r="L289" s="11"/>
      <c r="M289" s="7"/>
      <c r="N289" s="7"/>
      <c r="O289" s="11"/>
      <c r="P289" s="14"/>
      <c r="Q289" s="15"/>
      <c r="R289" s="12"/>
    </row>
    <row r="290" spans="1:18">
      <c r="A290" s="2"/>
      <c r="B290" s="2"/>
      <c r="C290" s="8"/>
      <c r="D290" s="13"/>
      <c r="E290" s="13"/>
      <c r="F290" s="9"/>
      <c r="G290" s="9"/>
      <c r="H290" s="9"/>
      <c r="I290" s="9"/>
      <c r="J290" s="9"/>
      <c r="K290" s="10"/>
      <c r="L290" s="11"/>
      <c r="M290" s="7"/>
      <c r="N290" s="7"/>
      <c r="O290" s="11"/>
      <c r="P290" s="14"/>
      <c r="Q290" s="15"/>
      <c r="R290" s="12"/>
    </row>
    <row r="291" spans="1:18">
      <c r="A291" s="2"/>
      <c r="B291" s="2"/>
      <c r="C291" s="8"/>
      <c r="D291" s="13"/>
      <c r="E291" s="13"/>
      <c r="F291" s="9"/>
      <c r="G291" s="9"/>
      <c r="H291" s="9"/>
      <c r="I291" s="9"/>
      <c r="J291" s="9"/>
      <c r="K291" s="10"/>
      <c r="L291" s="11"/>
      <c r="M291" s="7"/>
      <c r="N291" s="7"/>
      <c r="O291" s="11"/>
      <c r="P291" s="14"/>
      <c r="Q291" s="15"/>
      <c r="R291" s="12"/>
    </row>
    <row r="292" spans="1:18">
      <c r="A292" s="2"/>
      <c r="B292" s="2"/>
      <c r="C292" s="8"/>
      <c r="D292" s="13"/>
      <c r="E292" s="13"/>
      <c r="F292" s="9"/>
      <c r="G292" s="9"/>
      <c r="H292" s="9"/>
      <c r="I292" s="9"/>
      <c r="J292" s="9"/>
      <c r="K292" s="10"/>
      <c r="L292" s="11"/>
      <c r="M292" s="7"/>
      <c r="N292" s="7"/>
      <c r="O292" s="11"/>
      <c r="P292" s="14"/>
      <c r="Q292" s="15"/>
      <c r="R292" s="12"/>
    </row>
    <row r="293" spans="1:18">
      <c r="A293" s="2"/>
      <c r="B293" s="2"/>
      <c r="C293" s="8"/>
      <c r="D293" s="13"/>
      <c r="E293" s="13"/>
      <c r="F293" s="9"/>
      <c r="G293" s="9"/>
      <c r="H293" s="9"/>
      <c r="I293" s="9"/>
      <c r="J293" s="9"/>
      <c r="K293" s="10"/>
      <c r="L293" s="11"/>
      <c r="M293" s="7"/>
      <c r="N293" s="7"/>
      <c r="O293" s="11"/>
      <c r="P293" s="14"/>
      <c r="Q293" s="15"/>
      <c r="R293" s="12"/>
    </row>
    <row r="294" spans="1:18">
      <c r="A294" s="2"/>
      <c r="B294" s="2"/>
      <c r="C294" s="8"/>
      <c r="D294" s="13"/>
      <c r="E294" s="13"/>
      <c r="F294" s="9"/>
      <c r="G294" s="9"/>
      <c r="H294" s="9"/>
      <c r="I294" s="9"/>
      <c r="J294" s="9"/>
      <c r="K294" s="10"/>
      <c r="L294" s="11"/>
      <c r="M294" s="7"/>
      <c r="N294" s="7"/>
      <c r="O294" s="11"/>
      <c r="P294" s="14"/>
      <c r="Q294" s="15"/>
      <c r="R294" s="12"/>
    </row>
    <row r="295" spans="1:18">
      <c r="A295" s="2"/>
      <c r="B295" s="2"/>
      <c r="C295" s="8"/>
      <c r="D295" s="13"/>
      <c r="E295" s="13"/>
      <c r="F295" s="9"/>
      <c r="G295" s="9"/>
      <c r="H295" s="9"/>
      <c r="I295" s="9"/>
      <c r="J295" s="9"/>
      <c r="K295" s="10"/>
      <c r="L295" s="11"/>
      <c r="M295" s="7"/>
      <c r="N295" s="7"/>
      <c r="O295" s="11"/>
      <c r="P295" s="14"/>
      <c r="Q295" s="15"/>
      <c r="R295" s="12"/>
    </row>
    <row r="296" spans="1:18">
      <c r="A296" s="2"/>
      <c r="B296" s="2"/>
      <c r="C296" s="8"/>
      <c r="D296" s="13"/>
      <c r="E296" s="13"/>
      <c r="F296" s="9"/>
      <c r="G296" s="9"/>
      <c r="H296" s="9"/>
      <c r="I296" s="9"/>
      <c r="J296" s="9"/>
      <c r="K296" s="10"/>
      <c r="L296" s="11"/>
      <c r="M296" s="7"/>
      <c r="N296" s="7"/>
      <c r="O296" s="11"/>
      <c r="P296" s="14"/>
      <c r="Q296" s="15"/>
      <c r="R296" s="12"/>
    </row>
    <row r="297" spans="1:18">
      <c r="A297" s="2"/>
      <c r="B297" s="2"/>
      <c r="C297" s="8"/>
      <c r="D297" s="13"/>
      <c r="E297" s="13"/>
      <c r="F297" s="9"/>
      <c r="G297" s="9"/>
      <c r="H297" s="9"/>
      <c r="I297" s="9"/>
      <c r="J297" s="9"/>
      <c r="K297" s="10"/>
      <c r="L297" s="11"/>
      <c r="M297" s="7"/>
      <c r="N297" s="7"/>
      <c r="O297" s="11"/>
      <c r="P297" s="14"/>
      <c r="Q297" s="15"/>
      <c r="R297" s="12"/>
    </row>
    <row r="298" spans="1:18">
      <c r="A298" s="2"/>
      <c r="B298" s="2"/>
      <c r="C298" s="8"/>
      <c r="D298" s="13"/>
      <c r="E298" s="13"/>
      <c r="F298" s="9"/>
      <c r="G298" s="9"/>
      <c r="H298" s="9"/>
      <c r="I298" s="9"/>
      <c r="J298" s="9"/>
      <c r="K298" s="10"/>
      <c r="L298" s="11"/>
      <c r="M298" s="7"/>
      <c r="N298" s="7"/>
      <c r="O298" s="11"/>
      <c r="P298" s="14"/>
      <c r="Q298" s="15"/>
      <c r="R298" s="12"/>
    </row>
    <row r="299" spans="1:18">
      <c r="A299" s="2"/>
      <c r="B299" s="2"/>
      <c r="C299" s="8"/>
      <c r="D299" s="13"/>
      <c r="E299" s="13"/>
      <c r="F299" s="9"/>
      <c r="G299" s="9"/>
      <c r="H299" s="9"/>
      <c r="I299" s="9"/>
      <c r="J299" s="9"/>
      <c r="K299" s="10"/>
      <c r="L299" s="11"/>
      <c r="M299" s="7"/>
      <c r="N299" s="7"/>
      <c r="O299" s="11"/>
      <c r="P299" s="14"/>
      <c r="Q299" s="15"/>
      <c r="R299" s="12"/>
    </row>
    <row r="300" spans="1:18">
      <c r="A300" s="2"/>
      <c r="B300" s="2"/>
      <c r="C300" s="8"/>
      <c r="D300" s="13"/>
      <c r="E300" s="13"/>
      <c r="F300" s="9"/>
      <c r="G300" s="9"/>
      <c r="H300" s="9"/>
      <c r="I300" s="9"/>
      <c r="J300" s="9"/>
      <c r="K300" s="10"/>
      <c r="L300" s="11"/>
      <c r="M300" s="7"/>
      <c r="N300" s="7"/>
      <c r="O300" s="11"/>
      <c r="P300" s="14"/>
      <c r="Q300" s="15"/>
      <c r="R300" s="12"/>
    </row>
    <row r="301" spans="1:18">
      <c r="A301" s="2"/>
      <c r="B301" s="2"/>
      <c r="C301" s="8"/>
      <c r="D301" s="13"/>
      <c r="E301" s="13"/>
      <c r="F301" s="9"/>
      <c r="G301" s="9"/>
      <c r="H301" s="9"/>
      <c r="I301" s="9"/>
      <c r="J301" s="9"/>
      <c r="K301" s="10"/>
      <c r="L301" s="11"/>
      <c r="M301" s="7"/>
      <c r="N301" s="7"/>
      <c r="O301" s="11"/>
      <c r="P301" s="14"/>
      <c r="Q301" s="15"/>
      <c r="R301" s="12"/>
    </row>
    <row r="302" spans="1:18">
      <c r="A302" s="2"/>
      <c r="B302" s="2"/>
      <c r="C302" s="8"/>
      <c r="D302" s="13"/>
      <c r="E302" s="13"/>
      <c r="F302" s="9"/>
      <c r="G302" s="9"/>
      <c r="H302" s="9"/>
      <c r="I302" s="9"/>
      <c r="J302" s="9"/>
      <c r="K302" s="10"/>
      <c r="L302" s="11"/>
      <c r="M302" s="7"/>
      <c r="N302" s="7"/>
      <c r="O302" s="11"/>
      <c r="P302" s="14"/>
      <c r="Q302" s="15"/>
      <c r="R302" s="12"/>
    </row>
    <row r="303" spans="1:18">
      <c r="A303" s="2"/>
      <c r="B303" s="2"/>
      <c r="C303" s="8"/>
      <c r="D303" s="13"/>
      <c r="E303" s="13"/>
      <c r="F303" s="9"/>
      <c r="G303" s="9"/>
      <c r="H303" s="9"/>
      <c r="I303" s="9"/>
      <c r="J303" s="9"/>
      <c r="K303" s="10"/>
      <c r="L303" s="11"/>
      <c r="M303" s="7"/>
      <c r="N303" s="7"/>
      <c r="O303" s="11"/>
      <c r="P303" s="14"/>
      <c r="Q303" s="15"/>
      <c r="R303" s="12"/>
    </row>
    <row r="304" spans="1:18">
      <c r="A304" s="2"/>
      <c r="B304" s="2"/>
      <c r="C304" s="8"/>
      <c r="D304" s="13"/>
      <c r="E304" s="13"/>
      <c r="F304" s="9"/>
      <c r="G304" s="9"/>
      <c r="H304" s="9"/>
      <c r="I304" s="9"/>
      <c r="J304" s="9"/>
      <c r="K304" s="10"/>
      <c r="L304" s="11"/>
      <c r="M304" s="7"/>
      <c r="N304" s="7"/>
      <c r="O304" s="11"/>
      <c r="P304" s="14"/>
      <c r="Q304" s="15"/>
      <c r="R304" s="12"/>
    </row>
    <row r="305" spans="1:18">
      <c r="A305" s="2"/>
      <c r="B305" s="2"/>
      <c r="C305" s="8"/>
      <c r="D305" s="13"/>
      <c r="E305" s="13"/>
      <c r="F305" s="9"/>
      <c r="G305" s="9"/>
      <c r="H305" s="9"/>
      <c r="I305" s="9"/>
      <c r="J305" s="9"/>
      <c r="K305" s="10"/>
      <c r="L305" s="11"/>
      <c r="M305" s="7"/>
      <c r="N305" s="7"/>
      <c r="O305" s="11"/>
      <c r="P305" s="14"/>
      <c r="Q305" s="15"/>
      <c r="R305" s="12"/>
    </row>
    <row r="306" spans="1:18">
      <c r="A306" s="2"/>
      <c r="B306" s="2"/>
      <c r="C306" s="8"/>
      <c r="D306" s="13"/>
      <c r="E306" s="13"/>
      <c r="F306" s="9"/>
      <c r="G306" s="9"/>
      <c r="H306" s="9"/>
      <c r="I306" s="9"/>
      <c r="J306" s="9"/>
      <c r="K306" s="10"/>
      <c r="L306" s="11"/>
      <c r="M306" s="7"/>
      <c r="N306" s="7"/>
      <c r="O306" s="11"/>
      <c r="P306" s="14"/>
      <c r="Q306" s="15"/>
      <c r="R306" s="12"/>
    </row>
    <row r="307" spans="1:18">
      <c r="A307" s="2"/>
      <c r="B307" s="2"/>
      <c r="C307" s="8"/>
      <c r="D307" s="13"/>
      <c r="E307" s="13"/>
      <c r="F307" s="9"/>
      <c r="G307" s="9"/>
      <c r="H307" s="9"/>
      <c r="I307" s="9"/>
      <c r="J307" s="9"/>
      <c r="K307" s="10"/>
      <c r="L307" s="11"/>
      <c r="M307" s="7"/>
      <c r="N307" s="7"/>
      <c r="O307" s="11"/>
      <c r="P307" s="14"/>
      <c r="Q307" s="15"/>
      <c r="R307" s="12"/>
    </row>
    <row r="308" spans="1:18">
      <c r="A308" s="2"/>
      <c r="B308" s="2"/>
      <c r="C308" s="8"/>
      <c r="D308" s="13"/>
      <c r="E308" s="13"/>
      <c r="F308" s="9"/>
      <c r="G308" s="9"/>
      <c r="H308" s="9"/>
      <c r="I308" s="9"/>
      <c r="J308" s="9"/>
      <c r="K308" s="10"/>
      <c r="L308" s="11"/>
      <c r="M308" s="7"/>
      <c r="N308" s="7"/>
      <c r="O308" s="11"/>
      <c r="P308" s="14"/>
      <c r="Q308" s="15"/>
      <c r="R308" s="12"/>
    </row>
    <row r="309" spans="1:18">
      <c r="A309" s="2"/>
      <c r="B309" s="2"/>
      <c r="C309" s="8"/>
      <c r="D309" s="13"/>
      <c r="E309" s="13"/>
      <c r="F309" s="9"/>
      <c r="G309" s="9"/>
      <c r="H309" s="9"/>
      <c r="I309" s="9"/>
      <c r="J309" s="9"/>
      <c r="K309" s="10"/>
      <c r="L309" s="11"/>
      <c r="M309" s="7"/>
      <c r="N309" s="7"/>
      <c r="O309" s="11"/>
      <c r="P309" s="14"/>
      <c r="Q309" s="15"/>
      <c r="R309" s="12"/>
    </row>
    <row r="310" spans="1:18">
      <c r="A310" s="2"/>
      <c r="B310" s="2"/>
      <c r="C310" s="8"/>
      <c r="D310" s="13"/>
      <c r="E310" s="13"/>
      <c r="F310" s="9"/>
      <c r="G310" s="9"/>
      <c r="H310" s="9"/>
      <c r="I310" s="9"/>
      <c r="J310" s="9"/>
      <c r="K310" s="10"/>
      <c r="L310" s="11"/>
      <c r="M310" s="7"/>
      <c r="N310" s="7"/>
      <c r="O310" s="11"/>
      <c r="P310" s="14"/>
      <c r="Q310" s="15"/>
      <c r="R310" s="12"/>
    </row>
    <row r="311" spans="1:18">
      <c r="A311" s="2"/>
      <c r="B311" s="2"/>
      <c r="C311" s="8"/>
      <c r="D311" s="13"/>
      <c r="E311" s="13"/>
      <c r="F311" s="9"/>
      <c r="G311" s="9"/>
      <c r="H311" s="9"/>
      <c r="I311" s="9"/>
      <c r="J311" s="9"/>
      <c r="K311" s="10"/>
      <c r="L311" s="11"/>
      <c r="M311" s="7"/>
      <c r="N311" s="7"/>
      <c r="O311" s="11"/>
      <c r="P311" s="14"/>
      <c r="Q311" s="15"/>
      <c r="R311" s="12"/>
    </row>
    <row r="312" spans="1:18">
      <c r="A312" s="2"/>
      <c r="B312" s="2"/>
      <c r="C312" s="8"/>
      <c r="D312" s="13"/>
      <c r="E312" s="13"/>
      <c r="F312" s="9"/>
      <c r="G312" s="9"/>
      <c r="H312" s="9"/>
      <c r="I312" s="9"/>
      <c r="J312" s="9"/>
      <c r="K312" s="10"/>
      <c r="L312" s="11"/>
      <c r="M312" s="7"/>
      <c r="N312" s="7"/>
      <c r="O312" s="11"/>
      <c r="P312" s="14"/>
      <c r="Q312" s="15"/>
      <c r="R312" s="12"/>
    </row>
    <row r="313" spans="1:18">
      <c r="A313" s="2"/>
      <c r="B313" s="2"/>
      <c r="C313" s="8"/>
      <c r="D313" s="13"/>
      <c r="E313" s="13"/>
      <c r="F313" s="9"/>
      <c r="G313" s="9"/>
      <c r="H313" s="9"/>
      <c r="I313" s="9"/>
      <c r="J313" s="9"/>
      <c r="K313" s="10"/>
      <c r="L313" s="11"/>
      <c r="M313" s="7"/>
      <c r="N313" s="7"/>
      <c r="O313" s="11"/>
      <c r="P313" s="14"/>
      <c r="Q313" s="15"/>
      <c r="R313" s="12"/>
    </row>
    <row r="314" spans="1:18">
      <c r="A314" s="2"/>
      <c r="B314" s="2"/>
      <c r="C314" s="8"/>
      <c r="D314" s="13"/>
      <c r="E314" s="13"/>
      <c r="F314" s="9"/>
      <c r="G314" s="9"/>
      <c r="H314" s="9"/>
      <c r="I314" s="9"/>
      <c r="J314" s="9"/>
      <c r="K314" s="10"/>
      <c r="L314" s="11"/>
      <c r="M314" s="7"/>
      <c r="N314" s="7"/>
      <c r="O314" s="11"/>
      <c r="P314" s="14"/>
      <c r="Q314" s="15"/>
      <c r="R314" s="12"/>
    </row>
    <row r="315" spans="1:18">
      <c r="A315" s="2"/>
      <c r="B315" s="2"/>
      <c r="C315" s="8"/>
      <c r="D315" s="13"/>
      <c r="E315" s="13"/>
      <c r="F315" s="9"/>
      <c r="G315" s="9"/>
      <c r="H315" s="9"/>
      <c r="I315" s="9"/>
      <c r="J315" s="9"/>
      <c r="K315" s="10"/>
      <c r="L315" s="11"/>
      <c r="M315" s="7"/>
      <c r="N315" s="7"/>
      <c r="O315" s="11"/>
      <c r="P315" s="14"/>
      <c r="Q315" s="15"/>
      <c r="R315" s="12"/>
    </row>
    <row r="316" spans="1:18">
      <c r="A316" s="2"/>
      <c r="B316" s="2"/>
      <c r="C316" s="8"/>
      <c r="D316" s="13"/>
      <c r="E316" s="13"/>
      <c r="F316" s="9"/>
      <c r="G316" s="9"/>
      <c r="H316" s="9"/>
      <c r="I316" s="9"/>
      <c r="J316" s="9"/>
      <c r="K316" s="10"/>
      <c r="L316" s="11"/>
      <c r="M316" s="7"/>
      <c r="N316" s="7"/>
      <c r="O316" s="11"/>
      <c r="P316" s="14"/>
      <c r="Q316" s="15"/>
      <c r="R316" s="12"/>
    </row>
    <row r="317" spans="1:18">
      <c r="A317" s="2"/>
      <c r="B317" s="2"/>
      <c r="C317" s="8"/>
      <c r="D317" s="13"/>
      <c r="E317" s="13"/>
      <c r="F317" s="9"/>
      <c r="G317" s="9"/>
      <c r="H317" s="9"/>
      <c r="I317" s="9"/>
      <c r="J317" s="9"/>
      <c r="K317" s="10"/>
      <c r="L317" s="11"/>
      <c r="M317" s="7"/>
      <c r="N317" s="7"/>
      <c r="O317" s="11"/>
      <c r="P317" s="14"/>
      <c r="Q317" s="15"/>
      <c r="R317" s="12"/>
    </row>
    <row r="318" spans="1:18">
      <c r="A318" s="2"/>
      <c r="B318" s="2"/>
      <c r="C318" s="8"/>
      <c r="D318" s="13"/>
      <c r="E318" s="13"/>
      <c r="F318" s="9"/>
      <c r="G318" s="9"/>
      <c r="H318" s="9"/>
      <c r="I318" s="9"/>
      <c r="J318" s="9"/>
      <c r="K318" s="10"/>
      <c r="L318" s="11"/>
      <c r="M318" s="7"/>
      <c r="N318" s="7"/>
      <c r="O318" s="11"/>
      <c r="P318" s="14"/>
      <c r="Q318" s="15"/>
      <c r="R318" s="12"/>
    </row>
    <row r="319" spans="1:18">
      <c r="A319" s="2"/>
      <c r="B319" s="2"/>
      <c r="C319" s="8"/>
      <c r="D319" s="13"/>
      <c r="E319" s="13"/>
      <c r="F319" s="9"/>
      <c r="G319" s="9"/>
      <c r="H319" s="9"/>
      <c r="I319" s="9"/>
      <c r="J319" s="9"/>
      <c r="K319" s="10"/>
      <c r="L319" s="11"/>
      <c r="M319" s="7"/>
      <c r="N319" s="7"/>
      <c r="O319" s="11"/>
      <c r="P319" s="14"/>
      <c r="Q319" s="15"/>
      <c r="R319" s="12"/>
    </row>
    <row r="320" spans="1:18">
      <c r="A320" s="2"/>
      <c r="B320" s="2"/>
      <c r="C320" s="8"/>
      <c r="D320" s="13"/>
      <c r="E320" s="13"/>
      <c r="F320" s="9"/>
      <c r="G320" s="9"/>
      <c r="H320" s="9"/>
      <c r="I320" s="9"/>
      <c r="J320" s="9"/>
      <c r="K320" s="10"/>
      <c r="L320" s="11"/>
      <c r="M320" s="7"/>
      <c r="N320" s="7"/>
      <c r="O320" s="11"/>
      <c r="P320" s="14"/>
      <c r="Q320" s="15"/>
      <c r="R320" s="12"/>
    </row>
    <row r="321" spans="1:18">
      <c r="A321" s="2"/>
      <c r="B321" s="2"/>
      <c r="C321" s="8"/>
      <c r="D321" s="13"/>
      <c r="E321" s="13"/>
      <c r="F321" s="9"/>
      <c r="G321" s="9"/>
      <c r="H321" s="9"/>
      <c r="I321" s="9"/>
      <c r="J321" s="9"/>
      <c r="K321" s="10"/>
      <c r="L321" s="11"/>
      <c r="M321" s="7"/>
      <c r="N321" s="7"/>
      <c r="O321" s="11"/>
      <c r="P321" s="14"/>
      <c r="Q321" s="15"/>
      <c r="R321" s="12"/>
    </row>
    <row r="322" spans="1:18">
      <c r="A322" s="2"/>
      <c r="B322" s="2"/>
      <c r="C322" s="8"/>
      <c r="D322" s="13"/>
      <c r="E322" s="13"/>
      <c r="F322" s="9"/>
      <c r="G322" s="9"/>
      <c r="H322" s="9"/>
      <c r="I322" s="9"/>
      <c r="J322" s="9"/>
      <c r="K322" s="10"/>
      <c r="L322" s="11"/>
      <c r="M322" s="7"/>
      <c r="N322" s="7"/>
      <c r="O322" s="11"/>
      <c r="P322" s="14"/>
      <c r="Q322" s="15"/>
      <c r="R322" s="12"/>
    </row>
    <row r="323" spans="1:18">
      <c r="A323" s="2"/>
      <c r="B323" s="2"/>
      <c r="C323" s="8"/>
      <c r="D323" s="13"/>
      <c r="E323" s="13"/>
      <c r="F323" s="9"/>
      <c r="G323" s="9"/>
      <c r="H323" s="9"/>
      <c r="I323" s="9"/>
      <c r="J323" s="9"/>
      <c r="K323" s="10"/>
      <c r="L323" s="11"/>
      <c r="M323" s="7"/>
      <c r="N323" s="7"/>
      <c r="O323" s="11"/>
      <c r="P323" s="14"/>
      <c r="Q323" s="15"/>
      <c r="R323" s="12"/>
    </row>
    <row r="324" spans="1:18">
      <c r="A324" s="2"/>
      <c r="B324" s="2"/>
      <c r="C324" s="8"/>
      <c r="D324" s="13"/>
      <c r="E324" s="13"/>
      <c r="F324" s="9"/>
      <c r="G324" s="9"/>
      <c r="H324" s="9"/>
      <c r="I324" s="9"/>
      <c r="J324" s="9"/>
      <c r="K324" s="10"/>
      <c r="L324" s="11"/>
      <c r="M324" s="7"/>
      <c r="N324" s="7"/>
      <c r="O324" s="11"/>
      <c r="P324" s="14"/>
      <c r="Q324" s="15"/>
      <c r="R324" s="12"/>
    </row>
    <row r="325" spans="1:18">
      <c r="A325" s="2"/>
      <c r="B325" s="2"/>
      <c r="C325" s="8"/>
      <c r="D325" s="13"/>
      <c r="E325" s="13"/>
      <c r="F325" s="9"/>
      <c r="G325" s="9"/>
      <c r="H325" s="9"/>
      <c r="I325" s="9"/>
      <c r="J325" s="9"/>
      <c r="K325" s="10"/>
      <c r="L325" s="11"/>
      <c r="M325" s="7"/>
      <c r="N325" s="7"/>
      <c r="O325" s="11"/>
      <c r="P325" s="14"/>
      <c r="Q325" s="15"/>
      <c r="R325" s="12"/>
    </row>
    <row r="326" spans="1:18">
      <c r="A326" s="2"/>
      <c r="B326" s="2"/>
      <c r="C326" s="8"/>
      <c r="D326" s="13"/>
      <c r="E326" s="13"/>
      <c r="F326" s="9"/>
      <c r="G326" s="9"/>
      <c r="H326" s="9"/>
      <c r="I326" s="9"/>
      <c r="J326" s="9"/>
      <c r="K326" s="10"/>
      <c r="L326" s="11"/>
      <c r="M326" s="7"/>
      <c r="N326" s="7"/>
      <c r="O326" s="11"/>
      <c r="P326" s="14"/>
      <c r="Q326" s="15"/>
      <c r="R326" s="12"/>
    </row>
    <row r="327" spans="1:18">
      <c r="A327" s="2"/>
      <c r="B327" s="2"/>
      <c r="C327" s="8"/>
      <c r="D327" s="13"/>
      <c r="E327" s="13"/>
      <c r="F327" s="9"/>
      <c r="G327" s="9"/>
      <c r="H327" s="9"/>
      <c r="I327" s="9"/>
      <c r="J327" s="9"/>
      <c r="K327" s="10"/>
      <c r="L327" s="11"/>
      <c r="M327" s="7"/>
      <c r="N327" s="7"/>
      <c r="O327" s="11"/>
      <c r="P327" s="14"/>
      <c r="Q327" s="15"/>
      <c r="R327" s="12"/>
    </row>
    <row r="328" spans="1:18">
      <c r="A328" s="2"/>
      <c r="B328" s="2"/>
      <c r="C328" s="8"/>
      <c r="D328" s="13"/>
      <c r="E328" s="13"/>
      <c r="F328" s="9"/>
      <c r="G328" s="9"/>
      <c r="H328" s="9"/>
      <c r="I328" s="9"/>
      <c r="J328" s="9"/>
      <c r="K328" s="10"/>
      <c r="L328" s="11"/>
      <c r="M328" s="7"/>
      <c r="N328" s="7"/>
      <c r="O328" s="11"/>
      <c r="P328" s="14"/>
      <c r="Q328" s="15"/>
      <c r="R328" s="12"/>
    </row>
    <row r="329" spans="1:18">
      <c r="A329" s="2"/>
      <c r="B329" s="2"/>
      <c r="C329" s="8"/>
      <c r="D329" s="13"/>
      <c r="E329" s="13"/>
      <c r="F329" s="9"/>
      <c r="G329" s="9"/>
      <c r="H329" s="9"/>
      <c r="I329" s="9"/>
      <c r="J329" s="9"/>
      <c r="K329" s="10"/>
      <c r="L329" s="11"/>
      <c r="M329" s="7"/>
      <c r="N329" s="7"/>
      <c r="O329" s="11"/>
      <c r="P329" s="14"/>
      <c r="Q329" s="15"/>
      <c r="R329" s="12"/>
    </row>
    <row r="330" spans="1:18">
      <c r="A330" s="2"/>
      <c r="B330" s="2"/>
      <c r="C330" s="8"/>
      <c r="D330" s="13"/>
      <c r="E330" s="13"/>
      <c r="F330" s="9"/>
      <c r="G330" s="9"/>
      <c r="H330" s="9"/>
      <c r="I330" s="9"/>
      <c r="J330" s="9"/>
      <c r="K330" s="10"/>
      <c r="L330" s="11"/>
      <c r="M330" s="7"/>
      <c r="N330" s="7"/>
      <c r="O330" s="11"/>
      <c r="P330" s="14"/>
      <c r="Q330" s="15"/>
      <c r="R330" s="12"/>
    </row>
    <row r="331" spans="1:18">
      <c r="A331" s="2"/>
      <c r="B331" s="2"/>
      <c r="C331" s="8"/>
      <c r="D331" s="13"/>
      <c r="E331" s="13"/>
      <c r="F331" s="9"/>
      <c r="G331" s="9"/>
      <c r="H331" s="9"/>
      <c r="I331" s="9"/>
      <c r="J331" s="9"/>
      <c r="K331" s="10"/>
      <c r="L331" s="11"/>
      <c r="M331" s="7"/>
      <c r="N331" s="7"/>
      <c r="O331" s="11"/>
      <c r="P331" s="14"/>
      <c r="Q331" s="15"/>
      <c r="R331" s="12"/>
    </row>
    <row r="332" spans="1:18">
      <c r="A332" s="2"/>
      <c r="B332" s="2"/>
      <c r="C332" s="8"/>
      <c r="D332" s="13"/>
      <c r="E332" s="13"/>
      <c r="F332" s="9"/>
      <c r="G332" s="9"/>
      <c r="H332" s="9"/>
      <c r="I332" s="9"/>
      <c r="J332" s="9"/>
      <c r="K332" s="10"/>
      <c r="L332" s="11"/>
      <c r="M332" s="7"/>
      <c r="N332" s="7"/>
      <c r="O332" s="11"/>
      <c r="P332" s="14"/>
      <c r="Q332" s="15"/>
      <c r="R332" s="12"/>
    </row>
    <row r="333" spans="1:18">
      <c r="A333" s="2"/>
      <c r="B333" s="2"/>
      <c r="C333" s="8"/>
      <c r="D333" s="13"/>
      <c r="E333" s="13"/>
      <c r="F333" s="9"/>
      <c r="G333" s="9"/>
      <c r="H333" s="9"/>
      <c r="I333" s="9"/>
      <c r="J333" s="9"/>
      <c r="K333" s="10"/>
      <c r="L333" s="11"/>
      <c r="M333" s="7"/>
      <c r="N333" s="7"/>
      <c r="O333" s="11"/>
      <c r="P333" s="14"/>
      <c r="Q333" s="15"/>
      <c r="R333" s="12"/>
    </row>
    <row r="334" spans="1:18">
      <c r="A334" s="2"/>
      <c r="B334" s="2"/>
      <c r="C334" s="8"/>
      <c r="D334" s="13"/>
      <c r="E334" s="13"/>
      <c r="F334" s="9"/>
      <c r="G334" s="9"/>
      <c r="H334" s="9"/>
      <c r="I334" s="9"/>
      <c r="J334" s="9"/>
      <c r="K334" s="10"/>
      <c r="L334" s="11"/>
      <c r="M334" s="7"/>
      <c r="N334" s="7"/>
      <c r="O334" s="11"/>
      <c r="P334" s="14"/>
      <c r="Q334" s="15"/>
      <c r="R334" s="12"/>
    </row>
    <row r="335" spans="1:18">
      <c r="A335" s="2"/>
      <c r="B335" s="2"/>
      <c r="C335" s="8"/>
      <c r="D335" s="13"/>
      <c r="E335" s="13"/>
      <c r="F335" s="9"/>
      <c r="G335" s="9"/>
      <c r="H335" s="9"/>
      <c r="I335" s="9"/>
      <c r="J335" s="9"/>
      <c r="K335" s="10"/>
      <c r="L335" s="11"/>
      <c r="M335" s="7"/>
      <c r="N335" s="7"/>
      <c r="O335" s="11"/>
      <c r="P335" s="14"/>
      <c r="Q335" s="15"/>
      <c r="R335" s="12"/>
    </row>
    <row r="336" spans="1:18">
      <c r="A336" s="2"/>
      <c r="B336" s="2"/>
      <c r="C336" s="8"/>
      <c r="D336" s="13"/>
      <c r="E336" s="13"/>
      <c r="F336" s="9"/>
      <c r="G336" s="9"/>
      <c r="H336" s="9"/>
      <c r="I336" s="9"/>
      <c r="J336" s="9"/>
      <c r="K336" s="10"/>
      <c r="L336" s="11"/>
      <c r="M336" s="7"/>
      <c r="N336" s="7"/>
      <c r="O336" s="11"/>
      <c r="P336" s="14"/>
      <c r="Q336" s="15"/>
      <c r="R336" s="12"/>
    </row>
    <row r="337" spans="1:18">
      <c r="A337" s="2"/>
      <c r="B337" s="2"/>
      <c r="C337" s="8"/>
      <c r="D337" s="13"/>
      <c r="E337" s="13"/>
      <c r="F337" s="9"/>
      <c r="G337" s="9"/>
      <c r="H337" s="9"/>
      <c r="I337" s="9"/>
      <c r="J337" s="9"/>
      <c r="K337" s="10"/>
      <c r="L337" s="11"/>
      <c r="M337" s="7"/>
      <c r="N337" s="7"/>
      <c r="O337" s="11"/>
      <c r="P337" s="14"/>
      <c r="Q337" s="15"/>
      <c r="R337" s="12"/>
    </row>
    <row r="338" spans="1:18">
      <c r="A338" s="2"/>
      <c r="B338" s="2"/>
      <c r="C338" s="8"/>
      <c r="D338" s="13"/>
      <c r="E338" s="13"/>
      <c r="F338" s="9"/>
      <c r="G338" s="9"/>
      <c r="H338" s="9"/>
      <c r="I338" s="9"/>
      <c r="J338" s="9"/>
      <c r="K338" s="10"/>
      <c r="L338" s="11"/>
      <c r="M338" s="7"/>
      <c r="N338" s="7"/>
      <c r="O338" s="11"/>
      <c r="P338" s="14"/>
      <c r="Q338" s="15"/>
      <c r="R338" s="12"/>
    </row>
    <row r="339" spans="1:18">
      <c r="A339" s="2"/>
      <c r="B339" s="2"/>
      <c r="C339" s="8"/>
      <c r="D339" s="13"/>
      <c r="E339" s="13"/>
      <c r="F339" s="9"/>
      <c r="G339" s="9"/>
      <c r="H339" s="9"/>
      <c r="I339" s="9"/>
      <c r="J339" s="9"/>
      <c r="K339" s="10"/>
      <c r="L339" s="11"/>
      <c r="M339" s="7"/>
      <c r="N339" s="7"/>
      <c r="O339" s="11"/>
      <c r="P339" s="14"/>
      <c r="Q339" s="15"/>
      <c r="R339" s="12"/>
    </row>
    <row r="340" spans="1:18">
      <c r="A340" s="2"/>
      <c r="B340" s="2"/>
      <c r="C340" s="8"/>
      <c r="D340" s="13"/>
      <c r="E340" s="13"/>
      <c r="F340" s="9"/>
      <c r="G340" s="9"/>
      <c r="H340" s="9"/>
      <c r="I340" s="9"/>
      <c r="J340" s="9"/>
      <c r="K340" s="10"/>
      <c r="L340" s="11"/>
      <c r="M340" s="7"/>
      <c r="N340" s="7"/>
      <c r="O340" s="11"/>
      <c r="P340" s="14"/>
      <c r="Q340" s="15"/>
      <c r="R340" s="12"/>
    </row>
    <row r="341" spans="1:18">
      <c r="A341" s="2"/>
      <c r="B341" s="2"/>
      <c r="C341" s="8"/>
      <c r="D341" s="13"/>
      <c r="E341" s="13"/>
      <c r="F341" s="9"/>
      <c r="G341" s="9"/>
      <c r="H341" s="9"/>
      <c r="I341" s="9"/>
      <c r="J341" s="9"/>
      <c r="K341" s="10"/>
      <c r="L341" s="11"/>
      <c r="M341" s="7"/>
      <c r="N341" s="7"/>
      <c r="O341" s="11"/>
      <c r="P341" s="14"/>
      <c r="Q341" s="15"/>
      <c r="R341" s="12"/>
    </row>
    <row r="342" spans="1:18">
      <c r="A342" s="2"/>
      <c r="B342" s="2"/>
      <c r="C342" s="8"/>
      <c r="D342" s="13"/>
      <c r="E342" s="13"/>
      <c r="F342" s="9"/>
      <c r="G342" s="9"/>
      <c r="H342" s="9"/>
      <c r="I342" s="9"/>
      <c r="J342" s="9"/>
      <c r="K342" s="10"/>
      <c r="L342" s="11"/>
      <c r="M342" s="7"/>
      <c r="N342" s="7"/>
      <c r="O342" s="11"/>
      <c r="P342" s="14"/>
      <c r="Q342" s="15"/>
      <c r="R342" s="12"/>
    </row>
    <row r="343" spans="1:18">
      <c r="A343" s="2"/>
      <c r="B343" s="2"/>
      <c r="C343" s="8"/>
      <c r="D343" s="13"/>
      <c r="E343" s="13"/>
      <c r="F343" s="9"/>
      <c r="G343" s="9"/>
      <c r="H343" s="9"/>
      <c r="I343" s="9"/>
      <c r="J343" s="9"/>
      <c r="K343" s="10"/>
      <c r="L343" s="11"/>
      <c r="M343" s="7"/>
      <c r="N343" s="7"/>
      <c r="O343" s="11"/>
      <c r="P343" s="14"/>
      <c r="Q343" s="15"/>
      <c r="R343" s="12"/>
    </row>
    <row r="344" spans="1:18">
      <c r="A344" s="2"/>
      <c r="B344" s="2"/>
      <c r="C344" s="8"/>
      <c r="D344" s="13"/>
      <c r="E344" s="13"/>
      <c r="F344" s="9"/>
      <c r="G344" s="9"/>
      <c r="H344" s="9"/>
      <c r="I344" s="9"/>
      <c r="J344" s="9"/>
      <c r="K344" s="10"/>
      <c r="L344" s="11"/>
      <c r="M344" s="7"/>
      <c r="N344" s="7"/>
      <c r="O344" s="11"/>
      <c r="P344" s="14"/>
      <c r="Q344" s="15"/>
      <c r="R344" s="12"/>
    </row>
    <row r="345" spans="1:18">
      <c r="A345" s="2"/>
      <c r="B345" s="2"/>
      <c r="C345" s="8"/>
      <c r="D345" s="13"/>
      <c r="E345" s="13"/>
      <c r="F345" s="9"/>
      <c r="G345" s="9"/>
      <c r="H345" s="9"/>
      <c r="I345" s="9"/>
      <c r="J345" s="9"/>
      <c r="K345" s="10"/>
      <c r="L345" s="11"/>
      <c r="M345" s="7"/>
      <c r="N345" s="7"/>
      <c r="O345" s="11"/>
      <c r="P345" s="14"/>
      <c r="Q345" s="15"/>
      <c r="R345" s="12"/>
    </row>
    <row r="346" spans="1:18">
      <c r="A346" s="2"/>
      <c r="B346" s="2"/>
      <c r="C346" s="8"/>
      <c r="D346" s="13"/>
      <c r="E346" s="13"/>
      <c r="F346" s="9"/>
      <c r="G346" s="9"/>
      <c r="H346" s="9"/>
      <c r="I346" s="9"/>
      <c r="J346" s="9"/>
      <c r="K346" s="10"/>
      <c r="L346" s="11"/>
      <c r="M346" s="7"/>
      <c r="N346" s="7"/>
      <c r="O346" s="11"/>
      <c r="P346" s="14"/>
      <c r="Q346" s="15"/>
      <c r="R346" s="12"/>
    </row>
    <row r="347" spans="1:18">
      <c r="A347" s="2"/>
      <c r="B347" s="2"/>
      <c r="C347" s="8"/>
      <c r="D347" s="13"/>
      <c r="E347" s="13"/>
      <c r="F347" s="9"/>
      <c r="G347" s="9"/>
      <c r="H347" s="9"/>
      <c r="I347" s="9"/>
      <c r="J347" s="9"/>
      <c r="K347" s="10"/>
      <c r="L347" s="11"/>
      <c r="M347" s="7"/>
      <c r="N347" s="7"/>
      <c r="O347" s="11"/>
      <c r="P347" s="14"/>
      <c r="Q347" s="15"/>
      <c r="R347" s="12"/>
    </row>
    <row r="348" spans="1:18">
      <c r="A348" s="2"/>
      <c r="B348" s="2"/>
      <c r="C348" s="8"/>
      <c r="D348" s="13"/>
      <c r="E348" s="13"/>
      <c r="F348" s="9"/>
      <c r="G348" s="9"/>
      <c r="H348" s="9"/>
      <c r="I348" s="9"/>
      <c r="J348" s="9"/>
      <c r="K348" s="10"/>
      <c r="L348" s="11"/>
      <c r="M348" s="7"/>
      <c r="N348" s="7"/>
      <c r="O348" s="11"/>
      <c r="P348" s="14"/>
      <c r="Q348" s="15"/>
      <c r="R348" s="12"/>
    </row>
    <row r="349" spans="1:18">
      <c r="A349" s="2"/>
      <c r="B349" s="2"/>
      <c r="C349" s="8"/>
      <c r="D349" s="13"/>
      <c r="E349" s="13"/>
      <c r="F349" s="9"/>
      <c r="G349" s="9"/>
      <c r="H349" s="9"/>
      <c r="I349" s="9"/>
      <c r="J349" s="9"/>
      <c r="K349" s="10"/>
      <c r="L349" s="11"/>
      <c r="M349" s="7"/>
      <c r="N349" s="7"/>
      <c r="O349" s="11"/>
      <c r="P349" s="14"/>
      <c r="Q349" s="15"/>
      <c r="R349" s="12"/>
    </row>
    <row r="350" spans="1:18">
      <c r="A350" s="2"/>
      <c r="B350" s="2"/>
      <c r="C350" s="8"/>
      <c r="D350" s="13"/>
      <c r="E350" s="13"/>
      <c r="F350" s="9"/>
      <c r="G350" s="9"/>
      <c r="H350" s="9"/>
      <c r="I350" s="9"/>
      <c r="J350" s="9"/>
      <c r="K350" s="10"/>
      <c r="L350" s="11"/>
      <c r="M350" s="7"/>
      <c r="N350" s="7"/>
      <c r="O350" s="11"/>
      <c r="P350" s="14"/>
      <c r="Q350" s="15"/>
      <c r="R350" s="12"/>
    </row>
    <row r="351" spans="1:18">
      <c r="A351" s="2"/>
      <c r="B351" s="2"/>
      <c r="C351" s="8"/>
      <c r="D351" s="13"/>
      <c r="E351" s="13"/>
      <c r="F351" s="9"/>
      <c r="G351" s="9"/>
      <c r="H351" s="9"/>
      <c r="I351" s="9"/>
      <c r="J351" s="9"/>
      <c r="K351" s="10"/>
      <c r="L351" s="11"/>
      <c r="M351" s="7"/>
      <c r="N351" s="7"/>
      <c r="O351" s="11"/>
      <c r="P351" s="14"/>
      <c r="Q351" s="15"/>
      <c r="R351" s="12"/>
    </row>
    <row r="352" spans="1:18">
      <c r="A352" s="2"/>
      <c r="B352" s="2"/>
      <c r="C352" s="8"/>
      <c r="D352" s="13"/>
      <c r="E352" s="13"/>
      <c r="F352" s="9"/>
      <c r="G352" s="9"/>
      <c r="H352" s="9"/>
      <c r="I352" s="9"/>
      <c r="J352" s="9"/>
      <c r="K352" s="10"/>
      <c r="L352" s="11"/>
      <c r="M352" s="7"/>
      <c r="N352" s="7"/>
      <c r="O352" s="11"/>
      <c r="P352" s="14"/>
      <c r="Q352" s="15"/>
      <c r="R352" s="12"/>
    </row>
    <row r="353" spans="1:18">
      <c r="A353" s="2"/>
      <c r="B353" s="2"/>
      <c r="C353" s="8"/>
      <c r="D353" s="13"/>
      <c r="E353" s="13"/>
      <c r="F353" s="9"/>
      <c r="G353" s="9"/>
      <c r="H353" s="9"/>
      <c r="I353" s="9"/>
      <c r="J353" s="9"/>
      <c r="K353" s="10"/>
      <c r="L353" s="11"/>
      <c r="M353" s="7"/>
      <c r="N353" s="7"/>
      <c r="O353" s="11"/>
      <c r="P353" s="14"/>
      <c r="Q353" s="15"/>
      <c r="R353" s="12"/>
    </row>
    <row r="354" spans="1:18">
      <c r="A354" s="2"/>
      <c r="B354" s="2"/>
      <c r="C354" s="8"/>
      <c r="D354" s="13"/>
      <c r="E354" s="13"/>
      <c r="F354" s="9"/>
      <c r="G354" s="9"/>
      <c r="H354" s="9"/>
      <c r="I354" s="9"/>
      <c r="J354" s="9"/>
      <c r="K354" s="10"/>
      <c r="L354" s="11"/>
      <c r="M354" s="7"/>
      <c r="N354" s="7"/>
      <c r="O354" s="11"/>
      <c r="P354" s="14"/>
      <c r="Q354" s="15"/>
      <c r="R354" s="12"/>
    </row>
    <row r="355" spans="1:18">
      <c r="A355" s="2"/>
      <c r="B355" s="2"/>
      <c r="C355" s="8"/>
      <c r="D355" s="13"/>
      <c r="E355" s="13"/>
      <c r="F355" s="9"/>
      <c r="G355" s="9"/>
      <c r="H355" s="9"/>
      <c r="I355" s="9"/>
      <c r="J355" s="9"/>
      <c r="K355" s="10"/>
      <c r="L355" s="11"/>
      <c r="M355" s="7"/>
      <c r="N355" s="7"/>
      <c r="O355" s="11"/>
      <c r="P355" s="14"/>
      <c r="Q355" s="15"/>
      <c r="R355" s="12"/>
    </row>
    <row r="356" spans="1:18">
      <c r="A356" s="2"/>
      <c r="B356" s="2"/>
      <c r="C356" s="8"/>
      <c r="D356" s="13"/>
      <c r="E356" s="13"/>
      <c r="F356" s="9"/>
      <c r="G356" s="9"/>
      <c r="H356" s="9"/>
      <c r="I356" s="9"/>
      <c r="J356" s="9"/>
      <c r="K356" s="10"/>
      <c r="L356" s="11"/>
      <c r="M356" s="7"/>
      <c r="N356" s="7"/>
      <c r="O356" s="11"/>
      <c r="P356" s="14"/>
      <c r="Q356" s="15"/>
      <c r="R356" s="12"/>
    </row>
    <row r="357" spans="1:18">
      <c r="A357" s="2"/>
      <c r="B357" s="2"/>
      <c r="C357" s="8"/>
      <c r="D357" s="13"/>
      <c r="E357" s="13"/>
      <c r="F357" s="9"/>
      <c r="G357" s="9"/>
      <c r="H357" s="9"/>
      <c r="I357" s="9"/>
      <c r="J357" s="9"/>
      <c r="K357" s="10"/>
      <c r="L357" s="11"/>
      <c r="M357" s="7"/>
      <c r="N357" s="7"/>
      <c r="O357" s="11"/>
      <c r="P357" s="14"/>
      <c r="Q357" s="15"/>
      <c r="R357" s="12"/>
    </row>
    <row r="358" spans="1:18">
      <c r="A358" s="2"/>
      <c r="B358" s="2"/>
      <c r="C358" s="8"/>
      <c r="D358" s="13"/>
      <c r="E358" s="13"/>
      <c r="F358" s="9"/>
      <c r="G358" s="9"/>
      <c r="H358" s="9"/>
      <c r="I358" s="9"/>
      <c r="J358" s="9"/>
      <c r="K358" s="10"/>
      <c r="L358" s="11"/>
      <c r="M358" s="7"/>
      <c r="N358" s="7"/>
      <c r="O358" s="11"/>
      <c r="P358" s="14"/>
      <c r="Q358" s="15"/>
      <c r="R358" s="12"/>
    </row>
    <row r="359" spans="1:18">
      <c r="A359" s="2"/>
      <c r="B359" s="2"/>
      <c r="C359" s="8"/>
      <c r="D359" s="13"/>
      <c r="E359" s="13"/>
      <c r="F359" s="9"/>
      <c r="G359" s="9"/>
      <c r="H359" s="9"/>
      <c r="I359" s="9"/>
      <c r="J359" s="9"/>
      <c r="K359" s="10"/>
      <c r="L359" s="11"/>
      <c r="M359" s="7"/>
      <c r="N359" s="7"/>
      <c r="O359" s="11"/>
      <c r="P359" s="14"/>
      <c r="Q359" s="15"/>
      <c r="R359" s="12"/>
    </row>
    <row r="360" spans="1:18">
      <c r="A360" s="2"/>
      <c r="B360" s="2"/>
      <c r="C360" s="8"/>
      <c r="D360" s="13"/>
      <c r="E360" s="13"/>
      <c r="F360" s="9"/>
      <c r="G360" s="9"/>
      <c r="H360" s="9"/>
      <c r="I360" s="9"/>
      <c r="J360" s="9"/>
      <c r="K360" s="10"/>
      <c r="L360" s="11"/>
      <c r="M360" s="7"/>
      <c r="N360" s="7"/>
      <c r="O360" s="11"/>
      <c r="P360" s="14"/>
      <c r="Q360" s="15"/>
      <c r="R360" s="12"/>
    </row>
    <row r="361" spans="1:18">
      <c r="A361" s="2"/>
      <c r="B361" s="2"/>
      <c r="C361" s="8"/>
      <c r="D361" s="13"/>
      <c r="E361" s="13"/>
      <c r="F361" s="9"/>
      <c r="G361" s="9"/>
      <c r="H361" s="9"/>
      <c r="I361" s="9"/>
      <c r="J361" s="9"/>
      <c r="K361" s="10"/>
      <c r="L361" s="11"/>
      <c r="M361" s="7"/>
      <c r="N361" s="7"/>
      <c r="O361" s="11"/>
      <c r="P361" s="14"/>
      <c r="Q361" s="15"/>
      <c r="R361" s="12"/>
    </row>
    <row r="362" spans="1:18">
      <c r="A362" s="2"/>
      <c r="B362" s="2"/>
      <c r="C362" s="8"/>
      <c r="D362" s="13"/>
      <c r="E362" s="13"/>
      <c r="F362" s="9"/>
      <c r="G362" s="9"/>
      <c r="H362" s="9"/>
      <c r="I362" s="9"/>
      <c r="J362" s="9"/>
      <c r="K362" s="10"/>
      <c r="L362" s="11"/>
      <c r="M362" s="7"/>
      <c r="N362" s="7"/>
      <c r="O362" s="11"/>
      <c r="P362" s="14"/>
      <c r="Q362" s="15"/>
      <c r="R362" s="12"/>
    </row>
    <row r="363" spans="1:18">
      <c r="A363" s="2"/>
      <c r="B363" s="2"/>
      <c r="C363" s="8"/>
      <c r="D363" s="13"/>
      <c r="E363" s="13"/>
      <c r="F363" s="9"/>
      <c r="G363" s="9"/>
      <c r="H363" s="9"/>
      <c r="I363" s="9"/>
      <c r="J363" s="9"/>
      <c r="K363" s="10"/>
      <c r="L363" s="11"/>
      <c r="M363" s="7"/>
      <c r="N363" s="7"/>
      <c r="O363" s="11"/>
      <c r="P363" s="14"/>
      <c r="Q363" s="15"/>
      <c r="R363" s="12"/>
    </row>
    <row r="364" spans="1:18">
      <c r="A364" s="2"/>
      <c r="B364" s="2"/>
      <c r="C364" s="8"/>
      <c r="D364" s="13"/>
      <c r="E364" s="13"/>
      <c r="F364" s="9"/>
      <c r="G364" s="9"/>
      <c r="H364" s="9"/>
      <c r="I364" s="9"/>
      <c r="J364" s="9"/>
      <c r="K364" s="10"/>
      <c r="L364" s="11"/>
      <c r="M364" s="7"/>
      <c r="N364" s="7"/>
      <c r="O364" s="11"/>
      <c r="P364" s="14"/>
      <c r="Q364" s="15"/>
      <c r="R364" s="12"/>
    </row>
    <row r="365" spans="1:18">
      <c r="A365" s="2"/>
      <c r="B365" s="2"/>
      <c r="C365" s="8"/>
      <c r="D365" s="13"/>
      <c r="E365" s="13"/>
      <c r="F365" s="9"/>
      <c r="G365" s="9"/>
      <c r="H365" s="9"/>
      <c r="I365" s="9"/>
      <c r="J365" s="9"/>
      <c r="K365" s="10"/>
      <c r="L365" s="11"/>
      <c r="M365" s="7"/>
      <c r="N365" s="7"/>
      <c r="O365" s="11"/>
      <c r="P365" s="14"/>
      <c r="Q365" s="15"/>
      <c r="R365" s="12"/>
    </row>
    <row r="366" spans="1:18">
      <c r="A366" s="2"/>
      <c r="B366" s="2"/>
      <c r="C366" s="8"/>
      <c r="D366" s="13"/>
      <c r="E366" s="13"/>
      <c r="F366" s="9"/>
      <c r="G366" s="9"/>
      <c r="H366" s="9"/>
      <c r="I366" s="9"/>
      <c r="J366" s="9"/>
      <c r="K366" s="10"/>
      <c r="L366" s="11"/>
      <c r="M366" s="7"/>
      <c r="N366" s="7"/>
      <c r="O366" s="11"/>
      <c r="P366" s="14"/>
      <c r="Q366" s="15"/>
      <c r="R366" s="12"/>
    </row>
    <row r="367" spans="1:18">
      <c r="A367" s="2"/>
      <c r="B367" s="2"/>
      <c r="C367" s="8"/>
      <c r="D367" s="13"/>
      <c r="E367" s="13"/>
      <c r="F367" s="9"/>
      <c r="G367" s="9"/>
      <c r="H367" s="9"/>
      <c r="I367" s="9"/>
      <c r="J367" s="9"/>
      <c r="K367" s="10"/>
      <c r="L367" s="11"/>
      <c r="M367" s="7"/>
      <c r="N367" s="7"/>
      <c r="O367" s="11"/>
      <c r="P367" s="14"/>
      <c r="Q367" s="15"/>
      <c r="R367" s="12"/>
    </row>
    <row r="368" spans="1:18">
      <c r="A368" s="2"/>
      <c r="B368" s="2"/>
      <c r="C368" s="8"/>
      <c r="D368" s="13"/>
      <c r="E368" s="13"/>
      <c r="F368" s="9"/>
      <c r="G368" s="9"/>
      <c r="H368" s="9"/>
      <c r="I368" s="9"/>
      <c r="J368" s="9"/>
      <c r="K368" s="10"/>
      <c r="L368" s="11"/>
      <c r="M368" s="7"/>
      <c r="N368" s="7"/>
      <c r="O368" s="11"/>
      <c r="P368" s="14"/>
      <c r="Q368" s="15"/>
      <c r="R368" s="12"/>
    </row>
    <row r="369" spans="1:18">
      <c r="A369" s="2"/>
      <c r="B369" s="2"/>
      <c r="C369" s="8"/>
      <c r="D369" s="13"/>
      <c r="E369" s="13"/>
      <c r="F369" s="9"/>
      <c r="G369" s="9"/>
      <c r="H369" s="9"/>
      <c r="I369" s="9"/>
      <c r="J369" s="9"/>
      <c r="K369" s="10"/>
      <c r="L369" s="11"/>
      <c r="M369" s="7"/>
      <c r="N369" s="7"/>
      <c r="O369" s="11"/>
      <c r="P369" s="14"/>
      <c r="Q369" s="15"/>
      <c r="R369" s="12"/>
    </row>
    <row r="370" spans="1:18">
      <c r="A370" s="2"/>
      <c r="B370" s="2"/>
      <c r="C370" s="8"/>
      <c r="D370" s="13"/>
      <c r="E370" s="13"/>
      <c r="F370" s="9"/>
      <c r="G370" s="9"/>
      <c r="H370" s="9"/>
      <c r="I370" s="9"/>
      <c r="J370" s="9"/>
      <c r="K370" s="10"/>
      <c r="L370" s="11"/>
      <c r="M370" s="7"/>
      <c r="N370" s="7"/>
      <c r="O370" s="11"/>
      <c r="P370" s="14"/>
      <c r="Q370" s="15"/>
      <c r="R370" s="12"/>
    </row>
    <row r="371" spans="1:18">
      <c r="A371" s="2"/>
      <c r="B371" s="2"/>
      <c r="C371" s="8"/>
      <c r="D371" s="13"/>
      <c r="E371" s="13"/>
      <c r="F371" s="9"/>
      <c r="G371" s="9"/>
      <c r="H371" s="9"/>
      <c r="I371" s="9"/>
      <c r="J371" s="9"/>
      <c r="K371" s="10"/>
      <c r="L371" s="11"/>
      <c r="M371" s="7"/>
      <c r="N371" s="7"/>
      <c r="O371" s="11"/>
      <c r="P371" s="14"/>
      <c r="Q371" s="15"/>
      <c r="R371" s="12"/>
    </row>
    <row r="372" spans="1:18">
      <c r="A372" s="2"/>
      <c r="B372" s="2"/>
      <c r="C372" s="8"/>
      <c r="D372" s="13"/>
      <c r="E372" s="13"/>
      <c r="F372" s="9"/>
      <c r="G372" s="9"/>
      <c r="H372" s="9"/>
      <c r="I372" s="9"/>
      <c r="J372" s="9"/>
      <c r="K372" s="10"/>
      <c r="L372" s="11"/>
      <c r="M372" s="7"/>
      <c r="N372" s="7"/>
      <c r="O372" s="11"/>
      <c r="P372" s="14"/>
      <c r="Q372" s="15"/>
      <c r="R372" s="12"/>
    </row>
    <row r="373" spans="1:18">
      <c r="A373" s="2"/>
      <c r="B373" s="2"/>
      <c r="C373" s="8"/>
      <c r="D373" s="13"/>
      <c r="E373" s="13"/>
      <c r="F373" s="9"/>
      <c r="G373" s="9"/>
      <c r="H373" s="9"/>
      <c r="I373" s="9"/>
      <c r="J373" s="9"/>
      <c r="K373" s="10"/>
      <c r="L373" s="11"/>
      <c r="M373" s="7"/>
      <c r="N373" s="7"/>
      <c r="O373" s="11"/>
      <c r="P373" s="14"/>
      <c r="Q373" s="15"/>
      <c r="R373" s="12"/>
    </row>
    <row r="374" spans="1:18">
      <c r="A374" s="2"/>
      <c r="B374" s="2"/>
      <c r="C374" s="8"/>
      <c r="D374" s="13"/>
      <c r="E374" s="13"/>
      <c r="F374" s="9"/>
      <c r="G374" s="9"/>
      <c r="H374" s="9"/>
      <c r="I374" s="9"/>
      <c r="J374" s="9"/>
      <c r="K374" s="10"/>
      <c r="L374" s="11"/>
      <c r="M374" s="7"/>
      <c r="N374" s="7"/>
      <c r="O374" s="11"/>
      <c r="P374" s="14"/>
      <c r="Q374" s="15"/>
      <c r="R374" s="12"/>
    </row>
    <row r="375" spans="1:18">
      <c r="A375" s="2"/>
      <c r="B375" s="2"/>
      <c r="C375" s="8"/>
      <c r="D375" s="13"/>
      <c r="E375" s="13"/>
      <c r="F375" s="9"/>
      <c r="G375" s="9"/>
      <c r="H375" s="9"/>
      <c r="I375" s="9"/>
      <c r="J375" s="9"/>
      <c r="K375" s="10"/>
      <c r="L375" s="11"/>
      <c r="M375" s="7"/>
      <c r="N375" s="7"/>
      <c r="O375" s="11"/>
      <c r="P375" s="14"/>
      <c r="Q375" s="15"/>
      <c r="R375" s="12"/>
    </row>
    <row r="376" spans="1:18">
      <c r="A376" s="2"/>
      <c r="B376" s="2"/>
      <c r="C376" s="8"/>
      <c r="D376" s="13"/>
      <c r="E376" s="13"/>
      <c r="F376" s="9"/>
      <c r="G376" s="9"/>
      <c r="H376" s="9"/>
      <c r="I376" s="9"/>
      <c r="J376" s="9"/>
      <c r="K376" s="10"/>
      <c r="L376" s="11"/>
      <c r="M376" s="7"/>
      <c r="N376" s="7"/>
      <c r="O376" s="11"/>
      <c r="P376" s="14"/>
      <c r="Q376" s="15"/>
      <c r="R376" s="12"/>
    </row>
    <row r="377" spans="1:18">
      <c r="A377" s="2"/>
      <c r="B377" s="2"/>
      <c r="C377" s="8"/>
      <c r="D377" s="13"/>
      <c r="E377" s="13"/>
      <c r="F377" s="9"/>
      <c r="G377" s="9"/>
      <c r="H377" s="9"/>
      <c r="I377" s="9"/>
      <c r="J377" s="9"/>
      <c r="K377" s="10"/>
      <c r="L377" s="11"/>
      <c r="M377" s="7"/>
      <c r="N377" s="7"/>
      <c r="O377" s="11"/>
      <c r="P377" s="14"/>
      <c r="Q377" s="15"/>
      <c r="R377" s="12"/>
    </row>
    <row r="378" spans="1:18">
      <c r="A378" s="2"/>
      <c r="B378" s="2"/>
      <c r="C378" s="8"/>
      <c r="D378" s="13"/>
      <c r="E378" s="13"/>
      <c r="F378" s="9"/>
      <c r="G378" s="9"/>
      <c r="H378" s="9"/>
      <c r="I378" s="9"/>
      <c r="J378" s="9"/>
      <c r="K378" s="10"/>
      <c r="L378" s="11"/>
      <c r="M378" s="7"/>
      <c r="N378" s="7"/>
      <c r="O378" s="11"/>
      <c r="P378" s="14"/>
      <c r="Q378" s="15"/>
      <c r="R378" s="12"/>
    </row>
    <row r="379" spans="1:18">
      <c r="A379" s="2"/>
      <c r="B379" s="2"/>
      <c r="C379" s="8"/>
      <c r="D379" s="13"/>
      <c r="E379" s="13"/>
      <c r="F379" s="9"/>
      <c r="G379" s="9"/>
      <c r="H379" s="9"/>
      <c r="I379" s="9"/>
      <c r="J379" s="9"/>
      <c r="K379" s="10"/>
      <c r="L379" s="11"/>
      <c r="M379" s="7"/>
      <c r="N379" s="7"/>
      <c r="O379" s="11"/>
      <c r="P379" s="14"/>
      <c r="Q379" s="15"/>
      <c r="R379" s="12"/>
    </row>
    <row r="380" spans="1:18">
      <c r="A380" s="2"/>
      <c r="B380" s="2"/>
      <c r="C380" s="8"/>
      <c r="D380" s="13"/>
      <c r="E380" s="13"/>
      <c r="F380" s="9"/>
      <c r="G380" s="9"/>
      <c r="H380" s="9"/>
      <c r="I380" s="9"/>
      <c r="J380" s="9"/>
      <c r="K380" s="10"/>
      <c r="L380" s="11"/>
      <c r="M380" s="7"/>
      <c r="N380" s="7"/>
      <c r="O380" s="11"/>
      <c r="P380" s="14"/>
      <c r="Q380" s="15"/>
      <c r="R380" s="12"/>
    </row>
    <row r="381" spans="1:18">
      <c r="A381" s="2"/>
      <c r="B381" s="2"/>
      <c r="C381" s="8"/>
      <c r="D381" s="13"/>
      <c r="E381" s="13"/>
      <c r="F381" s="9"/>
      <c r="G381" s="9"/>
      <c r="H381" s="9"/>
      <c r="I381" s="9"/>
      <c r="J381" s="9"/>
      <c r="K381" s="10"/>
      <c r="L381" s="11"/>
      <c r="M381" s="7"/>
      <c r="N381" s="7"/>
      <c r="O381" s="11"/>
      <c r="P381" s="14"/>
      <c r="Q381" s="15"/>
      <c r="R381" s="12"/>
    </row>
    <row r="382" spans="1:18">
      <c r="A382" s="2"/>
      <c r="B382" s="2"/>
      <c r="C382" s="8"/>
      <c r="D382" s="13"/>
      <c r="E382" s="13"/>
      <c r="F382" s="9"/>
      <c r="G382" s="9"/>
      <c r="H382" s="9"/>
      <c r="I382" s="9"/>
      <c r="J382" s="9"/>
      <c r="K382" s="10"/>
      <c r="L382" s="11"/>
      <c r="M382" s="7"/>
      <c r="N382" s="7"/>
      <c r="O382" s="11"/>
      <c r="P382" s="14"/>
      <c r="Q382" s="15"/>
      <c r="R382" s="12"/>
    </row>
    <row r="383" spans="1:18">
      <c r="A383" s="2"/>
      <c r="B383" s="2"/>
      <c r="C383" s="8"/>
      <c r="D383" s="13"/>
      <c r="E383" s="13"/>
      <c r="F383" s="9"/>
      <c r="G383" s="9"/>
      <c r="H383" s="9"/>
      <c r="I383" s="9"/>
      <c r="J383" s="9"/>
      <c r="K383" s="10"/>
      <c r="L383" s="11"/>
      <c r="M383" s="7"/>
      <c r="N383" s="7"/>
      <c r="O383" s="11"/>
      <c r="P383" s="14"/>
      <c r="Q383" s="15"/>
      <c r="R383" s="12"/>
    </row>
    <row r="384" spans="1:18">
      <c r="A384" s="2"/>
      <c r="B384" s="2"/>
      <c r="C384" s="8"/>
      <c r="D384" s="13"/>
      <c r="E384" s="13"/>
      <c r="F384" s="9"/>
      <c r="G384" s="9"/>
      <c r="H384" s="9"/>
      <c r="I384" s="9"/>
      <c r="J384" s="9"/>
      <c r="K384" s="10"/>
      <c r="L384" s="11"/>
      <c r="M384" s="7"/>
      <c r="N384" s="7"/>
      <c r="O384" s="11"/>
      <c r="P384" s="14"/>
      <c r="Q384" s="15"/>
      <c r="R384" s="12"/>
    </row>
    <row r="385" spans="1:18">
      <c r="A385" s="2"/>
      <c r="B385" s="2"/>
      <c r="C385" s="8"/>
      <c r="D385" s="13"/>
      <c r="E385" s="13"/>
      <c r="F385" s="9"/>
      <c r="G385" s="9"/>
      <c r="H385" s="9"/>
      <c r="I385" s="9"/>
      <c r="J385" s="9"/>
      <c r="K385" s="10"/>
      <c r="L385" s="11"/>
      <c r="M385" s="7"/>
      <c r="N385" s="7"/>
      <c r="O385" s="11"/>
      <c r="P385" s="14"/>
      <c r="Q385" s="15"/>
      <c r="R385" s="12"/>
    </row>
    <row r="386" spans="1:18">
      <c r="A386" s="2"/>
      <c r="B386" s="2"/>
      <c r="C386" s="8"/>
      <c r="D386" s="13"/>
      <c r="E386" s="13"/>
      <c r="F386" s="9"/>
      <c r="G386" s="9"/>
      <c r="H386" s="9"/>
      <c r="I386" s="9"/>
      <c r="J386" s="9"/>
      <c r="K386" s="10"/>
      <c r="L386" s="11"/>
      <c r="M386" s="7"/>
      <c r="N386" s="7"/>
      <c r="O386" s="11"/>
      <c r="P386" s="14"/>
      <c r="Q386" s="15"/>
      <c r="R386" s="12"/>
    </row>
    <row r="387" spans="1:18">
      <c r="A387" s="2"/>
      <c r="B387" s="2"/>
      <c r="C387" s="8"/>
      <c r="D387" s="13"/>
      <c r="E387" s="13"/>
      <c r="F387" s="9"/>
      <c r="G387" s="9"/>
      <c r="H387" s="9"/>
      <c r="I387" s="9"/>
      <c r="J387" s="9"/>
      <c r="K387" s="10"/>
      <c r="L387" s="11"/>
      <c r="M387" s="7"/>
      <c r="N387" s="7"/>
      <c r="O387" s="11"/>
      <c r="P387" s="14"/>
      <c r="Q387" s="15"/>
      <c r="R387" s="12"/>
    </row>
    <row r="388" spans="1:18">
      <c r="A388" s="2"/>
      <c r="B388" s="2"/>
      <c r="C388" s="8"/>
      <c r="D388" s="13"/>
      <c r="E388" s="13"/>
      <c r="F388" s="9"/>
      <c r="G388" s="9"/>
      <c r="H388" s="9"/>
      <c r="I388" s="9"/>
      <c r="J388" s="9"/>
      <c r="K388" s="10"/>
      <c r="L388" s="11"/>
      <c r="M388" s="7"/>
      <c r="N388" s="7"/>
      <c r="O388" s="11"/>
      <c r="P388" s="14"/>
      <c r="Q388" s="15"/>
      <c r="R388" s="12"/>
    </row>
    <row r="389" spans="1:18">
      <c r="A389" s="2"/>
      <c r="B389" s="2"/>
      <c r="C389" s="8"/>
      <c r="D389" s="13"/>
      <c r="E389" s="13"/>
      <c r="F389" s="9"/>
      <c r="G389" s="9"/>
      <c r="H389" s="9"/>
      <c r="I389" s="9"/>
      <c r="J389" s="9"/>
      <c r="K389" s="10"/>
      <c r="L389" s="11"/>
      <c r="M389" s="7"/>
      <c r="N389" s="7"/>
      <c r="O389" s="11"/>
      <c r="P389" s="14"/>
      <c r="Q389" s="15"/>
      <c r="R389" s="12"/>
    </row>
    <row r="390" spans="1:18">
      <c r="A390" s="2"/>
      <c r="B390" s="2"/>
      <c r="C390" s="8"/>
      <c r="D390" s="13"/>
      <c r="E390" s="13"/>
      <c r="F390" s="9"/>
      <c r="G390" s="9"/>
      <c r="H390" s="9"/>
      <c r="I390" s="9"/>
      <c r="J390" s="9"/>
      <c r="K390" s="10"/>
      <c r="L390" s="11"/>
      <c r="M390" s="7"/>
      <c r="N390" s="7"/>
      <c r="O390" s="11"/>
      <c r="P390" s="14"/>
      <c r="Q390" s="15"/>
      <c r="R390" s="12"/>
    </row>
    <row r="391" spans="1:18">
      <c r="A391" s="2"/>
      <c r="B391" s="2"/>
      <c r="C391" s="8"/>
      <c r="D391" s="13"/>
      <c r="E391" s="13"/>
      <c r="F391" s="9"/>
      <c r="G391" s="9"/>
      <c r="H391" s="9"/>
      <c r="I391" s="9"/>
      <c r="J391" s="9"/>
      <c r="K391" s="10"/>
      <c r="L391" s="11"/>
      <c r="M391" s="7"/>
      <c r="N391" s="7"/>
      <c r="O391" s="11"/>
      <c r="P391" s="14"/>
      <c r="Q391" s="15"/>
      <c r="R391" s="12"/>
    </row>
    <row r="392" spans="1:18">
      <c r="A392" s="2"/>
      <c r="B392" s="2"/>
      <c r="C392" s="8"/>
      <c r="D392" s="13"/>
      <c r="E392" s="13"/>
      <c r="F392" s="9"/>
      <c r="G392" s="9"/>
      <c r="H392" s="9"/>
      <c r="I392" s="9"/>
      <c r="J392" s="9"/>
      <c r="K392" s="10"/>
      <c r="L392" s="11"/>
      <c r="M392" s="7"/>
      <c r="N392" s="7"/>
      <c r="O392" s="11"/>
      <c r="P392" s="14"/>
      <c r="Q392" s="15"/>
      <c r="R392" s="12"/>
    </row>
    <row r="393" spans="1:18">
      <c r="A393" s="2"/>
      <c r="B393" s="2"/>
      <c r="C393" s="8"/>
      <c r="D393" s="13"/>
      <c r="E393" s="13"/>
      <c r="F393" s="9"/>
      <c r="G393" s="9"/>
      <c r="H393" s="9"/>
      <c r="I393" s="9"/>
      <c r="J393" s="9"/>
      <c r="K393" s="10"/>
      <c r="L393" s="11"/>
      <c r="M393" s="7"/>
      <c r="N393" s="7"/>
      <c r="O393" s="11"/>
      <c r="P393" s="14"/>
      <c r="Q393" s="15"/>
      <c r="R393" s="12"/>
    </row>
    <row r="394" spans="1:18">
      <c r="A394" s="2"/>
      <c r="B394" s="2"/>
      <c r="C394" s="8"/>
      <c r="D394" s="13"/>
      <c r="E394" s="13"/>
      <c r="F394" s="9"/>
      <c r="G394" s="9"/>
      <c r="H394" s="9"/>
      <c r="I394" s="9"/>
      <c r="J394" s="9"/>
      <c r="K394" s="10"/>
      <c r="L394" s="11"/>
      <c r="M394" s="7"/>
      <c r="N394" s="7"/>
      <c r="O394" s="11"/>
      <c r="P394" s="14"/>
      <c r="Q394" s="15"/>
      <c r="R394" s="12"/>
    </row>
    <row r="395" spans="1:18">
      <c r="A395" s="2"/>
      <c r="B395" s="2"/>
      <c r="C395" s="8"/>
      <c r="D395" s="13"/>
      <c r="E395" s="13"/>
      <c r="F395" s="9"/>
      <c r="G395" s="9"/>
      <c r="H395" s="9"/>
      <c r="I395" s="9"/>
      <c r="J395" s="9"/>
      <c r="K395" s="10"/>
      <c r="L395" s="11"/>
      <c r="M395" s="7"/>
      <c r="N395" s="7"/>
      <c r="O395" s="11"/>
      <c r="P395" s="14"/>
      <c r="Q395" s="15"/>
      <c r="R395" s="12"/>
    </row>
    <row r="396" spans="1:18">
      <c r="A396" s="2"/>
      <c r="B396" s="2"/>
      <c r="C396" s="8"/>
      <c r="D396" s="13"/>
      <c r="E396" s="13"/>
      <c r="F396" s="9"/>
      <c r="G396" s="9"/>
      <c r="H396" s="9"/>
      <c r="I396" s="9"/>
      <c r="J396" s="9"/>
      <c r="K396" s="10"/>
      <c r="L396" s="11"/>
      <c r="M396" s="7"/>
      <c r="N396" s="7"/>
      <c r="O396" s="11"/>
      <c r="P396" s="14"/>
      <c r="Q396" s="15"/>
      <c r="R396" s="12"/>
    </row>
    <row r="397" spans="1:18">
      <c r="A397" s="2"/>
      <c r="B397" s="2"/>
      <c r="C397" s="8"/>
      <c r="D397" s="13"/>
      <c r="E397" s="13"/>
      <c r="F397" s="9"/>
      <c r="G397" s="9"/>
      <c r="H397" s="9"/>
      <c r="I397" s="9"/>
      <c r="J397" s="9"/>
      <c r="K397" s="10"/>
      <c r="L397" s="11"/>
      <c r="M397" s="7"/>
      <c r="N397" s="7"/>
      <c r="O397" s="11"/>
      <c r="P397" s="14"/>
      <c r="Q397" s="15"/>
      <c r="R397" s="12"/>
    </row>
    <row r="398" spans="1:18">
      <c r="A398" s="2"/>
      <c r="B398" s="2"/>
      <c r="C398" s="8"/>
      <c r="D398" s="13"/>
      <c r="E398" s="13"/>
      <c r="F398" s="9"/>
      <c r="G398" s="9"/>
      <c r="H398" s="9"/>
      <c r="I398" s="9"/>
      <c r="J398" s="9"/>
      <c r="K398" s="10"/>
      <c r="L398" s="11"/>
      <c r="M398" s="7"/>
      <c r="N398" s="7"/>
      <c r="O398" s="11"/>
      <c r="P398" s="14"/>
      <c r="Q398" s="15"/>
      <c r="R398" s="12"/>
    </row>
    <row r="399" spans="1:18">
      <c r="A399" s="2"/>
      <c r="B399" s="2"/>
      <c r="C399" s="8"/>
      <c r="D399" s="13"/>
      <c r="E399" s="13"/>
      <c r="F399" s="9"/>
      <c r="G399" s="9"/>
      <c r="H399" s="9"/>
      <c r="I399" s="9"/>
      <c r="J399" s="9"/>
      <c r="K399" s="10"/>
      <c r="L399" s="11"/>
      <c r="M399" s="7"/>
      <c r="N399" s="7"/>
      <c r="O399" s="11"/>
      <c r="P399" s="14"/>
      <c r="Q399" s="15"/>
      <c r="R399" s="12"/>
    </row>
    <row r="400" spans="1:18">
      <c r="A400" s="2"/>
      <c r="B400" s="2"/>
      <c r="C400" s="8"/>
      <c r="D400" s="13"/>
      <c r="E400" s="13"/>
      <c r="F400" s="9"/>
      <c r="G400" s="9"/>
      <c r="H400" s="9"/>
      <c r="I400" s="9"/>
      <c r="J400" s="9"/>
      <c r="K400" s="10"/>
      <c r="L400" s="11"/>
      <c r="M400" s="7"/>
      <c r="N400" s="7"/>
      <c r="O400" s="11"/>
      <c r="P400" s="14"/>
      <c r="Q400" s="15"/>
      <c r="R400" s="12"/>
    </row>
    <row r="401" spans="1:18">
      <c r="A401" s="2"/>
      <c r="B401" s="2"/>
      <c r="C401" s="8"/>
      <c r="D401" s="13"/>
      <c r="E401" s="13"/>
      <c r="F401" s="9"/>
      <c r="G401" s="9"/>
      <c r="H401" s="9"/>
      <c r="I401" s="9"/>
      <c r="J401" s="9"/>
      <c r="K401" s="10"/>
      <c r="L401" s="11"/>
      <c r="M401" s="7"/>
      <c r="N401" s="7"/>
      <c r="O401" s="11"/>
      <c r="P401" s="14"/>
      <c r="Q401" s="15"/>
      <c r="R401" s="12"/>
    </row>
    <row r="402" spans="1:18">
      <c r="A402" s="2"/>
      <c r="B402" s="2"/>
      <c r="C402" s="8"/>
      <c r="D402" s="13"/>
      <c r="E402" s="13"/>
      <c r="F402" s="9"/>
      <c r="G402" s="9"/>
      <c r="H402" s="9"/>
      <c r="I402" s="9"/>
      <c r="J402" s="9"/>
      <c r="K402" s="10"/>
      <c r="L402" s="11"/>
      <c r="M402" s="7"/>
      <c r="N402" s="7"/>
      <c r="O402" s="11"/>
      <c r="P402" s="14"/>
      <c r="Q402" s="15"/>
      <c r="R402" s="12"/>
    </row>
    <row r="403" spans="1:18">
      <c r="A403" s="2"/>
      <c r="B403" s="2"/>
      <c r="C403" s="8"/>
      <c r="D403" s="13"/>
      <c r="E403" s="13"/>
      <c r="F403" s="9"/>
      <c r="G403" s="9"/>
      <c r="H403" s="9"/>
      <c r="I403" s="9"/>
      <c r="J403" s="9"/>
      <c r="K403" s="10"/>
      <c r="L403" s="11"/>
      <c r="M403" s="7"/>
      <c r="N403" s="7"/>
      <c r="O403" s="11"/>
      <c r="P403" s="14"/>
      <c r="Q403" s="15"/>
      <c r="R403" s="12"/>
    </row>
    <row r="404" spans="1:18">
      <c r="A404" s="2"/>
      <c r="B404" s="2"/>
      <c r="C404" s="8"/>
      <c r="D404" s="13"/>
      <c r="E404" s="13"/>
      <c r="F404" s="9"/>
      <c r="G404" s="9"/>
      <c r="H404" s="9"/>
      <c r="I404" s="9"/>
      <c r="J404" s="9"/>
      <c r="K404" s="10"/>
      <c r="L404" s="11"/>
      <c r="M404" s="7"/>
      <c r="N404" s="7"/>
      <c r="O404" s="11"/>
      <c r="P404" s="14"/>
      <c r="Q404" s="15"/>
      <c r="R404" s="12"/>
    </row>
    <row r="405" spans="1:18">
      <c r="A405" s="2"/>
      <c r="B405" s="2"/>
      <c r="C405" s="8"/>
      <c r="D405" s="13"/>
      <c r="E405" s="13"/>
      <c r="F405" s="9"/>
      <c r="G405" s="9"/>
      <c r="H405" s="9"/>
      <c r="I405" s="9"/>
      <c r="J405" s="9"/>
      <c r="K405" s="10"/>
      <c r="L405" s="11"/>
      <c r="M405" s="7"/>
      <c r="N405" s="7"/>
      <c r="O405" s="11"/>
      <c r="P405" s="14"/>
      <c r="Q405" s="15"/>
      <c r="R405" s="12"/>
    </row>
    <row r="406" spans="1:18">
      <c r="A406" s="2"/>
      <c r="B406" s="2"/>
      <c r="C406" s="8"/>
      <c r="D406" s="13"/>
      <c r="E406" s="13"/>
      <c r="F406" s="9"/>
      <c r="G406" s="9"/>
      <c r="H406" s="9"/>
      <c r="I406" s="9"/>
      <c r="J406" s="9"/>
      <c r="K406" s="10"/>
      <c r="L406" s="11"/>
      <c r="M406" s="7"/>
      <c r="N406" s="7"/>
      <c r="O406" s="11"/>
      <c r="P406" s="14"/>
      <c r="Q406" s="15"/>
      <c r="R406" s="12"/>
    </row>
    <row r="407" spans="1:18">
      <c r="A407" s="2"/>
      <c r="B407" s="2"/>
      <c r="C407" s="8"/>
      <c r="D407" s="13"/>
      <c r="E407" s="13"/>
      <c r="F407" s="9"/>
      <c r="G407" s="9"/>
      <c r="H407" s="9"/>
      <c r="I407" s="9"/>
      <c r="J407" s="9"/>
      <c r="K407" s="10"/>
      <c r="L407" s="11"/>
      <c r="M407" s="7"/>
      <c r="N407" s="7"/>
      <c r="O407" s="11"/>
      <c r="P407" s="14"/>
      <c r="Q407" s="15"/>
      <c r="R407" s="12"/>
    </row>
    <row r="408" spans="1:18">
      <c r="A408" s="2"/>
      <c r="B408" s="2"/>
      <c r="C408" s="8"/>
      <c r="D408" s="13"/>
      <c r="E408" s="13"/>
      <c r="F408" s="9"/>
      <c r="G408" s="9"/>
      <c r="H408" s="9"/>
      <c r="I408" s="9"/>
      <c r="J408" s="9"/>
      <c r="K408" s="10"/>
      <c r="L408" s="11"/>
      <c r="M408" s="7"/>
      <c r="N408" s="7"/>
      <c r="O408" s="11"/>
      <c r="P408" s="14"/>
      <c r="Q408" s="15"/>
      <c r="R408" s="12"/>
    </row>
    <row r="409" spans="1:18">
      <c r="A409" s="2"/>
      <c r="B409" s="2"/>
      <c r="C409" s="8"/>
      <c r="D409" s="13"/>
      <c r="E409" s="13"/>
      <c r="F409" s="9"/>
      <c r="G409" s="9"/>
      <c r="H409" s="9"/>
      <c r="I409" s="9"/>
      <c r="J409" s="9"/>
      <c r="K409" s="10"/>
      <c r="L409" s="11"/>
      <c r="M409" s="7"/>
      <c r="N409" s="7"/>
      <c r="O409" s="11"/>
      <c r="P409" s="14"/>
      <c r="Q409" s="15"/>
      <c r="R409" s="12"/>
    </row>
    <row r="410" spans="1:18">
      <c r="A410" s="2"/>
      <c r="B410" s="2"/>
      <c r="C410" s="8"/>
      <c r="D410" s="13"/>
      <c r="E410" s="13"/>
      <c r="F410" s="9"/>
      <c r="G410" s="9"/>
      <c r="H410" s="9"/>
      <c r="I410" s="9"/>
      <c r="J410" s="9"/>
      <c r="K410" s="10"/>
      <c r="L410" s="11"/>
      <c r="M410" s="7"/>
      <c r="N410" s="7"/>
      <c r="O410" s="11"/>
      <c r="P410" s="14"/>
      <c r="Q410" s="15"/>
      <c r="R410" s="12"/>
    </row>
    <row r="411" spans="1:18">
      <c r="A411" s="2"/>
      <c r="B411" s="2"/>
      <c r="C411" s="8"/>
      <c r="D411" s="13"/>
      <c r="E411" s="13"/>
      <c r="F411" s="9"/>
      <c r="G411" s="9"/>
      <c r="H411" s="9"/>
      <c r="I411" s="9"/>
      <c r="J411" s="9"/>
      <c r="K411" s="10"/>
      <c r="L411" s="11"/>
      <c r="M411" s="7"/>
      <c r="N411" s="7"/>
      <c r="O411" s="11"/>
      <c r="P411" s="14"/>
      <c r="Q411" s="15"/>
      <c r="R411" s="12"/>
    </row>
    <row r="412" spans="1:18">
      <c r="A412" s="2"/>
      <c r="B412" s="2"/>
      <c r="C412" s="8"/>
      <c r="D412" s="13"/>
      <c r="E412" s="13"/>
      <c r="F412" s="9"/>
      <c r="G412" s="9"/>
      <c r="H412" s="9"/>
      <c r="I412" s="9"/>
      <c r="J412" s="9"/>
      <c r="K412" s="10"/>
      <c r="L412" s="11"/>
      <c r="M412" s="7"/>
      <c r="N412" s="7"/>
      <c r="O412" s="11"/>
      <c r="P412" s="14"/>
      <c r="Q412" s="15"/>
      <c r="R412" s="12"/>
    </row>
    <row r="413" spans="1:18">
      <c r="A413" s="2"/>
      <c r="B413" s="2"/>
      <c r="C413" s="8"/>
      <c r="D413" s="13"/>
      <c r="E413" s="13"/>
      <c r="F413" s="9"/>
      <c r="G413" s="9"/>
      <c r="H413" s="9"/>
      <c r="I413" s="9"/>
      <c r="J413" s="9"/>
      <c r="K413" s="10"/>
      <c r="L413" s="11"/>
      <c r="M413" s="7"/>
      <c r="N413" s="7"/>
      <c r="O413" s="11"/>
      <c r="P413" s="14"/>
      <c r="Q413" s="15"/>
      <c r="R413" s="12"/>
    </row>
    <row r="414" spans="1:18">
      <c r="A414" s="2"/>
      <c r="B414" s="2"/>
      <c r="C414" s="8"/>
      <c r="D414" s="13"/>
      <c r="E414" s="13"/>
      <c r="F414" s="9"/>
      <c r="G414" s="9"/>
      <c r="H414" s="9"/>
      <c r="I414" s="9"/>
      <c r="J414" s="9"/>
      <c r="K414" s="10"/>
      <c r="L414" s="11"/>
      <c r="M414" s="7"/>
      <c r="N414" s="7"/>
      <c r="O414" s="11"/>
      <c r="P414" s="14"/>
      <c r="Q414" s="15"/>
      <c r="R414" s="12"/>
    </row>
    <row r="415" spans="1:18">
      <c r="A415" s="2"/>
      <c r="B415" s="2"/>
      <c r="C415" s="8"/>
      <c r="D415" s="13"/>
      <c r="E415" s="13"/>
      <c r="F415" s="9"/>
      <c r="G415" s="9"/>
      <c r="H415" s="9"/>
      <c r="I415" s="9"/>
      <c r="J415" s="9"/>
      <c r="K415" s="10"/>
      <c r="L415" s="11"/>
      <c r="M415" s="7"/>
      <c r="N415" s="7"/>
      <c r="O415" s="11"/>
      <c r="P415" s="14"/>
      <c r="Q415" s="15"/>
      <c r="R415" s="12"/>
    </row>
    <row r="416" spans="1:18">
      <c r="A416" s="2"/>
      <c r="B416" s="2"/>
      <c r="C416" s="8"/>
      <c r="D416" s="13"/>
      <c r="E416" s="13"/>
      <c r="F416" s="9"/>
      <c r="G416" s="9"/>
      <c r="H416" s="9"/>
      <c r="I416" s="9"/>
      <c r="J416" s="9"/>
      <c r="K416" s="10"/>
      <c r="L416" s="11"/>
      <c r="M416" s="7"/>
      <c r="N416" s="7"/>
      <c r="O416" s="11"/>
      <c r="P416" s="14"/>
      <c r="Q416" s="15"/>
      <c r="R416" s="12"/>
    </row>
    <row r="417" spans="1:18">
      <c r="A417" s="2"/>
      <c r="B417" s="2"/>
      <c r="C417" s="8"/>
      <c r="D417" s="13"/>
      <c r="E417" s="13"/>
      <c r="F417" s="9"/>
      <c r="G417" s="9"/>
      <c r="H417" s="9"/>
      <c r="I417" s="9"/>
      <c r="J417" s="9"/>
      <c r="K417" s="10"/>
      <c r="L417" s="11"/>
      <c r="M417" s="7"/>
      <c r="N417" s="7"/>
      <c r="O417" s="11"/>
      <c r="P417" s="14"/>
      <c r="Q417" s="15"/>
      <c r="R417" s="12"/>
    </row>
    <row r="418" spans="1:18">
      <c r="A418" s="2"/>
      <c r="B418" s="2"/>
      <c r="C418" s="8"/>
      <c r="D418" s="13"/>
      <c r="E418" s="13"/>
      <c r="F418" s="9"/>
      <c r="G418" s="9"/>
      <c r="H418" s="9"/>
      <c r="I418" s="9"/>
      <c r="J418" s="9"/>
      <c r="K418" s="10"/>
      <c r="L418" s="11"/>
      <c r="M418" s="7"/>
      <c r="N418" s="7"/>
      <c r="O418" s="11"/>
      <c r="P418" s="14"/>
      <c r="Q418" s="15"/>
      <c r="R418" s="12"/>
    </row>
    <row r="419" spans="1:18">
      <c r="A419" s="2"/>
      <c r="B419" s="2"/>
      <c r="C419" s="8"/>
      <c r="D419" s="13"/>
      <c r="E419" s="13"/>
      <c r="F419" s="9"/>
      <c r="G419" s="9"/>
      <c r="H419" s="9"/>
      <c r="I419" s="9"/>
      <c r="J419" s="9"/>
      <c r="K419" s="10"/>
      <c r="L419" s="11"/>
      <c r="M419" s="7"/>
      <c r="N419" s="7"/>
      <c r="O419" s="11"/>
      <c r="P419" s="14"/>
      <c r="Q419" s="15"/>
      <c r="R419" s="12"/>
    </row>
    <row r="420" spans="1:18">
      <c r="A420" s="2"/>
      <c r="B420" s="2"/>
      <c r="C420" s="8"/>
      <c r="D420" s="13"/>
      <c r="E420" s="13"/>
      <c r="F420" s="9"/>
      <c r="G420" s="9"/>
      <c r="H420" s="9"/>
      <c r="I420" s="9"/>
      <c r="J420" s="9"/>
      <c r="K420" s="10"/>
      <c r="L420" s="11"/>
      <c r="M420" s="7"/>
      <c r="N420" s="7"/>
      <c r="O420" s="11"/>
      <c r="P420" s="14"/>
      <c r="Q420" s="15"/>
      <c r="R420" s="12"/>
    </row>
    <row r="421" spans="1:18">
      <c r="A421" s="2"/>
      <c r="B421" s="2"/>
      <c r="C421" s="8"/>
      <c r="D421" s="13"/>
      <c r="E421" s="13"/>
      <c r="F421" s="9"/>
      <c r="G421" s="9"/>
      <c r="H421" s="9"/>
      <c r="I421" s="9"/>
      <c r="J421" s="9"/>
      <c r="K421" s="10"/>
      <c r="L421" s="11"/>
      <c r="M421" s="7"/>
      <c r="N421" s="7"/>
      <c r="O421" s="11"/>
      <c r="P421" s="14"/>
      <c r="Q421" s="15"/>
      <c r="R421" s="12"/>
    </row>
    <row r="422" spans="1:18">
      <c r="A422" s="2"/>
      <c r="B422" s="2"/>
      <c r="C422" s="8"/>
      <c r="D422" s="13"/>
      <c r="E422" s="13"/>
      <c r="F422" s="9"/>
      <c r="G422" s="9"/>
      <c r="H422" s="9"/>
      <c r="I422" s="9"/>
      <c r="J422" s="9"/>
      <c r="K422" s="10"/>
      <c r="L422" s="11"/>
      <c r="M422" s="7"/>
      <c r="N422" s="7"/>
      <c r="O422" s="11"/>
      <c r="P422" s="14"/>
      <c r="Q422" s="15"/>
      <c r="R422" s="12"/>
    </row>
    <row r="423" spans="1:18">
      <c r="A423" s="2"/>
      <c r="B423" s="2"/>
      <c r="C423" s="8"/>
      <c r="D423" s="13"/>
      <c r="E423" s="13"/>
      <c r="F423" s="9"/>
      <c r="G423" s="9"/>
      <c r="H423" s="9"/>
      <c r="I423" s="9"/>
      <c r="J423" s="9"/>
      <c r="K423" s="10"/>
      <c r="L423" s="11"/>
      <c r="M423" s="7"/>
      <c r="N423" s="7"/>
      <c r="O423" s="11"/>
      <c r="P423" s="14"/>
      <c r="Q423" s="15"/>
      <c r="R423" s="12"/>
    </row>
    <row r="424" spans="1:18">
      <c r="A424" s="2"/>
      <c r="B424" s="2"/>
      <c r="C424" s="8"/>
      <c r="D424" s="13"/>
      <c r="E424" s="13"/>
      <c r="F424" s="9"/>
      <c r="G424" s="9"/>
      <c r="H424" s="9"/>
      <c r="I424" s="9"/>
      <c r="J424" s="9"/>
      <c r="K424" s="10"/>
      <c r="L424" s="11"/>
      <c r="M424" s="7"/>
      <c r="N424" s="7"/>
      <c r="O424" s="11"/>
      <c r="P424" s="14"/>
      <c r="Q424" s="15"/>
      <c r="R424" s="12"/>
    </row>
    <row r="425" spans="1:18">
      <c r="A425" s="2"/>
      <c r="B425" s="2"/>
      <c r="C425" s="8"/>
      <c r="D425" s="13"/>
      <c r="E425" s="13"/>
      <c r="F425" s="9"/>
      <c r="G425" s="9"/>
      <c r="H425" s="9"/>
      <c r="I425" s="9"/>
      <c r="J425" s="9"/>
      <c r="K425" s="10"/>
      <c r="L425" s="11"/>
      <c r="M425" s="7"/>
      <c r="N425" s="7"/>
      <c r="O425" s="11"/>
      <c r="P425" s="14"/>
      <c r="Q425" s="15"/>
      <c r="R425" s="12"/>
    </row>
    <row r="426" spans="1:18">
      <c r="A426" s="2"/>
      <c r="B426" s="2"/>
      <c r="C426" s="8"/>
      <c r="D426" s="13"/>
      <c r="E426" s="13"/>
      <c r="F426" s="9"/>
      <c r="G426" s="9"/>
      <c r="H426" s="9"/>
      <c r="I426" s="9"/>
      <c r="J426" s="9"/>
      <c r="K426" s="10"/>
      <c r="L426" s="11"/>
      <c r="M426" s="7"/>
      <c r="N426" s="7"/>
      <c r="O426" s="11"/>
      <c r="P426" s="14"/>
      <c r="Q426" s="15"/>
      <c r="R426" s="12"/>
    </row>
    <row r="427" spans="1:18">
      <c r="A427" s="2"/>
      <c r="B427" s="2"/>
      <c r="C427" s="8"/>
      <c r="D427" s="13"/>
      <c r="E427" s="13"/>
      <c r="F427" s="9"/>
      <c r="G427" s="9"/>
      <c r="H427" s="9"/>
      <c r="I427" s="9"/>
      <c r="J427" s="9"/>
      <c r="K427" s="10"/>
      <c r="L427" s="11"/>
      <c r="M427" s="7"/>
      <c r="N427" s="7"/>
      <c r="O427" s="11"/>
      <c r="P427" s="14"/>
      <c r="Q427" s="15"/>
      <c r="R427" s="12"/>
    </row>
    <row r="428" spans="1:18">
      <c r="A428" s="2"/>
      <c r="B428" s="2"/>
      <c r="C428" s="8"/>
      <c r="D428" s="13"/>
      <c r="E428" s="13"/>
      <c r="F428" s="9"/>
      <c r="G428" s="9"/>
      <c r="H428" s="9"/>
      <c r="I428" s="9"/>
      <c r="J428" s="9"/>
      <c r="K428" s="10"/>
      <c r="L428" s="11"/>
      <c r="M428" s="7"/>
      <c r="N428" s="7"/>
      <c r="O428" s="11"/>
      <c r="P428" s="14"/>
      <c r="Q428" s="15"/>
      <c r="R428" s="12"/>
    </row>
    <row r="429" spans="1:18">
      <c r="A429" s="2"/>
      <c r="B429" s="2"/>
      <c r="C429" s="8"/>
      <c r="D429" s="13"/>
      <c r="E429" s="13"/>
      <c r="F429" s="9"/>
      <c r="G429" s="9"/>
      <c r="H429" s="9"/>
      <c r="I429" s="9"/>
      <c r="J429" s="9"/>
      <c r="K429" s="10"/>
      <c r="L429" s="11"/>
      <c r="M429" s="7"/>
      <c r="N429" s="7"/>
      <c r="O429" s="11"/>
      <c r="P429" s="14"/>
      <c r="Q429" s="15"/>
      <c r="R429" s="12"/>
    </row>
    <row r="430" spans="1:18">
      <c r="A430" s="2"/>
      <c r="B430" s="2"/>
      <c r="C430" s="8"/>
      <c r="D430" s="13"/>
      <c r="E430" s="13"/>
      <c r="F430" s="9"/>
      <c r="G430" s="9"/>
      <c r="H430" s="9"/>
      <c r="I430" s="9"/>
      <c r="J430" s="9"/>
      <c r="K430" s="10"/>
      <c r="L430" s="11"/>
      <c r="M430" s="7"/>
      <c r="N430" s="7"/>
      <c r="O430" s="11"/>
      <c r="P430" s="14"/>
      <c r="Q430" s="15"/>
      <c r="R430" s="12"/>
    </row>
    <row r="431" spans="1:18">
      <c r="A431" s="2"/>
      <c r="B431" s="2"/>
      <c r="C431" s="8"/>
      <c r="D431" s="13"/>
      <c r="E431" s="13"/>
      <c r="F431" s="9"/>
      <c r="G431" s="9"/>
      <c r="H431" s="9"/>
      <c r="I431" s="9"/>
      <c r="J431" s="9"/>
      <c r="K431" s="10"/>
      <c r="L431" s="11"/>
      <c r="M431" s="7"/>
      <c r="N431" s="7"/>
      <c r="O431" s="11"/>
      <c r="P431" s="14"/>
      <c r="Q431" s="15"/>
      <c r="R431" s="12"/>
    </row>
    <row r="432" spans="1:18">
      <c r="A432" s="2"/>
      <c r="B432" s="2"/>
      <c r="C432" s="8"/>
      <c r="D432" s="13"/>
      <c r="E432" s="13"/>
      <c r="F432" s="9"/>
      <c r="G432" s="9"/>
      <c r="H432" s="9"/>
      <c r="I432" s="9"/>
      <c r="J432" s="9"/>
      <c r="K432" s="10"/>
      <c r="L432" s="11"/>
      <c r="M432" s="7"/>
      <c r="N432" s="7"/>
      <c r="O432" s="11"/>
      <c r="P432" s="14"/>
      <c r="Q432" s="15"/>
      <c r="R432" s="12"/>
    </row>
    <row r="433" spans="1:18">
      <c r="A433" s="2"/>
      <c r="B433" s="2"/>
      <c r="C433" s="8"/>
      <c r="D433" s="13"/>
      <c r="E433" s="13"/>
      <c r="F433" s="9"/>
      <c r="G433" s="9"/>
      <c r="H433" s="9"/>
      <c r="I433" s="9"/>
      <c r="J433" s="9"/>
      <c r="K433" s="10"/>
      <c r="L433" s="11"/>
      <c r="M433" s="7"/>
      <c r="N433" s="7"/>
      <c r="O433" s="11"/>
      <c r="P433" s="14"/>
      <c r="Q433" s="15"/>
      <c r="R433" s="12"/>
    </row>
    <row r="434" spans="1:18">
      <c r="A434" s="2"/>
      <c r="B434" s="2"/>
      <c r="C434" s="8"/>
      <c r="D434" s="13"/>
      <c r="E434" s="13"/>
      <c r="F434" s="9"/>
      <c r="G434" s="9"/>
      <c r="H434" s="9"/>
      <c r="I434" s="9"/>
      <c r="J434" s="9"/>
      <c r="K434" s="10"/>
      <c r="L434" s="11"/>
      <c r="M434" s="7"/>
      <c r="N434" s="7"/>
      <c r="O434" s="11"/>
      <c r="P434" s="14"/>
      <c r="Q434" s="15"/>
      <c r="R434" s="12"/>
    </row>
    <row r="435" spans="1:18">
      <c r="A435" s="2"/>
      <c r="B435" s="2"/>
      <c r="C435" s="8"/>
      <c r="D435" s="13"/>
      <c r="E435" s="13"/>
      <c r="F435" s="9"/>
      <c r="G435" s="9"/>
      <c r="H435" s="9"/>
      <c r="I435" s="9"/>
      <c r="J435" s="9"/>
      <c r="K435" s="10"/>
      <c r="L435" s="11"/>
      <c r="M435" s="7"/>
      <c r="N435" s="7"/>
      <c r="O435" s="11"/>
      <c r="P435" s="14"/>
      <c r="Q435" s="15"/>
      <c r="R435" s="12"/>
    </row>
    <row r="436" spans="1:18">
      <c r="A436" s="2"/>
      <c r="B436" s="2"/>
      <c r="C436" s="8"/>
      <c r="D436" s="13"/>
      <c r="E436" s="13"/>
      <c r="F436" s="9"/>
      <c r="G436" s="9"/>
      <c r="H436" s="9"/>
      <c r="I436" s="9"/>
      <c r="J436" s="9"/>
      <c r="K436" s="10"/>
      <c r="L436" s="11"/>
      <c r="M436" s="7"/>
      <c r="N436" s="7"/>
      <c r="O436" s="11"/>
      <c r="P436" s="14"/>
      <c r="Q436" s="15"/>
      <c r="R436" s="12"/>
    </row>
    <row r="437" spans="1:18">
      <c r="A437" s="2"/>
      <c r="B437" s="2"/>
      <c r="C437" s="8"/>
      <c r="D437" s="13"/>
      <c r="E437" s="13"/>
      <c r="F437" s="9"/>
      <c r="G437" s="9"/>
      <c r="H437" s="9"/>
      <c r="I437" s="9"/>
      <c r="J437" s="9"/>
      <c r="K437" s="10"/>
      <c r="L437" s="11"/>
      <c r="M437" s="7"/>
      <c r="N437" s="7"/>
      <c r="O437" s="11"/>
      <c r="P437" s="14"/>
      <c r="Q437" s="15"/>
      <c r="R437" s="12"/>
    </row>
    <row r="438" spans="1:18">
      <c r="A438" s="2"/>
      <c r="B438" s="2"/>
      <c r="C438" s="8"/>
      <c r="D438" s="13"/>
      <c r="E438" s="13"/>
      <c r="F438" s="9"/>
      <c r="G438" s="9"/>
      <c r="H438" s="9"/>
      <c r="I438" s="9"/>
      <c r="J438" s="9"/>
      <c r="K438" s="10"/>
      <c r="L438" s="11"/>
      <c r="M438" s="7"/>
      <c r="N438" s="7"/>
      <c r="O438" s="11"/>
      <c r="P438" s="14"/>
      <c r="Q438" s="15"/>
      <c r="R438" s="12"/>
    </row>
    <row r="439" spans="1:18">
      <c r="A439" s="2"/>
      <c r="B439" s="2"/>
      <c r="C439" s="8"/>
      <c r="D439" s="13"/>
      <c r="E439" s="13"/>
      <c r="F439" s="9"/>
      <c r="G439" s="9"/>
      <c r="H439" s="9"/>
      <c r="I439" s="9"/>
      <c r="J439" s="9"/>
      <c r="K439" s="10"/>
      <c r="L439" s="11"/>
      <c r="M439" s="7"/>
      <c r="N439" s="7"/>
      <c r="O439" s="11"/>
      <c r="P439" s="14"/>
      <c r="Q439" s="15"/>
      <c r="R439" s="12"/>
    </row>
    <row r="440" spans="1:18">
      <c r="A440" s="2"/>
      <c r="B440" s="2"/>
      <c r="C440" s="8"/>
      <c r="D440" s="13"/>
      <c r="E440" s="13"/>
      <c r="F440" s="9"/>
      <c r="G440" s="9"/>
      <c r="H440" s="9"/>
      <c r="I440" s="9"/>
      <c r="J440" s="9"/>
      <c r="K440" s="10"/>
      <c r="L440" s="11"/>
      <c r="M440" s="7"/>
      <c r="N440" s="7"/>
      <c r="O440" s="11"/>
      <c r="P440" s="14"/>
      <c r="Q440" s="15"/>
      <c r="R440" s="12"/>
    </row>
    <row r="441" spans="1:18">
      <c r="A441" s="2"/>
      <c r="B441" s="2"/>
      <c r="C441" s="8"/>
      <c r="D441" s="13"/>
      <c r="E441" s="13"/>
      <c r="F441" s="9"/>
      <c r="G441" s="9"/>
      <c r="H441" s="9"/>
      <c r="I441" s="9"/>
      <c r="J441" s="9"/>
      <c r="K441" s="10"/>
      <c r="L441" s="11"/>
      <c r="M441" s="7"/>
      <c r="N441" s="7"/>
      <c r="O441" s="11"/>
      <c r="P441" s="14"/>
      <c r="Q441" s="15"/>
      <c r="R441" s="12"/>
    </row>
    <row r="442" spans="1:18">
      <c r="A442" s="2"/>
      <c r="B442" s="2"/>
      <c r="C442" s="8"/>
      <c r="D442" s="13"/>
      <c r="E442" s="13"/>
      <c r="F442" s="9"/>
      <c r="G442" s="9"/>
      <c r="H442" s="9"/>
      <c r="I442" s="9"/>
      <c r="J442" s="9"/>
      <c r="K442" s="10"/>
      <c r="L442" s="11"/>
      <c r="M442" s="7"/>
      <c r="N442" s="7"/>
      <c r="O442" s="11"/>
      <c r="P442" s="14"/>
      <c r="Q442" s="15"/>
      <c r="R442" s="12"/>
    </row>
    <row r="443" spans="1:18">
      <c r="A443" s="2"/>
      <c r="B443" s="2"/>
      <c r="C443" s="8"/>
      <c r="D443" s="13"/>
      <c r="E443" s="13"/>
      <c r="F443" s="9"/>
      <c r="G443" s="9"/>
      <c r="H443" s="9"/>
      <c r="I443" s="9"/>
      <c r="J443" s="9"/>
      <c r="K443" s="10"/>
      <c r="L443" s="11"/>
      <c r="M443" s="7"/>
      <c r="N443" s="7"/>
      <c r="O443" s="11"/>
      <c r="P443" s="14"/>
      <c r="Q443" s="15"/>
      <c r="R443" s="12"/>
    </row>
    <row r="444" spans="1:18">
      <c r="A444" s="2"/>
      <c r="B444" s="2"/>
      <c r="C444" s="8"/>
      <c r="D444" s="13"/>
      <c r="E444" s="13"/>
      <c r="F444" s="9"/>
      <c r="G444" s="9"/>
      <c r="H444" s="9"/>
      <c r="I444" s="9"/>
      <c r="J444" s="9"/>
      <c r="K444" s="10"/>
      <c r="L444" s="11"/>
      <c r="M444" s="7"/>
      <c r="N444" s="7"/>
      <c r="O444" s="11"/>
      <c r="P444" s="14"/>
      <c r="Q444" s="15"/>
      <c r="R444" s="12"/>
    </row>
    <row r="445" spans="1:18">
      <c r="A445" s="2"/>
      <c r="B445" s="2"/>
      <c r="C445" s="8"/>
      <c r="D445" s="13"/>
      <c r="E445" s="13"/>
      <c r="F445" s="9"/>
      <c r="G445" s="9"/>
      <c r="H445" s="9"/>
      <c r="I445" s="9"/>
      <c r="J445" s="9"/>
      <c r="K445" s="10"/>
      <c r="L445" s="11"/>
      <c r="M445" s="7"/>
      <c r="N445" s="7"/>
      <c r="O445" s="11"/>
      <c r="P445" s="14"/>
      <c r="Q445" s="15"/>
      <c r="R445" s="12"/>
    </row>
    <row r="446" spans="1:18">
      <c r="A446" s="2"/>
      <c r="B446" s="2"/>
      <c r="C446" s="8"/>
      <c r="D446" s="13"/>
      <c r="E446" s="13"/>
      <c r="F446" s="9"/>
      <c r="G446" s="9"/>
      <c r="H446" s="9"/>
      <c r="I446" s="9"/>
      <c r="J446" s="9"/>
      <c r="K446" s="10"/>
      <c r="L446" s="11"/>
      <c r="M446" s="7"/>
      <c r="N446" s="7"/>
      <c r="O446" s="11"/>
      <c r="P446" s="14"/>
      <c r="Q446" s="15"/>
      <c r="R446" s="12"/>
    </row>
    <row r="447" spans="1:18">
      <c r="A447" s="2"/>
      <c r="B447" s="2"/>
      <c r="C447" s="8"/>
      <c r="D447" s="13"/>
      <c r="E447" s="13"/>
      <c r="F447" s="9"/>
      <c r="G447" s="9"/>
      <c r="H447" s="9"/>
      <c r="I447" s="9"/>
      <c r="J447" s="9"/>
      <c r="K447" s="10"/>
      <c r="L447" s="11"/>
      <c r="M447" s="7"/>
      <c r="N447" s="7"/>
      <c r="O447" s="11"/>
      <c r="P447" s="14"/>
      <c r="Q447" s="15"/>
      <c r="R447" s="12"/>
    </row>
    <row r="448" spans="1:18">
      <c r="A448" s="2"/>
      <c r="B448" s="2"/>
      <c r="C448" s="8"/>
      <c r="D448" s="13"/>
      <c r="E448" s="13"/>
      <c r="F448" s="9"/>
      <c r="G448" s="9"/>
      <c r="H448" s="9"/>
      <c r="I448" s="9"/>
      <c r="J448" s="9"/>
      <c r="K448" s="10"/>
      <c r="L448" s="11"/>
      <c r="M448" s="7"/>
      <c r="N448" s="7"/>
      <c r="O448" s="11"/>
      <c r="P448" s="14"/>
      <c r="Q448" s="15"/>
      <c r="R448" s="12"/>
    </row>
    <row r="449" spans="1:18">
      <c r="A449" s="2"/>
      <c r="B449" s="2"/>
      <c r="C449" s="8"/>
      <c r="D449" s="13"/>
      <c r="E449" s="13"/>
      <c r="F449" s="9"/>
      <c r="G449" s="9"/>
      <c r="H449" s="9"/>
      <c r="I449" s="9"/>
      <c r="J449" s="9"/>
      <c r="K449" s="10"/>
      <c r="L449" s="11"/>
      <c r="M449" s="7"/>
      <c r="N449" s="7"/>
      <c r="O449" s="11"/>
      <c r="P449" s="14"/>
      <c r="Q449" s="15"/>
      <c r="R449" s="12"/>
    </row>
    <row r="450" spans="1:18">
      <c r="A450" s="2"/>
      <c r="B450" s="2"/>
      <c r="C450" s="8"/>
      <c r="D450" s="13"/>
      <c r="E450" s="13"/>
      <c r="F450" s="9"/>
      <c r="G450" s="9"/>
      <c r="H450" s="9"/>
      <c r="I450" s="9"/>
      <c r="J450" s="9"/>
      <c r="K450" s="10"/>
      <c r="L450" s="11"/>
      <c r="M450" s="7"/>
      <c r="N450" s="7"/>
      <c r="O450" s="11"/>
      <c r="P450" s="14"/>
      <c r="Q450" s="15"/>
      <c r="R450" s="12"/>
    </row>
    <row r="451" spans="1:18">
      <c r="A451" s="2"/>
      <c r="B451" s="2"/>
      <c r="C451" s="8"/>
      <c r="D451" s="13"/>
      <c r="E451" s="13"/>
      <c r="F451" s="9"/>
      <c r="G451" s="9"/>
      <c r="H451" s="9"/>
      <c r="I451" s="9"/>
      <c r="J451" s="9"/>
      <c r="K451" s="10"/>
      <c r="L451" s="11"/>
      <c r="M451" s="7"/>
      <c r="N451" s="7"/>
      <c r="O451" s="11"/>
      <c r="P451" s="14"/>
      <c r="Q451" s="15"/>
      <c r="R451" s="12"/>
    </row>
    <row r="452" spans="1:18">
      <c r="A452" s="2"/>
      <c r="B452" s="2"/>
      <c r="C452" s="8"/>
      <c r="D452" s="13"/>
      <c r="E452" s="13"/>
      <c r="F452" s="9"/>
      <c r="G452" s="9"/>
      <c r="H452" s="9"/>
      <c r="I452" s="9"/>
      <c r="J452" s="9"/>
      <c r="K452" s="10"/>
      <c r="L452" s="11"/>
      <c r="M452" s="7"/>
      <c r="N452" s="7"/>
      <c r="O452" s="11"/>
      <c r="P452" s="14"/>
      <c r="Q452" s="15"/>
      <c r="R452" s="12"/>
    </row>
    <row r="453" spans="1:18">
      <c r="A453" s="2"/>
      <c r="B453" s="2"/>
      <c r="C453" s="8"/>
      <c r="D453" s="13"/>
      <c r="E453" s="13"/>
      <c r="F453" s="9"/>
      <c r="G453" s="9"/>
      <c r="H453" s="9"/>
      <c r="I453" s="9"/>
      <c r="J453" s="9"/>
      <c r="K453" s="10"/>
      <c r="L453" s="11"/>
      <c r="M453" s="7"/>
      <c r="N453" s="7"/>
      <c r="O453" s="11"/>
      <c r="P453" s="14"/>
      <c r="Q453" s="15"/>
      <c r="R453" s="12"/>
    </row>
    <row r="454" spans="1:18">
      <c r="A454" s="2"/>
      <c r="B454" s="2"/>
      <c r="C454" s="8"/>
      <c r="D454" s="13"/>
      <c r="E454" s="13"/>
      <c r="F454" s="9"/>
      <c r="G454" s="9"/>
      <c r="H454" s="9"/>
      <c r="I454" s="9"/>
      <c r="J454" s="9"/>
      <c r="K454" s="10"/>
      <c r="L454" s="11"/>
      <c r="M454" s="7"/>
      <c r="N454" s="7"/>
      <c r="O454" s="11"/>
      <c r="P454" s="14"/>
      <c r="Q454" s="15"/>
      <c r="R454" s="12"/>
    </row>
    <row r="455" spans="1:18">
      <c r="A455" s="2"/>
      <c r="B455" s="2"/>
      <c r="C455" s="8"/>
      <c r="D455" s="13"/>
      <c r="E455" s="13"/>
      <c r="F455" s="9"/>
      <c r="G455" s="9"/>
      <c r="H455" s="9"/>
      <c r="I455" s="9"/>
      <c r="J455" s="9"/>
      <c r="K455" s="10"/>
      <c r="L455" s="11"/>
      <c r="M455" s="7"/>
      <c r="N455" s="7"/>
      <c r="O455" s="11"/>
      <c r="P455" s="14"/>
      <c r="Q455" s="15"/>
      <c r="R455" s="12"/>
    </row>
    <row r="456" spans="1:18">
      <c r="A456" s="2"/>
      <c r="B456" s="2"/>
      <c r="C456" s="8"/>
      <c r="D456" s="13"/>
      <c r="E456" s="13"/>
      <c r="F456" s="9"/>
      <c r="G456" s="9"/>
      <c r="H456" s="9"/>
      <c r="I456" s="9"/>
      <c r="J456" s="9"/>
      <c r="K456" s="10"/>
      <c r="L456" s="11"/>
      <c r="M456" s="7"/>
      <c r="N456" s="7"/>
      <c r="O456" s="11"/>
      <c r="P456" s="14"/>
      <c r="Q456" s="15"/>
      <c r="R456" s="12"/>
    </row>
    <row r="457" spans="1:18">
      <c r="A457" s="2"/>
      <c r="B457" s="2"/>
      <c r="C457" s="8"/>
      <c r="D457" s="13"/>
      <c r="E457" s="13"/>
      <c r="F457" s="9"/>
      <c r="G457" s="9"/>
      <c r="H457" s="9"/>
      <c r="I457" s="9"/>
      <c r="J457" s="9"/>
      <c r="K457" s="10"/>
      <c r="L457" s="11"/>
      <c r="M457" s="7"/>
      <c r="N457" s="7"/>
      <c r="O457" s="11"/>
      <c r="P457" s="14"/>
      <c r="Q457" s="15"/>
      <c r="R457" s="12"/>
    </row>
    <row r="458" spans="1:18">
      <c r="A458" s="2"/>
      <c r="B458" s="2"/>
      <c r="C458" s="8"/>
      <c r="D458" s="13"/>
      <c r="E458" s="13"/>
      <c r="F458" s="9"/>
      <c r="G458" s="9"/>
      <c r="H458" s="9"/>
      <c r="I458" s="9"/>
      <c r="J458" s="9"/>
      <c r="K458" s="10"/>
      <c r="L458" s="11"/>
      <c r="M458" s="7"/>
      <c r="N458" s="7"/>
      <c r="O458" s="11"/>
      <c r="P458" s="14"/>
      <c r="Q458" s="15"/>
      <c r="R458" s="12"/>
    </row>
    <row r="459" spans="1:18">
      <c r="A459" s="2"/>
      <c r="B459" s="2"/>
      <c r="C459" s="8"/>
      <c r="D459" s="13"/>
      <c r="E459" s="13"/>
      <c r="F459" s="9"/>
      <c r="G459" s="9"/>
      <c r="H459" s="9"/>
      <c r="I459" s="9"/>
      <c r="J459" s="9"/>
      <c r="K459" s="10"/>
      <c r="L459" s="11"/>
      <c r="M459" s="7"/>
      <c r="N459" s="7"/>
      <c r="O459" s="11"/>
      <c r="P459" s="14"/>
      <c r="Q459" s="15"/>
      <c r="R459" s="12"/>
    </row>
    <row r="460" spans="1:18">
      <c r="A460" s="2"/>
      <c r="B460" s="2"/>
      <c r="C460" s="8"/>
      <c r="D460" s="13"/>
      <c r="E460" s="13"/>
      <c r="F460" s="9"/>
      <c r="G460" s="9"/>
      <c r="H460" s="9"/>
      <c r="I460" s="9"/>
      <c r="J460" s="9"/>
      <c r="K460" s="10"/>
      <c r="L460" s="11"/>
      <c r="M460" s="7"/>
      <c r="N460" s="7"/>
      <c r="O460" s="11"/>
      <c r="P460" s="14"/>
      <c r="Q460" s="15"/>
      <c r="R460" s="12"/>
    </row>
    <row r="461" spans="1:18">
      <c r="A461" s="2"/>
      <c r="B461" s="2"/>
      <c r="C461" s="8"/>
      <c r="D461" s="13"/>
      <c r="E461" s="13"/>
      <c r="F461" s="9"/>
      <c r="G461" s="9"/>
      <c r="H461" s="9"/>
      <c r="I461" s="9"/>
      <c r="J461" s="9"/>
      <c r="K461" s="10"/>
      <c r="L461" s="11"/>
      <c r="M461" s="7"/>
      <c r="N461" s="7"/>
      <c r="O461" s="11"/>
      <c r="P461" s="14"/>
      <c r="Q461" s="15"/>
      <c r="R461" s="12"/>
    </row>
    <row r="462" spans="1:18">
      <c r="A462" s="2"/>
      <c r="B462" s="2"/>
      <c r="C462" s="8"/>
      <c r="D462" s="13"/>
      <c r="E462" s="13"/>
      <c r="F462" s="9"/>
      <c r="G462" s="9"/>
      <c r="H462" s="9"/>
      <c r="I462" s="9"/>
      <c r="J462" s="9"/>
      <c r="K462" s="10"/>
      <c r="L462" s="11"/>
      <c r="M462" s="7"/>
      <c r="N462" s="7"/>
      <c r="O462" s="11"/>
      <c r="P462" s="14"/>
      <c r="Q462" s="15"/>
      <c r="R462" s="12"/>
    </row>
    <row r="463" spans="1:18">
      <c r="A463" s="2"/>
      <c r="B463" s="2"/>
      <c r="C463" s="8"/>
      <c r="D463" s="13"/>
      <c r="E463" s="13"/>
      <c r="F463" s="9"/>
      <c r="G463" s="9"/>
      <c r="H463" s="9"/>
      <c r="I463" s="9"/>
      <c r="J463" s="9"/>
      <c r="K463" s="10"/>
      <c r="L463" s="11"/>
      <c r="M463" s="7"/>
      <c r="N463" s="7"/>
      <c r="O463" s="11"/>
      <c r="P463" s="14"/>
      <c r="Q463" s="15"/>
      <c r="R463" s="12"/>
    </row>
    <row r="464" spans="1:18">
      <c r="A464" s="2"/>
      <c r="B464" s="2"/>
      <c r="C464" s="8"/>
      <c r="D464" s="13"/>
      <c r="E464" s="13"/>
      <c r="F464" s="9"/>
      <c r="G464" s="9"/>
      <c r="H464" s="9"/>
      <c r="I464" s="9"/>
      <c r="J464" s="9"/>
      <c r="K464" s="10"/>
      <c r="L464" s="11"/>
      <c r="M464" s="7"/>
      <c r="N464" s="7"/>
      <c r="O464" s="11"/>
      <c r="P464" s="14"/>
      <c r="Q464" s="15"/>
      <c r="R464" s="12"/>
    </row>
    <row r="465" spans="1:18">
      <c r="A465" s="2"/>
      <c r="B465" s="2"/>
      <c r="C465" s="8"/>
      <c r="D465" s="13"/>
      <c r="E465" s="13"/>
      <c r="F465" s="9"/>
      <c r="G465" s="9"/>
      <c r="H465" s="9"/>
      <c r="I465" s="9"/>
      <c r="J465" s="9"/>
      <c r="K465" s="10"/>
      <c r="L465" s="11"/>
      <c r="M465" s="7"/>
      <c r="N465" s="7"/>
      <c r="O465" s="11"/>
      <c r="P465" s="14"/>
      <c r="Q465" s="15"/>
      <c r="R465" s="12"/>
    </row>
    <row r="466" spans="1:18">
      <c r="A466" s="2"/>
      <c r="B466" s="2"/>
      <c r="C466" s="8"/>
      <c r="D466" s="13"/>
      <c r="E466" s="13"/>
      <c r="F466" s="9"/>
      <c r="G466" s="9"/>
      <c r="H466" s="9"/>
      <c r="I466" s="9"/>
      <c r="J466" s="9"/>
      <c r="K466" s="10"/>
      <c r="L466" s="11"/>
      <c r="M466" s="7"/>
      <c r="N466" s="7"/>
      <c r="O466" s="11"/>
      <c r="P466" s="14"/>
      <c r="Q466" s="15"/>
      <c r="R466" s="12"/>
    </row>
    <row r="467" spans="1:18">
      <c r="A467" s="2"/>
      <c r="B467" s="2"/>
      <c r="C467" s="8"/>
      <c r="D467" s="13"/>
      <c r="E467" s="13"/>
      <c r="F467" s="9"/>
      <c r="G467" s="9"/>
      <c r="H467" s="9"/>
      <c r="I467" s="9"/>
      <c r="J467" s="9"/>
      <c r="K467" s="10"/>
      <c r="L467" s="11"/>
      <c r="M467" s="7"/>
      <c r="N467" s="7"/>
      <c r="O467" s="11"/>
      <c r="P467" s="14"/>
      <c r="Q467" s="15"/>
      <c r="R467" s="12"/>
    </row>
    <row r="468" spans="1:18">
      <c r="A468" s="2"/>
      <c r="B468" s="2"/>
      <c r="C468" s="8"/>
      <c r="D468" s="13"/>
      <c r="E468" s="13"/>
      <c r="F468" s="9"/>
      <c r="G468" s="9"/>
      <c r="H468" s="9"/>
      <c r="I468" s="9"/>
      <c r="J468" s="9"/>
      <c r="K468" s="10"/>
      <c r="L468" s="11"/>
      <c r="M468" s="7"/>
      <c r="N468" s="7"/>
      <c r="O468" s="11"/>
      <c r="P468" s="14"/>
      <c r="Q468" s="15"/>
      <c r="R468" s="12"/>
    </row>
    <row r="469" spans="1:18">
      <c r="A469" s="2"/>
      <c r="B469" s="2"/>
      <c r="C469" s="8"/>
      <c r="D469" s="13"/>
      <c r="E469" s="13"/>
      <c r="F469" s="9"/>
      <c r="G469" s="9"/>
      <c r="H469" s="9"/>
      <c r="I469" s="9"/>
      <c r="J469" s="9"/>
      <c r="K469" s="10"/>
      <c r="L469" s="11"/>
      <c r="M469" s="7"/>
      <c r="N469" s="7"/>
      <c r="O469" s="11"/>
      <c r="P469" s="14"/>
      <c r="Q469" s="15"/>
      <c r="R469" s="12"/>
    </row>
    <row r="470" spans="1:18">
      <c r="A470" s="2"/>
      <c r="B470" s="2"/>
      <c r="C470" s="8"/>
      <c r="D470" s="13"/>
      <c r="E470" s="13"/>
      <c r="F470" s="9"/>
      <c r="G470" s="9"/>
      <c r="H470" s="9"/>
      <c r="I470" s="9"/>
      <c r="J470" s="9"/>
      <c r="K470" s="10"/>
      <c r="L470" s="11"/>
      <c r="M470" s="7"/>
      <c r="N470" s="7"/>
      <c r="O470" s="11"/>
      <c r="P470" s="14"/>
      <c r="Q470" s="15"/>
      <c r="R470" s="12"/>
    </row>
    <row r="471" spans="1:18">
      <c r="A471" s="2"/>
      <c r="B471" s="2"/>
      <c r="C471" s="8"/>
      <c r="D471" s="13"/>
      <c r="E471" s="13"/>
      <c r="F471" s="9"/>
      <c r="G471" s="9"/>
      <c r="H471" s="9"/>
      <c r="I471" s="9"/>
      <c r="J471" s="9"/>
      <c r="K471" s="10"/>
      <c r="L471" s="11"/>
      <c r="M471" s="7"/>
      <c r="N471" s="7"/>
      <c r="O471" s="11"/>
      <c r="P471" s="14"/>
      <c r="Q471" s="15"/>
      <c r="R471" s="12"/>
    </row>
    <row r="472" spans="1:18">
      <c r="A472" s="2"/>
      <c r="B472" s="2"/>
      <c r="C472" s="8"/>
      <c r="D472" s="13"/>
      <c r="E472" s="13"/>
      <c r="F472" s="9"/>
      <c r="G472" s="9"/>
      <c r="H472" s="9"/>
      <c r="I472" s="9"/>
      <c r="J472" s="9"/>
      <c r="K472" s="10"/>
      <c r="L472" s="11"/>
      <c r="M472" s="7"/>
      <c r="N472" s="7"/>
      <c r="O472" s="11"/>
      <c r="P472" s="14"/>
      <c r="Q472" s="15"/>
      <c r="R472" s="12"/>
    </row>
    <row r="473" spans="1:18">
      <c r="A473" s="2"/>
      <c r="B473" s="2"/>
      <c r="C473" s="8"/>
      <c r="D473" s="13"/>
      <c r="E473" s="13"/>
      <c r="F473" s="9"/>
      <c r="G473" s="9"/>
      <c r="H473" s="9"/>
      <c r="I473" s="9"/>
      <c r="J473" s="9"/>
      <c r="K473" s="10"/>
      <c r="L473" s="11"/>
      <c r="M473" s="7"/>
      <c r="N473" s="7"/>
      <c r="O473" s="11"/>
      <c r="P473" s="14"/>
      <c r="Q473" s="15"/>
      <c r="R473" s="12"/>
    </row>
    <row r="474" spans="1:18">
      <c r="A474" s="2"/>
      <c r="B474" s="2"/>
      <c r="C474" s="8"/>
      <c r="D474" s="13"/>
      <c r="E474" s="13"/>
      <c r="F474" s="9"/>
      <c r="G474" s="9"/>
      <c r="H474" s="9"/>
      <c r="I474" s="9"/>
      <c r="J474" s="9"/>
      <c r="K474" s="10"/>
      <c r="L474" s="11"/>
      <c r="M474" s="7"/>
      <c r="N474" s="7"/>
      <c r="O474" s="11"/>
      <c r="P474" s="14"/>
      <c r="Q474" s="15"/>
      <c r="R474" s="12"/>
    </row>
    <row r="475" spans="1:18">
      <c r="A475" s="2"/>
      <c r="B475" s="2"/>
      <c r="C475" s="8"/>
      <c r="D475" s="13"/>
      <c r="E475" s="13"/>
      <c r="F475" s="9"/>
      <c r="G475" s="9"/>
      <c r="H475" s="9"/>
      <c r="I475" s="9"/>
      <c r="J475" s="9"/>
      <c r="K475" s="10"/>
      <c r="L475" s="11"/>
      <c r="M475" s="7"/>
      <c r="N475" s="7"/>
      <c r="O475" s="11"/>
      <c r="P475" s="14"/>
      <c r="Q475" s="15"/>
      <c r="R475" s="12"/>
    </row>
    <row r="476" spans="1:18">
      <c r="A476" s="2"/>
      <c r="B476" s="2"/>
      <c r="C476" s="8"/>
      <c r="D476" s="13"/>
      <c r="E476" s="13"/>
      <c r="F476" s="9"/>
      <c r="G476" s="9"/>
      <c r="H476" s="9"/>
      <c r="I476" s="9"/>
      <c r="J476" s="9"/>
      <c r="K476" s="10"/>
      <c r="L476" s="11"/>
      <c r="M476" s="7"/>
      <c r="N476" s="7"/>
      <c r="O476" s="11"/>
      <c r="P476" s="14"/>
      <c r="Q476" s="15"/>
      <c r="R476" s="12"/>
    </row>
    <row r="477" spans="1:18">
      <c r="A477" s="2"/>
      <c r="B477" s="2"/>
      <c r="C477" s="8"/>
      <c r="D477" s="13"/>
      <c r="E477" s="13"/>
      <c r="F477" s="9"/>
      <c r="G477" s="9"/>
      <c r="H477" s="9"/>
      <c r="I477" s="9"/>
      <c r="J477" s="9"/>
      <c r="K477" s="10"/>
      <c r="L477" s="11"/>
      <c r="M477" s="7"/>
      <c r="N477" s="7"/>
      <c r="O477" s="11"/>
      <c r="P477" s="14"/>
      <c r="Q477" s="15"/>
      <c r="R477" s="12"/>
    </row>
    <row r="478" spans="1:18">
      <c r="A478" s="2"/>
      <c r="B478" s="2"/>
      <c r="C478" s="8"/>
      <c r="D478" s="13"/>
      <c r="E478" s="13"/>
      <c r="F478" s="9"/>
      <c r="G478" s="9"/>
      <c r="H478" s="9"/>
      <c r="I478" s="9"/>
      <c r="J478" s="9"/>
      <c r="K478" s="10"/>
      <c r="L478" s="11"/>
      <c r="M478" s="7"/>
      <c r="N478" s="7"/>
      <c r="O478" s="11"/>
      <c r="P478" s="14"/>
      <c r="Q478" s="15"/>
      <c r="R478" s="12"/>
    </row>
    <row r="479" spans="1:18">
      <c r="A479" s="2"/>
      <c r="B479" s="2"/>
      <c r="C479" s="8"/>
      <c r="D479" s="13"/>
      <c r="E479" s="13"/>
      <c r="F479" s="9"/>
      <c r="G479" s="9"/>
      <c r="H479" s="9"/>
      <c r="I479" s="9"/>
      <c r="J479" s="9"/>
      <c r="K479" s="10"/>
      <c r="L479" s="11"/>
      <c r="M479" s="7"/>
      <c r="N479" s="7"/>
      <c r="O479" s="11"/>
      <c r="P479" s="14"/>
      <c r="Q479" s="15"/>
      <c r="R479" s="12"/>
    </row>
    <row r="480" spans="1:18">
      <c r="A480" s="2"/>
      <c r="B480" s="2"/>
      <c r="C480" s="8"/>
      <c r="D480" s="13"/>
      <c r="E480" s="13"/>
      <c r="F480" s="9"/>
      <c r="G480" s="9"/>
      <c r="H480" s="9"/>
      <c r="I480" s="9"/>
      <c r="J480" s="9"/>
      <c r="K480" s="10"/>
      <c r="L480" s="11"/>
      <c r="M480" s="7"/>
      <c r="N480" s="7"/>
      <c r="O480" s="11"/>
      <c r="P480" s="14"/>
      <c r="Q480" s="15"/>
      <c r="R480" s="12"/>
    </row>
    <row r="481" spans="1:18">
      <c r="A481" s="2"/>
      <c r="B481" s="2"/>
      <c r="C481" s="8"/>
      <c r="D481" s="13"/>
      <c r="E481" s="13"/>
      <c r="F481" s="9"/>
      <c r="G481" s="9"/>
      <c r="H481" s="9"/>
      <c r="I481" s="9"/>
      <c r="J481" s="9"/>
      <c r="K481" s="10"/>
      <c r="L481" s="11"/>
      <c r="M481" s="7"/>
      <c r="N481" s="7"/>
      <c r="O481" s="11"/>
      <c r="P481" s="14"/>
      <c r="Q481" s="15"/>
      <c r="R481" s="12"/>
    </row>
    <row r="482" spans="1:18">
      <c r="A482" s="2"/>
      <c r="B482" s="2"/>
      <c r="C482" s="8"/>
      <c r="D482" s="13"/>
      <c r="E482" s="13"/>
      <c r="F482" s="9"/>
      <c r="G482" s="9"/>
      <c r="H482" s="9"/>
      <c r="I482" s="9"/>
      <c r="J482" s="9"/>
      <c r="K482" s="10"/>
      <c r="L482" s="11"/>
      <c r="M482" s="7"/>
      <c r="N482" s="7"/>
      <c r="O482" s="11"/>
      <c r="P482" s="14"/>
      <c r="Q482" s="15"/>
      <c r="R482" s="12"/>
    </row>
    <row r="483" spans="1:18">
      <c r="A483" s="2"/>
      <c r="B483" s="2"/>
      <c r="C483" s="8"/>
      <c r="D483" s="13"/>
      <c r="E483" s="13"/>
      <c r="F483" s="9"/>
      <c r="G483" s="9"/>
      <c r="H483" s="9"/>
      <c r="I483" s="9"/>
      <c r="J483" s="9"/>
      <c r="K483" s="10"/>
      <c r="L483" s="11"/>
      <c r="M483" s="7"/>
      <c r="N483" s="7"/>
      <c r="O483" s="11"/>
      <c r="P483" s="14"/>
      <c r="Q483" s="15"/>
      <c r="R483" s="12"/>
    </row>
    <row r="484" spans="1:18">
      <c r="A484" s="2"/>
      <c r="B484" s="2"/>
      <c r="C484" s="8"/>
      <c r="D484" s="13"/>
      <c r="E484" s="13"/>
      <c r="F484" s="9"/>
      <c r="G484" s="9"/>
      <c r="H484" s="9"/>
      <c r="I484" s="9"/>
      <c r="J484" s="9"/>
      <c r="K484" s="10"/>
      <c r="L484" s="11"/>
      <c r="M484" s="7"/>
      <c r="N484" s="7"/>
      <c r="O484" s="11"/>
      <c r="P484" s="14"/>
      <c r="Q484" s="15"/>
      <c r="R484" s="12"/>
    </row>
    <row r="485" spans="1:18">
      <c r="A485" s="2"/>
      <c r="B485" s="2"/>
      <c r="C485" s="8"/>
      <c r="D485" s="13"/>
      <c r="E485" s="13"/>
      <c r="F485" s="9"/>
      <c r="G485" s="9"/>
      <c r="H485" s="9"/>
      <c r="I485" s="9"/>
      <c r="J485" s="9"/>
      <c r="K485" s="10"/>
      <c r="L485" s="11"/>
      <c r="M485" s="7"/>
      <c r="N485" s="7"/>
      <c r="O485" s="11"/>
      <c r="P485" s="14"/>
      <c r="Q485" s="15"/>
      <c r="R485" s="12"/>
    </row>
    <row r="486" spans="1:18">
      <c r="A486" s="2"/>
      <c r="B486" s="2"/>
      <c r="C486" s="8"/>
      <c r="D486" s="13"/>
      <c r="E486" s="13"/>
      <c r="F486" s="9"/>
      <c r="G486" s="9"/>
      <c r="H486" s="9"/>
      <c r="I486" s="9"/>
      <c r="J486" s="9"/>
      <c r="K486" s="10"/>
      <c r="L486" s="11"/>
      <c r="M486" s="7"/>
      <c r="N486" s="7"/>
      <c r="O486" s="11"/>
      <c r="P486" s="14"/>
      <c r="Q486" s="15"/>
      <c r="R486" s="12"/>
    </row>
    <row r="487" spans="1:18">
      <c r="A487" s="2"/>
      <c r="B487" s="2"/>
      <c r="C487" s="8"/>
      <c r="D487" s="13"/>
      <c r="E487" s="13"/>
      <c r="F487" s="9"/>
      <c r="G487" s="9"/>
      <c r="H487" s="9"/>
      <c r="I487" s="9"/>
      <c r="J487" s="9"/>
      <c r="K487" s="10"/>
      <c r="L487" s="11"/>
      <c r="M487" s="7"/>
      <c r="N487" s="7"/>
      <c r="O487" s="11"/>
      <c r="P487" s="14"/>
      <c r="Q487" s="15"/>
      <c r="R487" s="12"/>
    </row>
    <row r="488" spans="1:18">
      <c r="A488" s="2"/>
      <c r="B488" s="2"/>
      <c r="C488" s="8"/>
      <c r="D488" s="13"/>
      <c r="E488" s="13"/>
      <c r="F488" s="9"/>
      <c r="G488" s="9"/>
      <c r="H488" s="9"/>
      <c r="I488" s="9"/>
      <c r="J488" s="9"/>
      <c r="K488" s="10"/>
      <c r="L488" s="11"/>
      <c r="M488" s="7"/>
      <c r="N488" s="7"/>
      <c r="O488" s="11"/>
      <c r="P488" s="14"/>
      <c r="Q488" s="15"/>
      <c r="R488" s="12"/>
    </row>
    <row r="489" spans="1:18">
      <c r="A489" s="2"/>
      <c r="B489" s="2"/>
      <c r="C489" s="8"/>
      <c r="D489" s="13"/>
      <c r="E489" s="13"/>
      <c r="F489" s="9"/>
      <c r="G489" s="9"/>
      <c r="H489" s="9"/>
      <c r="I489" s="9"/>
      <c r="J489" s="9"/>
      <c r="K489" s="10"/>
      <c r="L489" s="11"/>
      <c r="M489" s="7"/>
      <c r="N489" s="7"/>
      <c r="O489" s="11"/>
      <c r="P489" s="14"/>
      <c r="Q489" s="15"/>
      <c r="R489" s="12"/>
    </row>
    <row r="490" spans="1:18">
      <c r="A490" s="2"/>
      <c r="B490" s="2"/>
      <c r="C490" s="8"/>
      <c r="D490" s="13"/>
      <c r="E490" s="13"/>
      <c r="F490" s="9"/>
      <c r="G490" s="9"/>
      <c r="H490" s="9"/>
      <c r="I490" s="9"/>
      <c r="J490" s="9"/>
      <c r="K490" s="10"/>
      <c r="L490" s="11"/>
      <c r="M490" s="7"/>
      <c r="N490" s="7"/>
      <c r="O490" s="11"/>
      <c r="P490" s="14"/>
      <c r="Q490" s="15"/>
      <c r="R490" s="12"/>
    </row>
    <row r="491" spans="1:18">
      <c r="A491" s="2"/>
      <c r="B491" s="2"/>
      <c r="C491" s="8"/>
      <c r="D491" s="13"/>
      <c r="E491" s="13"/>
      <c r="F491" s="9"/>
      <c r="G491" s="9"/>
      <c r="H491" s="9"/>
      <c r="I491" s="9"/>
      <c r="J491" s="9"/>
      <c r="K491" s="10"/>
      <c r="L491" s="11"/>
      <c r="M491" s="7"/>
      <c r="N491" s="7"/>
      <c r="O491" s="11"/>
      <c r="P491" s="14"/>
      <c r="Q491" s="15"/>
      <c r="R491" s="12"/>
    </row>
    <row r="492" spans="1:18">
      <c r="A492" s="2"/>
      <c r="B492" s="2"/>
      <c r="C492" s="8"/>
      <c r="D492" s="13"/>
      <c r="E492" s="13"/>
      <c r="F492" s="9"/>
      <c r="G492" s="9"/>
      <c r="H492" s="9"/>
      <c r="I492" s="9"/>
      <c r="J492" s="9"/>
      <c r="K492" s="10"/>
      <c r="L492" s="11"/>
      <c r="M492" s="7"/>
      <c r="N492" s="7"/>
      <c r="O492" s="11"/>
      <c r="P492" s="14"/>
      <c r="Q492" s="15"/>
      <c r="R492" s="12"/>
    </row>
    <row r="493" spans="1:18">
      <c r="A493" s="2"/>
      <c r="B493" s="2"/>
      <c r="C493" s="8"/>
      <c r="D493" s="13"/>
      <c r="E493" s="13"/>
      <c r="F493" s="9"/>
      <c r="G493" s="9"/>
      <c r="H493" s="9"/>
      <c r="I493" s="9"/>
      <c r="J493" s="9"/>
      <c r="K493" s="10"/>
      <c r="L493" s="11"/>
      <c r="M493" s="7"/>
      <c r="N493" s="7"/>
      <c r="O493" s="11"/>
      <c r="P493" s="14"/>
      <c r="Q493" s="15"/>
      <c r="R493" s="12"/>
    </row>
    <row r="494" spans="1:18">
      <c r="A494" s="2"/>
      <c r="B494" s="2"/>
      <c r="C494" s="8"/>
      <c r="D494" s="13"/>
      <c r="E494" s="13"/>
      <c r="F494" s="9"/>
      <c r="G494" s="9"/>
      <c r="H494" s="9"/>
      <c r="I494" s="9"/>
      <c r="J494" s="9"/>
      <c r="K494" s="10"/>
      <c r="L494" s="11"/>
      <c r="M494" s="7"/>
      <c r="N494" s="7"/>
      <c r="O494" s="11"/>
      <c r="P494" s="14"/>
      <c r="Q494" s="15"/>
      <c r="R494" s="12"/>
    </row>
    <row r="495" spans="1:18">
      <c r="A495" s="2"/>
      <c r="B495" s="2"/>
      <c r="C495" s="8"/>
      <c r="D495" s="13"/>
      <c r="E495" s="13"/>
      <c r="F495" s="9"/>
      <c r="G495" s="9"/>
      <c r="H495" s="9"/>
      <c r="I495" s="9"/>
      <c r="J495" s="9"/>
      <c r="K495" s="10"/>
      <c r="L495" s="11"/>
      <c r="M495" s="7"/>
      <c r="N495" s="7"/>
      <c r="O495" s="11"/>
      <c r="P495" s="14"/>
      <c r="Q495" s="15"/>
      <c r="R495" s="12"/>
    </row>
    <row r="496" spans="1:18">
      <c r="A496" s="2"/>
      <c r="B496" s="2"/>
      <c r="C496" s="8"/>
      <c r="D496" s="13"/>
      <c r="E496" s="13"/>
      <c r="F496" s="9"/>
      <c r="G496" s="9"/>
      <c r="H496" s="9"/>
      <c r="I496" s="9"/>
      <c r="J496" s="9"/>
      <c r="K496" s="10"/>
      <c r="L496" s="11"/>
      <c r="M496" s="7"/>
      <c r="N496" s="7"/>
      <c r="O496" s="11"/>
      <c r="P496" s="14"/>
      <c r="Q496" s="15"/>
      <c r="R496" s="12"/>
    </row>
    <row r="497" spans="1:18">
      <c r="A497" s="2"/>
      <c r="B497" s="2"/>
      <c r="C497" s="8"/>
      <c r="D497" s="13"/>
      <c r="E497" s="13"/>
      <c r="F497" s="9"/>
      <c r="G497" s="9"/>
      <c r="H497" s="9"/>
      <c r="I497" s="9"/>
      <c r="J497" s="9"/>
      <c r="K497" s="10"/>
      <c r="L497" s="11"/>
      <c r="M497" s="7"/>
      <c r="N497" s="7"/>
      <c r="O497" s="11"/>
      <c r="P497" s="14"/>
      <c r="Q497" s="15"/>
      <c r="R497" s="12"/>
    </row>
    <row r="498" spans="1:18">
      <c r="A498" s="2"/>
      <c r="B498" s="2"/>
      <c r="C498" s="8"/>
      <c r="D498" s="13"/>
      <c r="E498" s="13"/>
      <c r="F498" s="9"/>
      <c r="G498" s="9"/>
      <c r="H498" s="9"/>
      <c r="I498" s="9"/>
      <c r="J498" s="9"/>
      <c r="K498" s="10"/>
      <c r="L498" s="11"/>
      <c r="M498" s="7"/>
      <c r="N498" s="7"/>
      <c r="O498" s="11"/>
      <c r="P498" s="14"/>
      <c r="Q498" s="15"/>
      <c r="R498" s="12"/>
    </row>
    <row r="499" spans="1:18">
      <c r="A499" s="2"/>
      <c r="B499" s="2"/>
      <c r="C499" s="8"/>
      <c r="D499" s="13"/>
      <c r="E499" s="13"/>
      <c r="F499" s="9"/>
      <c r="G499" s="9"/>
      <c r="H499" s="9"/>
      <c r="I499" s="9"/>
      <c r="J499" s="9"/>
      <c r="K499" s="10"/>
      <c r="L499" s="11"/>
      <c r="M499" s="7"/>
      <c r="N499" s="7"/>
      <c r="O499" s="11"/>
      <c r="P499" s="14"/>
      <c r="Q499" s="15"/>
      <c r="R499" s="12"/>
    </row>
    <row r="500" spans="1:18">
      <c r="A500" s="2"/>
      <c r="B500" s="2"/>
      <c r="C500" s="8"/>
      <c r="D500" s="13"/>
      <c r="E500" s="13"/>
      <c r="F500" s="9"/>
      <c r="G500" s="9"/>
      <c r="H500" s="9"/>
      <c r="I500" s="9"/>
      <c r="J500" s="9"/>
      <c r="K500" s="10"/>
      <c r="L500" s="11"/>
      <c r="M500" s="7"/>
      <c r="N500" s="7"/>
      <c r="O500" s="11"/>
      <c r="P500" s="14"/>
      <c r="Q500" s="15"/>
      <c r="R500" s="12"/>
    </row>
    <row r="501" spans="1:18">
      <c r="A501" s="2"/>
      <c r="B501" s="2"/>
      <c r="C501" s="8"/>
      <c r="D501" s="13"/>
      <c r="E501" s="13"/>
      <c r="F501" s="9"/>
      <c r="G501" s="9"/>
      <c r="H501" s="9"/>
      <c r="I501" s="9"/>
      <c r="J501" s="9"/>
      <c r="K501" s="10"/>
      <c r="L501" s="11"/>
      <c r="M501" s="7"/>
      <c r="N501" s="7"/>
      <c r="O501" s="11"/>
      <c r="P501" s="14"/>
      <c r="Q501" s="15"/>
      <c r="R501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Bank_Rates</vt:lpstr>
      <vt:lpstr>Raw_Observations</vt:lpstr>
      <vt:lpstr>Pricing</vt:lpstr>
      <vt:lpstr>Buy_History</vt:lpstr>
      <vt:lpstr>Order_History</vt:lpstr>
      <vt:lpstr>Sell_History</vt:lpstr>
      <vt:lpstr>Trade_Results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Trung</cp:lastModifiedBy>
  <dcterms:modified xsi:type="dcterms:W3CDTF">2026-10-13T07:37:41Z</dcterms:modified>
</cp:coreProperties>
</file>