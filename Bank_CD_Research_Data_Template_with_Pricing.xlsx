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4FC34D9-29B5-4171-81D8-B56005824115}" xr6:coauthVersionLast="36" xr6:coauthVersionMax="36" xr10:uidLastSave="{00000000-0000-0000-0000-000000000000}"/>
  <bookViews>
    <workbookView xWindow="0" yWindow="0" windowWidth="23040" windowHeight="8364" activeTab="6" xr2:uid="{00000000-000D-0000-FFFF-FFFF00000000}"/>
  </bookViews>
  <sheets>
    <sheet name="Bank_Rates" sheetId="2" r:id="rId1"/>
    <sheet name="Raw_Observations" sheetId="1" r:id="rId2"/>
    <sheet name="Pricing" sheetId="7" r:id="rId3"/>
    <sheet name="Buy_History" sheetId="3" r:id="rId4"/>
    <sheet name="Order_History" sheetId="4" r:id="rId5"/>
    <sheet name="Sell_History" sheetId="5" r:id="rId6"/>
    <sheet name="Trade_Results" sheetId="6" r:id="rId7"/>
  </sheets>
  <calcPr calcId="181029" forceFullCalc="1"/>
</workbook>
</file>

<file path=xl/calcChain.xml><?xml version="1.0" encoding="utf-8"?>
<calcChain xmlns="http://schemas.openxmlformats.org/spreadsheetml/2006/main">
  <c r="D11" i="6" l="1"/>
  <c r="F11" i="6"/>
  <c r="F6" i="6" l="1"/>
  <c r="F7" i="6"/>
  <c r="F8" i="6"/>
  <c r="F9" i="6"/>
  <c r="F10" i="6"/>
  <c r="D6" i="6"/>
  <c r="D7" i="6"/>
  <c r="D8" i="6"/>
  <c r="D9" i="6"/>
  <c r="D10" i="6"/>
  <c r="A10" i="7" l="1"/>
  <c r="A9" i="7"/>
  <c r="A8" i="7"/>
  <c r="A7" i="7"/>
  <c r="A6" i="7"/>
  <c r="G2" i="1"/>
  <c r="I2" i="1" s="1"/>
  <c r="G3" i="1"/>
  <c r="I3" i="1" s="1"/>
  <c r="G4" i="1"/>
  <c r="I4" i="1" s="1"/>
  <c r="G5" i="1"/>
  <c r="I5" i="1" s="1"/>
  <c r="G6" i="1"/>
  <c r="I6" i="1" s="1"/>
  <c r="G7" i="1"/>
  <c r="I7" i="1" s="1"/>
  <c r="G8" i="1"/>
  <c r="I8" i="1" s="1"/>
  <c r="G9" i="1"/>
  <c r="I9" i="1" s="1"/>
  <c r="G10" i="1"/>
  <c r="I10" i="1" s="1"/>
  <c r="G11" i="1"/>
  <c r="G12" i="1"/>
  <c r="G13" i="1"/>
  <c r="G14" i="1"/>
  <c r="G15" i="1"/>
  <c r="G16" i="1"/>
  <c r="J16" i="1" s="1"/>
  <c r="G17" i="1"/>
  <c r="J17" i="1" s="1"/>
  <c r="G18" i="1"/>
  <c r="J18" i="1" s="1"/>
  <c r="G19" i="1"/>
  <c r="J19" i="1" s="1"/>
  <c r="G20" i="1"/>
  <c r="J20" i="1" s="1"/>
  <c r="G21" i="1"/>
  <c r="J21" i="1" s="1"/>
  <c r="G22" i="1"/>
  <c r="J22" i="1" s="1"/>
  <c r="G23" i="1"/>
  <c r="J23" i="1" s="1"/>
  <c r="G24" i="1"/>
  <c r="J24" i="1" s="1"/>
  <c r="G25" i="1"/>
  <c r="J25" i="1" s="1"/>
  <c r="G26" i="1"/>
  <c r="J26" i="1" s="1"/>
  <c r="G27" i="1"/>
  <c r="J27" i="1" s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F3" i="6"/>
  <c r="F4" i="6"/>
  <c r="F5" i="6"/>
  <c r="D3" i="6"/>
  <c r="D4" i="6"/>
  <c r="D5" i="6"/>
  <c r="F2" i="6"/>
  <c r="D2" i="6"/>
  <c r="G2" i="6" l="1"/>
  <c r="G10" i="6"/>
  <c r="G18" i="6"/>
  <c r="G26" i="6"/>
  <c r="G34" i="6"/>
  <c r="G42" i="6"/>
  <c r="G50" i="6"/>
  <c r="G58" i="6"/>
  <c r="G66" i="6"/>
  <c r="G74" i="6"/>
  <c r="G82" i="6"/>
  <c r="G90" i="6"/>
  <c r="G98" i="6"/>
  <c r="G106" i="6"/>
  <c r="G114" i="6"/>
  <c r="G122" i="6"/>
  <c r="G130" i="6"/>
  <c r="G138" i="6"/>
  <c r="G146" i="6"/>
  <c r="G154" i="6"/>
  <c r="G162" i="6"/>
  <c r="G170" i="6"/>
  <c r="G178" i="6"/>
  <c r="G186" i="6"/>
  <c r="G194" i="6"/>
  <c r="G202" i="6"/>
  <c r="G210" i="6"/>
  <c r="G218" i="6"/>
  <c r="G226" i="6"/>
  <c r="G234" i="6"/>
  <c r="G242" i="6"/>
  <c r="G250" i="6"/>
  <c r="G258" i="6"/>
  <c r="G266" i="6"/>
  <c r="G274" i="6"/>
  <c r="G282" i="6"/>
  <c r="G290" i="6"/>
  <c r="G298" i="6"/>
  <c r="G306" i="6"/>
  <c r="G314" i="6"/>
  <c r="G322" i="6"/>
  <c r="G330" i="6"/>
  <c r="G338" i="6"/>
  <c r="G346" i="6"/>
  <c r="G354" i="6"/>
  <c r="G362" i="6"/>
  <c r="G370" i="6"/>
  <c r="G378" i="6"/>
  <c r="G386" i="6"/>
  <c r="G394" i="6"/>
  <c r="G402" i="6"/>
  <c r="G410" i="6"/>
  <c r="G418" i="6"/>
  <c r="G426" i="6"/>
  <c r="G434" i="6"/>
  <c r="G442" i="6"/>
  <c r="G450" i="6"/>
  <c r="G458" i="6"/>
  <c r="G466" i="6"/>
  <c r="G474" i="6"/>
  <c r="G482" i="6"/>
  <c r="G490" i="6"/>
  <c r="G498" i="6"/>
  <c r="G484" i="6"/>
  <c r="G496" i="6"/>
  <c r="G3" i="6"/>
  <c r="G11" i="6"/>
  <c r="G19" i="6"/>
  <c r="G27" i="6"/>
  <c r="G35" i="6"/>
  <c r="G43" i="6"/>
  <c r="G51" i="6"/>
  <c r="G59" i="6"/>
  <c r="G67" i="6"/>
  <c r="G75" i="6"/>
  <c r="G83" i="6"/>
  <c r="G91" i="6"/>
  <c r="G99" i="6"/>
  <c r="G107" i="6"/>
  <c r="G115" i="6"/>
  <c r="G123" i="6"/>
  <c r="G131" i="6"/>
  <c r="G139" i="6"/>
  <c r="G147" i="6"/>
  <c r="G155" i="6"/>
  <c r="G163" i="6"/>
  <c r="G171" i="6"/>
  <c r="G179" i="6"/>
  <c r="G187" i="6"/>
  <c r="G195" i="6"/>
  <c r="G203" i="6"/>
  <c r="G211" i="6"/>
  <c r="G219" i="6"/>
  <c r="G227" i="6"/>
  <c r="G235" i="6"/>
  <c r="G243" i="6"/>
  <c r="G251" i="6"/>
  <c r="G259" i="6"/>
  <c r="G267" i="6"/>
  <c r="G275" i="6"/>
  <c r="G283" i="6"/>
  <c r="G291" i="6"/>
  <c r="G299" i="6"/>
  <c r="G307" i="6"/>
  <c r="G315" i="6"/>
  <c r="G323" i="6"/>
  <c r="G331" i="6"/>
  <c r="G339" i="6"/>
  <c r="G347" i="6"/>
  <c r="G355" i="6"/>
  <c r="G363" i="6"/>
  <c r="G371" i="6"/>
  <c r="G379" i="6"/>
  <c r="G387" i="6"/>
  <c r="G395" i="6"/>
  <c r="G403" i="6"/>
  <c r="G411" i="6"/>
  <c r="G419" i="6"/>
  <c r="G427" i="6"/>
  <c r="G435" i="6"/>
  <c r="G443" i="6"/>
  <c r="G451" i="6"/>
  <c r="G459" i="6"/>
  <c r="G467" i="6"/>
  <c r="G475" i="6"/>
  <c r="G483" i="6"/>
  <c r="G491" i="6"/>
  <c r="G499" i="6"/>
  <c r="G476" i="6"/>
  <c r="G4" i="6"/>
  <c r="G12" i="6"/>
  <c r="G20" i="6"/>
  <c r="G28" i="6"/>
  <c r="G36" i="6"/>
  <c r="G44" i="6"/>
  <c r="G52" i="6"/>
  <c r="G60" i="6"/>
  <c r="G68" i="6"/>
  <c r="G76" i="6"/>
  <c r="G84" i="6"/>
  <c r="G92" i="6"/>
  <c r="G100" i="6"/>
  <c r="G108" i="6"/>
  <c r="G116" i="6"/>
  <c r="G124" i="6"/>
  <c r="G132" i="6"/>
  <c r="G140" i="6"/>
  <c r="G148" i="6"/>
  <c r="G156" i="6"/>
  <c r="G164" i="6"/>
  <c r="G172" i="6"/>
  <c r="G180" i="6"/>
  <c r="G188" i="6"/>
  <c r="G196" i="6"/>
  <c r="G204" i="6"/>
  <c r="G212" i="6"/>
  <c r="G220" i="6"/>
  <c r="G228" i="6"/>
  <c r="G236" i="6"/>
  <c r="G244" i="6"/>
  <c r="G252" i="6"/>
  <c r="G260" i="6"/>
  <c r="G268" i="6"/>
  <c r="G276" i="6"/>
  <c r="G284" i="6"/>
  <c r="G292" i="6"/>
  <c r="G300" i="6"/>
  <c r="G308" i="6"/>
  <c r="G316" i="6"/>
  <c r="G324" i="6"/>
  <c r="G332" i="6"/>
  <c r="G340" i="6"/>
  <c r="G348" i="6"/>
  <c r="G356" i="6"/>
  <c r="G364" i="6"/>
  <c r="G372" i="6"/>
  <c r="G380" i="6"/>
  <c r="G388" i="6"/>
  <c r="G396" i="6"/>
  <c r="G404" i="6"/>
  <c r="G412" i="6"/>
  <c r="G420" i="6"/>
  <c r="G428" i="6"/>
  <c r="G436" i="6"/>
  <c r="G444" i="6"/>
  <c r="G452" i="6"/>
  <c r="G460" i="6"/>
  <c r="G468" i="6"/>
  <c r="G500" i="6"/>
  <c r="G5" i="6"/>
  <c r="G13" i="6"/>
  <c r="G21" i="6"/>
  <c r="G29" i="6"/>
  <c r="G37" i="6"/>
  <c r="G45" i="6"/>
  <c r="G53" i="6"/>
  <c r="G61" i="6"/>
  <c r="G69" i="6"/>
  <c r="G77" i="6"/>
  <c r="G85" i="6"/>
  <c r="G93" i="6"/>
  <c r="G101" i="6"/>
  <c r="G109" i="6"/>
  <c r="G117" i="6"/>
  <c r="G125" i="6"/>
  <c r="G133" i="6"/>
  <c r="G141" i="6"/>
  <c r="G149" i="6"/>
  <c r="G157" i="6"/>
  <c r="G165" i="6"/>
  <c r="G173" i="6"/>
  <c r="G181" i="6"/>
  <c r="G189" i="6"/>
  <c r="G197" i="6"/>
  <c r="G205" i="6"/>
  <c r="G213" i="6"/>
  <c r="G221" i="6"/>
  <c r="G229" i="6"/>
  <c r="G237" i="6"/>
  <c r="G245" i="6"/>
  <c r="G253" i="6"/>
  <c r="G261" i="6"/>
  <c r="G269" i="6"/>
  <c r="G277" i="6"/>
  <c r="G285" i="6"/>
  <c r="G293" i="6"/>
  <c r="G301" i="6"/>
  <c r="G309" i="6"/>
  <c r="G317" i="6"/>
  <c r="G325" i="6"/>
  <c r="G333" i="6"/>
  <c r="G341" i="6"/>
  <c r="G349" i="6"/>
  <c r="G357" i="6"/>
  <c r="G365" i="6"/>
  <c r="G373" i="6"/>
  <c r="G381" i="6"/>
  <c r="G389" i="6"/>
  <c r="G397" i="6"/>
  <c r="G405" i="6"/>
  <c r="G413" i="6"/>
  <c r="G421" i="6"/>
  <c r="G429" i="6"/>
  <c r="G437" i="6"/>
  <c r="G445" i="6"/>
  <c r="G453" i="6"/>
  <c r="G461" i="6"/>
  <c r="G469" i="6"/>
  <c r="G477" i="6"/>
  <c r="G485" i="6"/>
  <c r="G493" i="6"/>
  <c r="G501" i="6"/>
  <c r="G488" i="6"/>
  <c r="G6" i="6"/>
  <c r="G14" i="6"/>
  <c r="G22" i="6"/>
  <c r="G30" i="6"/>
  <c r="G38" i="6"/>
  <c r="G46" i="6"/>
  <c r="G54" i="6"/>
  <c r="G62" i="6"/>
  <c r="G70" i="6"/>
  <c r="G78" i="6"/>
  <c r="G86" i="6"/>
  <c r="G94" i="6"/>
  <c r="G102" i="6"/>
  <c r="G110" i="6"/>
  <c r="G118" i="6"/>
  <c r="G126" i="6"/>
  <c r="G134" i="6"/>
  <c r="G142" i="6"/>
  <c r="G150" i="6"/>
  <c r="G158" i="6"/>
  <c r="G166" i="6"/>
  <c r="G174" i="6"/>
  <c r="G182" i="6"/>
  <c r="G190" i="6"/>
  <c r="G198" i="6"/>
  <c r="G206" i="6"/>
  <c r="G214" i="6"/>
  <c r="G222" i="6"/>
  <c r="G230" i="6"/>
  <c r="G238" i="6"/>
  <c r="G246" i="6"/>
  <c r="G254" i="6"/>
  <c r="G262" i="6"/>
  <c r="G270" i="6"/>
  <c r="G278" i="6"/>
  <c r="G286" i="6"/>
  <c r="G294" i="6"/>
  <c r="G302" i="6"/>
  <c r="G310" i="6"/>
  <c r="G318" i="6"/>
  <c r="G326" i="6"/>
  <c r="G334" i="6"/>
  <c r="G342" i="6"/>
  <c r="G350" i="6"/>
  <c r="G358" i="6"/>
  <c r="G366" i="6"/>
  <c r="G374" i="6"/>
  <c r="G382" i="6"/>
  <c r="G390" i="6"/>
  <c r="G398" i="6"/>
  <c r="G406" i="6"/>
  <c r="G414" i="6"/>
  <c r="G422" i="6"/>
  <c r="G430" i="6"/>
  <c r="G438" i="6"/>
  <c r="G446" i="6"/>
  <c r="G454" i="6"/>
  <c r="G462" i="6"/>
  <c r="G470" i="6"/>
  <c r="G478" i="6"/>
  <c r="G486" i="6"/>
  <c r="G494" i="6"/>
  <c r="G7" i="6"/>
  <c r="G15" i="6"/>
  <c r="G23" i="6"/>
  <c r="G31" i="6"/>
  <c r="G39" i="6"/>
  <c r="G47" i="6"/>
  <c r="G55" i="6"/>
  <c r="G63" i="6"/>
  <c r="G71" i="6"/>
  <c r="G79" i="6"/>
  <c r="G87" i="6"/>
  <c r="G95" i="6"/>
  <c r="G103" i="6"/>
  <c r="G111" i="6"/>
  <c r="G119" i="6"/>
  <c r="G127" i="6"/>
  <c r="G135" i="6"/>
  <c r="G143" i="6"/>
  <c r="G151" i="6"/>
  <c r="G159" i="6"/>
  <c r="G167" i="6"/>
  <c r="G175" i="6"/>
  <c r="G183" i="6"/>
  <c r="G191" i="6"/>
  <c r="G199" i="6"/>
  <c r="G207" i="6"/>
  <c r="G215" i="6"/>
  <c r="G223" i="6"/>
  <c r="G231" i="6"/>
  <c r="G239" i="6"/>
  <c r="G247" i="6"/>
  <c r="G255" i="6"/>
  <c r="G263" i="6"/>
  <c r="G271" i="6"/>
  <c r="G279" i="6"/>
  <c r="G287" i="6"/>
  <c r="G295" i="6"/>
  <c r="G303" i="6"/>
  <c r="G311" i="6"/>
  <c r="G319" i="6"/>
  <c r="G327" i="6"/>
  <c r="G335" i="6"/>
  <c r="G343" i="6"/>
  <c r="G351" i="6"/>
  <c r="G359" i="6"/>
  <c r="G367" i="6"/>
  <c r="G375" i="6"/>
  <c r="G383" i="6"/>
  <c r="G391" i="6"/>
  <c r="G399" i="6"/>
  <c r="G407" i="6"/>
  <c r="G415" i="6"/>
  <c r="G423" i="6"/>
  <c r="G431" i="6"/>
  <c r="G439" i="6"/>
  <c r="G447" i="6"/>
  <c r="G455" i="6"/>
  <c r="G463" i="6"/>
  <c r="G471" i="6"/>
  <c r="G479" i="6"/>
  <c r="G487" i="6"/>
  <c r="G495" i="6"/>
  <c r="G8" i="6"/>
  <c r="G16" i="6"/>
  <c r="G24" i="6"/>
  <c r="G32" i="6"/>
  <c r="G40" i="6"/>
  <c r="G48" i="6"/>
  <c r="G56" i="6"/>
  <c r="G64" i="6"/>
  <c r="G72" i="6"/>
  <c r="G80" i="6"/>
  <c r="G88" i="6"/>
  <c r="G96" i="6"/>
  <c r="G104" i="6"/>
  <c r="G112" i="6"/>
  <c r="G120" i="6"/>
  <c r="G128" i="6"/>
  <c r="G136" i="6"/>
  <c r="G144" i="6"/>
  <c r="G152" i="6"/>
  <c r="G160" i="6"/>
  <c r="G168" i="6"/>
  <c r="G176" i="6"/>
  <c r="G184" i="6"/>
  <c r="G192" i="6"/>
  <c r="G200" i="6"/>
  <c r="G208" i="6"/>
  <c r="G216" i="6"/>
  <c r="G224" i="6"/>
  <c r="G232" i="6"/>
  <c r="G240" i="6"/>
  <c r="G248" i="6"/>
  <c r="G256" i="6"/>
  <c r="G264" i="6"/>
  <c r="G272" i="6"/>
  <c r="G280" i="6"/>
  <c r="G288" i="6"/>
  <c r="G296" i="6"/>
  <c r="G304" i="6"/>
  <c r="G312" i="6"/>
  <c r="G320" i="6"/>
  <c r="G328" i="6"/>
  <c r="G336" i="6"/>
  <c r="G344" i="6"/>
  <c r="G352" i="6"/>
  <c r="G360" i="6"/>
  <c r="G368" i="6"/>
  <c r="G376" i="6"/>
  <c r="G384" i="6"/>
  <c r="G392" i="6"/>
  <c r="G400" i="6"/>
  <c r="G408" i="6"/>
  <c r="G416" i="6"/>
  <c r="G424" i="6"/>
  <c r="G432" i="6"/>
  <c r="G440" i="6"/>
  <c r="G448" i="6"/>
  <c r="G456" i="6"/>
  <c r="G464" i="6"/>
  <c r="G472" i="6"/>
  <c r="G480" i="6"/>
  <c r="G9" i="6"/>
  <c r="G17" i="6"/>
  <c r="G25" i="6"/>
  <c r="G33" i="6"/>
  <c r="G41" i="6"/>
  <c r="G49" i="6"/>
  <c r="G57" i="6"/>
  <c r="G65" i="6"/>
  <c r="G73" i="6"/>
  <c r="G81" i="6"/>
  <c r="G89" i="6"/>
  <c r="G97" i="6"/>
  <c r="G105" i="6"/>
  <c r="G113" i="6"/>
  <c r="G121" i="6"/>
  <c r="G129" i="6"/>
  <c r="G137" i="6"/>
  <c r="G145" i="6"/>
  <c r="G153" i="6"/>
  <c r="G161" i="6"/>
  <c r="G169" i="6"/>
  <c r="G177" i="6"/>
  <c r="G185" i="6"/>
  <c r="G193" i="6"/>
  <c r="G201" i="6"/>
  <c r="G209" i="6"/>
  <c r="G217" i="6"/>
  <c r="G225" i="6"/>
  <c r="G233" i="6"/>
  <c r="G241" i="6"/>
  <c r="G249" i="6"/>
  <c r="G257" i="6"/>
  <c r="G265" i="6"/>
  <c r="G273" i="6"/>
  <c r="G281" i="6"/>
  <c r="G289" i="6"/>
  <c r="G297" i="6"/>
  <c r="G305" i="6"/>
  <c r="G313" i="6"/>
  <c r="G321" i="6"/>
  <c r="G329" i="6"/>
  <c r="G337" i="6"/>
  <c r="G345" i="6"/>
  <c r="G353" i="6"/>
  <c r="G361" i="6"/>
  <c r="G369" i="6"/>
  <c r="G377" i="6"/>
  <c r="G385" i="6"/>
  <c r="G393" i="6"/>
  <c r="G401" i="6"/>
  <c r="G409" i="6"/>
  <c r="G417" i="6"/>
  <c r="G425" i="6"/>
  <c r="G433" i="6"/>
  <c r="G441" i="6"/>
  <c r="G449" i="6"/>
  <c r="G457" i="6"/>
  <c r="G465" i="6"/>
  <c r="G473" i="6"/>
  <c r="G481" i="6"/>
  <c r="G489" i="6"/>
  <c r="G497" i="6"/>
  <c r="G492" i="6"/>
  <c r="J12" i="1"/>
  <c r="I12" i="1"/>
  <c r="J11" i="1"/>
  <c r="I11" i="1"/>
  <c r="J15" i="1"/>
  <c r="I15" i="1"/>
  <c r="J14" i="1"/>
  <c r="I14" i="1"/>
  <c r="J13" i="1"/>
  <c r="I13" i="1"/>
  <c r="F501" i="6"/>
  <c r="E501" i="6"/>
  <c r="D501" i="6"/>
  <c r="C501" i="6"/>
  <c r="F500" i="6"/>
  <c r="E500" i="6"/>
  <c r="D500" i="6"/>
  <c r="C500" i="6"/>
  <c r="F499" i="6"/>
  <c r="E499" i="6"/>
  <c r="D499" i="6"/>
  <c r="C499" i="6"/>
  <c r="F498" i="6"/>
  <c r="E498" i="6"/>
  <c r="D498" i="6"/>
  <c r="C498" i="6"/>
  <c r="F497" i="6"/>
  <c r="E497" i="6"/>
  <c r="D497" i="6"/>
  <c r="C497" i="6"/>
  <c r="F496" i="6"/>
  <c r="E496" i="6"/>
  <c r="D496" i="6"/>
  <c r="C496" i="6"/>
  <c r="F495" i="6"/>
  <c r="E495" i="6"/>
  <c r="D495" i="6"/>
  <c r="C495" i="6"/>
  <c r="F494" i="6"/>
  <c r="E494" i="6"/>
  <c r="D494" i="6"/>
  <c r="C494" i="6"/>
  <c r="F493" i="6"/>
  <c r="E493" i="6"/>
  <c r="D493" i="6"/>
  <c r="C493" i="6"/>
  <c r="F492" i="6"/>
  <c r="E492" i="6"/>
  <c r="D492" i="6"/>
  <c r="C492" i="6"/>
  <c r="F491" i="6"/>
  <c r="E491" i="6"/>
  <c r="D491" i="6"/>
  <c r="C491" i="6"/>
  <c r="F490" i="6"/>
  <c r="E490" i="6"/>
  <c r="D490" i="6"/>
  <c r="C490" i="6"/>
  <c r="F489" i="6"/>
  <c r="E489" i="6"/>
  <c r="D489" i="6"/>
  <c r="C489" i="6"/>
  <c r="F488" i="6"/>
  <c r="E488" i="6"/>
  <c r="D488" i="6"/>
  <c r="C488" i="6"/>
  <c r="F487" i="6"/>
  <c r="E487" i="6"/>
  <c r="D487" i="6"/>
  <c r="C487" i="6"/>
  <c r="F486" i="6"/>
  <c r="E486" i="6"/>
  <c r="D486" i="6"/>
  <c r="C486" i="6"/>
  <c r="F485" i="6"/>
  <c r="E485" i="6"/>
  <c r="D485" i="6"/>
  <c r="C485" i="6"/>
  <c r="F484" i="6"/>
  <c r="E484" i="6"/>
  <c r="D484" i="6"/>
  <c r="C484" i="6"/>
  <c r="F483" i="6"/>
  <c r="E483" i="6"/>
  <c r="D483" i="6"/>
  <c r="C483" i="6"/>
  <c r="F482" i="6"/>
  <c r="E482" i="6"/>
  <c r="D482" i="6"/>
  <c r="C482" i="6"/>
  <c r="F481" i="6"/>
  <c r="E481" i="6"/>
  <c r="D481" i="6"/>
  <c r="C481" i="6"/>
  <c r="F480" i="6"/>
  <c r="E480" i="6"/>
  <c r="D480" i="6"/>
  <c r="C480" i="6"/>
  <c r="F479" i="6"/>
  <c r="E479" i="6"/>
  <c r="D479" i="6"/>
  <c r="C479" i="6"/>
  <c r="F478" i="6"/>
  <c r="E478" i="6"/>
  <c r="D478" i="6"/>
  <c r="C478" i="6"/>
  <c r="F477" i="6"/>
  <c r="E477" i="6"/>
  <c r="D477" i="6"/>
  <c r="C477" i="6"/>
  <c r="F476" i="6"/>
  <c r="E476" i="6"/>
  <c r="D476" i="6"/>
  <c r="C476" i="6"/>
  <c r="F475" i="6"/>
  <c r="E475" i="6"/>
  <c r="D475" i="6"/>
  <c r="C475" i="6"/>
  <c r="F474" i="6"/>
  <c r="E474" i="6"/>
  <c r="D474" i="6"/>
  <c r="C474" i="6"/>
  <c r="F473" i="6"/>
  <c r="E473" i="6"/>
  <c r="D473" i="6"/>
  <c r="C473" i="6"/>
  <c r="F472" i="6"/>
  <c r="E472" i="6"/>
  <c r="D472" i="6"/>
  <c r="C472" i="6"/>
  <c r="F471" i="6"/>
  <c r="E471" i="6"/>
  <c r="D471" i="6"/>
  <c r="C471" i="6"/>
  <c r="F470" i="6"/>
  <c r="E470" i="6"/>
  <c r="D470" i="6"/>
  <c r="C470" i="6"/>
  <c r="F469" i="6"/>
  <c r="E469" i="6"/>
  <c r="D469" i="6"/>
  <c r="C469" i="6"/>
  <c r="F468" i="6"/>
  <c r="E468" i="6"/>
  <c r="D468" i="6"/>
  <c r="C468" i="6"/>
  <c r="F467" i="6"/>
  <c r="E467" i="6"/>
  <c r="D467" i="6"/>
  <c r="C467" i="6"/>
  <c r="F466" i="6"/>
  <c r="E466" i="6"/>
  <c r="D466" i="6"/>
  <c r="C466" i="6"/>
  <c r="F465" i="6"/>
  <c r="E465" i="6"/>
  <c r="D465" i="6"/>
  <c r="C465" i="6"/>
  <c r="F464" i="6"/>
  <c r="E464" i="6"/>
  <c r="D464" i="6"/>
  <c r="C464" i="6"/>
  <c r="F463" i="6"/>
  <c r="E463" i="6"/>
  <c r="D463" i="6"/>
  <c r="C463" i="6"/>
  <c r="F462" i="6"/>
  <c r="E462" i="6"/>
  <c r="D462" i="6"/>
  <c r="C462" i="6"/>
  <c r="F461" i="6"/>
  <c r="E461" i="6"/>
  <c r="D461" i="6"/>
  <c r="C461" i="6"/>
  <c r="F460" i="6"/>
  <c r="E460" i="6"/>
  <c r="D460" i="6"/>
  <c r="C460" i="6"/>
  <c r="F459" i="6"/>
  <c r="E459" i="6"/>
  <c r="D459" i="6"/>
  <c r="C459" i="6"/>
  <c r="F458" i="6"/>
  <c r="E458" i="6"/>
  <c r="D458" i="6"/>
  <c r="C458" i="6"/>
  <c r="F457" i="6"/>
  <c r="E457" i="6"/>
  <c r="D457" i="6"/>
  <c r="C457" i="6"/>
  <c r="F456" i="6"/>
  <c r="E456" i="6"/>
  <c r="D456" i="6"/>
  <c r="C456" i="6"/>
  <c r="F455" i="6"/>
  <c r="E455" i="6"/>
  <c r="D455" i="6"/>
  <c r="C455" i="6"/>
  <c r="F454" i="6"/>
  <c r="E454" i="6"/>
  <c r="D454" i="6"/>
  <c r="C454" i="6"/>
  <c r="F453" i="6"/>
  <c r="E453" i="6"/>
  <c r="D453" i="6"/>
  <c r="C453" i="6"/>
  <c r="F452" i="6"/>
  <c r="E452" i="6"/>
  <c r="D452" i="6"/>
  <c r="C452" i="6"/>
  <c r="F451" i="6"/>
  <c r="E451" i="6"/>
  <c r="D451" i="6"/>
  <c r="C451" i="6"/>
  <c r="F450" i="6"/>
  <c r="E450" i="6"/>
  <c r="D450" i="6"/>
  <c r="C450" i="6"/>
  <c r="F449" i="6"/>
  <c r="E449" i="6"/>
  <c r="D449" i="6"/>
  <c r="C449" i="6"/>
  <c r="F448" i="6"/>
  <c r="E448" i="6"/>
  <c r="D448" i="6"/>
  <c r="C448" i="6"/>
  <c r="F447" i="6"/>
  <c r="E447" i="6"/>
  <c r="D447" i="6"/>
  <c r="C447" i="6"/>
  <c r="F446" i="6"/>
  <c r="E446" i="6"/>
  <c r="D446" i="6"/>
  <c r="C446" i="6"/>
  <c r="F445" i="6"/>
  <c r="E445" i="6"/>
  <c r="D445" i="6"/>
  <c r="C445" i="6"/>
  <c r="F444" i="6"/>
  <c r="E444" i="6"/>
  <c r="D444" i="6"/>
  <c r="C444" i="6"/>
  <c r="F443" i="6"/>
  <c r="E443" i="6"/>
  <c r="D443" i="6"/>
  <c r="C443" i="6"/>
  <c r="F442" i="6"/>
  <c r="E442" i="6"/>
  <c r="D442" i="6"/>
  <c r="C442" i="6"/>
  <c r="F441" i="6"/>
  <c r="E441" i="6"/>
  <c r="D441" i="6"/>
  <c r="C441" i="6"/>
  <c r="F440" i="6"/>
  <c r="E440" i="6"/>
  <c r="D440" i="6"/>
  <c r="C440" i="6"/>
  <c r="F439" i="6"/>
  <c r="E439" i="6"/>
  <c r="D439" i="6"/>
  <c r="C439" i="6"/>
  <c r="F438" i="6"/>
  <c r="E438" i="6"/>
  <c r="D438" i="6"/>
  <c r="C438" i="6"/>
  <c r="F437" i="6"/>
  <c r="E437" i="6"/>
  <c r="D437" i="6"/>
  <c r="C437" i="6"/>
  <c r="F436" i="6"/>
  <c r="E436" i="6"/>
  <c r="D436" i="6"/>
  <c r="C436" i="6"/>
  <c r="F435" i="6"/>
  <c r="E435" i="6"/>
  <c r="D435" i="6"/>
  <c r="C435" i="6"/>
  <c r="F434" i="6"/>
  <c r="E434" i="6"/>
  <c r="D434" i="6"/>
  <c r="C434" i="6"/>
  <c r="F433" i="6"/>
  <c r="E433" i="6"/>
  <c r="D433" i="6"/>
  <c r="C433" i="6"/>
  <c r="F432" i="6"/>
  <c r="E432" i="6"/>
  <c r="D432" i="6"/>
  <c r="C432" i="6"/>
  <c r="F431" i="6"/>
  <c r="E431" i="6"/>
  <c r="D431" i="6"/>
  <c r="C431" i="6"/>
  <c r="F430" i="6"/>
  <c r="E430" i="6"/>
  <c r="D430" i="6"/>
  <c r="C430" i="6"/>
  <c r="F429" i="6"/>
  <c r="E429" i="6"/>
  <c r="D429" i="6"/>
  <c r="C429" i="6"/>
  <c r="F428" i="6"/>
  <c r="E428" i="6"/>
  <c r="D428" i="6"/>
  <c r="C428" i="6"/>
  <c r="F427" i="6"/>
  <c r="E427" i="6"/>
  <c r="D427" i="6"/>
  <c r="C427" i="6"/>
  <c r="F426" i="6"/>
  <c r="E426" i="6"/>
  <c r="D426" i="6"/>
  <c r="C426" i="6"/>
  <c r="F425" i="6"/>
  <c r="E425" i="6"/>
  <c r="D425" i="6"/>
  <c r="C425" i="6"/>
  <c r="F424" i="6"/>
  <c r="E424" i="6"/>
  <c r="D424" i="6"/>
  <c r="C424" i="6"/>
  <c r="F423" i="6"/>
  <c r="E423" i="6"/>
  <c r="D423" i="6"/>
  <c r="C423" i="6"/>
  <c r="F422" i="6"/>
  <c r="E422" i="6"/>
  <c r="D422" i="6"/>
  <c r="C422" i="6"/>
  <c r="F421" i="6"/>
  <c r="E421" i="6"/>
  <c r="D421" i="6"/>
  <c r="C421" i="6"/>
  <c r="F420" i="6"/>
  <c r="E420" i="6"/>
  <c r="D420" i="6"/>
  <c r="C420" i="6"/>
  <c r="F419" i="6"/>
  <c r="E419" i="6"/>
  <c r="D419" i="6"/>
  <c r="C419" i="6"/>
  <c r="F418" i="6"/>
  <c r="E418" i="6"/>
  <c r="D418" i="6"/>
  <c r="C418" i="6"/>
  <c r="F417" i="6"/>
  <c r="E417" i="6"/>
  <c r="D417" i="6"/>
  <c r="C417" i="6"/>
  <c r="F416" i="6"/>
  <c r="E416" i="6"/>
  <c r="D416" i="6"/>
  <c r="C416" i="6"/>
  <c r="F415" i="6"/>
  <c r="E415" i="6"/>
  <c r="D415" i="6"/>
  <c r="C415" i="6"/>
  <c r="F414" i="6"/>
  <c r="E414" i="6"/>
  <c r="D414" i="6"/>
  <c r="C414" i="6"/>
  <c r="F413" i="6"/>
  <c r="E413" i="6"/>
  <c r="D413" i="6"/>
  <c r="C413" i="6"/>
  <c r="F412" i="6"/>
  <c r="E412" i="6"/>
  <c r="D412" i="6"/>
  <c r="C412" i="6"/>
  <c r="F411" i="6"/>
  <c r="E411" i="6"/>
  <c r="D411" i="6"/>
  <c r="C411" i="6"/>
  <c r="F410" i="6"/>
  <c r="E410" i="6"/>
  <c r="D410" i="6"/>
  <c r="C410" i="6"/>
  <c r="F409" i="6"/>
  <c r="E409" i="6"/>
  <c r="D409" i="6"/>
  <c r="C409" i="6"/>
  <c r="F408" i="6"/>
  <c r="E408" i="6"/>
  <c r="D408" i="6"/>
  <c r="C408" i="6"/>
  <c r="F407" i="6"/>
  <c r="E407" i="6"/>
  <c r="D407" i="6"/>
  <c r="C407" i="6"/>
  <c r="F406" i="6"/>
  <c r="E406" i="6"/>
  <c r="D406" i="6"/>
  <c r="C406" i="6"/>
  <c r="F405" i="6"/>
  <c r="E405" i="6"/>
  <c r="D405" i="6"/>
  <c r="C405" i="6"/>
  <c r="F404" i="6"/>
  <c r="E404" i="6"/>
  <c r="D404" i="6"/>
  <c r="C404" i="6"/>
  <c r="F403" i="6"/>
  <c r="E403" i="6"/>
  <c r="D403" i="6"/>
  <c r="C403" i="6"/>
  <c r="F402" i="6"/>
  <c r="E402" i="6"/>
  <c r="D402" i="6"/>
  <c r="C402" i="6"/>
  <c r="F401" i="6"/>
  <c r="E401" i="6"/>
  <c r="D401" i="6"/>
  <c r="C401" i="6"/>
  <c r="F400" i="6"/>
  <c r="E400" i="6"/>
  <c r="D400" i="6"/>
  <c r="C400" i="6"/>
  <c r="F399" i="6"/>
  <c r="E399" i="6"/>
  <c r="D399" i="6"/>
  <c r="C399" i="6"/>
  <c r="F398" i="6"/>
  <c r="E398" i="6"/>
  <c r="D398" i="6"/>
  <c r="C398" i="6"/>
  <c r="F397" i="6"/>
  <c r="E397" i="6"/>
  <c r="D397" i="6"/>
  <c r="C397" i="6"/>
  <c r="F396" i="6"/>
  <c r="E396" i="6"/>
  <c r="D396" i="6"/>
  <c r="C396" i="6"/>
  <c r="F395" i="6"/>
  <c r="E395" i="6"/>
  <c r="D395" i="6"/>
  <c r="C395" i="6"/>
  <c r="F394" i="6"/>
  <c r="E394" i="6"/>
  <c r="D394" i="6"/>
  <c r="C394" i="6"/>
  <c r="F393" i="6"/>
  <c r="E393" i="6"/>
  <c r="D393" i="6"/>
  <c r="C393" i="6"/>
  <c r="F392" i="6"/>
  <c r="E392" i="6"/>
  <c r="D392" i="6"/>
  <c r="C392" i="6"/>
  <c r="F391" i="6"/>
  <c r="E391" i="6"/>
  <c r="D391" i="6"/>
  <c r="C391" i="6"/>
  <c r="F390" i="6"/>
  <c r="E390" i="6"/>
  <c r="D390" i="6"/>
  <c r="C390" i="6"/>
  <c r="F389" i="6"/>
  <c r="E389" i="6"/>
  <c r="D389" i="6"/>
  <c r="C389" i="6"/>
  <c r="F388" i="6"/>
  <c r="E388" i="6"/>
  <c r="D388" i="6"/>
  <c r="C388" i="6"/>
  <c r="F387" i="6"/>
  <c r="E387" i="6"/>
  <c r="D387" i="6"/>
  <c r="C387" i="6"/>
  <c r="F386" i="6"/>
  <c r="E386" i="6"/>
  <c r="D386" i="6"/>
  <c r="C386" i="6"/>
  <c r="F385" i="6"/>
  <c r="E385" i="6"/>
  <c r="D385" i="6"/>
  <c r="C385" i="6"/>
  <c r="F384" i="6"/>
  <c r="E384" i="6"/>
  <c r="D384" i="6"/>
  <c r="C384" i="6"/>
  <c r="F383" i="6"/>
  <c r="E383" i="6"/>
  <c r="D383" i="6"/>
  <c r="C383" i="6"/>
  <c r="F382" i="6"/>
  <c r="E382" i="6"/>
  <c r="D382" i="6"/>
  <c r="C382" i="6"/>
  <c r="F381" i="6"/>
  <c r="E381" i="6"/>
  <c r="D381" i="6"/>
  <c r="C381" i="6"/>
  <c r="F380" i="6"/>
  <c r="E380" i="6"/>
  <c r="D380" i="6"/>
  <c r="C380" i="6"/>
  <c r="F379" i="6"/>
  <c r="E379" i="6"/>
  <c r="D379" i="6"/>
  <c r="C379" i="6"/>
  <c r="F378" i="6"/>
  <c r="E378" i="6"/>
  <c r="D378" i="6"/>
  <c r="C378" i="6"/>
  <c r="F377" i="6"/>
  <c r="E377" i="6"/>
  <c r="D377" i="6"/>
  <c r="C377" i="6"/>
  <c r="F376" i="6"/>
  <c r="E376" i="6"/>
  <c r="D376" i="6"/>
  <c r="C376" i="6"/>
  <c r="F375" i="6"/>
  <c r="E375" i="6"/>
  <c r="D375" i="6"/>
  <c r="C375" i="6"/>
  <c r="F374" i="6"/>
  <c r="E374" i="6"/>
  <c r="D374" i="6"/>
  <c r="C374" i="6"/>
  <c r="F373" i="6"/>
  <c r="E373" i="6"/>
  <c r="D373" i="6"/>
  <c r="C373" i="6"/>
  <c r="F372" i="6"/>
  <c r="E372" i="6"/>
  <c r="D372" i="6"/>
  <c r="C372" i="6"/>
  <c r="F371" i="6"/>
  <c r="E371" i="6"/>
  <c r="D371" i="6"/>
  <c r="C371" i="6"/>
  <c r="F370" i="6"/>
  <c r="E370" i="6"/>
  <c r="D370" i="6"/>
  <c r="C370" i="6"/>
  <c r="F369" i="6"/>
  <c r="E369" i="6"/>
  <c r="D369" i="6"/>
  <c r="C369" i="6"/>
  <c r="F368" i="6"/>
  <c r="E368" i="6"/>
  <c r="D368" i="6"/>
  <c r="C368" i="6"/>
  <c r="F367" i="6"/>
  <c r="E367" i="6"/>
  <c r="D367" i="6"/>
  <c r="C367" i="6"/>
  <c r="F366" i="6"/>
  <c r="E366" i="6"/>
  <c r="D366" i="6"/>
  <c r="C366" i="6"/>
  <c r="F365" i="6"/>
  <c r="E365" i="6"/>
  <c r="D365" i="6"/>
  <c r="C365" i="6"/>
  <c r="F364" i="6"/>
  <c r="E364" i="6"/>
  <c r="D364" i="6"/>
  <c r="C364" i="6"/>
  <c r="F363" i="6"/>
  <c r="E363" i="6"/>
  <c r="D363" i="6"/>
  <c r="C363" i="6"/>
  <c r="F362" i="6"/>
  <c r="E362" i="6"/>
  <c r="D362" i="6"/>
  <c r="C362" i="6"/>
  <c r="F361" i="6"/>
  <c r="E361" i="6"/>
  <c r="D361" i="6"/>
  <c r="C361" i="6"/>
  <c r="F360" i="6"/>
  <c r="E360" i="6"/>
  <c r="D360" i="6"/>
  <c r="C360" i="6"/>
  <c r="F359" i="6"/>
  <c r="E359" i="6"/>
  <c r="D359" i="6"/>
  <c r="C359" i="6"/>
  <c r="F358" i="6"/>
  <c r="E358" i="6"/>
  <c r="D358" i="6"/>
  <c r="C358" i="6"/>
  <c r="F357" i="6"/>
  <c r="E357" i="6"/>
  <c r="D357" i="6"/>
  <c r="C357" i="6"/>
  <c r="F356" i="6"/>
  <c r="E356" i="6"/>
  <c r="D356" i="6"/>
  <c r="C356" i="6"/>
  <c r="F355" i="6"/>
  <c r="E355" i="6"/>
  <c r="D355" i="6"/>
  <c r="C355" i="6"/>
  <c r="F354" i="6"/>
  <c r="E354" i="6"/>
  <c r="D354" i="6"/>
  <c r="C354" i="6"/>
  <c r="F353" i="6"/>
  <c r="E353" i="6"/>
  <c r="D353" i="6"/>
  <c r="C353" i="6"/>
  <c r="F352" i="6"/>
  <c r="E352" i="6"/>
  <c r="D352" i="6"/>
  <c r="C352" i="6"/>
  <c r="F351" i="6"/>
  <c r="E351" i="6"/>
  <c r="D351" i="6"/>
  <c r="C351" i="6"/>
  <c r="F350" i="6"/>
  <c r="E350" i="6"/>
  <c r="D350" i="6"/>
  <c r="C350" i="6"/>
  <c r="F349" i="6"/>
  <c r="E349" i="6"/>
  <c r="D349" i="6"/>
  <c r="C349" i="6"/>
  <c r="F348" i="6"/>
  <c r="E348" i="6"/>
  <c r="D348" i="6"/>
  <c r="C348" i="6"/>
  <c r="F347" i="6"/>
  <c r="E347" i="6"/>
  <c r="D347" i="6"/>
  <c r="C347" i="6"/>
  <c r="F346" i="6"/>
  <c r="E346" i="6"/>
  <c r="D346" i="6"/>
  <c r="C346" i="6"/>
  <c r="F345" i="6"/>
  <c r="E345" i="6"/>
  <c r="D345" i="6"/>
  <c r="C345" i="6"/>
  <c r="F344" i="6"/>
  <c r="E344" i="6"/>
  <c r="D344" i="6"/>
  <c r="C344" i="6"/>
  <c r="F343" i="6"/>
  <c r="E343" i="6"/>
  <c r="D343" i="6"/>
  <c r="C343" i="6"/>
  <c r="F342" i="6"/>
  <c r="E342" i="6"/>
  <c r="D342" i="6"/>
  <c r="C342" i="6"/>
  <c r="F341" i="6"/>
  <c r="E341" i="6"/>
  <c r="D341" i="6"/>
  <c r="C341" i="6"/>
  <c r="F340" i="6"/>
  <c r="E340" i="6"/>
  <c r="D340" i="6"/>
  <c r="C340" i="6"/>
  <c r="F339" i="6"/>
  <c r="E339" i="6"/>
  <c r="D339" i="6"/>
  <c r="C339" i="6"/>
  <c r="F338" i="6"/>
  <c r="E338" i="6"/>
  <c r="D338" i="6"/>
  <c r="C338" i="6"/>
  <c r="F337" i="6"/>
  <c r="E337" i="6"/>
  <c r="D337" i="6"/>
  <c r="C337" i="6"/>
  <c r="F336" i="6"/>
  <c r="E336" i="6"/>
  <c r="D336" i="6"/>
  <c r="C336" i="6"/>
  <c r="F335" i="6"/>
  <c r="E335" i="6"/>
  <c r="D335" i="6"/>
  <c r="C335" i="6"/>
  <c r="F334" i="6"/>
  <c r="E334" i="6"/>
  <c r="D334" i="6"/>
  <c r="C334" i="6"/>
  <c r="F333" i="6"/>
  <c r="E333" i="6"/>
  <c r="D333" i="6"/>
  <c r="C333" i="6"/>
  <c r="F332" i="6"/>
  <c r="E332" i="6"/>
  <c r="D332" i="6"/>
  <c r="C332" i="6"/>
  <c r="F331" i="6"/>
  <c r="E331" i="6"/>
  <c r="D331" i="6"/>
  <c r="C331" i="6"/>
  <c r="F330" i="6"/>
  <c r="E330" i="6"/>
  <c r="D330" i="6"/>
  <c r="C330" i="6"/>
  <c r="F329" i="6"/>
  <c r="E329" i="6"/>
  <c r="D329" i="6"/>
  <c r="C329" i="6"/>
  <c r="F328" i="6"/>
  <c r="E328" i="6"/>
  <c r="D328" i="6"/>
  <c r="C328" i="6"/>
  <c r="F327" i="6"/>
  <c r="E327" i="6"/>
  <c r="D327" i="6"/>
  <c r="C327" i="6"/>
  <c r="F326" i="6"/>
  <c r="E326" i="6"/>
  <c r="D326" i="6"/>
  <c r="C326" i="6"/>
  <c r="F325" i="6"/>
  <c r="E325" i="6"/>
  <c r="D325" i="6"/>
  <c r="C325" i="6"/>
  <c r="F324" i="6"/>
  <c r="E324" i="6"/>
  <c r="D324" i="6"/>
  <c r="C324" i="6"/>
  <c r="F323" i="6"/>
  <c r="E323" i="6"/>
  <c r="D323" i="6"/>
  <c r="C323" i="6"/>
  <c r="F322" i="6"/>
  <c r="E322" i="6"/>
  <c r="D322" i="6"/>
  <c r="C322" i="6"/>
  <c r="F321" i="6"/>
  <c r="E321" i="6"/>
  <c r="D321" i="6"/>
  <c r="C321" i="6"/>
  <c r="F320" i="6"/>
  <c r="E320" i="6"/>
  <c r="D320" i="6"/>
  <c r="C320" i="6"/>
  <c r="F319" i="6"/>
  <c r="E319" i="6"/>
  <c r="D319" i="6"/>
  <c r="C319" i="6"/>
  <c r="F318" i="6"/>
  <c r="E318" i="6"/>
  <c r="D318" i="6"/>
  <c r="C318" i="6"/>
  <c r="F317" i="6"/>
  <c r="E317" i="6"/>
  <c r="D317" i="6"/>
  <c r="C317" i="6"/>
  <c r="F316" i="6"/>
  <c r="E316" i="6"/>
  <c r="D316" i="6"/>
  <c r="C316" i="6"/>
  <c r="F315" i="6"/>
  <c r="E315" i="6"/>
  <c r="D315" i="6"/>
  <c r="C315" i="6"/>
  <c r="F314" i="6"/>
  <c r="E314" i="6"/>
  <c r="D314" i="6"/>
  <c r="C314" i="6"/>
  <c r="F313" i="6"/>
  <c r="E313" i="6"/>
  <c r="D313" i="6"/>
  <c r="C313" i="6"/>
  <c r="F312" i="6"/>
  <c r="E312" i="6"/>
  <c r="D312" i="6"/>
  <c r="C312" i="6"/>
  <c r="F311" i="6"/>
  <c r="E311" i="6"/>
  <c r="D311" i="6"/>
  <c r="C311" i="6"/>
  <c r="F310" i="6"/>
  <c r="E310" i="6"/>
  <c r="D310" i="6"/>
  <c r="C310" i="6"/>
  <c r="F309" i="6"/>
  <c r="E309" i="6"/>
  <c r="D309" i="6"/>
  <c r="C309" i="6"/>
  <c r="F308" i="6"/>
  <c r="E308" i="6"/>
  <c r="D308" i="6"/>
  <c r="C308" i="6"/>
  <c r="F307" i="6"/>
  <c r="E307" i="6"/>
  <c r="D307" i="6"/>
  <c r="C307" i="6"/>
  <c r="F306" i="6"/>
  <c r="E306" i="6"/>
  <c r="D306" i="6"/>
  <c r="C306" i="6"/>
  <c r="F305" i="6"/>
  <c r="E305" i="6"/>
  <c r="D305" i="6"/>
  <c r="C305" i="6"/>
  <c r="F304" i="6"/>
  <c r="E304" i="6"/>
  <c r="D304" i="6"/>
  <c r="C304" i="6"/>
  <c r="F303" i="6"/>
  <c r="E303" i="6"/>
  <c r="D303" i="6"/>
  <c r="C303" i="6"/>
  <c r="F302" i="6"/>
  <c r="E302" i="6"/>
  <c r="D302" i="6"/>
  <c r="C302" i="6"/>
  <c r="F301" i="6"/>
  <c r="E301" i="6"/>
  <c r="D301" i="6"/>
  <c r="C301" i="6"/>
  <c r="F300" i="6"/>
  <c r="E300" i="6"/>
  <c r="D300" i="6"/>
  <c r="C300" i="6"/>
  <c r="F299" i="6"/>
  <c r="E299" i="6"/>
  <c r="D299" i="6"/>
  <c r="C299" i="6"/>
  <c r="F298" i="6"/>
  <c r="E298" i="6"/>
  <c r="D298" i="6"/>
  <c r="C298" i="6"/>
  <c r="F297" i="6"/>
  <c r="E297" i="6"/>
  <c r="D297" i="6"/>
  <c r="C297" i="6"/>
  <c r="F296" i="6"/>
  <c r="E296" i="6"/>
  <c r="D296" i="6"/>
  <c r="C296" i="6"/>
  <c r="F295" i="6"/>
  <c r="E295" i="6"/>
  <c r="D295" i="6"/>
  <c r="C295" i="6"/>
  <c r="F294" i="6"/>
  <c r="E294" i="6"/>
  <c r="D294" i="6"/>
  <c r="C294" i="6"/>
  <c r="F293" i="6"/>
  <c r="E293" i="6"/>
  <c r="D293" i="6"/>
  <c r="C293" i="6"/>
  <c r="F292" i="6"/>
  <c r="E292" i="6"/>
  <c r="D292" i="6"/>
  <c r="C292" i="6"/>
  <c r="F291" i="6"/>
  <c r="E291" i="6"/>
  <c r="D291" i="6"/>
  <c r="C291" i="6"/>
  <c r="F290" i="6"/>
  <c r="E290" i="6"/>
  <c r="D290" i="6"/>
  <c r="C290" i="6"/>
  <c r="F289" i="6"/>
  <c r="E289" i="6"/>
  <c r="D289" i="6"/>
  <c r="C289" i="6"/>
  <c r="F288" i="6"/>
  <c r="E288" i="6"/>
  <c r="D288" i="6"/>
  <c r="C288" i="6"/>
  <c r="F287" i="6"/>
  <c r="E287" i="6"/>
  <c r="D287" i="6"/>
  <c r="C287" i="6"/>
  <c r="F286" i="6"/>
  <c r="E286" i="6"/>
  <c r="D286" i="6"/>
  <c r="C286" i="6"/>
  <c r="F285" i="6"/>
  <c r="E285" i="6"/>
  <c r="D285" i="6"/>
  <c r="C285" i="6"/>
  <c r="F284" i="6"/>
  <c r="E284" i="6"/>
  <c r="D284" i="6"/>
  <c r="C284" i="6"/>
  <c r="F283" i="6"/>
  <c r="E283" i="6"/>
  <c r="D283" i="6"/>
  <c r="C283" i="6"/>
  <c r="F282" i="6"/>
  <c r="E282" i="6"/>
  <c r="D282" i="6"/>
  <c r="C282" i="6"/>
  <c r="F281" i="6"/>
  <c r="E281" i="6"/>
  <c r="D281" i="6"/>
  <c r="C281" i="6"/>
  <c r="F280" i="6"/>
  <c r="E280" i="6"/>
  <c r="D280" i="6"/>
  <c r="C280" i="6"/>
  <c r="F279" i="6"/>
  <c r="E279" i="6"/>
  <c r="D279" i="6"/>
  <c r="C279" i="6"/>
  <c r="F278" i="6"/>
  <c r="E278" i="6"/>
  <c r="D278" i="6"/>
  <c r="C278" i="6"/>
  <c r="F277" i="6"/>
  <c r="E277" i="6"/>
  <c r="D277" i="6"/>
  <c r="C277" i="6"/>
  <c r="F276" i="6"/>
  <c r="E276" i="6"/>
  <c r="D276" i="6"/>
  <c r="C276" i="6"/>
  <c r="F275" i="6"/>
  <c r="E275" i="6"/>
  <c r="D275" i="6"/>
  <c r="C275" i="6"/>
  <c r="F274" i="6"/>
  <c r="E274" i="6"/>
  <c r="D274" i="6"/>
  <c r="C274" i="6"/>
  <c r="F273" i="6"/>
  <c r="E273" i="6"/>
  <c r="D273" i="6"/>
  <c r="C273" i="6"/>
  <c r="F272" i="6"/>
  <c r="E272" i="6"/>
  <c r="D272" i="6"/>
  <c r="C272" i="6"/>
  <c r="F271" i="6"/>
  <c r="E271" i="6"/>
  <c r="D271" i="6"/>
  <c r="C271" i="6"/>
  <c r="F270" i="6"/>
  <c r="E270" i="6"/>
  <c r="D270" i="6"/>
  <c r="C270" i="6"/>
  <c r="F269" i="6"/>
  <c r="E269" i="6"/>
  <c r="D269" i="6"/>
  <c r="C269" i="6"/>
  <c r="F268" i="6"/>
  <c r="E268" i="6"/>
  <c r="D268" i="6"/>
  <c r="C268" i="6"/>
  <c r="F267" i="6"/>
  <c r="E267" i="6"/>
  <c r="D267" i="6"/>
  <c r="C267" i="6"/>
  <c r="F266" i="6"/>
  <c r="E266" i="6"/>
  <c r="D266" i="6"/>
  <c r="C266" i="6"/>
  <c r="F265" i="6"/>
  <c r="E265" i="6"/>
  <c r="D265" i="6"/>
  <c r="C265" i="6"/>
  <c r="F264" i="6"/>
  <c r="E264" i="6"/>
  <c r="D264" i="6"/>
  <c r="C264" i="6"/>
  <c r="F263" i="6"/>
  <c r="E263" i="6"/>
  <c r="D263" i="6"/>
  <c r="C263" i="6"/>
  <c r="F262" i="6"/>
  <c r="E262" i="6"/>
  <c r="D262" i="6"/>
  <c r="C262" i="6"/>
  <c r="F261" i="6"/>
  <c r="E261" i="6"/>
  <c r="D261" i="6"/>
  <c r="C261" i="6"/>
  <c r="F260" i="6"/>
  <c r="E260" i="6"/>
  <c r="D260" i="6"/>
  <c r="C260" i="6"/>
  <c r="F259" i="6"/>
  <c r="E259" i="6"/>
  <c r="D259" i="6"/>
  <c r="C259" i="6"/>
  <c r="F258" i="6"/>
  <c r="E258" i="6"/>
  <c r="D258" i="6"/>
  <c r="C258" i="6"/>
  <c r="F257" i="6"/>
  <c r="E257" i="6"/>
  <c r="D257" i="6"/>
  <c r="C257" i="6"/>
  <c r="F256" i="6"/>
  <c r="E256" i="6"/>
  <c r="D256" i="6"/>
  <c r="C256" i="6"/>
  <c r="F255" i="6"/>
  <c r="E255" i="6"/>
  <c r="D255" i="6"/>
  <c r="C255" i="6"/>
  <c r="F254" i="6"/>
  <c r="E254" i="6"/>
  <c r="D254" i="6"/>
  <c r="C254" i="6"/>
  <c r="F253" i="6"/>
  <c r="E253" i="6"/>
  <c r="D253" i="6"/>
  <c r="C253" i="6"/>
  <c r="F252" i="6"/>
  <c r="E252" i="6"/>
  <c r="D252" i="6"/>
  <c r="C252" i="6"/>
  <c r="F251" i="6"/>
  <c r="E251" i="6"/>
  <c r="D251" i="6"/>
  <c r="C251" i="6"/>
  <c r="F250" i="6"/>
  <c r="E250" i="6"/>
  <c r="D250" i="6"/>
  <c r="C250" i="6"/>
  <c r="F249" i="6"/>
  <c r="E249" i="6"/>
  <c r="D249" i="6"/>
  <c r="C249" i="6"/>
  <c r="F248" i="6"/>
  <c r="E248" i="6"/>
  <c r="D248" i="6"/>
  <c r="C248" i="6"/>
  <c r="F247" i="6"/>
  <c r="E247" i="6"/>
  <c r="D247" i="6"/>
  <c r="C247" i="6"/>
  <c r="F246" i="6"/>
  <c r="E246" i="6"/>
  <c r="D246" i="6"/>
  <c r="C246" i="6"/>
  <c r="F245" i="6"/>
  <c r="E245" i="6"/>
  <c r="D245" i="6"/>
  <c r="C245" i="6"/>
  <c r="F244" i="6"/>
  <c r="E244" i="6"/>
  <c r="D244" i="6"/>
  <c r="C244" i="6"/>
  <c r="F243" i="6"/>
  <c r="E243" i="6"/>
  <c r="D243" i="6"/>
  <c r="C243" i="6"/>
  <c r="F242" i="6"/>
  <c r="E242" i="6"/>
  <c r="D242" i="6"/>
  <c r="C242" i="6"/>
  <c r="F241" i="6"/>
  <c r="E241" i="6"/>
  <c r="D241" i="6"/>
  <c r="C241" i="6"/>
  <c r="F240" i="6"/>
  <c r="E240" i="6"/>
  <c r="D240" i="6"/>
  <c r="C240" i="6"/>
  <c r="F239" i="6"/>
  <c r="E239" i="6"/>
  <c r="D239" i="6"/>
  <c r="C239" i="6"/>
  <c r="F238" i="6"/>
  <c r="E238" i="6"/>
  <c r="D238" i="6"/>
  <c r="C238" i="6"/>
  <c r="F237" i="6"/>
  <c r="E237" i="6"/>
  <c r="D237" i="6"/>
  <c r="C237" i="6"/>
  <c r="F236" i="6"/>
  <c r="E236" i="6"/>
  <c r="D236" i="6"/>
  <c r="C236" i="6"/>
  <c r="F235" i="6"/>
  <c r="E235" i="6"/>
  <c r="D235" i="6"/>
  <c r="C235" i="6"/>
  <c r="F234" i="6"/>
  <c r="E234" i="6"/>
  <c r="D234" i="6"/>
  <c r="C234" i="6"/>
  <c r="F233" i="6"/>
  <c r="E233" i="6"/>
  <c r="D233" i="6"/>
  <c r="C233" i="6"/>
  <c r="F232" i="6"/>
  <c r="E232" i="6"/>
  <c r="D232" i="6"/>
  <c r="C232" i="6"/>
  <c r="F231" i="6"/>
  <c r="E231" i="6"/>
  <c r="D231" i="6"/>
  <c r="C231" i="6"/>
  <c r="F230" i="6"/>
  <c r="E230" i="6"/>
  <c r="D230" i="6"/>
  <c r="C230" i="6"/>
  <c r="F229" i="6"/>
  <c r="E229" i="6"/>
  <c r="D229" i="6"/>
  <c r="C229" i="6"/>
  <c r="F228" i="6"/>
  <c r="E228" i="6"/>
  <c r="D228" i="6"/>
  <c r="C228" i="6"/>
  <c r="F227" i="6"/>
  <c r="E227" i="6"/>
  <c r="D227" i="6"/>
  <c r="C227" i="6"/>
  <c r="F226" i="6"/>
  <c r="E226" i="6"/>
  <c r="D226" i="6"/>
  <c r="C226" i="6"/>
  <c r="F225" i="6"/>
  <c r="E225" i="6"/>
  <c r="D225" i="6"/>
  <c r="C225" i="6"/>
  <c r="F224" i="6"/>
  <c r="E224" i="6"/>
  <c r="D224" i="6"/>
  <c r="C224" i="6"/>
  <c r="F223" i="6"/>
  <c r="E223" i="6"/>
  <c r="D223" i="6"/>
  <c r="C223" i="6"/>
  <c r="F222" i="6"/>
  <c r="E222" i="6"/>
  <c r="D222" i="6"/>
  <c r="C222" i="6"/>
  <c r="F221" i="6"/>
  <c r="E221" i="6"/>
  <c r="D221" i="6"/>
  <c r="C221" i="6"/>
  <c r="F220" i="6"/>
  <c r="E220" i="6"/>
  <c r="D220" i="6"/>
  <c r="C220" i="6"/>
  <c r="F219" i="6"/>
  <c r="E219" i="6"/>
  <c r="D219" i="6"/>
  <c r="C219" i="6"/>
  <c r="F218" i="6"/>
  <c r="E218" i="6"/>
  <c r="D218" i="6"/>
  <c r="C218" i="6"/>
  <c r="F217" i="6"/>
  <c r="E217" i="6"/>
  <c r="D217" i="6"/>
  <c r="C217" i="6"/>
  <c r="F216" i="6"/>
  <c r="E216" i="6"/>
  <c r="D216" i="6"/>
  <c r="C216" i="6"/>
  <c r="F215" i="6"/>
  <c r="E215" i="6"/>
  <c r="D215" i="6"/>
  <c r="C215" i="6"/>
  <c r="F214" i="6"/>
  <c r="E214" i="6"/>
  <c r="D214" i="6"/>
  <c r="C214" i="6"/>
  <c r="F213" i="6"/>
  <c r="E213" i="6"/>
  <c r="D213" i="6"/>
  <c r="C213" i="6"/>
  <c r="F212" i="6"/>
  <c r="E212" i="6"/>
  <c r="D212" i="6"/>
  <c r="C212" i="6"/>
  <c r="F211" i="6"/>
  <c r="E211" i="6"/>
  <c r="D211" i="6"/>
  <c r="C211" i="6"/>
  <c r="F210" i="6"/>
  <c r="E210" i="6"/>
  <c r="D210" i="6"/>
  <c r="C210" i="6"/>
  <c r="F209" i="6"/>
  <c r="E209" i="6"/>
  <c r="D209" i="6"/>
  <c r="C209" i="6"/>
  <c r="F208" i="6"/>
  <c r="E208" i="6"/>
  <c r="D208" i="6"/>
  <c r="C208" i="6"/>
  <c r="F207" i="6"/>
  <c r="E207" i="6"/>
  <c r="D207" i="6"/>
  <c r="C207" i="6"/>
  <c r="F206" i="6"/>
  <c r="E206" i="6"/>
  <c r="D206" i="6"/>
  <c r="C206" i="6"/>
  <c r="F205" i="6"/>
  <c r="E205" i="6"/>
  <c r="D205" i="6"/>
  <c r="C205" i="6"/>
  <c r="F204" i="6"/>
  <c r="E204" i="6"/>
  <c r="D204" i="6"/>
  <c r="C204" i="6"/>
  <c r="F203" i="6"/>
  <c r="E203" i="6"/>
  <c r="D203" i="6"/>
  <c r="C203" i="6"/>
  <c r="F202" i="6"/>
  <c r="E202" i="6"/>
  <c r="D202" i="6"/>
  <c r="C202" i="6"/>
  <c r="F201" i="6"/>
  <c r="E201" i="6"/>
  <c r="D201" i="6"/>
  <c r="C201" i="6"/>
  <c r="F200" i="6"/>
  <c r="E200" i="6"/>
  <c r="D200" i="6"/>
  <c r="C200" i="6"/>
  <c r="F199" i="6"/>
  <c r="E199" i="6"/>
  <c r="D199" i="6"/>
  <c r="C199" i="6"/>
  <c r="F198" i="6"/>
  <c r="E198" i="6"/>
  <c r="D198" i="6"/>
  <c r="C198" i="6"/>
  <c r="F197" i="6"/>
  <c r="E197" i="6"/>
  <c r="D197" i="6"/>
  <c r="C197" i="6"/>
  <c r="F196" i="6"/>
  <c r="E196" i="6"/>
  <c r="D196" i="6"/>
  <c r="C196" i="6"/>
  <c r="F195" i="6"/>
  <c r="E195" i="6"/>
  <c r="D195" i="6"/>
  <c r="C195" i="6"/>
  <c r="F194" i="6"/>
  <c r="E194" i="6"/>
  <c r="D194" i="6"/>
  <c r="C194" i="6"/>
  <c r="F193" i="6"/>
  <c r="E193" i="6"/>
  <c r="D193" i="6"/>
  <c r="C193" i="6"/>
  <c r="F192" i="6"/>
  <c r="E192" i="6"/>
  <c r="D192" i="6"/>
  <c r="C192" i="6"/>
  <c r="F191" i="6"/>
  <c r="E191" i="6"/>
  <c r="D191" i="6"/>
  <c r="C191" i="6"/>
  <c r="F190" i="6"/>
  <c r="E190" i="6"/>
  <c r="D190" i="6"/>
  <c r="C190" i="6"/>
  <c r="F189" i="6"/>
  <c r="E189" i="6"/>
  <c r="D189" i="6"/>
  <c r="C189" i="6"/>
  <c r="F188" i="6"/>
  <c r="E188" i="6"/>
  <c r="D188" i="6"/>
  <c r="C188" i="6"/>
  <c r="F187" i="6"/>
  <c r="E187" i="6"/>
  <c r="D187" i="6"/>
  <c r="C187" i="6"/>
  <c r="F186" i="6"/>
  <c r="E186" i="6"/>
  <c r="D186" i="6"/>
  <c r="C186" i="6"/>
  <c r="F185" i="6"/>
  <c r="E185" i="6"/>
  <c r="D185" i="6"/>
  <c r="C185" i="6"/>
  <c r="F184" i="6"/>
  <c r="E184" i="6"/>
  <c r="D184" i="6"/>
  <c r="C184" i="6"/>
  <c r="F183" i="6"/>
  <c r="E183" i="6"/>
  <c r="D183" i="6"/>
  <c r="C183" i="6"/>
  <c r="F182" i="6"/>
  <c r="E182" i="6"/>
  <c r="D182" i="6"/>
  <c r="C182" i="6"/>
  <c r="F181" i="6"/>
  <c r="E181" i="6"/>
  <c r="D181" i="6"/>
  <c r="C181" i="6"/>
  <c r="F180" i="6"/>
  <c r="E180" i="6"/>
  <c r="D180" i="6"/>
  <c r="C180" i="6"/>
  <c r="F179" i="6"/>
  <c r="E179" i="6"/>
  <c r="D179" i="6"/>
  <c r="C179" i="6"/>
  <c r="F178" i="6"/>
  <c r="E178" i="6"/>
  <c r="D178" i="6"/>
  <c r="C178" i="6"/>
  <c r="F177" i="6"/>
  <c r="E177" i="6"/>
  <c r="D177" i="6"/>
  <c r="C177" i="6"/>
  <c r="F176" i="6"/>
  <c r="E176" i="6"/>
  <c r="D176" i="6"/>
  <c r="C176" i="6"/>
  <c r="F175" i="6"/>
  <c r="E175" i="6"/>
  <c r="D175" i="6"/>
  <c r="C175" i="6"/>
  <c r="F174" i="6"/>
  <c r="E174" i="6"/>
  <c r="D174" i="6"/>
  <c r="C174" i="6"/>
  <c r="F173" i="6"/>
  <c r="E173" i="6"/>
  <c r="D173" i="6"/>
  <c r="C173" i="6"/>
  <c r="F172" i="6"/>
  <c r="E172" i="6"/>
  <c r="D172" i="6"/>
  <c r="C172" i="6"/>
  <c r="F171" i="6"/>
  <c r="E171" i="6"/>
  <c r="D171" i="6"/>
  <c r="C171" i="6"/>
  <c r="F170" i="6"/>
  <c r="E170" i="6"/>
  <c r="D170" i="6"/>
  <c r="C170" i="6"/>
  <c r="F169" i="6"/>
  <c r="E169" i="6"/>
  <c r="D169" i="6"/>
  <c r="C169" i="6"/>
  <c r="F168" i="6"/>
  <c r="E168" i="6"/>
  <c r="D168" i="6"/>
  <c r="C168" i="6"/>
  <c r="F167" i="6"/>
  <c r="E167" i="6"/>
  <c r="D167" i="6"/>
  <c r="C167" i="6"/>
  <c r="F166" i="6"/>
  <c r="E166" i="6"/>
  <c r="D166" i="6"/>
  <c r="C166" i="6"/>
  <c r="F165" i="6"/>
  <c r="E165" i="6"/>
  <c r="D165" i="6"/>
  <c r="C165" i="6"/>
  <c r="F164" i="6"/>
  <c r="E164" i="6"/>
  <c r="D164" i="6"/>
  <c r="C164" i="6"/>
  <c r="F163" i="6"/>
  <c r="E163" i="6"/>
  <c r="D163" i="6"/>
  <c r="C163" i="6"/>
  <c r="F162" i="6"/>
  <c r="E162" i="6"/>
  <c r="D162" i="6"/>
  <c r="C162" i="6"/>
  <c r="F161" i="6"/>
  <c r="E161" i="6"/>
  <c r="D161" i="6"/>
  <c r="C161" i="6"/>
  <c r="F160" i="6"/>
  <c r="E160" i="6"/>
  <c r="D160" i="6"/>
  <c r="C160" i="6"/>
  <c r="F159" i="6"/>
  <c r="E159" i="6"/>
  <c r="D159" i="6"/>
  <c r="C159" i="6"/>
  <c r="F158" i="6"/>
  <c r="E158" i="6"/>
  <c r="D158" i="6"/>
  <c r="C158" i="6"/>
  <c r="F157" i="6"/>
  <c r="E157" i="6"/>
  <c r="D157" i="6"/>
  <c r="C157" i="6"/>
  <c r="F156" i="6"/>
  <c r="E156" i="6"/>
  <c r="D156" i="6"/>
  <c r="C156" i="6"/>
  <c r="F155" i="6"/>
  <c r="E155" i="6"/>
  <c r="D155" i="6"/>
  <c r="C155" i="6"/>
  <c r="F154" i="6"/>
  <c r="E154" i="6"/>
  <c r="D154" i="6"/>
  <c r="C154" i="6"/>
  <c r="F153" i="6"/>
  <c r="E153" i="6"/>
  <c r="D153" i="6"/>
  <c r="C153" i="6"/>
  <c r="F152" i="6"/>
  <c r="E152" i="6"/>
  <c r="D152" i="6"/>
  <c r="C152" i="6"/>
  <c r="F151" i="6"/>
  <c r="E151" i="6"/>
  <c r="D151" i="6"/>
  <c r="C151" i="6"/>
  <c r="F150" i="6"/>
  <c r="E150" i="6"/>
  <c r="D150" i="6"/>
  <c r="C150" i="6"/>
  <c r="F149" i="6"/>
  <c r="E149" i="6"/>
  <c r="D149" i="6"/>
  <c r="C149" i="6"/>
  <c r="F148" i="6"/>
  <c r="E148" i="6"/>
  <c r="D148" i="6"/>
  <c r="C148" i="6"/>
  <c r="F147" i="6"/>
  <c r="E147" i="6"/>
  <c r="D147" i="6"/>
  <c r="C147" i="6"/>
  <c r="F146" i="6"/>
  <c r="E146" i="6"/>
  <c r="D146" i="6"/>
  <c r="C146" i="6"/>
  <c r="F145" i="6"/>
  <c r="E145" i="6"/>
  <c r="D145" i="6"/>
  <c r="C145" i="6"/>
  <c r="F144" i="6"/>
  <c r="E144" i="6"/>
  <c r="D144" i="6"/>
  <c r="C144" i="6"/>
  <c r="F143" i="6"/>
  <c r="E143" i="6"/>
  <c r="D143" i="6"/>
  <c r="C143" i="6"/>
  <c r="F142" i="6"/>
  <c r="E142" i="6"/>
  <c r="D142" i="6"/>
  <c r="C142" i="6"/>
  <c r="F141" i="6"/>
  <c r="E141" i="6"/>
  <c r="D141" i="6"/>
  <c r="C141" i="6"/>
  <c r="F140" i="6"/>
  <c r="E140" i="6"/>
  <c r="D140" i="6"/>
  <c r="C140" i="6"/>
  <c r="F139" i="6"/>
  <c r="E139" i="6"/>
  <c r="D139" i="6"/>
  <c r="C139" i="6"/>
  <c r="F138" i="6"/>
  <c r="E138" i="6"/>
  <c r="D138" i="6"/>
  <c r="C138" i="6"/>
  <c r="F137" i="6"/>
  <c r="E137" i="6"/>
  <c r="D137" i="6"/>
  <c r="C137" i="6"/>
  <c r="F136" i="6"/>
  <c r="E136" i="6"/>
  <c r="D136" i="6"/>
  <c r="C136" i="6"/>
  <c r="F135" i="6"/>
  <c r="E135" i="6"/>
  <c r="D135" i="6"/>
  <c r="C135" i="6"/>
  <c r="F134" i="6"/>
  <c r="E134" i="6"/>
  <c r="D134" i="6"/>
  <c r="C134" i="6"/>
  <c r="F133" i="6"/>
  <c r="E133" i="6"/>
  <c r="D133" i="6"/>
  <c r="C133" i="6"/>
  <c r="F132" i="6"/>
  <c r="E132" i="6"/>
  <c r="D132" i="6"/>
  <c r="C132" i="6"/>
  <c r="F131" i="6"/>
  <c r="E131" i="6"/>
  <c r="D131" i="6"/>
  <c r="C131" i="6"/>
  <c r="F130" i="6"/>
  <c r="E130" i="6"/>
  <c r="D130" i="6"/>
  <c r="C130" i="6"/>
  <c r="F129" i="6"/>
  <c r="E129" i="6"/>
  <c r="D129" i="6"/>
  <c r="C129" i="6"/>
  <c r="F128" i="6"/>
  <c r="E128" i="6"/>
  <c r="D128" i="6"/>
  <c r="C128" i="6"/>
  <c r="F127" i="6"/>
  <c r="E127" i="6"/>
  <c r="D127" i="6"/>
  <c r="C127" i="6"/>
  <c r="F126" i="6"/>
  <c r="E126" i="6"/>
  <c r="D126" i="6"/>
  <c r="C126" i="6"/>
  <c r="F125" i="6"/>
  <c r="E125" i="6"/>
  <c r="D125" i="6"/>
  <c r="C125" i="6"/>
  <c r="F124" i="6"/>
  <c r="E124" i="6"/>
  <c r="D124" i="6"/>
  <c r="C124" i="6"/>
  <c r="F123" i="6"/>
  <c r="E123" i="6"/>
  <c r="D123" i="6"/>
  <c r="C123" i="6"/>
  <c r="F122" i="6"/>
  <c r="E122" i="6"/>
  <c r="D122" i="6"/>
  <c r="C122" i="6"/>
  <c r="F121" i="6"/>
  <c r="E121" i="6"/>
  <c r="D121" i="6"/>
  <c r="C121" i="6"/>
  <c r="F120" i="6"/>
  <c r="E120" i="6"/>
  <c r="D120" i="6"/>
  <c r="C120" i="6"/>
  <c r="F119" i="6"/>
  <c r="E119" i="6"/>
  <c r="D119" i="6"/>
  <c r="C119" i="6"/>
  <c r="F118" i="6"/>
  <c r="E118" i="6"/>
  <c r="D118" i="6"/>
  <c r="C118" i="6"/>
  <c r="F117" i="6"/>
  <c r="E117" i="6"/>
  <c r="D117" i="6"/>
  <c r="C117" i="6"/>
  <c r="F116" i="6"/>
  <c r="E116" i="6"/>
  <c r="D116" i="6"/>
  <c r="C116" i="6"/>
  <c r="F115" i="6"/>
  <c r="E115" i="6"/>
  <c r="D115" i="6"/>
  <c r="C115" i="6"/>
  <c r="F114" i="6"/>
  <c r="E114" i="6"/>
  <c r="D114" i="6"/>
  <c r="C114" i="6"/>
  <c r="F113" i="6"/>
  <c r="E113" i="6"/>
  <c r="D113" i="6"/>
  <c r="C113" i="6"/>
  <c r="F112" i="6"/>
  <c r="E112" i="6"/>
  <c r="D112" i="6"/>
  <c r="C112" i="6"/>
  <c r="F111" i="6"/>
  <c r="E111" i="6"/>
  <c r="D111" i="6"/>
  <c r="C111" i="6"/>
  <c r="F110" i="6"/>
  <c r="E110" i="6"/>
  <c r="D110" i="6"/>
  <c r="C110" i="6"/>
  <c r="F109" i="6"/>
  <c r="E109" i="6"/>
  <c r="D109" i="6"/>
  <c r="C109" i="6"/>
  <c r="F108" i="6"/>
  <c r="E108" i="6"/>
  <c r="D108" i="6"/>
  <c r="C108" i="6"/>
  <c r="F107" i="6"/>
  <c r="E107" i="6"/>
  <c r="D107" i="6"/>
  <c r="C107" i="6"/>
  <c r="F106" i="6"/>
  <c r="E106" i="6"/>
  <c r="D106" i="6"/>
  <c r="C106" i="6"/>
  <c r="F105" i="6"/>
  <c r="E105" i="6"/>
  <c r="D105" i="6"/>
  <c r="C105" i="6"/>
  <c r="F104" i="6"/>
  <c r="E104" i="6"/>
  <c r="D104" i="6"/>
  <c r="C104" i="6"/>
  <c r="F103" i="6"/>
  <c r="E103" i="6"/>
  <c r="D103" i="6"/>
  <c r="C103" i="6"/>
  <c r="F102" i="6"/>
  <c r="E102" i="6"/>
  <c r="D102" i="6"/>
  <c r="C102" i="6"/>
  <c r="F101" i="6"/>
  <c r="E101" i="6"/>
  <c r="D101" i="6"/>
  <c r="C101" i="6"/>
  <c r="F100" i="6"/>
  <c r="E100" i="6"/>
  <c r="D100" i="6"/>
  <c r="C100" i="6"/>
  <c r="F99" i="6"/>
  <c r="E99" i="6"/>
  <c r="D99" i="6"/>
  <c r="C99" i="6"/>
  <c r="F98" i="6"/>
  <c r="E98" i="6"/>
  <c r="D98" i="6"/>
  <c r="C98" i="6"/>
  <c r="F97" i="6"/>
  <c r="E97" i="6"/>
  <c r="D97" i="6"/>
  <c r="C97" i="6"/>
  <c r="F96" i="6"/>
  <c r="E96" i="6"/>
  <c r="D96" i="6"/>
  <c r="C96" i="6"/>
  <c r="F95" i="6"/>
  <c r="E95" i="6"/>
  <c r="D95" i="6"/>
  <c r="C95" i="6"/>
  <c r="F94" i="6"/>
  <c r="E94" i="6"/>
  <c r="D94" i="6"/>
  <c r="C94" i="6"/>
  <c r="F93" i="6"/>
  <c r="E93" i="6"/>
  <c r="D93" i="6"/>
  <c r="C93" i="6"/>
  <c r="F92" i="6"/>
  <c r="E92" i="6"/>
  <c r="D92" i="6"/>
  <c r="C92" i="6"/>
  <c r="F91" i="6"/>
  <c r="E91" i="6"/>
  <c r="D91" i="6"/>
  <c r="C91" i="6"/>
  <c r="F90" i="6"/>
  <c r="E90" i="6"/>
  <c r="D90" i="6"/>
  <c r="C90" i="6"/>
  <c r="F89" i="6"/>
  <c r="E89" i="6"/>
  <c r="D89" i="6"/>
  <c r="C89" i="6"/>
  <c r="F88" i="6"/>
  <c r="E88" i="6"/>
  <c r="D88" i="6"/>
  <c r="C88" i="6"/>
  <c r="F87" i="6"/>
  <c r="E87" i="6"/>
  <c r="D87" i="6"/>
  <c r="C87" i="6"/>
  <c r="F86" i="6"/>
  <c r="E86" i="6"/>
  <c r="D86" i="6"/>
  <c r="C86" i="6"/>
  <c r="F85" i="6"/>
  <c r="E85" i="6"/>
  <c r="D85" i="6"/>
  <c r="C85" i="6"/>
  <c r="F84" i="6"/>
  <c r="E84" i="6"/>
  <c r="D84" i="6"/>
  <c r="C84" i="6"/>
  <c r="F83" i="6"/>
  <c r="E83" i="6"/>
  <c r="D83" i="6"/>
  <c r="C83" i="6"/>
  <c r="F82" i="6"/>
  <c r="E82" i="6"/>
  <c r="D82" i="6"/>
  <c r="C82" i="6"/>
  <c r="F81" i="6"/>
  <c r="E81" i="6"/>
  <c r="D81" i="6"/>
  <c r="C81" i="6"/>
  <c r="F80" i="6"/>
  <c r="E80" i="6"/>
  <c r="D80" i="6"/>
  <c r="C80" i="6"/>
  <c r="F79" i="6"/>
  <c r="E79" i="6"/>
  <c r="D79" i="6"/>
  <c r="C79" i="6"/>
  <c r="F78" i="6"/>
  <c r="E78" i="6"/>
  <c r="D78" i="6"/>
  <c r="C78" i="6"/>
  <c r="F77" i="6"/>
  <c r="E77" i="6"/>
  <c r="D77" i="6"/>
  <c r="C77" i="6"/>
  <c r="F76" i="6"/>
  <c r="E76" i="6"/>
  <c r="D76" i="6"/>
  <c r="C76" i="6"/>
  <c r="F75" i="6"/>
  <c r="E75" i="6"/>
  <c r="D75" i="6"/>
  <c r="C75" i="6"/>
  <c r="F74" i="6"/>
  <c r="E74" i="6"/>
  <c r="D74" i="6"/>
  <c r="C74" i="6"/>
  <c r="F73" i="6"/>
  <c r="E73" i="6"/>
  <c r="D73" i="6"/>
  <c r="C73" i="6"/>
  <c r="F72" i="6"/>
  <c r="E72" i="6"/>
  <c r="D72" i="6"/>
  <c r="C72" i="6"/>
  <c r="F71" i="6"/>
  <c r="E71" i="6"/>
  <c r="D71" i="6"/>
  <c r="C71" i="6"/>
  <c r="F70" i="6"/>
  <c r="E70" i="6"/>
  <c r="D70" i="6"/>
  <c r="C70" i="6"/>
  <c r="F69" i="6"/>
  <c r="E69" i="6"/>
  <c r="D69" i="6"/>
  <c r="C69" i="6"/>
  <c r="F68" i="6"/>
  <c r="E68" i="6"/>
  <c r="D68" i="6"/>
  <c r="C68" i="6"/>
  <c r="F67" i="6"/>
  <c r="E67" i="6"/>
  <c r="D67" i="6"/>
  <c r="C67" i="6"/>
  <c r="F66" i="6"/>
  <c r="E66" i="6"/>
  <c r="D66" i="6"/>
  <c r="C66" i="6"/>
  <c r="F65" i="6"/>
  <c r="E65" i="6"/>
  <c r="D65" i="6"/>
  <c r="C65" i="6"/>
  <c r="F64" i="6"/>
  <c r="E64" i="6"/>
  <c r="D64" i="6"/>
  <c r="C64" i="6"/>
  <c r="F63" i="6"/>
  <c r="E63" i="6"/>
  <c r="D63" i="6"/>
  <c r="C63" i="6"/>
  <c r="F62" i="6"/>
  <c r="E62" i="6"/>
  <c r="D62" i="6"/>
  <c r="C62" i="6"/>
  <c r="F61" i="6"/>
  <c r="E61" i="6"/>
  <c r="D61" i="6"/>
  <c r="C61" i="6"/>
  <c r="F60" i="6"/>
  <c r="E60" i="6"/>
  <c r="D60" i="6"/>
  <c r="C60" i="6"/>
  <c r="F59" i="6"/>
  <c r="E59" i="6"/>
  <c r="D59" i="6"/>
  <c r="C59" i="6"/>
  <c r="F58" i="6"/>
  <c r="E58" i="6"/>
  <c r="D58" i="6"/>
  <c r="C58" i="6"/>
  <c r="F57" i="6"/>
  <c r="E57" i="6"/>
  <c r="D57" i="6"/>
  <c r="C57" i="6"/>
  <c r="F56" i="6"/>
  <c r="E56" i="6"/>
  <c r="D56" i="6"/>
  <c r="C56" i="6"/>
  <c r="F55" i="6"/>
  <c r="E55" i="6"/>
  <c r="D55" i="6"/>
  <c r="C55" i="6"/>
  <c r="F54" i="6"/>
  <c r="E54" i="6"/>
  <c r="D54" i="6"/>
  <c r="C54" i="6"/>
  <c r="F53" i="6"/>
  <c r="E53" i="6"/>
  <c r="D53" i="6"/>
  <c r="C53" i="6"/>
  <c r="F52" i="6"/>
  <c r="E52" i="6"/>
  <c r="D52" i="6"/>
  <c r="C52" i="6"/>
  <c r="F51" i="6"/>
  <c r="E51" i="6"/>
  <c r="D51" i="6"/>
  <c r="C51" i="6"/>
  <c r="F50" i="6"/>
  <c r="E50" i="6"/>
  <c r="D50" i="6"/>
  <c r="C50" i="6"/>
  <c r="F49" i="6"/>
  <c r="E49" i="6"/>
  <c r="D49" i="6"/>
  <c r="C49" i="6"/>
  <c r="F48" i="6"/>
  <c r="E48" i="6"/>
  <c r="D48" i="6"/>
  <c r="C48" i="6"/>
  <c r="F47" i="6"/>
  <c r="E47" i="6"/>
  <c r="D47" i="6"/>
  <c r="C47" i="6"/>
  <c r="F46" i="6"/>
  <c r="E46" i="6"/>
  <c r="D46" i="6"/>
  <c r="C46" i="6"/>
  <c r="F45" i="6"/>
  <c r="E45" i="6"/>
  <c r="D45" i="6"/>
  <c r="C45" i="6"/>
  <c r="F44" i="6"/>
  <c r="E44" i="6"/>
  <c r="D44" i="6"/>
  <c r="C44" i="6"/>
  <c r="F43" i="6"/>
  <c r="E43" i="6"/>
  <c r="D43" i="6"/>
  <c r="C43" i="6"/>
  <c r="F42" i="6"/>
  <c r="E42" i="6"/>
  <c r="D42" i="6"/>
  <c r="C42" i="6"/>
  <c r="F41" i="6"/>
  <c r="E41" i="6"/>
  <c r="D41" i="6"/>
  <c r="C41" i="6"/>
  <c r="F40" i="6"/>
  <c r="E40" i="6"/>
  <c r="D40" i="6"/>
  <c r="C40" i="6"/>
  <c r="F39" i="6"/>
  <c r="E39" i="6"/>
  <c r="D39" i="6"/>
  <c r="C39" i="6"/>
  <c r="F38" i="6"/>
  <c r="E38" i="6"/>
  <c r="D38" i="6"/>
  <c r="C38" i="6"/>
  <c r="F37" i="6"/>
  <c r="E37" i="6"/>
  <c r="D37" i="6"/>
  <c r="C37" i="6"/>
  <c r="F36" i="6"/>
  <c r="E36" i="6"/>
  <c r="D36" i="6"/>
  <c r="C36" i="6"/>
  <c r="F35" i="6"/>
  <c r="E35" i="6"/>
  <c r="D35" i="6"/>
  <c r="C35" i="6"/>
  <c r="F34" i="6"/>
  <c r="E34" i="6"/>
  <c r="D34" i="6"/>
  <c r="C34" i="6"/>
  <c r="F33" i="6"/>
  <c r="E33" i="6"/>
  <c r="D33" i="6"/>
  <c r="C33" i="6"/>
  <c r="F32" i="6"/>
  <c r="E32" i="6"/>
  <c r="D32" i="6"/>
  <c r="C32" i="6"/>
  <c r="F31" i="6"/>
  <c r="E31" i="6"/>
  <c r="D31" i="6"/>
  <c r="C31" i="6"/>
  <c r="F30" i="6"/>
  <c r="E30" i="6"/>
  <c r="D30" i="6"/>
  <c r="C30" i="6"/>
  <c r="F29" i="6"/>
  <c r="E29" i="6"/>
  <c r="D29" i="6"/>
  <c r="C29" i="6"/>
  <c r="F28" i="6"/>
  <c r="E28" i="6"/>
  <c r="D28" i="6"/>
  <c r="C28" i="6"/>
  <c r="F27" i="6"/>
  <c r="E27" i="6"/>
  <c r="D27" i="6"/>
  <c r="C27" i="6"/>
  <c r="F26" i="6"/>
  <c r="E26" i="6"/>
  <c r="D26" i="6"/>
  <c r="C26" i="6"/>
  <c r="F25" i="6"/>
  <c r="E25" i="6"/>
  <c r="D25" i="6"/>
  <c r="C25" i="6"/>
  <c r="F24" i="6"/>
  <c r="E24" i="6"/>
  <c r="D24" i="6"/>
  <c r="C24" i="6"/>
  <c r="F23" i="6"/>
  <c r="E23" i="6"/>
  <c r="D23" i="6"/>
  <c r="C23" i="6"/>
  <c r="F22" i="6"/>
  <c r="E22" i="6"/>
  <c r="D22" i="6"/>
  <c r="C22" i="6"/>
  <c r="F21" i="6"/>
  <c r="E21" i="6"/>
  <c r="D21" i="6"/>
  <c r="C21" i="6"/>
  <c r="F20" i="6"/>
  <c r="E20" i="6"/>
  <c r="D20" i="6"/>
  <c r="C20" i="6"/>
  <c r="F19" i="6"/>
  <c r="E19" i="6"/>
  <c r="D19" i="6"/>
  <c r="C19" i="6"/>
  <c r="F18" i="6"/>
  <c r="E18" i="6"/>
  <c r="D18" i="6"/>
  <c r="C18" i="6"/>
  <c r="F17" i="6"/>
  <c r="E17" i="6"/>
  <c r="D17" i="6"/>
  <c r="C17" i="6"/>
  <c r="F16" i="6"/>
  <c r="E16" i="6"/>
  <c r="D16" i="6"/>
  <c r="C16" i="6"/>
  <c r="F15" i="6"/>
  <c r="E15" i="6"/>
  <c r="D15" i="6"/>
  <c r="C15" i="6"/>
  <c r="F14" i="6"/>
  <c r="E14" i="6"/>
  <c r="D14" i="6"/>
  <c r="C14" i="6"/>
  <c r="F13" i="6"/>
  <c r="E13" i="6"/>
  <c r="D13" i="6"/>
  <c r="C13" i="6"/>
  <c r="F12" i="6"/>
  <c r="E12" i="6"/>
  <c r="D12" i="6"/>
  <c r="C12" i="6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5" i="3"/>
  <c r="A4" i="3"/>
  <c r="A3" i="3"/>
  <c r="A2" i="3"/>
  <c r="J1001" i="1"/>
  <c r="K1001" i="1" s="1"/>
  <c r="A1001" i="1"/>
  <c r="J1000" i="1"/>
  <c r="K1000" i="1" s="1"/>
  <c r="A1000" i="1"/>
  <c r="J999" i="1"/>
  <c r="K999" i="1" s="1"/>
  <c r="A999" i="1"/>
  <c r="J998" i="1"/>
  <c r="K998" i="1" s="1"/>
  <c r="A998" i="1"/>
  <c r="J997" i="1"/>
  <c r="K997" i="1" s="1"/>
  <c r="A997" i="1"/>
  <c r="J996" i="1"/>
  <c r="K996" i="1" s="1"/>
  <c r="A996" i="1"/>
  <c r="J995" i="1"/>
  <c r="K995" i="1" s="1"/>
  <c r="A995" i="1"/>
  <c r="J994" i="1"/>
  <c r="K994" i="1" s="1"/>
  <c r="A994" i="1"/>
  <c r="J993" i="1"/>
  <c r="K993" i="1" s="1"/>
  <c r="A993" i="1"/>
  <c r="J992" i="1"/>
  <c r="K992" i="1" s="1"/>
  <c r="A992" i="1"/>
  <c r="J991" i="1"/>
  <c r="K991" i="1" s="1"/>
  <c r="A991" i="1"/>
  <c r="J990" i="1"/>
  <c r="K990" i="1" s="1"/>
  <c r="A990" i="1"/>
  <c r="J989" i="1"/>
  <c r="K989" i="1" s="1"/>
  <c r="A989" i="1"/>
  <c r="J988" i="1"/>
  <c r="K988" i="1" s="1"/>
  <c r="A988" i="1"/>
  <c r="J987" i="1"/>
  <c r="K987" i="1" s="1"/>
  <c r="A987" i="1"/>
  <c r="J986" i="1"/>
  <c r="K986" i="1" s="1"/>
  <c r="A986" i="1"/>
  <c r="J985" i="1"/>
  <c r="K985" i="1" s="1"/>
  <c r="A985" i="1"/>
  <c r="J984" i="1"/>
  <c r="K984" i="1" s="1"/>
  <c r="A984" i="1"/>
  <c r="J983" i="1"/>
  <c r="K983" i="1" s="1"/>
  <c r="A983" i="1"/>
  <c r="J982" i="1"/>
  <c r="K982" i="1" s="1"/>
  <c r="A982" i="1"/>
  <c r="J981" i="1"/>
  <c r="K981" i="1" s="1"/>
  <c r="A981" i="1"/>
  <c r="J980" i="1"/>
  <c r="K980" i="1" s="1"/>
  <c r="A980" i="1"/>
  <c r="J979" i="1"/>
  <c r="K979" i="1" s="1"/>
  <c r="A979" i="1"/>
  <c r="J978" i="1"/>
  <c r="K978" i="1" s="1"/>
  <c r="A978" i="1"/>
  <c r="J977" i="1"/>
  <c r="K977" i="1" s="1"/>
  <c r="A977" i="1"/>
  <c r="J976" i="1"/>
  <c r="K976" i="1" s="1"/>
  <c r="A976" i="1"/>
  <c r="J975" i="1"/>
  <c r="K975" i="1" s="1"/>
  <c r="A975" i="1"/>
  <c r="J974" i="1"/>
  <c r="K974" i="1" s="1"/>
  <c r="A974" i="1"/>
  <c r="J973" i="1"/>
  <c r="K973" i="1" s="1"/>
  <c r="A973" i="1"/>
  <c r="J972" i="1"/>
  <c r="K972" i="1" s="1"/>
  <c r="A972" i="1"/>
  <c r="J971" i="1"/>
  <c r="K971" i="1" s="1"/>
  <c r="A971" i="1"/>
  <c r="J970" i="1"/>
  <c r="K970" i="1" s="1"/>
  <c r="A970" i="1"/>
  <c r="J969" i="1"/>
  <c r="K969" i="1" s="1"/>
  <c r="A969" i="1"/>
  <c r="J968" i="1"/>
  <c r="K968" i="1" s="1"/>
  <c r="A968" i="1"/>
  <c r="J967" i="1"/>
  <c r="K967" i="1" s="1"/>
  <c r="A967" i="1"/>
  <c r="J966" i="1"/>
  <c r="K966" i="1" s="1"/>
  <c r="A966" i="1"/>
  <c r="J965" i="1"/>
  <c r="K965" i="1" s="1"/>
  <c r="A965" i="1"/>
  <c r="J964" i="1"/>
  <c r="K964" i="1" s="1"/>
  <c r="A964" i="1"/>
  <c r="J963" i="1"/>
  <c r="K963" i="1" s="1"/>
  <c r="A963" i="1"/>
  <c r="J962" i="1"/>
  <c r="K962" i="1" s="1"/>
  <c r="A962" i="1"/>
  <c r="J961" i="1"/>
  <c r="K961" i="1" s="1"/>
  <c r="A961" i="1"/>
  <c r="J960" i="1"/>
  <c r="K960" i="1" s="1"/>
  <c r="A960" i="1"/>
  <c r="J959" i="1"/>
  <c r="K959" i="1" s="1"/>
  <c r="A959" i="1"/>
  <c r="J958" i="1"/>
  <c r="K958" i="1" s="1"/>
  <c r="A958" i="1"/>
  <c r="J957" i="1"/>
  <c r="K957" i="1" s="1"/>
  <c r="A957" i="1"/>
  <c r="J956" i="1"/>
  <c r="K956" i="1" s="1"/>
  <c r="A956" i="1"/>
  <c r="J955" i="1"/>
  <c r="K955" i="1" s="1"/>
  <c r="A955" i="1"/>
  <c r="J954" i="1"/>
  <c r="K954" i="1" s="1"/>
  <c r="A954" i="1"/>
  <c r="J953" i="1"/>
  <c r="K953" i="1" s="1"/>
  <c r="A953" i="1"/>
  <c r="J952" i="1"/>
  <c r="K952" i="1" s="1"/>
  <c r="A952" i="1"/>
  <c r="J951" i="1"/>
  <c r="K951" i="1" s="1"/>
  <c r="A951" i="1"/>
  <c r="J950" i="1"/>
  <c r="K950" i="1" s="1"/>
  <c r="A950" i="1"/>
  <c r="J949" i="1"/>
  <c r="K949" i="1" s="1"/>
  <c r="A949" i="1"/>
  <c r="J948" i="1"/>
  <c r="K948" i="1" s="1"/>
  <c r="A948" i="1"/>
  <c r="J947" i="1"/>
  <c r="K947" i="1" s="1"/>
  <c r="A947" i="1"/>
  <c r="J946" i="1"/>
  <c r="K946" i="1" s="1"/>
  <c r="A946" i="1"/>
  <c r="J945" i="1"/>
  <c r="K945" i="1" s="1"/>
  <c r="A945" i="1"/>
  <c r="J944" i="1"/>
  <c r="K944" i="1" s="1"/>
  <c r="A944" i="1"/>
  <c r="J943" i="1"/>
  <c r="K943" i="1" s="1"/>
  <c r="A943" i="1"/>
  <c r="J942" i="1"/>
  <c r="K942" i="1" s="1"/>
  <c r="A942" i="1"/>
  <c r="J941" i="1"/>
  <c r="K941" i="1" s="1"/>
  <c r="A941" i="1"/>
  <c r="J940" i="1"/>
  <c r="K940" i="1" s="1"/>
  <c r="A940" i="1"/>
  <c r="J939" i="1"/>
  <c r="K939" i="1" s="1"/>
  <c r="A939" i="1"/>
  <c r="J938" i="1"/>
  <c r="K938" i="1" s="1"/>
  <c r="A938" i="1"/>
  <c r="J937" i="1"/>
  <c r="K937" i="1" s="1"/>
  <c r="A937" i="1"/>
  <c r="J936" i="1"/>
  <c r="K936" i="1" s="1"/>
  <c r="A936" i="1"/>
  <c r="J935" i="1"/>
  <c r="K935" i="1" s="1"/>
  <c r="A935" i="1"/>
  <c r="J934" i="1"/>
  <c r="K934" i="1" s="1"/>
  <c r="A934" i="1"/>
  <c r="J933" i="1"/>
  <c r="K933" i="1" s="1"/>
  <c r="A933" i="1"/>
  <c r="J932" i="1"/>
  <c r="K932" i="1" s="1"/>
  <c r="A932" i="1"/>
  <c r="J931" i="1"/>
  <c r="K931" i="1" s="1"/>
  <c r="A931" i="1"/>
  <c r="J930" i="1"/>
  <c r="K930" i="1" s="1"/>
  <c r="A930" i="1"/>
  <c r="J929" i="1"/>
  <c r="K929" i="1" s="1"/>
  <c r="A929" i="1"/>
  <c r="J928" i="1"/>
  <c r="K928" i="1" s="1"/>
  <c r="A928" i="1"/>
  <c r="J927" i="1"/>
  <c r="K927" i="1" s="1"/>
  <c r="A927" i="1"/>
  <c r="J926" i="1"/>
  <c r="K926" i="1" s="1"/>
  <c r="A926" i="1"/>
  <c r="J925" i="1"/>
  <c r="K925" i="1" s="1"/>
  <c r="A925" i="1"/>
  <c r="J924" i="1"/>
  <c r="K924" i="1" s="1"/>
  <c r="A924" i="1"/>
  <c r="J923" i="1"/>
  <c r="K923" i="1" s="1"/>
  <c r="A923" i="1"/>
  <c r="J922" i="1"/>
  <c r="K922" i="1" s="1"/>
  <c r="A922" i="1"/>
  <c r="J921" i="1"/>
  <c r="K921" i="1" s="1"/>
  <c r="A921" i="1"/>
  <c r="J920" i="1"/>
  <c r="K920" i="1" s="1"/>
  <c r="A920" i="1"/>
  <c r="J919" i="1"/>
  <c r="K919" i="1" s="1"/>
  <c r="A919" i="1"/>
  <c r="J918" i="1"/>
  <c r="K918" i="1" s="1"/>
  <c r="A918" i="1"/>
  <c r="J917" i="1"/>
  <c r="K917" i="1" s="1"/>
  <c r="A917" i="1"/>
  <c r="J916" i="1"/>
  <c r="K916" i="1" s="1"/>
  <c r="A916" i="1"/>
  <c r="J915" i="1"/>
  <c r="K915" i="1" s="1"/>
  <c r="A915" i="1"/>
  <c r="J914" i="1"/>
  <c r="K914" i="1" s="1"/>
  <c r="A914" i="1"/>
  <c r="J913" i="1"/>
  <c r="K913" i="1" s="1"/>
  <c r="A913" i="1"/>
  <c r="J912" i="1"/>
  <c r="K912" i="1" s="1"/>
  <c r="A912" i="1"/>
  <c r="J911" i="1"/>
  <c r="K911" i="1" s="1"/>
  <c r="A911" i="1"/>
  <c r="J910" i="1"/>
  <c r="K910" i="1" s="1"/>
  <c r="A910" i="1"/>
  <c r="J909" i="1"/>
  <c r="K909" i="1" s="1"/>
  <c r="A909" i="1"/>
  <c r="J908" i="1"/>
  <c r="K908" i="1" s="1"/>
  <c r="A908" i="1"/>
  <c r="J907" i="1"/>
  <c r="K907" i="1" s="1"/>
  <c r="A907" i="1"/>
  <c r="J906" i="1"/>
  <c r="K906" i="1" s="1"/>
  <c r="A906" i="1"/>
  <c r="J905" i="1"/>
  <c r="K905" i="1" s="1"/>
  <c r="A905" i="1"/>
  <c r="J904" i="1"/>
  <c r="K904" i="1" s="1"/>
  <c r="A904" i="1"/>
  <c r="J903" i="1"/>
  <c r="K903" i="1" s="1"/>
  <c r="A903" i="1"/>
  <c r="J902" i="1"/>
  <c r="K902" i="1" s="1"/>
  <c r="A902" i="1"/>
  <c r="J901" i="1"/>
  <c r="K901" i="1" s="1"/>
  <c r="A901" i="1"/>
  <c r="J900" i="1"/>
  <c r="K900" i="1" s="1"/>
  <c r="A900" i="1"/>
  <c r="J899" i="1"/>
  <c r="K899" i="1" s="1"/>
  <c r="A899" i="1"/>
  <c r="J898" i="1"/>
  <c r="K898" i="1" s="1"/>
  <c r="A898" i="1"/>
  <c r="J897" i="1"/>
  <c r="K897" i="1" s="1"/>
  <c r="A897" i="1"/>
  <c r="J896" i="1"/>
  <c r="K896" i="1" s="1"/>
  <c r="A896" i="1"/>
  <c r="J895" i="1"/>
  <c r="K895" i="1" s="1"/>
  <c r="A895" i="1"/>
  <c r="J894" i="1"/>
  <c r="K894" i="1" s="1"/>
  <c r="A894" i="1"/>
  <c r="J893" i="1"/>
  <c r="K893" i="1" s="1"/>
  <c r="A893" i="1"/>
  <c r="J892" i="1"/>
  <c r="K892" i="1" s="1"/>
  <c r="A892" i="1"/>
  <c r="J891" i="1"/>
  <c r="K891" i="1" s="1"/>
  <c r="A891" i="1"/>
  <c r="J890" i="1"/>
  <c r="K890" i="1" s="1"/>
  <c r="A890" i="1"/>
  <c r="J889" i="1"/>
  <c r="K889" i="1" s="1"/>
  <c r="A889" i="1"/>
  <c r="J888" i="1"/>
  <c r="K888" i="1" s="1"/>
  <c r="A888" i="1"/>
  <c r="J887" i="1"/>
  <c r="K887" i="1" s="1"/>
  <c r="A887" i="1"/>
  <c r="J886" i="1"/>
  <c r="K886" i="1" s="1"/>
  <c r="A886" i="1"/>
  <c r="J885" i="1"/>
  <c r="K885" i="1" s="1"/>
  <c r="A885" i="1"/>
  <c r="J884" i="1"/>
  <c r="K884" i="1" s="1"/>
  <c r="A884" i="1"/>
  <c r="J883" i="1"/>
  <c r="K883" i="1" s="1"/>
  <c r="A883" i="1"/>
  <c r="J882" i="1"/>
  <c r="K882" i="1" s="1"/>
  <c r="A882" i="1"/>
  <c r="J881" i="1"/>
  <c r="K881" i="1" s="1"/>
  <c r="A881" i="1"/>
  <c r="J880" i="1"/>
  <c r="K880" i="1" s="1"/>
  <c r="A880" i="1"/>
  <c r="J879" i="1"/>
  <c r="K879" i="1" s="1"/>
  <c r="A879" i="1"/>
  <c r="J878" i="1"/>
  <c r="K878" i="1" s="1"/>
  <c r="A878" i="1"/>
  <c r="J877" i="1"/>
  <c r="K877" i="1" s="1"/>
  <c r="A877" i="1"/>
  <c r="J876" i="1"/>
  <c r="K876" i="1" s="1"/>
  <c r="A876" i="1"/>
  <c r="J875" i="1"/>
  <c r="K875" i="1" s="1"/>
  <c r="A875" i="1"/>
  <c r="J874" i="1"/>
  <c r="K874" i="1" s="1"/>
  <c r="A874" i="1"/>
  <c r="J873" i="1"/>
  <c r="K873" i="1" s="1"/>
  <c r="A873" i="1"/>
  <c r="J872" i="1"/>
  <c r="K872" i="1" s="1"/>
  <c r="A872" i="1"/>
  <c r="J871" i="1"/>
  <c r="K871" i="1" s="1"/>
  <c r="A871" i="1"/>
  <c r="J870" i="1"/>
  <c r="K870" i="1" s="1"/>
  <c r="A870" i="1"/>
  <c r="J869" i="1"/>
  <c r="K869" i="1" s="1"/>
  <c r="A869" i="1"/>
  <c r="J868" i="1"/>
  <c r="K868" i="1" s="1"/>
  <c r="A868" i="1"/>
  <c r="J867" i="1"/>
  <c r="K867" i="1" s="1"/>
  <c r="A867" i="1"/>
  <c r="J866" i="1"/>
  <c r="K866" i="1" s="1"/>
  <c r="A866" i="1"/>
  <c r="J865" i="1"/>
  <c r="K865" i="1" s="1"/>
  <c r="A865" i="1"/>
  <c r="J864" i="1"/>
  <c r="K864" i="1" s="1"/>
  <c r="A864" i="1"/>
  <c r="J863" i="1"/>
  <c r="K863" i="1" s="1"/>
  <c r="A863" i="1"/>
  <c r="J862" i="1"/>
  <c r="K862" i="1" s="1"/>
  <c r="A862" i="1"/>
  <c r="J861" i="1"/>
  <c r="K861" i="1" s="1"/>
  <c r="A861" i="1"/>
  <c r="J860" i="1"/>
  <c r="K860" i="1" s="1"/>
  <c r="A860" i="1"/>
  <c r="J859" i="1"/>
  <c r="K859" i="1" s="1"/>
  <c r="A859" i="1"/>
  <c r="J858" i="1"/>
  <c r="K858" i="1" s="1"/>
  <c r="A858" i="1"/>
  <c r="J857" i="1"/>
  <c r="K857" i="1" s="1"/>
  <c r="A857" i="1"/>
  <c r="J856" i="1"/>
  <c r="K856" i="1" s="1"/>
  <c r="A856" i="1"/>
  <c r="J855" i="1"/>
  <c r="K855" i="1" s="1"/>
  <c r="A855" i="1"/>
  <c r="J854" i="1"/>
  <c r="K854" i="1" s="1"/>
  <c r="A854" i="1"/>
  <c r="J853" i="1"/>
  <c r="K853" i="1" s="1"/>
  <c r="A853" i="1"/>
  <c r="J852" i="1"/>
  <c r="K852" i="1" s="1"/>
  <c r="A852" i="1"/>
  <c r="J851" i="1"/>
  <c r="K851" i="1" s="1"/>
  <c r="A851" i="1"/>
  <c r="J850" i="1"/>
  <c r="K850" i="1" s="1"/>
  <c r="A850" i="1"/>
  <c r="J849" i="1"/>
  <c r="K849" i="1" s="1"/>
  <c r="A849" i="1"/>
  <c r="J848" i="1"/>
  <c r="K848" i="1" s="1"/>
  <c r="A848" i="1"/>
  <c r="J847" i="1"/>
  <c r="K847" i="1" s="1"/>
  <c r="A847" i="1"/>
  <c r="J846" i="1"/>
  <c r="K846" i="1" s="1"/>
  <c r="A846" i="1"/>
  <c r="J845" i="1"/>
  <c r="K845" i="1" s="1"/>
  <c r="A845" i="1"/>
  <c r="J844" i="1"/>
  <c r="K844" i="1" s="1"/>
  <c r="A844" i="1"/>
  <c r="J843" i="1"/>
  <c r="K843" i="1" s="1"/>
  <c r="A843" i="1"/>
  <c r="J842" i="1"/>
  <c r="K842" i="1" s="1"/>
  <c r="A842" i="1"/>
  <c r="J841" i="1"/>
  <c r="K841" i="1" s="1"/>
  <c r="A841" i="1"/>
  <c r="J840" i="1"/>
  <c r="K840" i="1" s="1"/>
  <c r="A840" i="1"/>
  <c r="J839" i="1"/>
  <c r="K839" i="1" s="1"/>
  <c r="A839" i="1"/>
  <c r="J838" i="1"/>
  <c r="K838" i="1" s="1"/>
  <c r="A838" i="1"/>
  <c r="J837" i="1"/>
  <c r="K837" i="1" s="1"/>
  <c r="A837" i="1"/>
  <c r="J836" i="1"/>
  <c r="K836" i="1" s="1"/>
  <c r="A836" i="1"/>
  <c r="J835" i="1"/>
  <c r="K835" i="1" s="1"/>
  <c r="A835" i="1"/>
  <c r="J834" i="1"/>
  <c r="K834" i="1" s="1"/>
  <c r="A834" i="1"/>
  <c r="J833" i="1"/>
  <c r="K833" i="1" s="1"/>
  <c r="A833" i="1"/>
  <c r="J832" i="1"/>
  <c r="K832" i="1" s="1"/>
  <c r="A832" i="1"/>
  <c r="J831" i="1"/>
  <c r="K831" i="1" s="1"/>
  <c r="A831" i="1"/>
  <c r="J830" i="1"/>
  <c r="K830" i="1" s="1"/>
  <c r="A830" i="1"/>
  <c r="J829" i="1"/>
  <c r="K829" i="1" s="1"/>
  <c r="A829" i="1"/>
  <c r="J828" i="1"/>
  <c r="K828" i="1" s="1"/>
  <c r="A828" i="1"/>
  <c r="J827" i="1"/>
  <c r="K827" i="1" s="1"/>
  <c r="A827" i="1"/>
  <c r="J826" i="1"/>
  <c r="K826" i="1" s="1"/>
  <c r="A826" i="1"/>
  <c r="J825" i="1"/>
  <c r="K825" i="1" s="1"/>
  <c r="A825" i="1"/>
  <c r="J824" i="1"/>
  <c r="K824" i="1" s="1"/>
  <c r="A824" i="1"/>
  <c r="J823" i="1"/>
  <c r="K823" i="1" s="1"/>
  <c r="A823" i="1"/>
  <c r="J822" i="1"/>
  <c r="K822" i="1" s="1"/>
  <c r="A822" i="1"/>
  <c r="J821" i="1"/>
  <c r="K821" i="1" s="1"/>
  <c r="A821" i="1"/>
  <c r="J820" i="1"/>
  <c r="K820" i="1" s="1"/>
  <c r="A820" i="1"/>
  <c r="J819" i="1"/>
  <c r="K819" i="1" s="1"/>
  <c r="A819" i="1"/>
  <c r="J818" i="1"/>
  <c r="K818" i="1" s="1"/>
  <c r="A818" i="1"/>
  <c r="J817" i="1"/>
  <c r="K817" i="1" s="1"/>
  <c r="A817" i="1"/>
  <c r="J816" i="1"/>
  <c r="K816" i="1" s="1"/>
  <c r="A816" i="1"/>
  <c r="J815" i="1"/>
  <c r="K815" i="1" s="1"/>
  <c r="A815" i="1"/>
  <c r="J814" i="1"/>
  <c r="K814" i="1" s="1"/>
  <c r="A814" i="1"/>
  <c r="J813" i="1"/>
  <c r="K813" i="1" s="1"/>
  <c r="A813" i="1"/>
  <c r="J812" i="1"/>
  <c r="K812" i="1" s="1"/>
  <c r="A812" i="1"/>
  <c r="J811" i="1"/>
  <c r="K811" i="1" s="1"/>
  <c r="A811" i="1"/>
  <c r="J810" i="1"/>
  <c r="K810" i="1" s="1"/>
  <c r="A810" i="1"/>
  <c r="J809" i="1"/>
  <c r="K809" i="1" s="1"/>
  <c r="A809" i="1"/>
  <c r="J808" i="1"/>
  <c r="K808" i="1" s="1"/>
  <c r="A808" i="1"/>
  <c r="J807" i="1"/>
  <c r="K807" i="1" s="1"/>
  <c r="A807" i="1"/>
  <c r="J806" i="1"/>
  <c r="K806" i="1" s="1"/>
  <c r="A806" i="1"/>
  <c r="J805" i="1"/>
  <c r="K805" i="1" s="1"/>
  <c r="A805" i="1"/>
  <c r="J804" i="1"/>
  <c r="K804" i="1" s="1"/>
  <c r="A804" i="1"/>
  <c r="J803" i="1"/>
  <c r="K803" i="1" s="1"/>
  <c r="A803" i="1"/>
  <c r="J802" i="1"/>
  <c r="K802" i="1" s="1"/>
  <c r="A802" i="1"/>
  <c r="J801" i="1"/>
  <c r="K801" i="1" s="1"/>
  <c r="A801" i="1"/>
  <c r="J800" i="1"/>
  <c r="K800" i="1" s="1"/>
  <c r="A800" i="1"/>
  <c r="J799" i="1"/>
  <c r="K799" i="1" s="1"/>
  <c r="A799" i="1"/>
  <c r="J798" i="1"/>
  <c r="K798" i="1" s="1"/>
  <c r="A798" i="1"/>
  <c r="J797" i="1"/>
  <c r="K797" i="1" s="1"/>
  <c r="A797" i="1"/>
  <c r="J796" i="1"/>
  <c r="K796" i="1" s="1"/>
  <c r="A796" i="1"/>
  <c r="J795" i="1"/>
  <c r="K795" i="1" s="1"/>
  <c r="A795" i="1"/>
  <c r="J794" i="1"/>
  <c r="K794" i="1" s="1"/>
  <c r="A794" i="1"/>
  <c r="J793" i="1"/>
  <c r="K793" i="1" s="1"/>
  <c r="A793" i="1"/>
  <c r="J792" i="1"/>
  <c r="K792" i="1" s="1"/>
  <c r="A792" i="1"/>
  <c r="J791" i="1"/>
  <c r="K791" i="1" s="1"/>
  <c r="A791" i="1"/>
  <c r="J790" i="1"/>
  <c r="K790" i="1" s="1"/>
  <c r="A790" i="1"/>
  <c r="J789" i="1"/>
  <c r="K789" i="1" s="1"/>
  <c r="A789" i="1"/>
  <c r="J788" i="1"/>
  <c r="K788" i="1" s="1"/>
  <c r="A788" i="1"/>
  <c r="J787" i="1"/>
  <c r="K787" i="1" s="1"/>
  <c r="A787" i="1"/>
  <c r="J786" i="1"/>
  <c r="K786" i="1" s="1"/>
  <c r="A786" i="1"/>
  <c r="J785" i="1"/>
  <c r="K785" i="1" s="1"/>
  <c r="A785" i="1"/>
  <c r="J784" i="1"/>
  <c r="K784" i="1" s="1"/>
  <c r="A784" i="1"/>
  <c r="J783" i="1"/>
  <c r="K783" i="1" s="1"/>
  <c r="A783" i="1"/>
  <c r="J782" i="1"/>
  <c r="K782" i="1" s="1"/>
  <c r="A782" i="1"/>
  <c r="J781" i="1"/>
  <c r="K781" i="1" s="1"/>
  <c r="A781" i="1"/>
  <c r="J780" i="1"/>
  <c r="K780" i="1" s="1"/>
  <c r="A780" i="1"/>
  <c r="J779" i="1"/>
  <c r="K779" i="1" s="1"/>
  <c r="A779" i="1"/>
  <c r="J778" i="1"/>
  <c r="K778" i="1" s="1"/>
  <c r="A778" i="1"/>
  <c r="J777" i="1"/>
  <c r="K777" i="1" s="1"/>
  <c r="A777" i="1"/>
  <c r="J776" i="1"/>
  <c r="K776" i="1" s="1"/>
  <c r="A776" i="1"/>
  <c r="J775" i="1"/>
  <c r="K775" i="1" s="1"/>
  <c r="A775" i="1"/>
  <c r="J774" i="1"/>
  <c r="K774" i="1" s="1"/>
  <c r="A774" i="1"/>
  <c r="J773" i="1"/>
  <c r="K773" i="1" s="1"/>
  <c r="A773" i="1"/>
  <c r="J772" i="1"/>
  <c r="K772" i="1" s="1"/>
  <c r="A772" i="1"/>
  <c r="J771" i="1"/>
  <c r="K771" i="1" s="1"/>
  <c r="A771" i="1"/>
  <c r="J770" i="1"/>
  <c r="K770" i="1" s="1"/>
  <c r="A770" i="1"/>
  <c r="J769" i="1"/>
  <c r="K769" i="1" s="1"/>
  <c r="A769" i="1"/>
  <c r="J768" i="1"/>
  <c r="K768" i="1" s="1"/>
  <c r="A768" i="1"/>
  <c r="J767" i="1"/>
  <c r="K767" i="1" s="1"/>
  <c r="A767" i="1"/>
  <c r="J766" i="1"/>
  <c r="K766" i="1" s="1"/>
  <c r="A766" i="1"/>
  <c r="J765" i="1"/>
  <c r="K765" i="1" s="1"/>
  <c r="A765" i="1"/>
  <c r="J764" i="1"/>
  <c r="K764" i="1" s="1"/>
  <c r="A764" i="1"/>
  <c r="J763" i="1"/>
  <c r="K763" i="1" s="1"/>
  <c r="A763" i="1"/>
  <c r="J762" i="1"/>
  <c r="K762" i="1" s="1"/>
  <c r="A762" i="1"/>
  <c r="J761" i="1"/>
  <c r="K761" i="1" s="1"/>
  <c r="A761" i="1"/>
  <c r="J760" i="1"/>
  <c r="K760" i="1" s="1"/>
  <c r="A760" i="1"/>
  <c r="J759" i="1"/>
  <c r="K759" i="1" s="1"/>
  <c r="A759" i="1"/>
  <c r="J758" i="1"/>
  <c r="K758" i="1" s="1"/>
  <c r="A758" i="1"/>
  <c r="J757" i="1"/>
  <c r="K757" i="1" s="1"/>
  <c r="A757" i="1"/>
  <c r="J756" i="1"/>
  <c r="K756" i="1" s="1"/>
  <c r="A756" i="1"/>
  <c r="J755" i="1"/>
  <c r="K755" i="1" s="1"/>
  <c r="A755" i="1"/>
  <c r="J754" i="1"/>
  <c r="K754" i="1" s="1"/>
  <c r="A754" i="1"/>
  <c r="J753" i="1"/>
  <c r="K753" i="1" s="1"/>
  <c r="A753" i="1"/>
  <c r="J752" i="1"/>
  <c r="K752" i="1" s="1"/>
  <c r="A752" i="1"/>
  <c r="J751" i="1"/>
  <c r="K751" i="1" s="1"/>
  <c r="A751" i="1"/>
  <c r="J750" i="1"/>
  <c r="K750" i="1" s="1"/>
  <c r="A750" i="1"/>
  <c r="J749" i="1"/>
  <c r="K749" i="1" s="1"/>
  <c r="A749" i="1"/>
  <c r="J748" i="1"/>
  <c r="K748" i="1" s="1"/>
  <c r="A748" i="1"/>
  <c r="J747" i="1"/>
  <c r="K747" i="1" s="1"/>
  <c r="A747" i="1"/>
  <c r="J746" i="1"/>
  <c r="K746" i="1" s="1"/>
  <c r="A746" i="1"/>
  <c r="J745" i="1"/>
  <c r="K745" i="1" s="1"/>
  <c r="A745" i="1"/>
  <c r="J744" i="1"/>
  <c r="K744" i="1" s="1"/>
  <c r="A744" i="1"/>
  <c r="J743" i="1"/>
  <c r="K743" i="1" s="1"/>
  <c r="A743" i="1"/>
  <c r="J742" i="1"/>
  <c r="K742" i="1" s="1"/>
  <c r="A742" i="1"/>
  <c r="J741" i="1"/>
  <c r="K741" i="1" s="1"/>
  <c r="A741" i="1"/>
  <c r="J740" i="1"/>
  <c r="K740" i="1" s="1"/>
  <c r="A740" i="1"/>
  <c r="J739" i="1"/>
  <c r="K739" i="1" s="1"/>
  <c r="A739" i="1"/>
  <c r="J738" i="1"/>
  <c r="K738" i="1" s="1"/>
  <c r="A738" i="1"/>
  <c r="J737" i="1"/>
  <c r="K737" i="1" s="1"/>
  <c r="A737" i="1"/>
  <c r="J736" i="1"/>
  <c r="K736" i="1" s="1"/>
  <c r="A736" i="1"/>
  <c r="J735" i="1"/>
  <c r="K735" i="1" s="1"/>
  <c r="A735" i="1"/>
  <c r="J734" i="1"/>
  <c r="K734" i="1" s="1"/>
  <c r="A734" i="1"/>
  <c r="J733" i="1"/>
  <c r="K733" i="1" s="1"/>
  <c r="A733" i="1"/>
  <c r="J732" i="1"/>
  <c r="K732" i="1" s="1"/>
  <c r="A732" i="1"/>
  <c r="J731" i="1"/>
  <c r="K731" i="1" s="1"/>
  <c r="A731" i="1"/>
  <c r="J730" i="1"/>
  <c r="K730" i="1" s="1"/>
  <c r="A730" i="1"/>
  <c r="J729" i="1"/>
  <c r="K729" i="1" s="1"/>
  <c r="A729" i="1"/>
  <c r="J728" i="1"/>
  <c r="K728" i="1" s="1"/>
  <c r="A728" i="1"/>
  <c r="J727" i="1"/>
  <c r="K727" i="1" s="1"/>
  <c r="A727" i="1"/>
  <c r="J726" i="1"/>
  <c r="K726" i="1" s="1"/>
  <c r="A726" i="1"/>
  <c r="J725" i="1"/>
  <c r="K725" i="1" s="1"/>
  <c r="A725" i="1"/>
  <c r="J724" i="1"/>
  <c r="K724" i="1" s="1"/>
  <c r="A724" i="1"/>
  <c r="J723" i="1"/>
  <c r="K723" i="1" s="1"/>
  <c r="A723" i="1"/>
  <c r="J722" i="1"/>
  <c r="K722" i="1" s="1"/>
  <c r="A722" i="1"/>
  <c r="J721" i="1"/>
  <c r="K721" i="1" s="1"/>
  <c r="A721" i="1"/>
  <c r="J720" i="1"/>
  <c r="K720" i="1" s="1"/>
  <c r="A720" i="1"/>
  <c r="J719" i="1"/>
  <c r="K719" i="1" s="1"/>
  <c r="A719" i="1"/>
  <c r="J718" i="1"/>
  <c r="K718" i="1" s="1"/>
  <c r="A718" i="1"/>
  <c r="J717" i="1"/>
  <c r="K717" i="1" s="1"/>
  <c r="A717" i="1"/>
  <c r="J716" i="1"/>
  <c r="K716" i="1" s="1"/>
  <c r="A716" i="1"/>
  <c r="J715" i="1"/>
  <c r="K715" i="1" s="1"/>
  <c r="A715" i="1"/>
  <c r="J714" i="1"/>
  <c r="K714" i="1" s="1"/>
  <c r="A714" i="1"/>
  <c r="J713" i="1"/>
  <c r="K713" i="1" s="1"/>
  <c r="A713" i="1"/>
  <c r="J712" i="1"/>
  <c r="K712" i="1" s="1"/>
  <c r="A712" i="1"/>
  <c r="J711" i="1"/>
  <c r="K711" i="1" s="1"/>
  <c r="A711" i="1"/>
  <c r="J710" i="1"/>
  <c r="K710" i="1" s="1"/>
  <c r="A710" i="1"/>
  <c r="J709" i="1"/>
  <c r="K709" i="1" s="1"/>
  <c r="A709" i="1"/>
  <c r="J708" i="1"/>
  <c r="K708" i="1" s="1"/>
  <c r="A708" i="1"/>
  <c r="J707" i="1"/>
  <c r="K707" i="1" s="1"/>
  <c r="A707" i="1"/>
  <c r="J706" i="1"/>
  <c r="K706" i="1" s="1"/>
  <c r="A706" i="1"/>
  <c r="J705" i="1"/>
  <c r="K705" i="1" s="1"/>
  <c r="A705" i="1"/>
  <c r="J704" i="1"/>
  <c r="K704" i="1" s="1"/>
  <c r="A704" i="1"/>
  <c r="J703" i="1"/>
  <c r="K703" i="1" s="1"/>
  <c r="A703" i="1"/>
  <c r="J702" i="1"/>
  <c r="K702" i="1" s="1"/>
  <c r="A702" i="1"/>
  <c r="J701" i="1"/>
  <c r="K701" i="1" s="1"/>
  <c r="A701" i="1"/>
  <c r="J700" i="1"/>
  <c r="K700" i="1" s="1"/>
  <c r="A700" i="1"/>
  <c r="J699" i="1"/>
  <c r="K699" i="1" s="1"/>
  <c r="A699" i="1"/>
  <c r="J698" i="1"/>
  <c r="K698" i="1" s="1"/>
  <c r="A698" i="1"/>
  <c r="J697" i="1"/>
  <c r="K697" i="1" s="1"/>
  <c r="A697" i="1"/>
  <c r="J696" i="1"/>
  <c r="K696" i="1" s="1"/>
  <c r="A696" i="1"/>
  <c r="J695" i="1"/>
  <c r="K695" i="1" s="1"/>
  <c r="A695" i="1"/>
  <c r="J694" i="1"/>
  <c r="K694" i="1" s="1"/>
  <c r="A694" i="1"/>
  <c r="J693" i="1"/>
  <c r="K693" i="1" s="1"/>
  <c r="A693" i="1"/>
  <c r="J692" i="1"/>
  <c r="K692" i="1" s="1"/>
  <c r="A692" i="1"/>
  <c r="J691" i="1"/>
  <c r="K691" i="1" s="1"/>
  <c r="A691" i="1"/>
  <c r="J690" i="1"/>
  <c r="K690" i="1" s="1"/>
  <c r="A690" i="1"/>
  <c r="J689" i="1"/>
  <c r="K689" i="1" s="1"/>
  <c r="A689" i="1"/>
  <c r="J688" i="1"/>
  <c r="K688" i="1" s="1"/>
  <c r="A688" i="1"/>
  <c r="J687" i="1"/>
  <c r="K687" i="1" s="1"/>
  <c r="A687" i="1"/>
  <c r="J686" i="1"/>
  <c r="K686" i="1" s="1"/>
  <c r="A686" i="1"/>
  <c r="J685" i="1"/>
  <c r="K685" i="1" s="1"/>
  <c r="A685" i="1"/>
  <c r="J684" i="1"/>
  <c r="K684" i="1" s="1"/>
  <c r="A684" i="1"/>
  <c r="J683" i="1"/>
  <c r="K683" i="1" s="1"/>
  <c r="A683" i="1"/>
  <c r="J682" i="1"/>
  <c r="K682" i="1" s="1"/>
  <c r="A682" i="1"/>
  <c r="J681" i="1"/>
  <c r="K681" i="1" s="1"/>
  <c r="A681" i="1"/>
  <c r="J680" i="1"/>
  <c r="K680" i="1" s="1"/>
  <c r="A680" i="1"/>
  <c r="J679" i="1"/>
  <c r="K679" i="1" s="1"/>
  <c r="A679" i="1"/>
  <c r="J678" i="1"/>
  <c r="K678" i="1" s="1"/>
  <c r="A678" i="1"/>
  <c r="J677" i="1"/>
  <c r="K677" i="1" s="1"/>
  <c r="A677" i="1"/>
  <c r="J676" i="1"/>
  <c r="K676" i="1" s="1"/>
  <c r="A676" i="1"/>
  <c r="J675" i="1"/>
  <c r="K675" i="1" s="1"/>
  <c r="A675" i="1"/>
  <c r="J674" i="1"/>
  <c r="K674" i="1" s="1"/>
  <c r="A674" i="1"/>
  <c r="J673" i="1"/>
  <c r="K673" i="1" s="1"/>
  <c r="A673" i="1"/>
  <c r="J672" i="1"/>
  <c r="K672" i="1" s="1"/>
  <c r="A672" i="1"/>
  <c r="J671" i="1"/>
  <c r="K671" i="1" s="1"/>
  <c r="A671" i="1"/>
  <c r="J670" i="1"/>
  <c r="K670" i="1" s="1"/>
  <c r="A670" i="1"/>
  <c r="J669" i="1"/>
  <c r="K669" i="1" s="1"/>
  <c r="A669" i="1"/>
  <c r="J668" i="1"/>
  <c r="K668" i="1" s="1"/>
  <c r="A668" i="1"/>
  <c r="J667" i="1"/>
  <c r="K667" i="1" s="1"/>
  <c r="A667" i="1"/>
  <c r="J666" i="1"/>
  <c r="K666" i="1" s="1"/>
  <c r="A666" i="1"/>
  <c r="J665" i="1"/>
  <c r="K665" i="1" s="1"/>
  <c r="A665" i="1"/>
  <c r="J664" i="1"/>
  <c r="K664" i="1" s="1"/>
  <c r="A664" i="1"/>
  <c r="J663" i="1"/>
  <c r="K663" i="1" s="1"/>
  <c r="A663" i="1"/>
  <c r="J662" i="1"/>
  <c r="K662" i="1" s="1"/>
  <c r="A662" i="1"/>
  <c r="J661" i="1"/>
  <c r="K661" i="1" s="1"/>
  <c r="A661" i="1"/>
  <c r="J660" i="1"/>
  <c r="K660" i="1" s="1"/>
  <c r="A660" i="1"/>
  <c r="J659" i="1"/>
  <c r="K659" i="1" s="1"/>
  <c r="A659" i="1"/>
  <c r="J658" i="1"/>
  <c r="K658" i="1" s="1"/>
  <c r="A658" i="1"/>
  <c r="J657" i="1"/>
  <c r="K657" i="1" s="1"/>
  <c r="A657" i="1"/>
  <c r="J656" i="1"/>
  <c r="K656" i="1" s="1"/>
  <c r="A656" i="1"/>
  <c r="J655" i="1"/>
  <c r="K655" i="1" s="1"/>
  <c r="A655" i="1"/>
  <c r="J654" i="1"/>
  <c r="K654" i="1" s="1"/>
  <c r="A654" i="1"/>
  <c r="J653" i="1"/>
  <c r="K653" i="1" s="1"/>
  <c r="A653" i="1"/>
  <c r="J652" i="1"/>
  <c r="K652" i="1" s="1"/>
  <c r="A652" i="1"/>
  <c r="J651" i="1"/>
  <c r="K651" i="1" s="1"/>
  <c r="A651" i="1"/>
  <c r="J650" i="1"/>
  <c r="K650" i="1" s="1"/>
  <c r="A650" i="1"/>
  <c r="J649" i="1"/>
  <c r="K649" i="1" s="1"/>
  <c r="A649" i="1"/>
  <c r="J648" i="1"/>
  <c r="K648" i="1" s="1"/>
  <c r="A648" i="1"/>
  <c r="J647" i="1"/>
  <c r="K647" i="1" s="1"/>
  <c r="A647" i="1"/>
  <c r="J646" i="1"/>
  <c r="K646" i="1" s="1"/>
  <c r="A646" i="1"/>
  <c r="J645" i="1"/>
  <c r="K645" i="1" s="1"/>
  <c r="A645" i="1"/>
  <c r="J644" i="1"/>
  <c r="K644" i="1" s="1"/>
  <c r="A644" i="1"/>
  <c r="J643" i="1"/>
  <c r="K643" i="1" s="1"/>
  <c r="A643" i="1"/>
  <c r="J642" i="1"/>
  <c r="K642" i="1" s="1"/>
  <c r="A642" i="1"/>
  <c r="J641" i="1"/>
  <c r="K641" i="1" s="1"/>
  <c r="A641" i="1"/>
  <c r="J640" i="1"/>
  <c r="K640" i="1" s="1"/>
  <c r="A640" i="1"/>
  <c r="J639" i="1"/>
  <c r="K639" i="1" s="1"/>
  <c r="A639" i="1"/>
  <c r="J638" i="1"/>
  <c r="K638" i="1" s="1"/>
  <c r="A638" i="1"/>
  <c r="J637" i="1"/>
  <c r="K637" i="1" s="1"/>
  <c r="A637" i="1"/>
  <c r="J636" i="1"/>
  <c r="K636" i="1" s="1"/>
  <c r="A636" i="1"/>
  <c r="J635" i="1"/>
  <c r="K635" i="1" s="1"/>
  <c r="A635" i="1"/>
  <c r="J634" i="1"/>
  <c r="K634" i="1" s="1"/>
  <c r="A634" i="1"/>
  <c r="J633" i="1"/>
  <c r="K633" i="1" s="1"/>
  <c r="A633" i="1"/>
  <c r="J632" i="1"/>
  <c r="K632" i="1" s="1"/>
  <c r="A632" i="1"/>
  <c r="J631" i="1"/>
  <c r="K631" i="1" s="1"/>
  <c r="A631" i="1"/>
  <c r="J630" i="1"/>
  <c r="K630" i="1" s="1"/>
  <c r="A630" i="1"/>
  <c r="J629" i="1"/>
  <c r="K629" i="1" s="1"/>
  <c r="A629" i="1"/>
  <c r="J628" i="1"/>
  <c r="K628" i="1" s="1"/>
  <c r="A628" i="1"/>
  <c r="J627" i="1"/>
  <c r="K627" i="1" s="1"/>
  <c r="A627" i="1"/>
  <c r="J626" i="1"/>
  <c r="K626" i="1" s="1"/>
  <c r="A626" i="1"/>
  <c r="J625" i="1"/>
  <c r="K625" i="1" s="1"/>
  <c r="A625" i="1"/>
  <c r="J624" i="1"/>
  <c r="K624" i="1" s="1"/>
  <c r="A624" i="1"/>
  <c r="J623" i="1"/>
  <c r="K623" i="1" s="1"/>
  <c r="A623" i="1"/>
  <c r="J622" i="1"/>
  <c r="K622" i="1" s="1"/>
  <c r="A622" i="1"/>
  <c r="J621" i="1"/>
  <c r="K621" i="1" s="1"/>
  <c r="A621" i="1"/>
  <c r="J620" i="1"/>
  <c r="K620" i="1" s="1"/>
  <c r="A620" i="1"/>
  <c r="J619" i="1"/>
  <c r="K619" i="1" s="1"/>
  <c r="A619" i="1"/>
  <c r="J618" i="1"/>
  <c r="K618" i="1" s="1"/>
  <c r="A618" i="1"/>
  <c r="J617" i="1"/>
  <c r="K617" i="1" s="1"/>
  <c r="A617" i="1"/>
  <c r="J616" i="1"/>
  <c r="K616" i="1" s="1"/>
  <c r="A616" i="1"/>
  <c r="J615" i="1"/>
  <c r="K615" i="1" s="1"/>
  <c r="A615" i="1"/>
  <c r="J614" i="1"/>
  <c r="K614" i="1" s="1"/>
  <c r="A614" i="1"/>
  <c r="J613" i="1"/>
  <c r="K613" i="1" s="1"/>
  <c r="A613" i="1"/>
  <c r="J612" i="1"/>
  <c r="K612" i="1" s="1"/>
  <c r="A612" i="1"/>
  <c r="J611" i="1"/>
  <c r="K611" i="1" s="1"/>
  <c r="A611" i="1"/>
  <c r="J610" i="1"/>
  <c r="K610" i="1" s="1"/>
  <c r="A610" i="1"/>
  <c r="J609" i="1"/>
  <c r="K609" i="1" s="1"/>
  <c r="A609" i="1"/>
  <c r="J608" i="1"/>
  <c r="K608" i="1" s="1"/>
  <c r="A608" i="1"/>
  <c r="J607" i="1"/>
  <c r="K607" i="1" s="1"/>
  <c r="A607" i="1"/>
  <c r="J606" i="1"/>
  <c r="K606" i="1" s="1"/>
  <c r="A606" i="1"/>
  <c r="J605" i="1"/>
  <c r="K605" i="1" s="1"/>
  <c r="A605" i="1"/>
  <c r="J604" i="1"/>
  <c r="K604" i="1" s="1"/>
  <c r="A604" i="1"/>
  <c r="J603" i="1"/>
  <c r="K603" i="1" s="1"/>
  <c r="A603" i="1"/>
  <c r="J602" i="1"/>
  <c r="K602" i="1" s="1"/>
  <c r="A602" i="1"/>
  <c r="J601" i="1"/>
  <c r="K601" i="1" s="1"/>
  <c r="A601" i="1"/>
  <c r="J600" i="1"/>
  <c r="K600" i="1" s="1"/>
  <c r="A600" i="1"/>
  <c r="J599" i="1"/>
  <c r="K599" i="1" s="1"/>
  <c r="A599" i="1"/>
  <c r="J598" i="1"/>
  <c r="K598" i="1" s="1"/>
  <c r="A598" i="1"/>
  <c r="J597" i="1"/>
  <c r="K597" i="1" s="1"/>
  <c r="A597" i="1"/>
  <c r="J596" i="1"/>
  <c r="K596" i="1" s="1"/>
  <c r="A596" i="1"/>
  <c r="J595" i="1"/>
  <c r="K595" i="1" s="1"/>
  <c r="A595" i="1"/>
  <c r="J594" i="1"/>
  <c r="K594" i="1" s="1"/>
  <c r="A594" i="1"/>
  <c r="J593" i="1"/>
  <c r="K593" i="1" s="1"/>
  <c r="A593" i="1"/>
  <c r="J592" i="1"/>
  <c r="K592" i="1" s="1"/>
  <c r="A592" i="1"/>
  <c r="J591" i="1"/>
  <c r="K591" i="1" s="1"/>
  <c r="A591" i="1"/>
  <c r="J590" i="1"/>
  <c r="K590" i="1" s="1"/>
  <c r="A590" i="1"/>
  <c r="J589" i="1"/>
  <c r="K589" i="1" s="1"/>
  <c r="A589" i="1"/>
  <c r="J588" i="1"/>
  <c r="K588" i="1" s="1"/>
  <c r="A588" i="1"/>
  <c r="J587" i="1"/>
  <c r="K587" i="1" s="1"/>
  <c r="A587" i="1"/>
  <c r="J586" i="1"/>
  <c r="K586" i="1" s="1"/>
  <c r="A586" i="1"/>
  <c r="J585" i="1"/>
  <c r="K585" i="1" s="1"/>
  <c r="A585" i="1"/>
  <c r="J584" i="1"/>
  <c r="K584" i="1" s="1"/>
  <c r="A584" i="1"/>
  <c r="J583" i="1"/>
  <c r="K583" i="1" s="1"/>
  <c r="A583" i="1"/>
  <c r="J582" i="1"/>
  <c r="K582" i="1" s="1"/>
  <c r="A582" i="1"/>
  <c r="J581" i="1"/>
  <c r="K581" i="1" s="1"/>
  <c r="A581" i="1"/>
  <c r="J580" i="1"/>
  <c r="K580" i="1" s="1"/>
  <c r="A580" i="1"/>
  <c r="J579" i="1"/>
  <c r="K579" i="1" s="1"/>
  <c r="A579" i="1"/>
  <c r="J578" i="1"/>
  <c r="K578" i="1" s="1"/>
  <c r="A578" i="1"/>
  <c r="J577" i="1"/>
  <c r="K577" i="1" s="1"/>
  <c r="A577" i="1"/>
  <c r="J576" i="1"/>
  <c r="K576" i="1" s="1"/>
  <c r="A576" i="1"/>
  <c r="J575" i="1"/>
  <c r="K575" i="1" s="1"/>
  <c r="A575" i="1"/>
  <c r="J574" i="1"/>
  <c r="K574" i="1" s="1"/>
  <c r="A574" i="1"/>
  <c r="J573" i="1"/>
  <c r="K573" i="1" s="1"/>
  <c r="A573" i="1"/>
  <c r="J572" i="1"/>
  <c r="K572" i="1" s="1"/>
  <c r="A572" i="1"/>
  <c r="J571" i="1"/>
  <c r="K571" i="1" s="1"/>
  <c r="A571" i="1"/>
  <c r="J570" i="1"/>
  <c r="K570" i="1" s="1"/>
  <c r="A570" i="1"/>
  <c r="J569" i="1"/>
  <c r="K569" i="1" s="1"/>
  <c r="A569" i="1"/>
  <c r="J568" i="1"/>
  <c r="K568" i="1" s="1"/>
  <c r="A568" i="1"/>
  <c r="J567" i="1"/>
  <c r="K567" i="1" s="1"/>
  <c r="A567" i="1"/>
  <c r="J566" i="1"/>
  <c r="K566" i="1" s="1"/>
  <c r="A566" i="1"/>
  <c r="J565" i="1"/>
  <c r="K565" i="1" s="1"/>
  <c r="A565" i="1"/>
  <c r="J564" i="1"/>
  <c r="K564" i="1" s="1"/>
  <c r="A564" i="1"/>
  <c r="J563" i="1"/>
  <c r="K563" i="1" s="1"/>
  <c r="A563" i="1"/>
  <c r="J562" i="1"/>
  <c r="K562" i="1" s="1"/>
  <c r="A562" i="1"/>
  <c r="J561" i="1"/>
  <c r="K561" i="1" s="1"/>
  <c r="A561" i="1"/>
  <c r="J560" i="1"/>
  <c r="K560" i="1" s="1"/>
  <c r="A560" i="1"/>
  <c r="J559" i="1"/>
  <c r="K559" i="1" s="1"/>
  <c r="A559" i="1"/>
  <c r="J558" i="1"/>
  <c r="K558" i="1" s="1"/>
  <c r="A558" i="1"/>
  <c r="J557" i="1"/>
  <c r="K557" i="1" s="1"/>
  <c r="A557" i="1"/>
  <c r="J556" i="1"/>
  <c r="K556" i="1" s="1"/>
  <c r="A556" i="1"/>
  <c r="J555" i="1"/>
  <c r="K555" i="1" s="1"/>
  <c r="A555" i="1"/>
  <c r="J554" i="1"/>
  <c r="K554" i="1" s="1"/>
  <c r="A554" i="1"/>
  <c r="J553" i="1"/>
  <c r="K553" i="1" s="1"/>
  <c r="A553" i="1"/>
  <c r="J552" i="1"/>
  <c r="K552" i="1" s="1"/>
  <c r="A552" i="1"/>
  <c r="J551" i="1"/>
  <c r="K551" i="1" s="1"/>
  <c r="A551" i="1"/>
  <c r="J550" i="1"/>
  <c r="K550" i="1" s="1"/>
  <c r="A550" i="1"/>
  <c r="J549" i="1"/>
  <c r="K549" i="1" s="1"/>
  <c r="A549" i="1"/>
  <c r="J548" i="1"/>
  <c r="K548" i="1" s="1"/>
  <c r="A548" i="1"/>
  <c r="J547" i="1"/>
  <c r="K547" i="1" s="1"/>
  <c r="A547" i="1"/>
  <c r="J546" i="1"/>
  <c r="K546" i="1" s="1"/>
  <c r="A546" i="1"/>
  <c r="J545" i="1"/>
  <c r="K545" i="1" s="1"/>
  <c r="A545" i="1"/>
  <c r="J544" i="1"/>
  <c r="K544" i="1" s="1"/>
  <c r="A544" i="1"/>
  <c r="J543" i="1"/>
  <c r="K543" i="1" s="1"/>
  <c r="A543" i="1"/>
  <c r="J542" i="1"/>
  <c r="K542" i="1" s="1"/>
  <c r="A542" i="1"/>
  <c r="J541" i="1"/>
  <c r="K541" i="1" s="1"/>
  <c r="A541" i="1"/>
  <c r="J540" i="1"/>
  <c r="K540" i="1" s="1"/>
  <c r="A540" i="1"/>
  <c r="J539" i="1"/>
  <c r="K539" i="1" s="1"/>
  <c r="A539" i="1"/>
  <c r="J538" i="1"/>
  <c r="K538" i="1" s="1"/>
  <c r="A538" i="1"/>
  <c r="J537" i="1"/>
  <c r="K537" i="1" s="1"/>
  <c r="A537" i="1"/>
  <c r="J536" i="1"/>
  <c r="K536" i="1" s="1"/>
  <c r="A536" i="1"/>
  <c r="J535" i="1"/>
  <c r="K535" i="1" s="1"/>
  <c r="A535" i="1"/>
  <c r="J534" i="1"/>
  <c r="K534" i="1" s="1"/>
  <c r="A534" i="1"/>
  <c r="J533" i="1"/>
  <c r="K533" i="1" s="1"/>
  <c r="A533" i="1"/>
  <c r="J532" i="1"/>
  <c r="K532" i="1" s="1"/>
  <c r="A532" i="1"/>
  <c r="J531" i="1"/>
  <c r="K531" i="1" s="1"/>
  <c r="A531" i="1"/>
  <c r="J530" i="1"/>
  <c r="K530" i="1" s="1"/>
  <c r="A530" i="1"/>
  <c r="J529" i="1"/>
  <c r="K529" i="1" s="1"/>
  <c r="A529" i="1"/>
  <c r="J528" i="1"/>
  <c r="K528" i="1" s="1"/>
  <c r="A528" i="1"/>
  <c r="J527" i="1"/>
  <c r="K527" i="1" s="1"/>
  <c r="A527" i="1"/>
  <c r="J526" i="1"/>
  <c r="K526" i="1" s="1"/>
  <c r="A526" i="1"/>
  <c r="J525" i="1"/>
  <c r="K525" i="1" s="1"/>
  <c r="A525" i="1"/>
  <c r="J524" i="1"/>
  <c r="K524" i="1" s="1"/>
  <c r="A524" i="1"/>
  <c r="J523" i="1"/>
  <c r="K523" i="1" s="1"/>
  <c r="A523" i="1"/>
  <c r="J522" i="1"/>
  <c r="K522" i="1" s="1"/>
  <c r="A522" i="1"/>
  <c r="J521" i="1"/>
  <c r="K521" i="1" s="1"/>
  <c r="A521" i="1"/>
  <c r="J520" i="1"/>
  <c r="K520" i="1" s="1"/>
  <c r="A520" i="1"/>
  <c r="J519" i="1"/>
  <c r="K519" i="1" s="1"/>
  <c r="A519" i="1"/>
  <c r="J518" i="1"/>
  <c r="K518" i="1" s="1"/>
  <c r="A518" i="1"/>
  <c r="J517" i="1"/>
  <c r="K517" i="1" s="1"/>
  <c r="A517" i="1"/>
  <c r="J516" i="1"/>
  <c r="K516" i="1" s="1"/>
  <c r="A516" i="1"/>
  <c r="J515" i="1"/>
  <c r="K515" i="1" s="1"/>
  <c r="A515" i="1"/>
  <c r="J514" i="1"/>
  <c r="K514" i="1" s="1"/>
  <c r="A514" i="1"/>
  <c r="J513" i="1"/>
  <c r="K513" i="1" s="1"/>
  <c r="A513" i="1"/>
  <c r="J512" i="1"/>
  <c r="K512" i="1" s="1"/>
  <c r="A512" i="1"/>
  <c r="J511" i="1"/>
  <c r="K511" i="1" s="1"/>
  <c r="A511" i="1"/>
  <c r="J510" i="1"/>
  <c r="K510" i="1" s="1"/>
  <c r="A510" i="1"/>
  <c r="J509" i="1"/>
  <c r="K509" i="1" s="1"/>
  <c r="A509" i="1"/>
  <c r="J508" i="1"/>
  <c r="K508" i="1" s="1"/>
  <c r="A508" i="1"/>
  <c r="J507" i="1"/>
  <c r="K507" i="1" s="1"/>
  <c r="A507" i="1"/>
  <c r="J506" i="1"/>
  <c r="K506" i="1" s="1"/>
  <c r="A506" i="1"/>
  <c r="J505" i="1"/>
  <c r="K505" i="1" s="1"/>
  <c r="A505" i="1"/>
  <c r="J504" i="1"/>
  <c r="K504" i="1" s="1"/>
  <c r="A504" i="1"/>
  <c r="J503" i="1"/>
  <c r="K503" i="1" s="1"/>
  <c r="A503" i="1"/>
  <c r="J502" i="1"/>
  <c r="K502" i="1" s="1"/>
  <c r="A502" i="1"/>
  <c r="J501" i="1"/>
  <c r="K501" i="1" s="1"/>
  <c r="A501" i="1"/>
  <c r="J500" i="1"/>
  <c r="K500" i="1" s="1"/>
  <c r="A500" i="1"/>
  <c r="J499" i="1"/>
  <c r="K499" i="1" s="1"/>
  <c r="A499" i="1"/>
  <c r="J498" i="1"/>
  <c r="K498" i="1" s="1"/>
  <c r="A498" i="1"/>
  <c r="J497" i="1"/>
  <c r="K497" i="1" s="1"/>
  <c r="A497" i="1"/>
  <c r="J496" i="1"/>
  <c r="K496" i="1" s="1"/>
  <c r="A496" i="1"/>
  <c r="J495" i="1"/>
  <c r="K495" i="1" s="1"/>
  <c r="A495" i="1"/>
  <c r="J494" i="1"/>
  <c r="K494" i="1" s="1"/>
  <c r="A494" i="1"/>
  <c r="J493" i="1"/>
  <c r="K493" i="1" s="1"/>
  <c r="A493" i="1"/>
  <c r="J492" i="1"/>
  <c r="K492" i="1" s="1"/>
  <c r="A492" i="1"/>
  <c r="J491" i="1"/>
  <c r="K491" i="1" s="1"/>
  <c r="A491" i="1"/>
  <c r="J490" i="1"/>
  <c r="K490" i="1" s="1"/>
  <c r="A490" i="1"/>
  <c r="J489" i="1"/>
  <c r="K489" i="1" s="1"/>
  <c r="A489" i="1"/>
  <c r="J488" i="1"/>
  <c r="K488" i="1" s="1"/>
  <c r="A488" i="1"/>
  <c r="J487" i="1"/>
  <c r="K487" i="1" s="1"/>
  <c r="A487" i="1"/>
  <c r="J486" i="1"/>
  <c r="K486" i="1" s="1"/>
  <c r="A486" i="1"/>
  <c r="J485" i="1"/>
  <c r="K485" i="1" s="1"/>
  <c r="A485" i="1"/>
  <c r="J484" i="1"/>
  <c r="K484" i="1" s="1"/>
  <c r="A484" i="1"/>
  <c r="J483" i="1"/>
  <c r="K483" i="1" s="1"/>
  <c r="A483" i="1"/>
  <c r="J482" i="1"/>
  <c r="K482" i="1" s="1"/>
  <c r="A482" i="1"/>
  <c r="J481" i="1"/>
  <c r="K481" i="1" s="1"/>
  <c r="A481" i="1"/>
  <c r="J480" i="1"/>
  <c r="K480" i="1" s="1"/>
  <c r="A480" i="1"/>
  <c r="J479" i="1"/>
  <c r="K479" i="1" s="1"/>
  <c r="A479" i="1"/>
  <c r="J478" i="1"/>
  <c r="K478" i="1" s="1"/>
  <c r="A478" i="1"/>
  <c r="J477" i="1"/>
  <c r="K477" i="1" s="1"/>
  <c r="A477" i="1"/>
  <c r="J476" i="1"/>
  <c r="K476" i="1" s="1"/>
  <c r="A476" i="1"/>
  <c r="J475" i="1"/>
  <c r="K475" i="1" s="1"/>
  <c r="A475" i="1"/>
  <c r="J474" i="1"/>
  <c r="K474" i="1" s="1"/>
  <c r="A474" i="1"/>
  <c r="J473" i="1"/>
  <c r="K473" i="1" s="1"/>
  <c r="A473" i="1"/>
  <c r="J472" i="1"/>
  <c r="K472" i="1" s="1"/>
  <c r="A472" i="1"/>
  <c r="J471" i="1"/>
  <c r="K471" i="1" s="1"/>
  <c r="A471" i="1"/>
  <c r="J470" i="1"/>
  <c r="K470" i="1" s="1"/>
  <c r="A470" i="1"/>
  <c r="J469" i="1"/>
  <c r="K469" i="1" s="1"/>
  <c r="A469" i="1"/>
  <c r="J468" i="1"/>
  <c r="K468" i="1" s="1"/>
  <c r="A468" i="1"/>
  <c r="J467" i="1"/>
  <c r="K467" i="1" s="1"/>
  <c r="A467" i="1"/>
  <c r="J466" i="1"/>
  <c r="K466" i="1" s="1"/>
  <c r="A466" i="1"/>
  <c r="J465" i="1"/>
  <c r="K465" i="1" s="1"/>
  <c r="A465" i="1"/>
  <c r="J464" i="1"/>
  <c r="K464" i="1" s="1"/>
  <c r="A464" i="1"/>
  <c r="J463" i="1"/>
  <c r="K463" i="1" s="1"/>
  <c r="A463" i="1"/>
  <c r="J462" i="1"/>
  <c r="K462" i="1" s="1"/>
  <c r="A462" i="1"/>
  <c r="J461" i="1"/>
  <c r="K461" i="1" s="1"/>
  <c r="A461" i="1"/>
  <c r="J460" i="1"/>
  <c r="K460" i="1" s="1"/>
  <c r="A460" i="1"/>
  <c r="J459" i="1"/>
  <c r="K459" i="1" s="1"/>
  <c r="A459" i="1"/>
  <c r="J458" i="1"/>
  <c r="K458" i="1" s="1"/>
  <c r="A458" i="1"/>
  <c r="J457" i="1"/>
  <c r="K457" i="1" s="1"/>
  <c r="A457" i="1"/>
  <c r="J456" i="1"/>
  <c r="K456" i="1" s="1"/>
  <c r="A456" i="1"/>
  <c r="J455" i="1"/>
  <c r="K455" i="1" s="1"/>
  <c r="A455" i="1"/>
  <c r="J454" i="1"/>
  <c r="K454" i="1" s="1"/>
  <c r="A454" i="1"/>
  <c r="J453" i="1"/>
  <c r="K453" i="1" s="1"/>
  <c r="A453" i="1"/>
  <c r="J452" i="1"/>
  <c r="K452" i="1" s="1"/>
  <c r="A452" i="1"/>
  <c r="J451" i="1"/>
  <c r="K451" i="1" s="1"/>
  <c r="A451" i="1"/>
  <c r="J450" i="1"/>
  <c r="K450" i="1" s="1"/>
  <c r="A450" i="1"/>
  <c r="J449" i="1"/>
  <c r="K449" i="1" s="1"/>
  <c r="A449" i="1"/>
  <c r="J448" i="1"/>
  <c r="K448" i="1" s="1"/>
  <c r="A448" i="1"/>
  <c r="J447" i="1"/>
  <c r="K447" i="1" s="1"/>
  <c r="A447" i="1"/>
  <c r="J446" i="1"/>
  <c r="K446" i="1" s="1"/>
  <c r="A446" i="1"/>
  <c r="J445" i="1"/>
  <c r="K445" i="1" s="1"/>
  <c r="A445" i="1"/>
  <c r="J444" i="1"/>
  <c r="K444" i="1" s="1"/>
  <c r="A444" i="1"/>
  <c r="J443" i="1"/>
  <c r="K443" i="1" s="1"/>
  <c r="A443" i="1"/>
  <c r="J442" i="1"/>
  <c r="K442" i="1" s="1"/>
  <c r="A442" i="1"/>
  <c r="J441" i="1"/>
  <c r="K441" i="1" s="1"/>
  <c r="A441" i="1"/>
  <c r="J440" i="1"/>
  <c r="K440" i="1" s="1"/>
  <c r="A440" i="1"/>
  <c r="J439" i="1"/>
  <c r="K439" i="1" s="1"/>
  <c r="A439" i="1"/>
  <c r="J438" i="1"/>
  <c r="K438" i="1" s="1"/>
  <c r="A438" i="1"/>
  <c r="J437" i="1"/>
  <c r="K437" i="1" s="1"/>
  <c r="A437" i="1"/>
  <c r="J436" i="1"/>
  <c r="K436" i="1" s="1"/>
  <c r="A436" i="1"/>
  <c r="J435" i="1"/>
  <c r="K435" i="1" s="1"/>
  <c r="A435" i="1"/>
  <c r="J434" i="1"/>
  <c r="K434" i="1" s="1"/>
  <c r="A434" i="1"/>
  <c r="J433" i="1"/>
  <c r="K433" i="1" s="1"/>
  <c r="A433" i="1"/>
  <c r="J432" i="1"/>
  <c r="K432" i="1" s="1"/>
  <c r="A432" i="1"/>
  <c r="J431" i="1"/>
  <c r="K431" i="1" s="1"/>
  <c r="A431" i="1"/>
  <c r="J430" i="1"/>
  <c r="K430" i="1" s="1"/>
  <c r="A430" i="1"/>
  <c r="J429" i="1"/>
  <c r="K429" i="1" s="1"/>
  <c r="A429" i="1"/>
  <c r="J428" i="1"/>
  <c r="K428" i="1" s="1"/>
  <c r="A428" i="1"/>
  <c r="J427" i="1"/>
  <c r="K427" i="1" s="1"/>
  <c r="A427" i="1"/>
  <c r="J426" i="1"/>
  <c r="K426" i="1" s="1"/>
  <c r="A426" i="1"/>
  <c r="J425" i="1"/>
  <c r="K425" i="1" s="1"/>
  <c r="A425" i="1"/>
  <c r="J424" i="1"/>
  <c r="K424" i="1" s="1"/>
  <c r="A424" i="1"/>
  <c r="J423" i="1"/>
  <c r="K423" i="1" s="1"/>
  <c r="A423" i="1"/>
  <c r="J422" i="1"/>
  <c r="K422" i="1" s="1"/>
  <c r="A422" i="1"/>
  <c r="J421" i="1"/>
  <c r="K421" i="1" s="1"/>
  <c r="A421" i="1"/>
  <c r="J420" i="1"/>
  <c r="K420" i="1" s="1"/>
  <c r="A420" i="1"/>
  <c r="J419" i="1"/>
  <c r="K419" i="1" s="1"/>
  <c r="A419" i="1"/>
  <c r="J418" i="1"/>
  <c r="K418" i="1" s="1"/>
  <c r="A418" i="1"/>
  <c r="J417" i="1"/>
  <c r="K417" i="1" s="1"/>
  <c r="A417" i="1"/>
  <c r="J416" i="1"/>
  <c r="K416" i="1" s="1"/>
  <c r="A416" i="1"/>
  <c r="J415" i="1"/>
  <c r="K415" i="1" s="1"/>
  <c r="A415" i="1"/>
  <c r="J414" i="1"/>
  <c r="K414" i="1" s="1"/>
  <c r="A414" i="1"/>
  <c r="J413" i="1"/>
  <c r="K413" i="1" s="1"/>
  <c r="A413" i="1"/>
  <c r="J412" i="1"/>
  <c r="K412" i="1" s="1"/>
  <c r="A412" i="1"/>
  <c r="J411" i="1"/>
  <c r="K411" i="1" s="1"/>
  <c r="A411" i="1"/>
  <c r="J410" i="1"/>
  <c r="K410" i="1" s="1"/>
  <c r="A410" i="1"/>
  <c r="J409" i="1"/>
  <c r="K409" i="1" s="1"/>
  <c r="A409" i="1"/>
  <c r="J408" i="1"/>
  <c r="K408" i="1" s="1"/>
  <c r="A408" i="1"/>
  <c r="J407" i="1"/>
  <c r="K407" i="1" s="1"/>
  <c r="A407" i="1"/>
  <c r="J406" i="1"/>
  <c r="K406" i="1" s="1"/>
  <c r="A406" i="1"/>
  <c r="J405" i="1"/>
  <c r="K405" i="1" s="1"/>
  <c r="A405" i="1"/>
  <c r="J404" i="1"/>
  <c r="K404" i="1" s="1"/>
  <c r="A404" i="1"/>
  <c r="J403" i="1"/>
  <c r="K403" i="1" s="1"/>
  <c r="A403" i="1"/>
  <c r="J402" i="1"/>
  <c r="K402" i="1" s="1"/>
  <c r="A402" i="1"/>
  <c r="J401" i="1"/>
  <c r="K401" i="1" s="1"/>
  <c r="A401" i="1"/>
  <c r="J400" i="1"/>
  <c r="K400" i="1" s="1"/>
  <c r="A400" i="1"/>
  <c r="J399" i="1"/>
  <c r="K399" i="1" s="1"/>
  <c r="A399" i="1"/>
  <c r="J398" i="1"/>
  <c r="K398" i="1" s="1"/>
  <c r="A398" i="1"/>
  <c r="J397" i="1"/>
  <c r="K397" i="1" s="1"/>
  <c r="A397" i="1"/>
  <c r="J396" i="1"/>
  <c r="K396" i="1" s="1"/>
  <c r="A396" i="1"/>
  <c r="J395" i="1"/>
  <c r="K395" i="1" s="1"/>
  <c r="A395" i="1"/>
  <c r="J394" i="1"/>
  <c r="K394" i="1" s="1"/>
  <c r="A394" i="1"/>
  <c r="J393" i="1"/>
  <c r="K393" i="1" s="1"/>
  <c r="A393" i="1"/>
  <c r="J392" i="1"/>
  <c r="K392" i="1" s="1"/>
  <c r="A392" i="1"/>
  <c r="J391" i="1"/>
  <c r="K391" i="1" s="1"/>
  <c r="A391" i="1"/>
  <c r="J390" i="1"/>
  <c r="K390" i="1" s="1"/>
  <c r="A390" i="1"/>
  <c r="J389" i="1"/>
  <c r="K389" i="1" s="1"/>
  <c r="A389" i="1"/>
  <c r="J388" i="1"/>
  <c r="K388" i="1" s="1"/>
  <c r="A388" i="1"/>
  <c r="J387" i="1"/>
  <c r="K387" i="1" s="1"/>
  <c r="A387" i="1"/>
  <c r="J386" i="1"/>
  <c r="K386" i="1" s="1"/>
  <c r="A386" i="1"/>
  <c r="J385" i="1"/>
  <c r="K385" i="1" s="1"/>
  <c r="A385" i="1"/>
  <c r="J384" i="1"/>
  <c r="K384" i="1" s="1"/>
  <c r="A384" i="1"/>
  <c r="J383" i="1"/>
  <c r="K383" i="1" s="1"/>
  <c r="A383" i="1"/>
  <c r="J382" i="1"/>
  <c r="K382" i="1" s="1"/>
  <c r="A382" i="1"/>
  <c r="J381" i="1"/>
  <c r="K381" i="1" s="1"/>
  <c r="A381" i="1"/>
  <c r="J380" i="1"/>
  <c r="K380" i="1" s="1"/>
  <c r="A380" i="1"/>
  <c r="J379" i="1"/>
  <c r="K379" i="1" s="1"/>
  <c r="A379" i="1"/>
  <c r="J378" i="1"/>
  <c r="K378" i="1" s="1"/>
  <c r="A378" i="1"/>
  <c r="J377" i="1"/>
  <c r="K377" i="1" s="1"/>
  <c r="A377" i="1"/>
  <c r="J376" i="1"/>
  <c r="K376" i="1" s="1"/>
  <c r="A376" i="1"/>
  <c r="J375" i="1"/>
  <c r="K375" i="1" s="1"/>
  <c r="A375" i="1"/>
  <c r="J374" i="1"/>
  <c r="K374" i="1" s="1"/>
  <c r="A374" i="1"/>
  <c r="J373" i="1"/>
  <c r="K373" i="1" s="1"/>
  <c r="A373" i="1"/>
  <c r="J372" i="1"/>
  <c r="K372" i="1" s="1"/>
  <c r="A372" i="1"/>
  <c r="J371" i="1"/>
  <c r="K371" i="1" s="1"/>
  <c r="A371" i="1"/>
  <c r="J370" i="1"/>
  <c r="K370" i="1" s="1"/>
  <c r="A370" i="1"/>
  <c r="J369" i="1"/>
  <c r="K369" i="1" s="1"/>
  <c r="A369" i="1"/>
  <c r="J368" i="1"/>
  <c r="K368" i="1" s="1"/>
  <c r="A368" i="1"/>
  <c r="J367" i="1"/>
  <c r="K367" i="1" s="1"/>
  <c r="A367" i="1"/>
  <c r="J366" i="1"/>
  <c r="K366" i="1" s="1"/>
  <c r="A366" i="1"/>
  <c r="J365" i="1"/>
  <c r="K365" i="1" s="1"/>
  <c r="A365" i="1"/>
  <c r="J364" i="1"/>
  <c r="K364" i="1" s="1"/>
  <c r="A364" i="1"/>
  <c r="J363" i="1"/>
  <c r="K363" i="1" s="1"/>
  <c r="A363" i="1"/>
  <c r="J362" i="1"/>
  <c r="K362" i="1" s="1"/>
  <c r="A362" i="1"/>
  <c r="J361" i="1"/>
  <c r="K361" i="1" s="1"/>
  <c r="A361" i="1"/>
  <c r="J360" i="1"/>
  <c r="K360" i="1" s="1"/>
  <c r="A360" i="1"/>
  <c r="J359" i="1"/>
  <c r="K359" i="1" s="1"/>
  <c r="A359" i="1"/>
  <c r="J358" i="1"/>
  <c r="K358" i="1" s="1"/>
  <c r="A358" i="1"/>
  <c r="J357" i="1"/>
  <c r="K357" i="1" s="1"/>
  <c r="A357" i="1"/>
  <c r="J356" i="1"/>
  <c r="K356" i="1" s="1"/>
  <c r="A356" i="1"/>
  <c r="J355" i="1"/>
  <c r="K355" i="1" s="1"/>
  <c r="A355" i="1"/>
  <c r="J354" i="1"/>
  <c r="K354" i="1" s="1"/>
  <c r="A354" i="1"/>
  <c r="J353" i="1"/>
  <c r="K353" i="1" s="1"/>
  <c r="A353" i="1"/>
  <c r="J352" i="1"/>
  <c r="K352" i="1" s="1"/>
  <c r="A352" i="1"/>
  <c r="J351" i="1"/>
  <c r="K351" i="1" s="1"/>
  <c r="A351" i="1"/>
  <c r="J350" i="1"/>
  <c r="K350" i="1" s="1"/>
  <c r="A350" i="1"/>
  <c r="J349" i="1"/>
  <c r="K349" i="1" s="1"/>
  <c r="A349" i="1"/>
  <c r="J348" i="1"/>
  <c r="K348" i="1" s="1"/>
  <c r="A348" i="1"/>
  <c r="J347" i="1"/>
  <c r="K347" i="1" s="1"/>
  <c r="A347" i="1"/>
  <c r="J346" i="1"/>
  <c r="K346" i="1" s="1"/>
  <c r="A346" i="1"/>
  <c r="J345" i="1"/>
  <c r="K345" i="1" s="1"/>
  <c r="A345" i="1"/>
  <c r="J344" i="1"/>
  <c r="K344" i="1" s="1"/>
  <c r="A344" i="1"/>
  <c r="J343" i="1"/>
  <c r="K343" i="1" s="1"/>
  <c r="A343" i="1"/>
  <c r="J342" i="1"/>
  <c r="K342" i="1" s="1"/>
  <c r="A342" i="1"/>
  <c r="J341" i="1"/>
  <c r="K341" i="1" s="1"/>
  <c r="A341" i="1"/>
  <c r="J340" i="1"/>
  <c r="K340" i="1" s="1"/>
  <c r="A340" i="1"/>
  <c r="J339" i="1"/>
  <c r="K339" i="1" s="1"/>
  <c r="A339" i="1"/>
  <c r="J338" i="1"/>
  <c r="K338" i="1" s="1"/>
  <c r="A338" i="1"/>
  <c r="J337" i="1"/>
  <c r="K337" i="1" s="1"/>
  <c r="A337" i="1"/>
  <c r="J336" i="1"/>
  <c r="K336" i="1" s="1"/>
  <c r="A336" i="1"/>
  <c r="J335" i="1"/>
  <c r="K335" i="1" s="1"/>
  <c r="A335" i="1"/>
  <c r="J334" i="1"/>
  <c r="K334" i="1" s="1"/>
  <c r="A334" i="1"/>
  <c r="J333" i="1"/>
  <c r="K333" i="1" s="1"/>
  <c r="A333" i="1"/>
  <c r="J332" i="1"/>
  <c r="K332" i="1" s="1"/>
  <c r="A332" i="1"/>
  <c r="J331" i="1"/>
  <c r="K331" i="1" s="1"/>
  <c r="A331" i="1"/>
  <c r="J330" i="1"/>
  <c r="K330" i="1" s="1"/>
  <c r="A330" i="1"/>
  <c r="J329" i="1"/>
  <c r="K329" i="1" s="1"/>
  <c r="A329" i="1"/>
  <c r="J328" i="1"/>
  <c r="K328" i="1" s="1"/>
  <c r="A328" i="1"/>
  <c r="J327" i="1"/>
  <c r="K327" i="1" s="1"/>
  <c r="A327" i="1"/>
  <c r="J326" i="1"/>
  <c r="K326" i="1" s="1"/>
  <c r="A326" i="1"/>
  <c r="J325" i="1"/>
  <c r="K325" i="1" s="1"/>
  <c r="A325" i="1"/>
  <c r="J324" i="1"/>
  <c r="K324" i="1" s="1"/>
  <c r="A324" i="1"/>
  <c r="J323" i="1"/>
  <c r="K323" i="1" s="1"/>
  <c r="A323" i="1"/>
  <c r="J322" i="1"/>
  <c r="K322" i="1" s="1"/>
  <c r="A322" i="1"/>
  <c r="J321" i="1"/>
  <c r="K321" i="1" s="1"/>
  <c r="A321" i="1"/>
  <c r="J320" i="1"/>
  <c r="K320" i="1" s="1"/>
  <c r="A320" i="1"/>
  <c r="J319" i="1"/>
  <c r="K319" i="1" s="1"/>
  <c r="A319" i="1"/>
  <c r="J318" i="1"/>
  <c r="K318" i="1" s="1"/>
  <c r="A318" i="1"/>
  <c r="J317" i="1"/>
  <c r="K317" i="1" s="1"/>
  <c r="A317" i="1"/>
  <c r="J316" i="1"/>
  <c r="K316" i="1" s="1"/>
  <c r="A316" i="1"/>
  <c r="J315" i="1"/>
  <c r="K315" i="1" s="1"/>
  <c r="A315" i="1"/>
  <c r="J314" i="1"/>
  <c r="K314" i="1" s="1"/>
  <c r="A314" i="1"/>
  <c r="J313" i="1"/>
  <c r="K313" i="1" s="1"/>
  <c r="A313" i="1"/>
  <c r="J312" i="1"/>
  <c r="K312" i="1" s="1"/>
  <c r="A312" i="1"/>
  <c r="J311" i="1"/>
  <c r="K311" i="1" s="1"/>
  <c r="A311" i="1"/>
  <c r="J310" i="1"/>
  <c r="K310" i="1" s="1"/>
  <c r="A310" i="1"/>
  <c r="J309" i="1"/>
  <c r="K309" i="1" s="1"/>
  <c r="A309" i="1"/>
  <c r="J308" i="1"/>
  <c r="K308" i="1" s="1"/>
  <c r="A308" i="1"/>
  <c r="J307" i="1"/>
  <c r="K307" i="1" s="1"/>
  <c r="A307" i="1"/>
  <c r="J306" i="1"/>
  <c r="K306" i="1" s="1"/>
  <c r="A306" i="1"/>
  <c r="J305" i="1"/>
  <c r="K305" i="1" s="1"/>
  <c r="A305" i="1"/>
  <c r="J304" i="1"/>
  <c r="K304" i="1" s="1"/>
  <c r="A304" i="1"/>
  <c r="J303" i="1"/>
  <c r="K303" i="1" s="1"/>
  <c r="A303" i="1"/>
  <c r="J302" i="1"/>
  <c r="K302" i="1" s="1"/>
  <c r="A302" i="1"/>
  <c r="J301" i="1"/>
  <c r="K301" i="1" s="1"/>
  <c r="A301" i="1"/>
  <c r="J300" i="1"/>
  <c r="K300" i="1" s="1"/>
  <c r="A300" i="1"/>
  <c r="J299" i="1"/>
  <c r="K299" i="1" s="1"/>
  <c r="A299" i="1"/>
  <c r="J298" i="1"/>
  <c r="K298" i="1" s="1"/>
  <c r="A298" i="1"/>
  <c r="J297" i="1"/>
  <c r="K297" i="1" s="1"/>
  <c r="A297" i="1"/>
  <c r="J296" i="1"/>
  <c r="K296" i="1" s="1"/>
  <c r="A296" i="1"/>
  <c r="J295" i="1"/>
  <c r="K295" i="1" s="1"/>
  <c r="A295" i="1"/>
  <c r="J294" i="1"/>
  <c r="K294" i="1" s="1"/>
  <c r="A294" i="1"/>
  <c r="J293" i="1"/>
  <c r="K293" i="1" s="1"/>
  <c r="A293" i="1"/>
  <c r="J292" i="1"/>
  <c r="K292" i="1" s="1"/>
  <c r="A292" i="1"/>
  <c r="J291" i="1"/>
  <c r="K291" i="1" s="1"/>
  <c r="A291" i="1"/>
  <c r="J290" i="1"/>
  <c r="K290" i="1" s="1"/>
  <c r="A290" i="1"/>
  <c r="J289" i="1"/>
  <c r="K289" i="1" s="1"/>
  <c r="A289" i="1"/>
  <c r="J288" i="1"/>
  <c r="K288" i="1" s="1"/>
  <c r="A288" i="1"/>
  <c r="J287" i="1"/>
  <c r="K287" i="1" s="1"/>
  <c r="A287" i="1"/>
  <c r="J286" i="1"/>
  <c r="K286" i="1" s="1"/>
  <c r="A286" i="1"/>
  <c r="J285" i="1"/>
  <c r="K285" i="1" s="1"/>
  <c r="A285" i="1"/>
  <c r="J284" i="1"/>
  <c r="K284" i="1" s="1"/>
  <c r="A284" i="1"/>
  <c r="J283" i="1"/>
  <c r="K283" i="1" s="1"/>
  <c r="A283" i="1"/>
  <c r="J282" i="1"/>
  <c r="K282" i="1" s="1"/>
  <c r="A282" i="1"/>
  <c r="J281" i="1"/>
  <c r="K281" i="1" s="1"/>
  <c r="A281" i="1"/>
  <c r="J280" i="1"/>
  <c r="K280" i="1" s="1"/>
  <c r="A280" i="1"/>
  <c r="J279" i="1"/>
  <c r="K279" i="1" s="1"/>
  <c r="A279" i="1"/>
  <c r="J278" i="1"/>
  <c r="K278" i="1" s="1"/>
  <c r="A278" i="1"/>
  <c r="J277" i="1"/>
  <c r="K277" i="1" s="1"/>
  <c r="A277" i="1"/>
  <c r="J276" i="1"/>
  <c r="K276" i="1" s="1"/>
  <c r="A276" i="1"/>
  <c r="J275" i="1"/>
  <c r="K275" i="1" s="1"/>
  <c r="A275" i="1"/>
  <c r="J274" i="1"/>
  <c r="K274" i="1" s="1"/>
  <c r="A274" i="1"/>
  <c r="J273" i="1"/>
  <c r="K273" i="1" s="1"/>
  <c r="A273" i="1"/>
  <c r="J272" i="1"/>
  <c r="K272" i="1" s="1"/>
  <c r="A272" i="1"/>
  <c r="J271" i="1"/>
  <c r="K271" i="1" s="1"/>
  <c r="A271" i="1"/>
  <c r="J270" i="1"/>
  <c r="K270" i="1" s="1"/>
  <c r="A270" i="1"/>
  <c r="J269" i="1"/>
  <c r="K269" i="1" s="1"/>
  <c r="A269" i="1"/>
  <c r="J268" i="1"/>
  <c r="K268" i="1" s="1"/>
  <c r="A268" i="1"/>
  <c r="J267" i="1"/>
  <c r="K267" i="1" s="1"/>
  <c r="A267" i="1"/>
  <c r="J266" i="1"/>
  <c r="K266" i="1" s="1"/>
  <c r="A266" i="1"/>
  <c r="J265" i="1"/>
  <c r="K265" i="1" s="1"/>
  <c r="A265" i="1"/>
  <c r="J264" i="1"/>
  <c r="K264" i="1" s="1"/>
  <c r="A264" i="1"/>
  <c r="J263" i="1"/>
  <c r="K263" i="1" s="1"/>
  <c r="A263" i="1"/>
  <c r="J262" i="1"/>
  <c r="K262" i="1" s="1"/>
  <c r="A262" i="1"/>
  <c r="J261" i="1"/>
  <c r="K261" i="1" s="1"/>
  <c r="A261" i="1"/>
  <c r="J260" i="1"/>
  <c r="K260" i="1" s="1"/>
  <c r="A260" i="1"/>
  <c r="J259" i="1"/>
  <c r="K259" i="1" s="1"/>
  <c r="A259" i="1"/>
  <c r="J258" i="1"/>
  <c r="K258" i="1" s="1"/>
  <c r="A258" i="1"/>
  <c r="J257" i="1"/>
  <c r="K257" i="1" s="1"/>
  <c r="A257" i="1"/>
  <c r="J256" i="1"/>
  <c r="K256" i="1" s="1"/>
  <c r="A256" i="1"/>
  <c r="J255" i="1"/>
  <c r="K255" i="1" s="1"/>
  <c r="A255" i="1"/>
  <c r="J254" i="1"/>
  <c r="K254" i="1" s="1"/>
  <c r="A254" i="1"/>
  <c r="J253" i="1"/>
  <c r="K253" i="1" s="1"/>
  <c r="A253" i="1"/>
  <c r="J252" i="1"/>
  <c r="K252" i="1" s="1"/>
  <c r="A252" i="1"/>
  <c r="J251" i="1"/>
  <c r="K251" i="1" s="1"/>
  <c r="A251" i="1"/>
  <c r="J250" i="1"/>
  <c r="K250" i="1" s="1"/>
  <c r="A250" i="1"/>
  <c r="J249" i="1"/>
  <c r="K249" i="1" s="1"/>
  <c r="A249" i="1"/>
  <c r="J248" i="1"/>
  <c r="K248" i="1" s="1"/>
  <c r="A248" i="1"/>
  <c r="J247" i="1"/>
  <c r="K247" i="1" s="1"/>
  <c r="A247" i="1"/>
  <c r="J246" i="1"/>
  <c r="K246" i="1" s="1"/>
  <c r="A246" i="1"/>
  <c r="J245" i="1"/>
  <c r="K245" i="1" s="1"/>
  <c r="A245" i="1"/>
  <c r="J244" i="1"/>
  <c r="K244" i="1" s="1"/>
  <c r="A244" i="1"/>
  <c r="J243" i="1"/>
  <c r="K243" i="1" s="1"/>
  <c r="A243" i="1"/>
  <c r="J242" i="1"/>
  <c r="K242" i="1" s="1"/>
  <c r="A242" i="1"/>
  <c r="J241" i="1"/>
  <c r="K241" i="1" s="1"/>
  <c r="A241" i="1"/>
  <c r="J240" i="1"/>
  <c r="K240" i="1" s="1"/>
  <c r="A240" i="1"/>
  <c r="J239" i="1"/>
  <c r="K239" i="1" s="1"/>
  <c r="A239" i="1"/>
  <c r="J238" i="1"/>
  <c r="K238" i="1" s="1"/>
  <c r="A238" i="1"/>
  <c r="J237" i="1"/>
  <c r="K237" i="1" s="1"/>
  <c r="A237" i="1"/>
  <c r="J236" i="1"/>
  <c r="K236" i="1" s="1"/>
  <c r="A236" i="1"/>
  <c r="J235" i="1"/>
  <c r="K235" i="1" s="1"/>
  <c r="A235" i="1"/>
  <c r="J234" i="1"/>
  <c r="K234" i="1" s="1"/>
  <c r="A234" i="1"/>
  <c r="J233" i="1"/>
  <c r="K233" i="1" s="1"/>
  <c r="A233" i="1"/>
  <c r="J232" i="1"/>
  <c r="K232" i="1" s="1"/>
  <c r="A232" i="1"/>
  <c r="J231" i="1"/>
  <c r="K231" i="1" s="1"/>
  <c r="A231" i="1"/>
  <c r="J230" i="1"/>
  <c r="K230" i="1" s="1"/>
  <c r="A230" i="1"/>
  <c r="J229" i="1"/>
  <c r="K229" i="1" s="1"/>
  <c r="A229" i="1"/>
  <c r="J228" i="1"/>
  <c r="K228" i="1" s="1"/>
  <c r="A228" i="1"/>
  <c r="J227" i="1"/>
  <c r="K227" i="1" s="1"/>
  <c r="A227" i="1"/>
  <c r="J226" i="1"/>
  <c r="K226" i="1" s="1"/>
  <c r="A226" i="1"/>
  <c r="J225" i="1"/>
  <c r="K225" i="1" s="1"/>
  <c r="A225" i="1"/>
  <c r="J224" i="1"/>
  <c r="K224" i="1" s="1"/>
  <c r="A224" i="1"/>
  <c r="J223" i="1"/>
  <c r="K223" i="1" s="1"/>
  <c r="A223" i="1"/>
  <c r="J222" i="1"/>
  <c r="K222" i="1" s="1"/>
  <c r="A222" i="1"/>
  <c r="J221" i="1"/>
  <c r="K221" i="1" s="1"/>
  <c r="A221" i="1"/>
  <c r="J220" i="1"/>
  <c r="K220" i="1" s="1"/>
  <c r="A220" i="1"/>
  <c r="J219" i="1"/>
  <c r="K219" i="1" s="1"/>
  <c r="A219" i="1"/>
  <c r="J218" i="1"/>
  <c r="K218" i="1" s="1"/>
  <c r="A218" i="1"/>
  <c r="J217" i="1"/>
  <c r="K217" i="1" s="1"/>
  <c r="A217" i="1"/>
  <c r="J216" i="1"/>
  <c r="K216" i="1" s="1"/>
  <c r="A216" i="1"/>
  <c r="J215" i="1"/>
  <c r="K215" i="1" s="1"/>
  <c r="A215" i="1"/>
  <c r="J214" i="1"/>
  <c r="K214" i="1" s="1"/>
  <c r="A214" i="1"/>
  <c r="J213" i="1"/>
  <c r="K213" i="1" s="1"/>
  <c r="A213" i="1"/>
  <c r="J212" i="1"/>
  <c r="K212" i="1" s="1"/>
  <c r="A212" i="1"/>
  <c r="J211" i="1"/>
  <c r="K211" i="1" s="1"/>
  <c r="A211" i="1"/>
  <c r="J210" i="1"/>
  <c r="K210" i="1" s="1"/>
  <c r="A210" i="1"/>
  <c r="J209" i="1"/>
  <c r="K209" i="1" s="1"/>
  <c r="A209" i="1"/>
  <c r="J208" i="1"/>
  <c r="K208" i="1" s="1"/>
  <c r="A208" i="1"/>
  <c r="J207" i="1"/>
  <c r="K207" i="1" s="1"/>
  <c r="A207" i="1"/>
  <c r="J206" i="1"/>
  <c r="K206" i="1" s="1"/>
  <c r="A206" i="1"/>
  <c r="J205" i="1"/>
  <c r="K205" i="1" s="1"/>
  <c r="A205" i="1"/>
  <c r="J204" i="1"/>
  <c r="K204" i="1" s="1"/>
  <c r="A204" i="1"/>
  <c r="J203" i="1"/>
  <c r="K203" i="1" s="1"/>
  <c r="A203" i="1"/>
  <c r="J202" i="1"/>
  <c r="K202" i="1" s="1"/>
  <c r="A202" i="1"/>
  <c r="J201" i="1"/>
  <c r="K201" i="1" s="1"/>
  <c r="A201" i="1"/>
  <c r="J200" i="1"/>
  <c r="K200" i="1" s="1"/>
  <c r="A200" i="1"/>
  <c r="J199" i="1"/>
  <c r="K199" i="1" s="1"/>
  <c r="A199" i="1"/>
  <c r="J198" i="1"/>
  <c r="K198" i="1" s="1"/>
  <c r="A198" i="1"/>
  <c r="J197" i="1"/>
  <c r="K197" i="1" s="1"/>
  <c r="A197" i="1"/>
  <c r="J196" i="1"/>
  <c r="K196" i="1" s="1"/>
  <c r="A196" i="1"/>
  <c r="J195" i="1"/>
  <c r="K195" i="1" s="1"/>
  <c r="A195" i="1"/>
  <c r="J194" i="1"/>
  <c r="K194" i="1" s="1"/>
  <c r="A194" i="1"/>
  <c r="J193" i="1"/>
  <c r="K193" i="1" s="1"/>
  <c r="A193" i="1"/>
  <c r="J192" i="1"/>
  <c r="K192" i="1" s="1"/>
  <c r="A192" i="1"/>
  <c r="J191" i="1"/>
  <c r="K191" i="1" s="1"/>
  <c r="A191" i="1"/>
  <c r="J190" i="1"/>
  <c r="K190" i="1" s="1"/>
  <c r="A190" i="1"/>
  <c r="J189" i="1"/>
  <c r="K189" i="1" s="1"/>
  <c r="A189" i="1"/>
  <c r="J188" i="1"/>
  <c r="K188" i="1" s="1"/>
  <c r="A188" i="1"/>
  <c r="J187" i="1"/>
  <c r="K187" i="1" s="1"/>
  <c r="A187" i="1"/>
  <c r="J186" i="1"/>
  <c r="K186" i="1" s="1"/>
  <c r="A186" i="1"/>
  <c r="J185" i="1"/>
  <c r="K185" i="1" s="1"/>
  <c r="A185" i="1"/>
  <c r="J184" i="1"/>
  <c r="K184" i="1" s="1"/>
  <c r="A184" i="1"/>
  <c r="J183" i="1"/>
  <c r="K183" i="1" s="1"/>
  <c r="A183" i="1"/>
  <c r="J182" i="1"/>
  <c r="K182" i="1" s="1"/>
  <c r="A182" i="1"/>
  <c r="J181" i="1"/>
  <c r="K181" i="1" s="1"/>
  <c r="A181" i="1"/>
  <c r="J180" i="1"/>
  <c r="K180" i="1" s="1"/>
  <c r="A180" i="1"/>
  <c r="J179" i="1"/>
  <c r="K179" i="1" s="1"/>
  <c r="A179" i="1"/>
  <c r="J178" i="1"/>
  <c r="K178" i="1" s="1"/>
  <c r="A178" i="1"/>
  <c r="J177" i="1"/>
  <c r="K177" i="1" s="1"/>
  <c r="A177" i="1"/>
  <c r="J176" i="1"/>
  <c r="K176" i="1" s="1"/>
  <c r="A176" i="1"/>
  <c r="J175" i="1"/>
  <c r="K175" i="1" s="1"/>
  <c r="A175" i="1"/>
  <c r="J174" i="1"/>
  <c r="K174" i="1" s="1"/>
  <c r="A174" i="1"/>
  <c r="J173" i="1"/>
  <c r="K173" i="1" s="1"/>
  <c r="A173" i="1"/>
  <c r="J172" i="1"/>
  <c r="K172" i="1" s="1"/>
  <c r="A172" i="1"/>
  <c r="J171" i="1"/>
  <c r="K171" i="1" s="1"/>
  <c r="A171" i="1"/>
  <c r="J170" i="1"/>
  <c r="K170" i="1" s="1"/>
  <c r="A170" i="1"/>
  <c r="J169" i="1"/>
  <c r="K169" i="1" s="1"/>
  <c r="A169" i="1"/>
  <c r="J168" i="1"/>
  <c r="K168" i="1" s="1"/>
  <c r="A168" i="1"/>
  <c r="J167" i="1"/>
  <c r="K167" i="1" s="1"/>
  <c r="A167" i="1"/>
  <c r="J166" i="1"/>
  <c r="K166" i="1" s="1"/>
  <c r="A166" i="1"/>
  <c r="J165" i="1"/>
  <c r="K165" i="1" s="1"/>
  <c r="A165" i="1"/>
  <c r="J164" i="1"/>
  <c r="K164" i="1" s="1"/>
  <c r="A164" i="1"/>
  <c r="J163" i="1"/>
  <c r="K163" i="1" s="1"/>
  <c r="A163" i="1"/>
  <c r="J162" i="1"/>
  <c r="K162" i="1" s="1"/>
  <c r="A162" i="1"/>
  <c r="J161" i="1"/>
  <c r="K161" i="1" s="1"/>
  <c r="A161" i="1"/>
  <c r="J160" i="1"/>
  <c r="K160" i="1" s="1"/>
  <c r="A160" i="1"/>
  <c r="J159" i="1"/>
  <c r="K159" i="1" s="1"/>
  <c r="A159" i="1"/>
  <c r="J158" i="1"/>
  <c r="K158" i="1" s="1"/>
  <c r="A158" i="1"/>
  <c r="J157" i="1"/>
  <c r="K157" i="1" s="1"/>
  <c r="A157" i="1"/>
  <c r="J156" i="1"/>
  <c r="K156" i="1" s="1"/>
  <c r="A156" i="1"/>
  <c r="J155" i="1"/>
  <c r="K155" i="1" s="1"/>
  <c r="A155" i="1"/>
  <c r="J154" i="1"/>
  <c r="K154" i="1" s="1"/>
  <c r="A154" i="1"/>
  <c r="J153" i="1"/>
  <c r="K153" i="1" s="1"/>
  <c r="A153" i="1"/>
  <c r="J152" i="1"/>
  <c r="K152" i="1" s="1"/>
  <c r="A152" i="1"/>
  <c r="J151" i="1"/>
  <c r="K151" i="1" s="1"/>
  <c r="A151" i="1"/>
  <c r="J150" i="1"/>
  <c r="K150" i="1" s="1"/>
  <c r="A150" i="1"/>
  <c r="J149" i="1"/>
  <c r="K149" i="1" s="1"/>
  <c r="A149" i="1"/>
  <c r="J148" i="1"/>
  <c r="K148" i="1" s="1"/>
  <c r="A148" i="1"/>
  <c r="J147" i="1"/>
  <c r="K147" i="1" s="1"/>
  <c r="A147" i="1"/>
  <c r="J146" i="1"/>
  <c r="K146" i="1" s="1"/>
  <c r="A146" i="1"/>
  <c r="J145" i="1"/>
  <c r="K145" i="1" s="1"/>
  <c r="A145" i="1"/>
  <c r="J144" i="1"/>
  <c r="K144" i="1" s="1"/>
  <c r="A144" i="1"/>
  <c r="J143" i="1"/>
  <c r="K143" i="1" s="1"/>
  <c r="A143" i="1"/>
  <c r="J142" i="1"/>
  <c r="K142" i="1" s="1"/>
  <c r="A142" i="1"/>
  <c r="J141" i="1"/>
  <c r="K141" i="1" s="1"/>
  <c r="A141" i="1"/>
  <c r="J140" i="1"/>
  <c r="K140" i="1" s="1"/>
  <c r="A140" i="1"/>
  <c r="J139" i="1"/>
  <c r="K139" i="1" s="1"/>
  <c r="A139" i="1"/>
  <c r="J138" i="1"/>
  <c r="K138" i="1" s="1"/>
  <c r="A138" i="1"/>
  <c r="J137" i="1"/>
  <c r="K137" i="1" s="1"/>
  <c r="A137" i="1"/>
  <c r="J136" i="1"/>
  <c r="K136" i="1" s="1"/>
  <c r="A136" i="1"/>
  <c r="J135" i="1"/>
  <c r="K135" i="1" s="1"/>
  <c r="A135" i="1"/>
  <c r="J134" i="1"/>
  <c r="K134" i="1" s="1"/>
  <c r="A134" i="1"/>
  <c r="J133" i="1"/>
  <c r="K133" i="1" s="1"/>
  <c r="A133" i="1"/>
  <c r="J132" i="1"/>
  <c r="K132" i="1" s="1"/>
  <c r="A132" i="1"/>
  <c r="J131" i="1"/>
  <c r="K131" i="1" s="1"/>
  <c r="A131" i="1"/>
  <c r="J130" i="1"/>
  <c r="K130" i="1" s="1"/>
  <c r="A130" i="1"/>
  <c r="J129" i="1"/>
  <c r="K129" i="1" s="1"/>
  <c r="A129" i="1"/>
  <c r="J128" i="1"/>
  <c r="K128" i="1" s="1"/>
  <c r="A128" i="1"/>
  <c r="J127" i="1"/>
  <c r="K127" i="1" s="1"/>
  <c r="A127" i="1"/>
  <c r="J126" i="1"/>
  <c r="K126" i="1" s="1"/>
  <c r="A126" i="1"/>
  <c r="J125" i="1"/>
  <c r="K125" i="1" s="1"/>
  <c r="A125" i="1"/>
  <c r="J124" i="1"/>
  <c r="K124" i="1" s="1"/>
  <c r="A124" i="1"/>
  <c r="J123" i="1"/>
  <c r="K123" i="1" s="1"/>
  <c r="A123" i="1"/>
  <c r="J122" i="1"/>
  <c r="K122" i="1" s="1"/>
  <c r="A122" i="1"/>
  <c r="J121" i="1"/>
  <c r="K121" i="1" s="1"/>
  <c r="A121" i="1"/>
  <c r="J120" i="1"/>
  <c r="K120" i="1" s="1"/>
  <c r="A120" i="1"/>
  <c r="J119" i="1"/>
  <c r="K119" i="1" s="1"/>
  <c r="A119" i="1"/>
  <c r="J118" i="1"/>
  <c r="K118" i="1" s="1"/>
  <c r="A118" i="1"/>
  <c r="J117" i="1"/>
  <c r="K117" i="1" s="1"/>
  <c r="A117" i="1"/>
  <c r="J116" i="1"/>
  <c r="K116" i="1" s="1"/>
  <c r="A116" i="1"/>
  <c r="J115" i="1"/>
  <c r="K115" i="1" s="1"/>
  <c r="A115" i="1"/>
  <c r="J114" i="1"/>
  <c r="K114" i="1" s="1"/>
  <c r="A114" i="1"/>
  <c r="J113" i="1"/>
  <c r="K113" i="1" s="1"/>
  <c r="A113" i="1"/>
  <c r="J112" i="1"/>
  <c r="K112" i="1" s="1"/>
  <c r="A112" i="1"/>
  <c r="J111" i="1"/>
  <c r="K111" i="1" s="1"/>
  <c r="A111" i="1"/>
  <c r="J110" i="1"/>
  <c r="K110" i="1" s="1"/>
  <c r="A110" i="1"/>
  <c r="J109" i="1"/>
  <c r="K109" i="1" s="1"/>
  <c r="A109" i="1"/>
  <c r="J108" i="1"/>
  <c r="K108" i="1" s="1"/>
  <c r="A108" i="1"/>
  <c r="J107" i="1"/>
  <c r="K107" i="1" s="1"/>
  <c r="A107" i="1"/>
  <c r="J106" i="1"/>
  <c r="K106" i="1" s="1"/>
  <c r="A106" i="1"/>
  <c r="J105" i="1"/>
  <c r="K105" i="1" s="1"/>
  <c r="A105" i="1"/>
  <c r="J104" i="1"/>
  <c r="K104" i="1" s="1"/>
  <c r="A104" i="1"/>
  <c r="J103" i="1"/>
  <c r="K103" i="1" s="1"/>
  <c r="A103" i="1"/>
  <c r="J102" i="1"/>
  <c r="K102" i="1" s="1"/>
  <c r="A102" i="1"/>
  <c r="J101" i="1"/>
  <c r="K101" i="1" s="1"/>
  <c r="A101" i="1"/>
  <c r="J100" i="1"/>
  <c r="K100" i="1" s="1"/>
  <c r="A100" i="1"/>
  <c r="J99" i="1"/>
  <c r="K99" i="1" s="1"/>
  <c r="A99" i="1"/>
  <c r="J98" i="1"/>
  <c r="K98" i="1" s="1"/>
  <c r="A98" i="1"/>
  <c r="J97" i="1"/>
  <c r="K97" i="1" s="1"/>
  <c r="A97" i="1"/>
  <c r="J96" i="1"/>
  <c r="K96" i="1" s="1"/>
  <c r="A96" i="1"/>
  <c r="J95" i="1"/>
  <c r="K95" i="1" s="1"/>
  <c r="A95" i="1"/>
  <c r="J94" i="1"/>
  <c r="K94" i="1" s="1"/>
  <c r="A94" i="1"/>
  <c r="J93" i="1"/>
  <c r="K93" i="1" s="1"/>
  <c r="A93" i="1"/>
  <c r="J92" i="1"/>
  <c r="K92" i="1" s="1"/>
  <c r="A92" i="1"/>
  <c r="J91" i="1"/>
  <c r="K91" i="1" s="1"/>
  <c r="A91" i="1"/>
  <c r="J90" i="1"/>
  <c r="K90" i="1" s="1"/>
  <c r="A90" i="1"/>
  <c r="J89" i="1"/>
  <c r="K89" i="1" s="1"/>
  <c r="A89" i="1"/>
  <c r="J88" i="1"/>
  <c r="K88" i="1" s="1"/>
  <c r="A88" i="1"/>
  <c r="J87" i="1"/>
  <c r="K87" i="1" s="1"/>
  <c r="A87" i="1"/>
  <c r="J86" i="1"/>
  <c r="K86" i="1" s="1"/>
  <c r="A86" i="1"/>
  <c r="J85" i="1"/>
  <c r="K85" i="1" s="1"/>
  <c r="A85" i="1"/>
  <c r="J84" i="1"/>
  <c r="K84" i="1" s="1"/>
  <c r="A84" i="1"/>
  <c r="J83" i="1"/>
  <c r="K83" i="1" s="1"/>
  <c r="A83" i="1"/>
  <c r="J82" i="1"/>
  <c r="K82" i="1" s="1"/>
  <c r="A82" i="1"/>
  <c r="J81" i="1"/>
  <c r="K81" i="1" s="1"/>
  <c r="A81" i="1"/>
  <c r="J80" i="1"/>
  <c r="K80" i="1" s="1"/>
  <c r="A80" i="1"/>
  <c r="J79" i="1"/>
  <c r="K79" i="1" s="1"/>
  <c r="A79" i="1"/>
  <c r="J78" i="1"/>
  <c r="K78" i="1" s="1"/>
  <c r="A78" i="1"/>
  <c r="J77" i="1"/>
  <c r="K77" i="1" s="1"/>
  <c r="A77" i="1"/>
  <c r="J76" i="1"/>
  <c r="K76" i="1" s="1"/>
  <c r="A76" i="1"/>
  <c r="J75" i="1"/>
  <c r="K75" i="1" s="1"/>
  <c r="A75" i="1"/>
  <c r="J74" i="1"/>
  <c r="K74" i="1" s="1"/>
  <c r="A74" i="1"/>
  <c r="J73" i="1"/>
  <c r="K73" i="1" s="1"/>
  <c r="A73" i="1"/>
  <c r="J72" i="1"/>
  <c r="K72" i="1" s="1"/>
  <c r="A72" i="1"/>
  <c r="J71" i="1"/>
  <c r="K71" i="1" s="1"/>
  <c r="A71" i="1"/>
  <c r="J70" i="1"/>
  <c r="K70" i="1" s="1"/>
  <c r="A70" i="1"/>
  <c r="J69" i="1"/>
  <c r="K69" i="1" s="1"/>
  <c r="A69" i="1"/>
  <c r="J68" i="1"/>
  <c r="K68" i="1" s="1"/>
  <c r="A68" i="1"/>
  <c r="J67" i="1"/>
  <c r="K67" i="1" s="1"/>
  <c r="A67" i="1"/>
  <c r="J66" i="1"/>
  <c r="K66" i="1" s="1"/>
  <c r="A66" i="1"/>
  <c r="J65" i="1"/>
  <c r="K65" i="1" s="1"/>
  <c r="A65" i="1"/>
  <c r="J64" i="1"/>
  <c r="K64" i="1" s="1"/>
  <c r="A64" i="1"/>
  <c r="J63" i="1"/>
  <c r="K63" i="1" s="1"/>
  <c r="A63" i="1"/>
  <c r="J62" i="1"/>
  <c r="K62" i="1" s="1"/>
  <c r="A62" i="1"/>
  <c r="J61" i="1"/>
  <c r="K61" i="1" s="1"/>
  <c r="A61" i="1"/>
  <c r="J60" i="1"/>
  <c r="K60" i="1" s="1"/>
  <c r="A60" i="1"/>
  <c r="J59" i="1"/>
  <c r="K59" i="1" s="1"/>
  <c r="A59" i="1"/>
  <c r="J58" i="1"/>
  <c r="K58" i="1" s="1"/>
  <c r="A58" i="1"/>
  <c r="J57" i="1"/>
  <c r="K57" i="1" s="1"/>
  <c r="A57" i="1"/>
  <c r="J56" i="1"/>
  <c r="K56" i="1" s="1"/>
  <c r="A56" i="1"/>
  <c r="J55" i="1"/>
  <c r="K55" i="1" s="1"/>
  <c r="A55" i="1"/>
  <c r="J54" i="1"/>
  <c r="K54" i="1" s="1"/>
  <c r="A54" i="1"/>
  <c r="J53" i="1"/>
  <c r="K53" i="1" s="1"/>
  <c r="A53" i="1"/>
  <c r="J52" i="1"/>
  <c r="K52" i="1" s="1"/>
  <c r="A52" i="1"/>
  <c r="J51" i="1"/>
  <c r="K51" i="1" s="1"/>
  <c r="A51" i="1"/>
  <c r="J50" i="1"/>
  <c r="K50" i="1" s="1"/>
  <c r="A50" i="1"/>
  <c r="J49" i="1"/>
  <c r="K49" i="1" s="1"/>
  <c r="A49" i="1"/>
  <c r="J48" i="1"/>
  <c r="K48" i="1" s="1"/>
  <c r="A48" i="1"/>
  <c r="J47" i="1"/>
  <c r="K47" i="1" s="1"/>
  <c r="A47" i="1"/>
  <c r="J46" i="1"/>
  <c r="K46" i="1" s="1"/>
  <c r="A46" i="1"/>
  <c r="J45" i="1"/>
  <c r="K45" i="1" s="1"/>
  <c r="A45" i="1"/>
  <c r="J44" i="1"/>
  <c r="K44" i="1" s="1"/>
  <c r="A44" i="1"/>
  <c r="J43" i="1"/>
  <c r="K43" i="1" s="1"/>
  <c r="A43" i="1"/>
  <c r="J42" i="1"/>
  <c r="K42" i="1" s="1"/>
  <c r="A42" i="1"/>
  <c r="J41" i="1"/>
  <c r="K41" i="1" s="1"/>
  <c r="A41" i="1"/>
  <c r="J40" i="1"/>
  <c r="K40" i="1" s="1"/>
  <c r="A40" i="1"/>
  <c r="J39" i="1"/>
  <c r="K39" i="1" s="1"/>
  <c r="A39" i="1"/>
  <c r="J38" i="1"/>
  <c r="K38" i="1" s="1"/>
  <c r="A38" i="1"/>
  <c r="J37" i="1"/>
  <c r="K37" i="1" s="1"/>
  <c r="A37" i="1"/>
  <c r="J36" i="1"/>
  <c r="K36" i="1" s="1"/>
  <c r="A36" i="1"/>
  <c r="J35" i="1"/>
  <c r="K35" i="1" s="1"/>
  <c r="A35" i="1"/>
  <c r="J34" i="1"/>
  <c r="K34" i="1" s="1"/>
  <c r="A34" i="1"/>
  <c r="J33" i="1"/>
  <c r="K33" i="1" s="1"/>
  <c r="A33" i="1"/>
  <c r="J32" i="1"/>
  <c r="K32" i="1" s="1"/>
  <c r="A32" i="1"/>
  <c r="J31" i="1"/>
  <c r="K31" i="1" s="1"/>
  <c r="A31" i="1"/>
  <c r="J30" i="1"/>
  <c r="K30" i="1" s="1"/>
  <c r="A30" i="1"/>
  <c r="J29" i="1"/>
  <c r="K29" i="1" s="1"/>
  <c r="A29" i="1"/>
  <c r="J28" i="1"/>
  <c r="K28" i="1" s="1"/>
  <c r="A28" i="1"/>
  <c r="K27" i="1"/>
  <c r="A27" i="1"/>
  <c r="K26" i="1"/>
  <c r="A26" i="1"/>
  <c r="K25" i="1"/>
  <c r="A25" i="1"/>
  <c r="K24" i="1"/>
  <c r="A24" i="1"/>
  <c r="K23" i="1"/>
  <c r="A23" i="1"/>
  <c r="K22" i="1"/>
  <c r="A22" i="1"/>
  <c r="K21" i="1"/>
  <c r="A21" i="1"/>
  <c r="K20" i="1"/>
  <c r="A20" i="1"/>
  <c r="K19" i="1"/>
  <c r="A19" i="1"/>
  <c r="K18" i="1"/>
  <c r="A18" i="1"/>
  <c r="K17" i="1"/>
  <c r="A17" i="1"/>
  <c r="K16" i="1"/>
  <c r="A16" i="1"/>
  <c r="A15" i="1"/>
  <c r="A14" i="1"/>
  <c r="A13" i="1"/>
  <c r="A12" i="1"/>
  <c r="A11" i="1"/>
  <c r="J10" i="1"/>
  <c r="K10" i="1" s="1"/>
  <c r="A10" i="1"/>
  <c r="J9" i="1"/>
  <c r="K9" i="1" s="1"/>
  <c r="A9" i="1"/>
  <c r="J8" i="1"/>
  <c r="K8" i="1" s="1"/>
  <c r="A8" i="1"/>
  <c r="J7" i="1"/>
  <c r="K7" i="1" s="1"/>
  <c r="A7" i="1"/>
  <c r="J6" i="1"/>
  <c r="K6" i="1" s="1"/>
  <c r="A6" i="1"/>
  <c r="J5" i="1"/>
  <c r="K5" i="1" s="1"/>
  <c r="A5" i="1"/>
  <c r="J4" i="1"/>
  <c r="K4" i="1" s="1"/>
  <c r="A4" i="1"/>
  <c r="J3" i="1"/>
  <c r="K3" i="1" s="1"/>
  <c r="A3" i="1"/>
  <c r="J2" i="1"/>
  <c r="K2" i="1" s="1"/>
  <c r="A2" i="1"/>
  <c r="K11" i="1" l="1"/>
  <c r="K13" i="1"/>
  <c r="K12" i="1"/>
  <c r="K15" i="1"/>
  <c r="F15" i="7" s="1" a="1"/>
  <c r="F15" i="7" s="1"/>
  <c r="E11" i="6"/>
  <c r="H11" i="6" s="1"/>
  <c r="K11" i="6" s="1"/>
  <c r="L11" i="6" s="1"/>
  <c r="C11" i="6"/>
  <c r="M11" i="6" s="1"/>
  <c r="F12" i="7" a="1"/>
  <c r="F12" i="7" s="1"/>
  <c r="F13" i="7" a="1"/>
  <c r="F13" i="7" s="1"/>
  <c r="D12" i="7"/>
  <c r="E12" i="7" s="1"/>
  <c r="H12" i="7" s="1"/>
  <c r="D13" i="7"/>
  <c r="E13" i="7" s="1"/>
  <c r="H13" i="7" s="1"/>
  <c r="D14" i="7"/>
  <c r="E14" i="7" s="1"/>
  <c r="H14" i="7" s="1"/>
  <c r="D15" i="7"/>
  <c r="E15" i="7" s="1"/>
  <c r="H15" i="7" s="1"/>
  <c r="C12" i="7" a="1"/>
  <c r="C12" i="7" s="1"/>
  <c r="C13" i="7" a="1"/>
  <c r="C13" i="7" s="1"/>
  <c r="C14" i="7" a="1"/>
  <c r="C14" i="7" s="1"/>
  <c r="C15" i="7" a="1"/>
  <c r="C15" i="7" s="1"/>
  <c r="K14" i="1"/>
  <c r="F14" i="7" s="1" a="1"/>
  <c r="F14" i="7" s="1"/>
  <c r="D7" i="7"/>
  <c r="E7" i="7" s="1"/>
  <c r="H7" i="7" s="1"/>
  <c r="D10" i="7"/>
  <c r="E10" i="7" s="1"/>
  <c r="H10" i="7" s="1"/>
  <c r="D9" i="7"/>
  <c r="E9" i="7" s="1"/>
  <c r="H9" i="7" s="1"/>
  <c r="D8" i="7"/>
  <c r="D2" i="7"/>
  <c r="D3" i="7"/>
  <c r="D11" i="7"/>
  <c r="E11" i="7" s="1"/>
  <c r="H11" i="7" s="1"/>
  <c r="D4" i="7"/>
  <c r="D5" i="7"/>
  <c r="D6" i="7"/>
  <c r="E6" i="7" s="1"/>
  <c r="H6" i="7" s="1"/>
  <c r="F11" i="7" a="1"/>
  <c r="F11" i="7" s="1"/>
  <c r="C11" i="7" a="1"/>
  <c r="C11" i="7" s="1"/>
  <c r="E6" i="6"/>
  <c r="E7" i="6"/>
  <c r="E8" i="6"/>
  <c r="H8" i="6" s="1"/>
  <c r="K8" i="6" s="1"/>
  <c r="L8" i="6" s="1"/>
  <c r="E9" i="6"/>
  <c r="H9" i="6" s="1"/>
  <c r="K9" i="6" s="1"/>
  <c r="L9" i="6" s="1"/>
  <c r="E10" i="6"/>
  <c r="H10" i="6" s="1"/>
  <c r="K10" i="6" s="1"/>
  <c r="L10" i="6" s="1"/>
  <c r="C6" i="6"/>
  <c r="M6" i="6" s="1"/>
  <c r="C7" i="6"/>
  <c r="M7" i="6" s="1"/>
  <c r="C9" i="6"/>
  <c r="M9" i="6" s="1"/>
  <c r="C10" i="6"/>
  <c r="M10" i="6" s="1"/>
  <c r="C8" i="6"/>
  <c r="E3" i="7"/>
  <c r="H3" i="7" s="1"/>
  <c r="E4" i="7"/>
  <c r="H4" i="7" s="1"/>
  <c r="E5" i="7"/>
  <c r="H5" i="7" s="1"/>
  <c r="E8" i="7"/>
  <c r="H8" i="7" s="1"/>
  <c r="E2" i="7"/>
  <c r="H2" i="7" s="1"/>
  <c r="F6" i="7" a="1"/>
  <c r="F6" i="7" s="1"/>
  <c r="F10" i="7" a="1"/>
  <c r="F10" i="7" s="1"/>
  <c r="F7" i="7" a="1"/>
  <c r="F7" i="7" s="1"/>
  <c r="F8" i="7" a="1"/>
  <c r="F8" i="7" s="1"/>
  <c r="F9" i="7" a="1"/>
  <c r="F9" i="7" s="1"/>
  <c r="C6" i="7" a="1"/>
  <c r="C6" i="7" s="1"/>
  <c r="C10" i="7" a="1"/>
  <c r="C10" i="7" s="1"/>
  <c r="C7" i="7" a="1"/>
  <c r="C7" i="7" s="1"/>
  <c r="C8" i="7" a="1"/>
  <c r="C8" i="7" s="1"/>
  <c r="C9" i="7" a="1"/>
  <c r="C9" i="7" s="1"/>
  <c r="E3" i="6"/>
  <c r="H3" i="6" s="1"/>
  <c r="K3" i="6" s="1"/>
  <c r="L3" i="6" s="1"/>
  <c r="E4" i="6"/>
  <c r="H4" i="6" s="1"/>
  <c r="K4" i="6" s="1"/>
  <c r="L4" i="6" s="1"/>
  <c r="E5" i="6"/>
  <c r="H5" i="6" s="1"/>
  <c r="K5" i="6" s="1"/>
  <c r="L5" i="6" s="1"/>
  <c r="C2" i="6"/>
  <c r="M2" i="6" s="1"/>
  <c r="C4" i="6"/>
  <c r="M4" i="6" s="1"/>
  <c r="C5" i="6"/>
  <c r="M5" i="6" s="1"/>
  <c r="C3" i="6"/>
  <c r="M3" i="6" s="1"/>
  <c r="E2" i="6"/>
  <c r="H2" i="6" s="1"/>
  <c r="K2" i="6" s="1"/>
  <c r="L2" i="6" s="1"/>
  <c r="C2" i="7" a="1"/>
  <c r="C2" i="7" s="1"/>
  <c r="F5" i="7" a="1"/>
  <c r="F5" i="7" s="1"/>
  <c r="F4" i="7" a="1"/>
  <c r="F4" i="7" s="1"/>
  <c r="F3" i="7" a="1"/>
  <c r="F3" i="7" s="1"/>
  <c r="C5" i="7" a="1"/>
  <c r="C5" i="7" s="1"/>
  <c r="C4" i="7" a="1"/>
  <c r="C4" i="7" s="1"/>
  <c r="F2" i="7" a="1"/>
  <c r="F2" i="7" s="1"/>
  <c r="C3" i="7" a="1"/>
  <c r="C3" i="7" s="1"/>
  <c r="M175" i="6"/>
  <c r="M177" i="6"/>
  <c r="M207" i="6"/>
  <c r="M235" i="6"/>
  <c r="M243" i="6"/>
  <c r="M259" i="6"/>
  <c r="M461" i="6"/>
  <c r="M463" i="6"/>
  <c r="M465" i="6"/>
  <c r="M477" i="6"/>
  <c r="M370" i="6"/>
  <c r="M40" i="6"/>
  <c r="H30" i="6"/>
  <c r="K30" i="6" s="1"/>
  <c r="L30" i="6" s="1"/>
  <c r="H32" i="6"/>
  <c r="K32" i="6" s="1"/>
  <c r="L32" i="6" s="1"/>
  <c r="H34" i="6"/>
  <c r="K34" i="6" s="1"/>
  <c r="L34" i="6" s="1"/>
  <c r="H70" i="6"/>
  <c r="K70" i="6" s="1"/>
  <c r="L70" i="6" s="1"/>
  <c r="H76" i="6"/>
  <c r="K76" i="6" s="1"/>
  <c r="L76" i="6" s="1"/>
  <c r="H80" i="6"/>
  <c r="K80" i="6" s="1"/>
  <c r="L80" i="6" s="1"/>
  <c r="H122" i="6"/>
  <c r="K122" i="6" s="1"/>
  <c r="L122" i="6" s="1"/>
  <c r="M272" i="6"/>
  <c r="M387" i="6"/>
  <c r="M397" i="6"/>
  <c r="M403" i="6"/>
  <c r="M411" i="6"/>
  <c r="M423" i="6"/>
  <c r="M425" i="6"/>
  <c r="M427" i="6"/>
  <c r="M431" i="6"/>
  <c r="H377" i="6"/>
  <c r="K377" i="6" s="1"/>
  <c r="L377" i="6" s="1"/>
  <c r="H421" i="6"/>
  <c r="K421" i="6" s="1"/>
  <c r="L421" i="6" s="1"/>
  <c r="H429" i="6"/>
  <c r="K429" i="6" s="1"/>
  <c r="L429" i="6" s="1"/>
  <c r="H431" i="6"/>
  <c r="K431" i="6" s="1"/>
  <c r="L431" i="6" s="1"/>
  <c r="H433" i="6"/>
  <c r="K433" i="6" s="1"/>
  <c r="L433" i="6" s="1"/>
  <c r="H109" i="6"/>
  <c r="K109" i="6" s="1"/>
  <c r="L109" i="6" s="1"/>
  <c r="H282" i="6"/>
  <c r="K282" i="6" s="1"/>
  <c r="L282" i="6" s="1"/>
  <c r="H302" i="6"/>
  <c r="K302" i="6" s="1"/>
  <c r="L302" i="6" s="1"/>
  <c r="H364" i="6"/>
  <c r="K364" i="6" s="1"/>
  <c r="L364" i="6" s="1"/>
  <c r="M29" i="6"/>
  <c r="M69" i="6"/>
  <c r="M91" i="6"/>
  <c r="M113" i="6"/>
  <c r="H21" i="6"/>
  <c r="K21" i="6" s="1"/>
  <c r="L21" i="6" s="1"/>
  <c r="H87" i="6"/>
  <c r="K87" i="6" s="1"/>
  <c r="L87" i="6" s="1"/>
  <c r="H101" i="6"/>
  <c r="K101" i="6" s="1"/>
  <c r="L101" i="6" s="1"/>
  <c r="M380" i="6"/>
  <c r="M396" i="6"/>
  <c r="M420" i="6"/>
  <c r="M430" i="6"/>
  <c r="M454" i="6"/>
  <c r="M22" i="6"/>
  <c r="M30" i="6"/>
  <c r="M116" i="6"/>
  <c r="M118" i="6"/>
  <c r="M120" i="6"/>
  <c r="H195" i="6"/>
  <c r="K195" i="6" s="1"/>
  <c r="L195" i="6" s="1"/>
  <c r="H211" i="6"/>
  <c r="K211" i="6" s="1"/>
  <c r="L211" i="6" s="1"/>
  <c r="H273" i="6"/>
  <c r="K273" i="6" s="1"/>
  <c r="L273" i="6" s="1"/>
  <c r="M132" i="6"/>
  <c r="M180" i="6"/>
  <c r="M192" i="6"/>
  <c r="M196" i="6"/>
  <c r="H353" i="6"/>
  <c r="K353" i="6" s="1"/>
  <c r="L353" i="6" s="1"/>
  <c r="H369" i="6"/>
  <c r="K369" i="6" s="1"/>
  <c r="L369" i="6" s="1"/>
  <c r="H371" i="6"/>
  <c r="K371" i="6" s="1"/>
  <c r="L371" i="6" s="1"/>
  <c r="H375" i="6"/>
  <c r="K375" i="6" s="1"/>
  <c r="L375" i="6" s="1"/>
  <c r="M453" i="6"/>
  <c r="M493" i="6"/>
  <c r="H20" i="6"/>
  <c r="K20" i="6" s="1"/>
  <c r="L20" i="6" s="1"/>
  <c r="H154" i="6"/>
  <c r="K154" i="6" s="1"/>
  <c r="L154" i="6" s="1"/>
  <c r="M256" i="6"/>
  <c r="M290" i="6"/>
  <c r="H385" i="6"/>
  <c r="K385" i="6" s="1"/>
  <c r="L385" i="6" s="1"/>
  <c r="H409" i="6"/>
  <c r="K409" i="6" s="1"/>
  <c r="L409" i="6" s="1"/>
  <c r="H501" i="6"/>
  <c r="K501" i="6" s="1"/>
  <c r="L501" i="6" s="1"/>
  <c r="H190" i="6"/>
  <c r="K190" i="6" s="1"/>
  <c r="L190" i="6" s="1"/>
  <c r="H252" i="6"/>
  <c r="K252" i="6" s="1"/>
  <c r="L252" i="6" s="1"/>
  <c r="H254" i="6"/>
  <c r="K254" i="6" s="1"/>
  <c r="L254" i="6" s="1"/>
  <c r="H256" i="6"/>
  <c r="K256" i="6" s="1"/>
  <c r="L256" i="6" s="1"/>
  <c r="H103" i="6"/>
  <c r="K103" i="6" s="1"/>
  <c r="L103" i="6" s="1"/>
  <c r="H107" i="6"/>
  <c r="K107" i="6" s="1"/>
  <c r="L107" i="6" s="1"/>
  <c r="H366" i="6"/>
  <c r="K366" i="6" s="1"/>
  <c r="L366" i="6" s="1"/>
  <c r="H448" i="6"/>
  <c r="K448" i="6" s="1"/>
  <c r="L448" i="6" s="1"/>
  <c r="H454" i="6"/>
  <c r="K454" i="6" s="1"/>
  <c r="L454" i="6" s="1"/>
  <c r="H456" i="6"/>
  <c r="K456" i="6" s="1"/>
  <c r="L456" i="6" s="1"/>
  <c r="H458" i="6"/>
  <c r="K458" i="6" s="1"/>
  <c r="L458" i="6" s="1"/>
  <c r="H474" i="6"/>
  <c r="K474" i="6" s="1"/>
  <c r="L474" i="6" s="1"/>
  <c r="H480" i="6"/>
  <c r="K480" i="6" s="1"/>
  <c r="L480" i="6" s="1"/>
  <c r="H482" i="6"/>
  <c r="K482" i="6" s="1"/>
  <c r="L482" i="6" s="1"/>
  <c r="H500" i="6"/>
  <c r="K500" i="6" s="1"/>
  <c r="L500" i="6" s="1"/>
  <c r="H115" i="6"/>
  <c r="K115" i="6" s="1"/>
  <c r="L115" i="6" s="1"/>
  <c r="H237" i="6"/>
  <c r="K237" i="6" s="1"/>
  <c r="L237" i="6" s="1"/>
  <c r="M335" i="6"/>
  <c r="M345" i="6"/>
  <c r="M34" i="6"/>
  <c r="M36" i="6"/>
  <c r="M68" i="6"/>
  <c r="H269" i="6"/>
  <c r="K269" i="6" s="1"/>
  <c r="L269" i="6" s="1"/>
  <c r="H281" i="6"/>
  <c r="K281" i="6" s="1"/>
  <c r="L281" i="6" s="1"/>
  <c r="H289" i="6"/>
  <c r="K289" i="6" s="1"/>
  <c r="L289" i="6" s="1"/>
  <c r="H305" i="6"/>
  <c r="K305" i="6" s="1"/>
  <c r="L305" i="6" s="1"/>
  <c r="H309" i="6"/>
  <c r="K309" i="6" s="1"/>
  <c r="L309" i="6" s="1"/>
  <c r="H313" i="6"/>
  <c r="K313" i="6" s="1"/>
  <c r="L313" i="6" s="1"/>
  <c r="H329" i="6"/>
  <c r="K329" i="6" s="1"/>
  <c r="L329" i="6" s="1"/>
  <c r="H363" i="6"/>
  <c r="K363" i="6" s="1"/>
  <c r="L363" i="6" s="1"/>
  <c r="M377" i="6"/>
  <c r="H434" i="6"/>
  <c r="K434" i="6" s="1"/>
  <c r="L434" i="6" s="1"/>
  <c r="H129" i="6"/>
  <c r="K129" i="6" s="1"/>
  <c r="L129" i="6" s="1"/>
  <c r="M137" i="6"/>
  <c r="M139" i="6"/>
  <c r="M153" i="6"/>
  <c r="H214" i="6"/>
  <c r="K214" i="6" s="1"/>
  <c r="L214" i="6" s="1"/>
  <c r="H222" i="6"/>
  <c r="K222" i="6" s="1"/>
  <c r="L222" i="6" s="1"/>
  <c r="H234" i="6"/>
  <c r="K234" i="6" s="1"/>
  <c r="L234" i="6" s="1"/>
  <c r="M407" i="6"/>
  <c r="M433" i="6"/>
  <c r="M437" i="6"/>
  <c r="M457" i="6"/>
  <c r="M294" i="6"/>
  <c r="M310" i="6"/>
  <c r="M312" i="6"/>
  <c r="M318" i="6"/>
  <c r="M334" i="6"/>
  <c r="M338" i="6"/>
  <c r="M342" i="6"/>
  <c r="M346" i="6"/>
  <c r="H48" i="6"/>
  <c r="K48" i="6" s="1"/>
  <c r="L48" i="6" s="1"/>
  <c r="H58" i="6"/>
  <c r="K58" i="6" s="1"/>
  <c r="L58" i="6" s="1"/>
  <c r="M124" i="6"/>
  <c r="M128" i="6"/>
  <c r="H131" i="6"/>
  <c r="K131" i="6" s="1"/>
  <c r="L131" i="6" s="1"/>
  <c r="H137" i="6"/>
  <c r="K137" i="6" s="1"/>
  <c r="L137" i="6" s="1"/>
  <c r="H143" i="6"/>
  <c r="K143" i="6" s="1"/>
  <c r="L143" i="6" s="1"/>
  <c r="H145" i="6"/>
  <c r="K145" i="6" s="1"/>
  <c r="L145" i="6" s="1"/>
  <c r="H151" i="6"/>
  <c r="K151" i="6" s="1"/>
  <c r="L151" i="6" s="1"/>
  <c r="H443" i="6"/>
  <c r="K443" i="6" s="1"/>
  <c r="L443" i="6" s="1"/>
  <c r="M27" i="6"/>
  <c r="M49" i="6"/>
  <c r="M53" i="6"/>
  <c r="M55" i="6"/>
  <c r="M65" i="6"/>
  <c r="M75" i="6"/>
  <c r="H157" i="6"/>
  <c r="K157" i="6" s="1"/>
  <c r="L157" i="6" s="1"/>
  <c r="H290" i="6"/>
  <c r="K290" i="6" s="1"/>
  <c r="L290" i="6" s="1"/>
  <c r="H294" i="6"/>
  <c r="K294" i="6" s="1"/>
  <c r="L294" i="6" s="1"/>
  <c r="H342" i="6"/>
  <c r="K342" i="6" s="1"/>
  <c r="L342" i="6" s="1"/>
  <c r="H348" i="6"/>
  <c r="K348" i="6" s="1"/>
  <c r="L348" i="6" s="1"/>
  <c r="M406" i="6"/>
  <c r="H461" i="6"/>
  <c r="K461" i="6" s="1"/>
  <c r="L461" i="6" s="1"/>
  <c r="H463" i="6"/>
  <c r="K463" i="6" s="1"/>
  <c r="L463" i="6" s="1"/>
  <c r="H475" i="6"/>
  <c r="K475" i="6" s="1"/>
  <c r="L475" i="6" s="1"/>
  <c r="H479" i="6"/>
  <c r="K479" i="6" s="1"/>
  <c r="L479" i="6" s="1"/>
  <c r="H483" i="6"/>
  <c r="K483" i="6" s="1"/>
  <c r="L483" i="6" s="1"/>
  <c r="H499" i="6"/>
  <c r="K499" i="6" s="1"/>
  <c r="L499" i="6" s="1"/>
  <c r="H13" i="6"/>
  <c r="K13" i="6" s="1"/>
  <c r="L13" i="6" s="1"/>
  <c r="H19" i="6"/>
  <c r="K19" i="6" s="1"/>
  <c r="L19" i="6" s="1"/>
  <c r="M81" i="6"/>
  <c r="H181" i="6"/>
  <c r="K181" i="6" s="1"/>
  <c r="L181" i="6" s="1"/>
  <c r="H183" i="6"/>
  <c r="K183" i="6" s="1"/>
  <c r="L183" i="6" s="1"/>
  <c r="H189" i="6"/>
  <c r="K189" i="6" s="1"/>
  <c r="L189" i="6" s="1"/>
  <c r="M422" i="6"/>
  <c r="M440" i="6"/>
  <c r="M442" i="6"/>
  <c r="M452" i="6"/>
  <c r="H67" i="6"/>
  <c r="K67" i="6" s="1"/>
  <c r="L67" i="6" s="1"/>
  <c r="M121" i="6"/>
  <c r="M158" i="6"/>
  <c r="M160" i="6"/>
  <c r="H225" i="6"/>
  <c r="K225" i="6" s="1"/>
  <c r="L225" i="6" s="1"/>
  <c r="H233" i="6"/>
  <c r="K233" i="6" s="1"/>
  <c r="L233" i="6" s="1"/>
  <c r="M267" i="6"/>
  <c r="M275" i="6"/>
  <c r="M279" i="6"/>
  <c r="M299" i="6"/>
  <c r="M305" i="6"/>
  <c r="M357" i="6"/>
  <c r="M361" i="6"/>
  <c r="H380" i="6"/>
  <c r="K380" i="6" s="1"/>
  <c r="L380" i="6" s="1"/>
  <c r="H388" i="6"/>
  <c r="K388" i="6" s="1"/>
  <c r="L388" i="6" s="1"/>
  <c r="H400" i="6"/>
  <c r="K400" i="6" s="1"/>
  <c r="L400" i="6" s="1"/>
  <c r="H412" i="6"/>
  <c r="K412" i="6" s="1"/>
  <c r="L412" i="6" s="1"/>
  <c r="H420" i="6"/>
  <c r="K420" i="6" s="1"/>
  <c r="L420" i="6" s="1"/>
  <c r="M460" i="6"/>
  <c r="M464" i="6"/>
  <c r="M466" i="6"/>
  <c r="M468" i="6"/>
  <c r="M472" i="6"/>
  <c r="M474" i="6"/>
  <c r="M44" i="6"/>
  <c r="M46" i="6"/>
  <c r="H51" i="6"/>
  <c r="K51" i="6" s="1"/>
  <c r="L51" i="6" s="1"/>
  <c r="M87" i="6"/>
  <c r="M89" i="6"/>
  <c r="M97" i="6"/>
  <c r="H139" i="6"/>
  <c r="K139" i="6" s="1"/>
  <c r="L139" i="6" s="1"/>
  <c r="M165" i="6"/>
  <c r="M242" i="6"/>
  <c r="M281" i="6"/>
  <c r="M283" i="6"/>
  <c r="M289" i="6"/>
  <c r="M385" i="6"/>
  <c r="M391" i="6"/>
  <c r="M486" i="6"/>
  <c r="M490" i="6"/>
  <c r="M494" i="6"/>
  <c r="M58" i="6"/>
  <c r="M66" i="6"/>
  <c r="H71" i="6"/>
  <c r="K71" i="6" s="1"/>
  <c r="L71" i="6" s="1"/>
  <c r="H124" i="6"/>
  <c r="K124" i="6" s="1"/>
  <c r="L124" i="6" s="1"/>
  <c r="M140" i="6"/>
  <c r="H155" i="6"/>
  <c r="K155" i="6" s="1"/>
  <c r="L155" i="6" s="1"/>
  <c r="H171" i="6"/>
  <c r="K171" i="6" s="1"/>
  <c r="L171" i="6" s="1"/>
  <c r="H226" i="6"/>
  <c r="K226" i="6" s="1"/>
  <c r="L226" i="6" s="1"/>
  <c r="M258" i="6"/>
  <c r="H279" i="6"/>
  <c r="K279" i="6" s="1"/>
  <c r="L279" i="6" s="1"/>
  <c r="M293" i="6"/>
  <c r="H310" i="6"/>
  <c r="K310" i="6" s="1"/>
  <c r="L310" i="6" s="1"/>
  <c r="H318" i="6"/>
  <c r="K318" i="6" s="1"/>
  <c r="L318" i="6" s="1"/>
  <c r="H320" i="6"/>
  <c r="K320" i="6" s="1"/>
  <c r="L320" i="6" s="1"/>
  <c r="H336" i="6"/>
  <c r="K336" i="6" s="1"/>
  <c r="L336" i="6" s="1"/>
  <c r="H338" i="6"/>
  <c r="K338" i="6" s="1"/>
  <c r="L338" i="6" s="1"/>
  <c r="M354" i="6"/>
  <c r="M358" i="6"/>
  <c r="H389" i="6"/>
  <c r="K389" i="6" s="1"/>
  <c r="L389" i="6" s="1"/>
  <c r="H391" i="6"/>
  <c r="K391" i="6" s="1"/>
  <c r="L391" i="6" s="1"/>
  <c r="H395" i="6"/>
  <c r="K395" i="6" s="1"/>
  <c r="L395" i="6" s="1"/>
  <c r="H401" i="6"/>
  <c r="K401" i="6" s="1"/>
  <c r="L401" i="6" s="1"/>
  <c r="M409" i="6"/>
  <c r="H414" i="6"/>
  <c r="K414" i="6" s="1"/>
  <c r="L414" i="6" s="1"/>
  <c r="H451" i="6"/>
  <c r="K451" i="6" s="1"/>
  <c r="L451" i="6" s="1"/>
  <c r="M469" i="6"/>
  <c r="M471" i="6"/>
  <c r="M473" i="6"/>
  <c r="H488" i="6"/>
  <c r="K488" i="6" s="1"/>
  <c r="L488" i="6" s="1"/>
  <c r="H496" i="6"/>
  <c r="K496" i="6" s="1"/>
  <c r="L496" i="6" s="1"/>
  <c r="H498" i="6"/>
  <c r="K498" i="6" s="1"/>
  <c r="L498" i="6" s="1"/>
  <c r="H66" i="6"/>
  <c r="K66" i="6" s="1"/>
  <c r="L66" i="6" s="1"/>
  <c r="M70" i="6"/>
  <c r="M76" i="6"/>
  <c r="H81" i="6"/>
  <c r="K81" i="6" s="1"/>
  <c r="L81" i="6" s="1"/>
  <c r="H83" i="6"/>
  <c r="K83" i="6" s="1"/>
  <c r="L83" i="6" s="1"/>
  <c r="H117" i="6"/>
  <c r="K117" i="6" s="1"/>
  <c r="L117" i="6" s="1"/>
  <c r="H119" i="6"/>
  <c r="K119" i="6" s="1"/>
  <c r="L119" i="6" s="1"/>
  <c r="M123" i="6"/>
  <c r="M129" i="6"/>
  <c r="H136" i="6"/>
  <c r="K136" i="6" s="1"/>
  <c r="L136" i="6" s="1"/>
  <c r="H140" i="6"/>
  <c r="K140" i="6" s="1"/>
  <c r="L140" i="6" s="1"/>
  <c r="H152" i="6"/>
  <c r="K152" i="6" s="1"/>
  <c r="L152" i="6" s="1"/>
  <c r="M172" i="6"/>
  <c r="M197" i="6"/>
  <c r="M213" i="6"/>
  <c r="M233" i="6"/>
  <c r="M239" i="6"/>
  <c r="M241" i="6"/>
  <c r="M278" i="6"/>
  <c r="H291" i="6"/>
  <c r="K291" i="6" s="1"/>
  <c r="L291" i="6" s="1"/>
  <c r="M321" i="6"/>
  <c r="M323" i="6"/>
  <c r="M366" i="6"/>
  <c r="M382" i="6"/>
  <c r="M402" i="6"/>
  <c r="M415" i="6"/>
  <c r="M419" i="6"/>
  <c r="H426" i="6"/>
  <c r="K426" i="6" s="1"/>
  <c r="L426" i="6" s="1"/>
  <c r="M458" i="6"/>
  <c r="H459" i="6"/>
  <c r="K459" i="6" s="1"/>
  <c r="L459" i="6" s="1"/>
  <c r="H467" i="6"/>
  <c r="K467" i="6" s="1"/>
  <c r="L467" i="6" s="1"/>
  <c r="H471" i="6"/>
  <c r="K471" i="6" s="1"/>
  <c r="L471" i="6" s="1"/>
  <c r="H27" i="6"/>
  <c r="K27" i="6" s="1"/>
  <c r="L27" i="6" s="1"/>
  <c r="M43" i="6"/>
  <c r="M86" i="6"/>
  <c r="M96" i="6"/>
  <c r="M98" i="6"/>
  <c r="M104" i="6"/>
  <c r="M106" i="6"/>
  <c r="H121" i="6"/>
  <c r="K121" i="6" s="1"/>
  <c r="L121" i="6" s="1"/>
  <c r="M131" i="6"/>
  <c r="M188" i="6"/>
  <c r="H199" i="6"/>
  <c r="K199" i="6" s="1"/>
  <c r="L199" i="6" s="1"/>
  <c r="H203" i="6"/>
  <c r="K203" i="6" s="1"/>
  <c r="L203" i="6" s="1"/>
  <c r="H221" i="6"/>
  <c r="K221" i="6" s="1"/>
  <c r="L221" i="6" s="1"/>
  <c r="H235" i="6"/>
  <c r="K235" i="6" s="1"/>
  <c r="L235" i="6" s="1"/>
  <c r="M255" i="6"/>
  <c r="H264" i="6"/>
  <c r="K264" i="6" s="1"/>
  <c r="L264" i="6" s="1"/>
  <c r="H266" i="6"/>
  <c r="K266" i="6" s="1"/>
  <c r="L266" i="6" s="1"/>
  <c r="H272" i="6"/>
  <c r="K272" i="6" s="1"/>
  <c r="L272" i="6" s="1"/>
  <c r="M282" i="6"/>
  <c r="M286" i="6"/>
  <c r="M347" i="6"/>
  <c r="H372" i="6"/>
  <c r="K372" i="6" s="1"/>
  <c r="L372" i="6" s="1"/>
  <c r="H374" i="6"/>
  <c r="K374" i="6" s="1"/>
  <c r="L374" i="6" s="1"/>
  <c r="H413" i="6"/>
  <c r="K413" i="6" s="1"/>
  <c r="L413" i="6" s="1"/>
  <c r="M501" i="6"/>
  <c r="H12" i="6"/>
  <c r="K12" i="6" s="1"/>
  <c r="L12" i="6" s="1"/>
  <c r="M24" i="6"/>
  <c r="M26" i="6"/>
  <c r="H29" i="6"/>
  <c r="K29" i="6" s="1"/>
  <c r="L29" i="6" s="1"/>
  <c r="H37" i="6"/>
  <c r="K37" i="6" s="1"/>
  <c r="L37" i="6" s="1"/>
  <c r="H45" i="6"/>
  <c r="K45" i="6" s="1"/>
  <c r="L45" i="6" s="1"/>
  <c r="H47" i="6"/>
  <c r="K47" i="6" s="1"/>
  <c r="L47" i="6" s="1"/>
  <c r="M63" i="6"/>
  <c r="H72" i="6"/>
  <c r="K72" i="6" s="1"/>
  <c r="L72" i="6" s="1"/>
  <c r="H74" i="6"/>
  <c r="K74" i="6" s="1"/>
  <c r="L74" i="6" s="1"/>
  <c r="H88" i="6"/>
  <c r="K88" i="6" s="1"/>
  <c r="L88" i="6" s="1"/>
  <c r="H90" i="6"/>
  <c r="K90" i="6" s="1"/>
  <c r="L90" i="6" s="1"/>
  <c r="H92" i="6"/>
  <c r="K92" i="6" s="1"/>
  <c r="L92" i="6" s="1"/>
  <c r="H98" i="6"/>
  <c r="K98" i="6" s="1"/>
  <c r="L98" i="6" s="1"/>
  <c r="H104" i="6"/>
  <c r="K104" i="6" s="1"/>
  <c r="L104" i="6" s="1"/>
  <c r="H123" i="6"/>
  <c r="K123" i="6" s="1"/>
  <c r="L123" i="6" s="1"/>
  <c r="H127" i="6"/>
  <c r="K127" i="6" s="1"/>
  <c r="L127" i="6" s="1"/>
  <c r="M141" i="6"/>
  <c r="M159" i="6"/>
  <c r="H166" i="6"/>
  <c r="K166" i="6" s="1"/>
  <c r="L166" i="6" s="1"/>
  <c r="H178" i="6"/>
  <c r="K178" i="6" s="1"/>
  <c r="L178" i="6" s="1"/>
  <c r="H180" i="6"/>
  <c r="K180" i="6" s="1"/>
  <c r="L180" i="6" s="1"/>
  <c r="M204" i="6"/>
  <c r="M212" i="6"/>
  <c r="M220" i="6"/>
  <c r="M222" i="6"/>
  <c r="M224" i="6"/>
  <c r="M230" i="6"/>
  <c r="M234" i="6"/>
  <c r="M261" i="6"/>
  <c r="M265" i="6"/>
  <c r="M269" i="6"/>
  <c r="M271" i="6"/>
  <c r="H274" i="6"/>
  <c r="K274" i="6" s="1"/>
  <c r="L274" i="6" s="1"/>
  <c r="H280" i="6"/>
  <c r="K280" i="6" s="1"/>
  <c r="L280" i="6" s="1"/>
  <c r="H337" i="6"/>
  <c r="K337" i="6" s="1"/>
  <c r="L337" i="6" s="1"/>
  <c r="H341" i="6"/>
  <c r="K341" i="6" s="1"/>
  <c r="L341" i="6" s="1"/>
  <c r="H345" i="6"/>
  <c r="K345" i="6" s="1"/>
  <c r="L345" i="6" s="1"/>
  <c r="M365" i="6"/>
  <c r="M371" i="6"/>
  <c r="M373" i="6"/>
  <c r="H394" i="6"/>
  <c r="K394" i="6" s="1"/>
  <c r="L394" i="6" s="1"/>
  <c r="H398" i="6"/>
  <c r="K398" i="6" s="1"/>
  <c r="L398" i="6" s="1"/>
  <c r="M408" i="6"/>
  <c r="M414" i="6"/>
  <c r="M418" i="6"/>
  <c r="M445" i="6"/>
  <c r="H466" i="6"/>
  <c r="K466" i="6" s="1"/>
  <c r="L466" i="6" s="1"/>
  <c r="M476" i="6"/>
  <c r="M480" i="6"/>
  <c r="M482" i="6"/>
  <c r="H489" i="6"/>
  <c r="K489" i="6" s="1"/>
  <c r="L489" i="6" s="1"/>
  <c r="H497" i="6"/>
  <c r="K497" i="6" s="1"/>
  <c r="L497" i="6" s="1"/>
  <c r="H33" i="6"/>
  <c r="K33" i="6" s="1"/>
  <c r="L33" i="6" s="1"/>
  <c r="M77" i="6"/>
  <c r="H41" i="6"/>
  <c r="K41" i="6" s="1"/>
  <c r="L41" i="6" s="1"/>
  <c r="M83" i="6"/>
  <c r="M21" i="6"/>
  <c r="H6" i="6"/>
  <c r="K6" i="6" s="1"/>
  <c r="L6" i="6" s="1"/>
  <c r="M14" i="6"/>
  <c r="M38" i="6"/>
  <c r="H49" i="6"/>
  <c r="K49" i="6" s="1"/>
  <c r="L49" i="6" s="1"/>
  <c r="H53" i="6"/>
  <c r="K53" i="6" s="1"/>
  <c r="L53" i="6" s="1"/>
  <c r="H55" i="6"/>
  <c r="K55" i="6" s="1"/>
  <c r="L55" i="6" s="1"/>
  <c r="M59" i="6"/>
  <c r="H64" i="6"/>
  <c r="K64" i="6" s="1"/>
  <c r="L64" i="6" s="1"/>
  <c r="H75" i="6"/>
  <c r="K75" i="6" s="1"/>
  <c r="L75" i="6" s="1"/>
  <c r="H106" i="6"/>
  <c r="K106" i="6" s="1"/>
  <c r="L106" i="6" s="1"/>
  <c r="H112" i="6"/>
  <c r="K112" i="6" s="1"/>
  <c r="L112" i="6" s="1"/>
  <c r="H114" i="6"/>
  <c r="K114" i="6" s="1"/>
  <c r="L114" i="6" s="1"/>
  <c r="H116" i="6"/>
  <c r="K116" i="6" s="1"/>
  <c r="L116" i="6" s="1"/>
  <c r="H212" i="6"/>
  <c r="K212" i="6" s="1"/>
  <c r="L212" i="6" s="1"/>
  <c r="H278" i="6"/>
  <c r="K278" i="6" s="1"/>
  <c r="L278" i="6" s="1"/>
  <c r="M331" i="6"/>
  <c r="M79" i="6"/>
  <c r="M48" i="6"/>
  <c r="H59" i="6"/>
  <c r="K59" i="6" s="1"/>
  <c r="L59" i="6" s="1"/>
  <c r="M80" i="6"/>
  <c r="H89" i="6"/>
  <c r="K89" i="6" s="1"/>
  <c r="L89" i="6" s="1"/>
  <c r="M93" i="6"/>
  <c r="M99" i="6"/>
  <c r="M103" i="6"/>
  <c r="M107" i="6"/>
  <c r="M122" i="6"/>
  <c r="M138" i="6"/>
  <c r="H182" i="6"/>
  <c r="K182" i="6" s="1"/>
  <c r="L182" i="6" s="1"/>
  <c r="H261" i="6"/>
  <c r="K261" i="6" s="1"/>
  <c r="L261" i="6" s="1"/>
  <c r="H263" i="6"/>
  <c r="K263" i="6" s="1"/>
  <c r="L263" i="6" s="1"/>
  <c r="H321" i="6"/>
  <c r="K321" i="6" s="1"/>
  <c r="L321" i="6" s="1"/>
  <c r="H323" i="6"/>
  <c r="K323" i="6" s="1"/>
  <c r="L323" i="6" s="1"/>
  <c r="M363" i="6"/>
  <c r="H396" i="6"/>
  <c r="K396" i="6" s="1"/>
  <c r="L396" i="6" s="1"/>
  <c r="M13" i="6"/>
  <c r="M15" i="6"/>
  <c r="H22" i="6"/>
  <c r="K22" i="6" s="1"/>
  <c r="L22" i="6" s="1"/>
  <c r="M35" i="6"/>
  <c r="M39" i="6"/>
  <c r="H44" i="6"/>
  <c r="K44" i="6" s="1"/>
  <c r="L44" i="6" s="1"/>
  <c r="H46" i="6"/>
  <c r="K46" i="6" s="1"/>
  <c r="L46" i="6" s="1"/>
  <c r="H50" i="6"/>
  <c r="K50" i="6" s="1"/>
  <c r="L50" i="6" s="1"/>
  <c r="H56" i="6"/>
  <c r="K56" i="6" s="1"/>
  <c r="L56" i="6" s="1"/>
  <c r="M73" i="6"/>
  <c r="M88" i="6"/>
  <c r="H97" i="6"/>
  <c r="K97" i="6" s="1"/>
  <c r="L97" i="6" s="1"/>
  <c r="H99" i="6"/>
  <c r="K99" i="6" s="1"/>
  <c r="L99" i="6" s="1"/>
  <c r="H111" i="6"/>
  <c r="K111" i="6" s="1"/>
  <c r="L111" i="6" s="1"/>
  <c r="M126" i="6"/>
  <c r="H134" i="6"/>
  <c r="K134" i="6" s="1"/>
  <c r="L134" i="6" s="1"/>
  <c r="H277" i="6"/>
  <c r="K277" i="6" s="1"/>
  <c r="L277" i="6" s="1"/>
  <c r="H355" i="6"/>
  <c r="K355" i="6" s="1"/>
  <c r="L355" i="6" s="1"/>
  <c r="H357" i="6"/>
  <c r="K357" i="6" s="1"/>
  <c r="L357" i="6" s="1"/>
  <c r="H359" i="6"/>
  <c r="K359" i="6" s="1"/>
  <c r="L359" i="6" s="1"/>
  <c r="H361" i="6"/>
  <c r="K361" i="6" s="1"/>
  <c r="L361" i="6" s="1"/>
  <c r="H126" i="6"/>
  <c r="K126" i="6" s="1"/>
  <c r="L126" i="6" s="1"/>
  <c r="H128" i="6"/>
  <c r="K128" i="6" s="1"/>
  <c r="L128" i="6" s="1"/>
  <c r="M148" i="6"/>
  <c r="M150" i="6"/>
  <c r="M163" i="6"/>
  <c r="H172" i="6"/>
  <c r="K172" i="6" s="1"/>
  <c r="L172" i="6" s="1"/>
  <c r="H176" i="6"/>
  <c r="K176" i="6" s="1"/>
  <c r="L176" i="6" s="1"/>
  <c r="M184" i="6"/>
  <c r="M199" i="6"/>
  <c r="M203" i="6"/>
  <c r="H204" i="6"/>
  <c r="K204" i="6" s="1"/>
  <c r="L204" i="6" s="1"/>
  <c r="H206" i="6"/>
  <c r="K206" i="6" s="1"/>
  <c r="L206" i="6" s="1"/>
  <c r="H210" i="6"/>
  <c r="K210" i="6" s="1"/>
  <c r="L210" i="6" s="1"/>
  <c r="M216" i="6"/>
  <c r="H236" i="6"/>
  <c r="K236" i="6" s="1"/>
  <c r="L236" i="6" s="1"/>
  <c r="M250" i="6"/>
  <c r="M254" i="6"/>
  <c r="H257" i="6"/>
  <c r="K257" i="6" s="1"/>
  <c r="L257" i="6" s="1"/>
  <c r="M291" i="6"/>
  <c r="H296" i="6"/>
  <c r="K296" i="6" s="1"/>
  <c r="L296" i="6" s="1"/>
  <c r="M300" i="6"/>
  <c r="M327" i="6"/>
  <c r="M344" i="6"/>
  <c r="H349" i="6"/>
  <c r="K349" i="6" s="1"/>
  <c r="L349" i="6" s="1"/>
  <c r="M355" i="6"/>
  <c r="M359" i="6"/>
  <c r="M374" i="6"/>
  <c r="M378" i="6"/>
  <c r="H383" i="6"/>
  <c r="K383" i="6" s="1"/>
  <c r="L383" i="6" s="1"/>
  <c r="M395" i="6"/>
  <c r="M412" i="6"/>
  <c r="H415" i="6"/>
  <c r="K415" i="6" s="1"/>
  <c r="L415" i="6" s="1"/>
  <c r="H417" i="6"/>
  <c r="K417" i="6" s="1"/>
  <c r="L417" i="6" s="1"/>
  <c r="M428" i="6"/>
  <c r="H450" i="6"/>
  <c r="K450" i="6" s="1"/>
  <c r="L450" i="6" s="1"/>
  <c r="H457" i="6"/>
  <c r="K457" i="6" s="1"/>
  <c r="L457" i="6" s="1"/>
  <c r="H468" i="6"/>
  <c r="K468" i="6" s="1"/>
  <c r="L468" i="6" s="1"/>
  <c r="M478" i="6"/>
  <c r="M484" i="6"/>
  <c r="M496" i="6"/>
  <c r="M498" i="6"/>
  <c r="H405" i="6"/>
  <c r="K405" i="6" s="1"/>
  <c r="L405" i="6" s="1"/>
  <c r="H452" i="6"/>
  <c r="K452" i="6" s="1"/>
  <c r="L452" i="6" s="1"/>
  <c r="H465" i="6"/>
  <c r="K465" i="6" s="1"/>
  <c r="L465" i="6" s="1"/>
  <c r="H476" i="6"/>
  <c r="K476" i="6" s="1"/>
  <c r="L476" i="6" s="1"/>
  <c r="M125" i="6"/>
  <c r="M127" i="6"/>
  <c r="H148" i="6"/>
  <c r="K148" i="6" s="1"/>
  <c r="L148" i="6" s="1"/>
  <c r="H163" i="6"/>
  <c r="K163" i="6" s="1"/>
  <c r="L163" i="6" s="1"/>
  <c r="H186" i="6"/>
  <c r="K186" i="6" s="1"/>
  <c r="L186" i="6" s="1"/>
  <c r="M205" i="6"/>
  <c r="H218" i="6"/>
  <c r="K218" i="6" s="1"/>
  <c r="L218" i="6" s="1"/>
  <c r="M264" i="6"/>
  <c r="M266" i="6"/>
  <c r="H271" i="6"/>
  <c r="K271" i="6" s="1"/>
  <c r="L271" i="6" s="1"/>
  <c r="H293" i="6"/>
  <c r="K293" i="6" s="1"/>
  <c r="L293" i="6" s="1"/>
  <c r="M314" i="6"/>
  <c r="M316" i="6"/>
  <c r="H325" i="6"/>
  <c r="K325" i="6" s="1"/>
  <c r="L325" i="6" s="1"/>
  <c r="M339" i="6"/>
  <c r="H378" i="6"/>
  <c r="K378" i="6" s="1"/>
  <c r="L378" i="6" s="1"/>
  <c r="H393" i="6"/>
  <c r="K393" i="6" s="1"/>
  <c r="L393" i="6" s="1"/>
  <c r="H397" i="6"/>
  <c r="K397" i="6" s="1"/>
  <c r="L397" i="6" s="1"/>
  <c r="M404" i="6"/>
  <c r="M416" i="6"/>
  <c r="M481" i="6"/>
  <c r="H484" i="6"/>
  <c r="K484" i="6" s="1"/>
  <c r="L484" i="6" s="1"/>
  <c r="H492" i="6"/>
  <c r="K492" i="6" s="1"/>
  <c r="L492" i="6" s="1"/>
  <c r="H125" i="6"/>
  <c r="K125" i="6" s="1"/>
  <c r="L125" i="6" s="1"/>
  <c r="H130" i="6"/>
  <c r="K130" i="6" s="1"/>
  <c r="L130" i="6" s="1"/>
  <c r="M143" i="6"/>
  <c r="M145" i="6"/>
  <c r="M156" i="6"/>
  <c r="M164" i="6"/>
  <c r="M168" i="6"/>
  <c r="M170" i="6"/>
  <c r="H173" i="6"/>
  <c r="K173" i="6" s="1"/>
  <c r="L173" i="6" s="1"/>
  <c r="H177" i="6"/>
  <c r="K177" i="6" s="1"/>
  <c r="L177" i="6" s="1"/>
  <c r="H179" i="6"/>
  <c r="K179" i="6" s="1"/>
  <c r="L179" i="6" s="1"/>
  <c r="M187" i="6"/>
  <c r="H194" i="6"/>
  <c r="K194" i="6" s="1"/>
  <c r="L194" i="6" s="1"/>
  <c r="M200" i="6"/>
  <c r="H207" i="6"/>
  <c r="K207" i="6" s="1"/>
  <c r="L207" i="6" s="1"/>
  <c r="M215" i="6"/>
  <c r="M219" i="6"/>
  <c r="H228" i="6"/>
  <c r="K228" i="6" s="1"/>
  <c r="L228" i="6" s="1"/>
  <c r="H232" i="6"/>
  <c r="K232" i="6" s="1"/>
  <c r="L232" i="6" s="1"/>
  <c r="H241" i="6"/>
  <c r="K241" i="6" s="1"/>
  <c r="L241" i="6" s="1"/>
  <c r="M247" i="6"/>
  <c r="M251" i="6"/>
  <c r="M253" i="6"/>
  <c r="H286" i="6"/>
  <c r="K286" i="6" s="1"/>
  <c r="L286" i="6" s="1"/>
  <c r="H288" i="6"/>
  <c r="K288" i="6" s="1"/>
  <c r="L288" i="6" s="1"/>
  <c r="H295" i="6"/>
  <c r="K295" i="6" s="1"/>
  <c r="L295" i="6" s="1"/>
  <c r="H297" i="6"/>
  <c r="K297" i="6" s="1"/>
  <c r="L297" i="6" s="1"/>
  <c r="M307" i="6"/>
  <c r="M309" i="6"/>
  <c r="M326" i="6"/>
  <c r="M328" i="6"/>
  <c r="M343" i="6"/>
  <c r="H346" i="6"/>
  <c r="K346" i="6" s="1"/>
  <c r="L346" i="6" s="1"/>
  <c r="H354" i="6"/>
  <c r="K354" i="6" s="1"/>
  <c r="L354" i="6" s="1"/>
  <c r="M356" i="6"/>
  <c r="M379" i="6"/>
  <c r="H384" i="6"/>
  <c r="K384" i="6" s="1"/>
  <c r="L384" i="6" s="1"/>
  <c r="M390" i="6"/>
  <c r="M401" i="6"/>
  <c r="H404" i="6"/>
  <c r="K404" i="6" s="1"/>
  <c r="L404" i="6" s="1"/>
  <c r="H416" i="6"/>
  <c r="K416" i="6" s="1"/>
  <c r="L416" i="6" s="1"/>
  <c r="H423" i="6"/>
  <c r="K423" i="6" s="1"/>
  <c r="L423" i="6" s="1"/>
  <c r="H425" i="6"/>
  <c r="K425" i="6" s="1"/>
  <c r="L425" i="6" s="1"/>
  <c r="H427" i="6"/>
  <c r="K427" i="6" s="1"/>
  <c r="L427" i="6" s="1"/>
  <c r="H440" i="6"/>
  <c r="K440" i="6" s="1"/>
  <c r="L440" i="6" s="1"/>
  <c r="H442" i="6"/>
  <c r="K442" i="6" s="1"/>
  <c r="L442" i="6" s="1"/>
  <c r="H449" i="6"/>
  <c r="K449" i="6" s="1"/>
  <c r="L449" i="6" s="1"/>
  <c r="M462" i="6"/>
  <c r="H469" i="6"/>
  <c r="K469" i="6" s="1"/>
  <c r="L469" i="6" s="1"/>
  <c r="H473" i="6"/>
  <c r="K473" i="6" s="1"/>
  <c r="L473" i="6" s="1"/>
  <c r="M485" i="6"/>
  <c r="H147" i="6"/>
  <c r="K147" i="6" s="1"/>
  <c r="L147" i="6" s="1"/>
  <c r="H149" i="6"/>
  <c r="K149" i="6" s="1"/>
  <c r="L149" i="6" s="1"/>
  <c r="H162" i="6"/>
  <c r="K162" i="6" s="1"/>
  <c r="L162" i="6" s="1"/>
  <c r="H170" i="6"/>
  <c r="K170" i="6" s="1"/>
  <c r="L170" i="6" s="1"/>
  <c r="M176" i="6"/>
  <c r="H185" i="6"/>
  <c r="K185" i="6" s="1"/>
  <c r="L185" i="6" s="1"/>
  <c r="H196" i="6"/>
  <c r="K196" i="6" s="1"/>
  <c r="L196" i="6" s="1"/>
  <c r="H198" i="6"/>
  <c r="K198" i="6" s="1"/>
  <c r="L198" i="6" s="1"/>
  <c r="H202" i="6"/>
  <c r="K202" i="6" s="1"/>
  <c r="L202" i="6" s="1"/>
  <c r="M208" i="6"/>
  <c r="H215" i="6"/>
  <c r="K215" i="6" s="1"/>
  <c r="L215" i="6" s="1"/>
  <c r="M225" i="6"/>
  <c r="M227" i="6"/>
  <c r="M229" i="6"/>
  <c r="M231" i="6"/>
  <c r="H245" i="6"/>
  <c r="K245" i="6" s="1"/>
  <c r="L245" i="6" s="1"/>
  <c r="H253" i="6"/>
  <c r="K253" i="6" s="1"/>
  <c r="L253" i="6" s="1"/>
  <c r="H255" i="6"/>
  <c r="K255" i="6" s="1"/>
  <c r="L255" i="6" s="1"/>
  <c r="H260" i="6"/>
  <c r="K260" i="6" s="1"/>
  <c r="L260" i="6" s="1"/>
  <c r="M270" i="6"/>
  <c r="M274" i="6"/>
  <c r="M296" i="6"/>
  <c r="M298" i="6"/>
  <c r="H307" i="6"/>
  <c r="K307" i="6" s="1"/>
  <c r="L307" i="6" s="1"/>
  <c r="M311" i="6"/>
  <c r="M315" i="6"/>
  <c r="H322" i="6"/>
  <c r="K322" i="6" s="1"/>
  <c r="L322" i="6" s="1"/>
  <c r="H324" i="6"/>
  <c r="K324" i="6" s="1"/>
  <c r="L324" i="6" s="1"/>
  <c r="H343" i="6"/>
  <c r="K343" i="6" s="1"/>
  <c r="L343" i="6" s="1"/>
  <c r="M353" i="6"/>
  <c r="H390" i="6"/>
  <c r="K390" i="6" s="1"/>
  <c r="L390" i="6" s="1"/>
  <c r="M398" i="6"/>
  <c r="H406" i="6"/>
  <c r="K406" i="6" s="1"/>
  <c r="L406" i="6" s="1"/>
  <c r="H408" i="6"/>
  <c r="K408" i="6" s="1"/>
  <c r="L408" i="6" s="1"/>
  <c r="M410" i="6"/>
  <c r="M417" i="6"/>
  <c r="M439" i="6"/>
  <c r="M441" i="6"/>
  <c r="H444" i="6"/>
  <c r="K444" i="6" s="1"/>
  <c r="L444" i="6" s="1"/>
  <c r="H446" i="6"/>
  <c r="K446" i="6" s="1"/>
  <c r="L446" i="6" s="1"/>
  <c r="M450" i="6"/>
  <c r="H460" i="6"/>
  <c r="K460" i="6" s="1"/>
  <c r="L460" i="6" s="1"/>
  <c r="M470" i="6"/>
  <c r="H477" i="6"/>
  <c r="K477" i="6" s="1"/>
  <c r="L477" i="6" s="1"/>
  <c r="H481" i="6"/>
  <c r="K481" i="6" s="1"/>
  <c r="L481" i="6" s="1"/>
  <c r="H493" i="6"/>
  <c r="K493" i="6" s="1"/>
  <c r="L493" i="6" s="1"/>
  <c r="H14" i="6"/>
  <c r="K14" i="6" s="1"/>
  <c r="L14" i="6" s="1"/>
  <c r="H96" i="6"/>
  <c r="K96" i="6" s="1"/>
  <c r="L96" i="6" s="1"/>
  <c r="H16" i="6"/>
  <c r="K16" i="6" s="1"/>
  <c r="L16" i="6" s="1"/>
  <c r="H18" i="6"/>
  <c r="K18" i="6" s="1"/>
  <c r="L18" i="6" s="1"/>
  <c r="M23" i="6"/>
  <c r="H28" i="6"/>
  <c r="K28" i="6" s="1"/>
  <c r="L28" i="6" s="1"/>
  <c r="H35" i="6"/>
  <c r="K35" i="6" s="1"/>
  <c r="L35" i="6" s="1"/>
  <c r="M50" i="6"/>
  <c r="H57" i="6"/>
  <c r="K57" i="6" s="1"/>
  <c r="L57" i="6" s="1"/>
  <c r="H69" i="6"/>
  <c r="K69" i="6" s="1"/>
  <c r="L69" i="6" s="1"/>
  <c r="M71" i="6"/>
  <c r="M90" i="6"/>
  <c r="H91" i="6"/>
  <c r="K91" i="6" s="1"/>
  <c r="L91" i="6" s="1"/>
  <c r="M95" i="6"/>
  <c r="M108" i="6"/>
  <c r="H113" i="6"/>
  <c r="K113" i="6" s="1"/>
  <c r="L113" i="6" s="1"/>
  <c r="M117" i="6"/>
  <c r="M119" i="6"/>
  <c r="H133" i="6"/>
  <c r="K133" i="6" s="1"/>
  <c r="L133" i="6" s="1"/>
  <c r="M146" i="6"/>
  <c r="M179" i="6"/>
  <c r="H7" i="6"/>
  <c r="K7" i="6" s="1"/>
  <c r="L7" i="6" s="1"/>
  <c r="M52" i="6"/>
  <c r="M54" i="6"/>
  <c r="M85" i="6"/>
  <c r="H105" i="6"/>
  <c r="K105" i="6" s="1"/>
  <c r="L105" i="6" s="1"/>
  <c r="H142" i="6"/>
  <c r="K142" i="6" s="1"/>
  <c r="L142" i="6" s="1"/>
  <c r="H146" i="6"/>
  <c r="K146" i="6" s="1"/>
  <c r="L146" i="6" s="1"/>
  <c r="M211" i="6"/>
  <c r="M226" i="6"/>
  <c r="H265" i="6"/>
  <c r="K265" i="6" s="1"/>
  <c r="L265" i="6" s="1"/>
  <c r="M8" i="6"/>
  <c r="M19" i="6"/>
  <c r="H25" i="6"/>
  <c r="K25" i="6" s="1"/>
  <c r="L25" i="6" s="1"/>
  <c r="M32" i="6"/>
  <c r="H43" i="6"/>
  <c r="K43" i="6" s="1"/>
  <c r="L43" i="6" s="1"/>
  <c r="M82" i="6"/>
  <c r="H85" i="6"/>
  <c r="K85" i="6" s="1"/>
  <c r="L85" i="6" s="1"/>
  <c r="H102" i="6"/>
  <c r="K102" i="6" s="1"/>
  <c r="L102" i="6" s="1"/>
  <c r="H230" i="6"/>
  <c r="K230" i="6" s="1"/>
  <c r="L230" i="6" s="1"/>
  <c r="H17" i="6"/>
  <c r="K17" i="6" s="1"/>
  <c r="L17" i="6" s="1"/>
  <c r="M28" i="6"/>
  <c r="H36" i="6"/>
  <c r="K36" i="6" s="1"/>
  <c r="L36" i="6" s="1"/>
  <c r="M42" i="6"/>
  <c r="M51" i="6"/>
  <c r="H65" i="6"/>
  <c r="K65" i="6" s="1"/>
  <c r="L65" i="6" s="1"/>
  <c r="H82" i="6"/>
  <c r="K82" i="6" s="1"/>
  <c r="L82" i="6" s="1"/>
  <c r="M135" i="6"/>
  <c r="H138" i="6"/>
  <c r="K138" i="6" s="1"/>
  <c r="L138" i="6" s="1"/>
  <c r="H187" i="6"/>
  <c r="K187" i="6" s="1"/>
  <c r="L187" i="6" s="1"/>
  <c r="M195" i="6"/>
  <c r="H219" i="6"/>
  <c r="K219" i="6" s="1"/>
  <c r="L219" i="6" s="1"/>
  <c r="M12" i="6"/>
  <c r="M16" i="6"/>
  <c r="M18" i="6"/>
  <c r="M20" i="6"/>
  <c r="H24" i="6"/>
  <c r="K24" i="6" s="1"/>
  <c r="L24" i="6" s="1"/>
  <c r="H26" i="6"/>
  <c r="K26" i="6" s="1"/>
  <c r="L26" i="6" s="1"/>
  <c r="M31" i="6"/>
  <c r="M37" i="6"/>
  <c r="H38" i="6"/>
  <c r="K38" i="6" s="1"/>
  <c r="L38" i="6" s="1"/>
  <c r="M57" i="6"/>
  <c r="H60" i="6"/>
  <c r="K60" i="6" s="1"/>
  <c r="L60" i="6" s="1"/>
  <c r="M64" i="6"/>
  <c r="M74" i="6"/>
  <c r="H77" i="6"/>
  <c r="K77" i="6" s="1"/>
  <c r="L77" i="6" s="1"/>
  <c r="H79" i="6"/>
  <c r="K79" i="6" s="1"/>
  <c r="L79" i="6" s="1"/>
  <c r="M115" i="6"/>
  <c r="H120" i="6"/>
  <c r="K120" i="6" s="1"/>
  <c r="L120" i="6" s="1"/>
  <c r="M169" i="6"/>
  <c r="M171" i="6"/>
  <c r="H174" i="6"/>
  <c r="K174" i="6" s="1"/>
  <c r="L174" i="6" s="1"/>
  <c r="H249" i="6"/>
  <c r="K249" i="6" s="1"/>
  <c r="L249" i="6" s="1"/>
  <c r="H40" i="6"/>
  <c r="K40" i="6" s="1"/>
  <c r="L40" i="6" s="1"/>
  <c r="H42" i="6"/>
  <c r="K42" i="6" s="1"/>
  <c r="L42" i="6" s="1"/>
  <c r="M47" i="6"/>
  <c r="M56" i="6"/>
  <c r="M84" i="6"/>
  <c r="M92" i="6"/>
  <c r="H93" i="6"/>
  <c r="K93" i="6" s="1"/>
  <c r="L93" i="6" s="1"/>
  <c r="H95" i="6"/>
  <c r="K95" i="6" s="1"/>
  <c r="L95" i="6" s="1"/>
  <c r="M101" i="6"/>
  <c r="H110" i="6"/>
  <c r="K110" i="6" s="1"/>
  <c r="L110" i="6" s="1"/>
  <c r="M112" i="6"/>
  <c r="M114" i="6"/>
  <c r="H132" i="6"/>
  <c r="K132" i="6" s="1"/>
  <c r="L132" i="6" s="1"/>
  <c r="H141" i="6"/>
  <c r="K141" i="6" s="1"/>
  <c r="L141" i="6" s="1"/>
  <c r="M149" i="6"/>
  <c r="M151" i="6"/>
  <c r="H161" i="6"/>
  <c r="K161" i="6" s="1"/>
  <c r="L161" i="6" s="1"/>
  <c r="H167" i="6"/>
  <c r="K167" i="6" s="1"/>
  <c r="L167" i="6" s="1"/>
  <c r="H169" i="6"/>
  <c r="K169" i="6" s="1"/>
  <c r="L169" i="6" s="1"/>
  <c r="M173" i="6"/>
  <c r="M181" i="6"/>
  <c r="M183" i="6"/>
  <c r="M189" i="6"/>
  <c r="M191" i="6"/>
  <c r="H197" i="6"/>
  <c r="K197" i="6" s="1"/>
  <c r="L197" i="6" s="1"/>
  <c r="H205" i="6"/>
  <c r="K205" i="6" s="1"/>
  <c r="L205" i="6" s="1"/>
  <c r="H213" i="6"/>
  <c r="K213" i="6" s="1"/>
  <c r="L213" i="6" s="1"/>
  <c r="M223" i="6"/>
  <c r="M232" i="6"/>
  <c r="H248" i="6"/>
  <c r="K248" i="6" s="1"/>
  <c r="L248" i="6" s="1"/>
  <c r="M257" i="6"/>
  <c r="H258" i="6"/>
  <c r="K258" i="6" s="1"/>
  <c r="L258" i="6" s="1"/>
  <c r="M262" i="6"/>
  <c r="H268" i="6"/>
  <c r="K268" i="6" s="1"/>
  <c r="L268" i="6" s="1"/>
  <c r="H270" i="6"/>
  <c r="K270" i="6" s="1"/>
  <c r="L270" i="6" s="1"/>
  <c r="H275" i="6"/>
  <c r="K275" i="6" s="1"/>
  <c r="L275" i="6" s="1"/>
  <c r="M277" i="6"/>
  <c r="M280" i="6"/>
  <c r="H284" i="6"/>
  <c r="K284" i="6" s="1"/>
  <c r="L284" i="6" s="1"/>
  <c r="M295" i="6"/>
  <c r="M297" i="6"/>
  <c r="H344" i="6"/>
  <c r="K344" i="6" s="1"/>
  <c r="L344" i="6" s="1"/>
  <c r="M61" i="6"/>
  <c r="M72" i="6"/>
  <c r="H73" i="6"/>
  <c r="K73" i="6" s="1"/>
  <c r="L73" i="6" s="1"/>
  <c r="M109" i="6"/>
  <c r="H164" i="6"/>
  <c r="K164" i="6" s="1"/>
  <c r="L164" i="6" s="1"/>
  <c r="M193" i="6"/>
  <c r="M201" i="6"/>
  <c r="M209" i="6"/>
  <c r="M217" i="6"/>
  <c r="H229" i="6"/>
  <c r="K229" i="6" s="1"/>
  <c r="L229" i="6" s="1"/>
  <c r="M238" i="6"/>
  <c r="H262" i="6"/>
  <c r="K262" i="6" s="1"/>
  <c r="L262" i="6" s="1"/>
  <c r="M292" i="6"/>
  <c r="M308" i="6"/>
  <c r="H326" i="6"/>
  <c r="K326" i="6" s="1"/>
  <c r="L326" i="6" s="1"/>
  <c r="M45" i="6"/>
  <c r="M60" i="6"/>
  <c r="H61" i="6"/>
  <c r="K61" i="6" s="1"/>
  <c r="L61" i="6" s="1"/>
  <c r="H63" i="6"/>
  <c r="K63" i="6" s="1"/>
  <c r="L63" i="6" s="1"/>
  <c r="H86" i="6"/>
  <c r="K86" i="6" s="1"/>
  <c r="L86" i="6" s="1"/>
  <c r="M100" i="6"/>
  <c r="M105" i="6"/>
  <c r="M111" i="6"/>
  <c r="H118" i="6"/>
  <c r="K118" i="6" s="1"/>
  <c r="L118" i="6" s="1"/>
  <c r="M133" i="6"/>
  <c r="M144" i="6"/>
  <c r="M147" i="6"/>
  <c r="H153" i="6"/>
  <c r="K153" i="6" s="1"/>
  <c r="L153" i="6" s="1"/>
  <c r="M155" i="6"/>
  <c r="H156" i="6"/>
  <c r="K156" i="6" s="1"/>
  <c r="L156" i="6" s="1"/>
  <c r="H160" i="6"/>
  <c r="K160" i="6" s="1"/>
  <c r="L160" i="6" s="1"/>
  <c r="M162" i="6"/>
  <c r="H175" i="6"/>
  <c r="K175" i="6" s="1"/>
  <c r="L175" i="6" s="1"/>
  <c r="M185" i="6"/>
  <c r="H191" i="6"/>
  <c r="K191" i="6" s="1"/>
  <c r="L191" i="6" s="1"/>
  <c r="H193" i="6"/>
  <c r="K193" i="6" s="1"/>
  <c r="L193" i="6" s="1"/>
  <c r="H201" i="6"/>
  <c r="K201" i="6" s="1"/>
  <c r="L201" i="6" s="1"/>
  <c r="H209" i="6"/>
  <c r="K209" i="6" s="1"/>
  <c r="L209" i="6" s="1"/>
  <c r="H217" i="6"/>
  <c r="K217" i="6" s="1"/>
  <c r="L217" i="6" s="1"/>
  <c r="H231" i="6"/>
  <c r="K231" i="6" s="1"/>
  <c r="L231" i="6" s="1"/>
  <c r="M237" i="6"/>
  <c r="H238" i="6"/>
  <c r="K238" i="6" s="1"/>
  <c r="L238" i="6" s="1"/>
  <c r="H240" i="6"/>
  <c r="K240" i="6" s="1"/>
  <c r="L240" i="6" s="1"/>
  <c r="H259" i="6"/>
  <c r="K259" i="6" s="1"/>
  <c r="L259" i="6" s="1"/>
  <c r="M263" i="6"/>
  <c r="H267" i="6"/>
  <c r="K267" i="6" s="1"/>
  <c r="L267" i="6" s="1"/>
  <c r="M273" i="6"/>
  <c r="H292" i="6"/>
  <c r="K292" i="6" s="1"/>
  <c r="L292" i="6" s="1"/>
  <c r="M303" i="6"/>
  <c r="H308" i="6"/>
  <c r="K308" i="6" s="1"/>
  <c r="L308" i="6" s="1"/>
  <c r="M325" i="6"/>
  <c r="H382" i="6"/>
  <c r="K382" i="6" s="1"/>
  <c r="L382" i="6" s="1"/>
  <c r="H464" i="6"/>
  <c r="K464" i="6" s="1"/>
  <c r="L464" i="6" s="1"/>
  <c r="H188" i="6"/>
  <c r="K188" i="6" s="1"/>
  <c r="L188" i="6" s="1"/>
  <c r="H220" i="6"/>
  <c r="K220" i="6" s="1"/>
  <c r="L220" i="6" s="1"/>
  <c r="M249" i="6"/>
  <c r="H250" i="6"/>
  <c r="K250" i="6" s="1"/>
  <c r="L250" i="6" s="1"/>
  <c r="H285" i="6"/>
  <c r="K285" i="6" s="1"/>
  <c r="L285" i="6" s="1"/>
  <c r="M287" i="6"/>
  <c r="H301" i="6"/>
  <c r="K301" i="6" s="1"/>
  <c r="L301" i="6" s="1"/>
  <c r="H472" i="6"/>
  <c r="K472" i="6" s="1"/>
  <c r="L472" i="6" s="1"/>
  <c r="H491" i="6"/>
  <c r="K491" i="6" s="1"/>
  <c r="L491" i="6" s="1"/>
  <c r="M130" i="6"/>
  <c r="M134" i="6"/>
  <c r="H135" i="6"/>
  <c r="K135" i="6" s="1"/>
  <c r="L135" i="6" s="1"/>
  <c r="M152" i="6"/>
  <c r="M154" i="6"/>
  <c r="M157" i="6"/>
  <c r="M161" i="6"/>
  <c r="H165" i="6"/>
  <c r="K165" i="6" s="1"/>
  <c r="L165" i="6" s="1"/>
  <c r="M178" i="6"/>
  <c r="H224" i="6"/>
  <c r="K224" i="6" s="1"/>
  <c r="L224" i="6" s="1"/>
  <c r="H227" i="6"/>
  <c r="K227" i="6" s="1"/>
  <c r="L227" i="6" s="1"/>
  <c r="M236" i="6"/>
  <c r="H242" i="6"/>
  <c r="K242" i="6" s="1"/>
  <c r="L242" i="6" s="1"/>
  <c r="M244" i="6"/>
  <c r="M246" i="6"/>
  <c r="M248" i="6"/>
  <c r="H276" i="6"/>
  <c r="K276" i="6" s="1"/>
  <c r="L276" i="6" s="1"/>
  <c r="M284" i="6"/>
  <c r="H287" i="6"/>
  <c r="K287" i="6" s="1"/>
  <c r="L287" i="6" s="1"/>
  <c r="H298" i="6"/>
  <c r="K298" i="6" s="1"/>
  <c r="L298" i="6" s="1"/>
  <c r="M322" i="6"/>
  <c r="M337" i="6"/>
  <c r="H358" i="6"/>
  <c r="K358" i="6" s="1"/>
  <c r="L358" i="6" s="1"/>
  <c r="H360" i="6"/>
  <c r="K360" i="6" s="1"/>
  <c r="L360" i="6" s="1"/>
  <c r="H436" i="6"/>
  <c r="K436" i="6" s="1"/>
  <c r="L436" i="6" s="1"/>
  <c r="H304" i="6"/>
  <c r="K304" i="6" s="1"/>
  <c r="L304" i="6" s="1"/>
  <c r="M306" i="6"/>
  <c r="H312" i="6"/>
  <c r="K312" i="6" s="1"/>
  <c r="L312" i="6" s="1"/>
  <c r="H328" i="6"/>
  <c r="K328" i="6" s="1"/>
  <c r="L328" i="6" s="1"/>
  <c r="M330" i="6"/>
  <c r="H333" i="6"/>
  <c r="K333" i="6" s="1"/>
  <c r="L333" i="6" s="1"/>
  <c r="M351" i="6"/>
  <c r="M362" i="6"/>
  <c r="H368" i="6"/>
  <c r="K368" i="6" s="1"/>
  <c r="L368" i="6" s="1"/>
  <c r="H376" i="6"/>
  <c r="K376" i="6" s="1"/>
  <c r="L376" i="6" s="1"/>
  <c r="H379" i="6"/>
  <c r="K379" i="6" s="1"/>
  <c r="L379" i="6" s="1"/>
  <c r="M381" i="6"/>
  <c r="M386" i="6"/>
  <c r="M389" i="6"/>
  <c r="M438" i="6"/>
  <c r="M444" i="6"/>
  <c r="H445" i="6"/>
  <c r="K445" i="6" s="1"/>
  <c r="L445" i="6" s="1"/>
  <c r="H447" i="6"/>
  <c r="K447" i="6" s="1"/>
  <c r="L447" i="6" s="1"/>
  <c r="M449" i="6"/>
  <c r="H453" i="6"/>
  <c r="K453" i="6" s="1"/>
  <c r="L453" i="6" s="1"/>
  <c r="H455" i="6"/>
  <c r="K455" i="6" s="1"/>
  <c r="L455" i="6" s="1"/>
  <c r="M487" i="6"/>
  <c r="H494" i="6"/>
  <c r="K494" i="6" s="1"/>
  <c r="L494" i="6" s="1"/>
  <c r="H317" i="6"/>
  <c r="K317" i="6" s="1"/>
  <c r="L317" i="6" s="1"/>
  <c r="M319" i="6"/>
  <c r="M332" i="6"/>
  <c r="M340" i="6"/>
  <c r="M348" i="6"/>
  <c r="H365" i="6"/>
  <c r="K365" i="6" s="1"/>
  <c r="L365" i="6" s="1"/>
  <c r="M367" i="6"/>
  <c r="H370" i="6"/>
  <c r="K370" i="6" s="1"/>
  <c r="L370" i="6" s="1"/>
  <c r="H373" i="6"/>
  <c r="K373" i="6" s="1"/>
  <c r="L373" i="6" s="1"/>
  <c r="M399" i="6"/>
  <c r="H402" i="6"/>
  <c r="K402" i="6" s="1"/>
  <c r="L402" i="6" s="1"/>
  <c r="H410" i="6"/>
  <c r="K410" i="6" s="1"/>
  <c r="L410" i="6" s="1"/>
  <c r="H418" i="6"/>
  <c r="K418" i="6" s="1"/>
  <c r="L418" i="6" s="1"/>
  <c r="H428" i="6"/>
  <c r="K428" i="6" s="1"/>
  <c r="L428" i="6" s="1"/>
  <c r="M435" i="6"/>
  <c r="H441" i="6"/>
  <c r="K441" i="6" s="1"/>
  <c r="L441" i="6" s="1"/>
  <c r="H485" i="6"/>
  <c r="K485" i="6" s="1"/>
  <c r="L485" i="6" s="1"/>
  <c r="H487" i="6"/>
  <c r="K487" i="6" s="1"/>
  <c r="L487" i="6" s="1"/>
  <c r="H490" i="6"/>
  <c r="K490" i="6" s="1"/>
  <c r="L490" i="6" s="1"/>
  <c r="M495" i="6"/>
  <c r="M302" i="6"/>
  <c r="H306" i="6"/>
  <c r="K306" i="6" s="1"/>
  <c r="L306" i="6" s="1"/>
  <c r="H311" i="6"/>
  <c r="K311" i="6" s="1"/>
  <c r="L311" i="6" s="1"/>
  <c r="M313" i="6"/>
  <c r="H314" i="6"/>
  <c r="K314" i="6" s="1"/>
  <c r="L314" i="6" s="1"/>
  <c r="M324" i="6"/>
  <c r="H327" i="6"/>
  <c r="K327" i="6" s="1"/>
  <c r="L327" i="6" s="1"/>
  <c r="H330" i="6"/>
  <c r="K330" i="6" s="1"/>
  <c r="L330" i="6" s="1"/>
  <c r="H332" i="6"/>
  <c r="K332" i="6" s="1"/>
  <c r="L332" i="6" s="1"/>
  <c r="H340" i="6"/>
  <c r="K340" i="6" s="1"/>
  <c r="L340" i="6" s="1"/>
  <c r="M350" i="6"/>
  <c r="H362" i="6"/>
  <c r="K362" i="6" s="1"/>
  <c r="L362" i="6" s="1"/>
  <c r="M364" i="6"/>
  <c r="H367" i="6"/>
  <c r="K367" i="6" s="1"/>
  <c r="L367" i="6" s="1"/>
  <c r="M369" i="6"/>
  <c r="M372" i="6"/>
  <c r="M375" i="6"/>
  <c r="H381" i="6"/>
  <c r="K381" i="6" s="1"/>
  <c r="L381" i="6" s="1"/>
  <c r="M383" i="6"/>
  <c r="H386" i="6"/>
  <c r="K386" i="6" s="1"/>
  <c r="L386" i="6" s="1"/>
  <c r="M388" i="6"/>
  <c r="H392" i="6"/>
  <c r="K392" i="6" s="1"/>
  <c r="L392" i="6" s="1"/>
  <c r="M394" i="6"/>
  <c r="H399" i="6"/>
  <c r="K399" i="6" s="1"/>
  <c r="L399" i="6" s="1"/>
  <c r="M448" i="6"/>
  <c r="M456" i="6"/>
  <c r="M489" i="6"/>
  <c r="M492" i="6"/>
  <c r="H495" i="6"/>
  <c r="K495" i="6" s="1"/>
  <c r="L495" i="6" s="1"/>
  <c r="M497" i="6"/>
  <c r="H300" i="6"/>
  <c r="K300" i="6" s="1"/>
  <c r="L300" i="6" s="1"/>
  <c r="H316" i="6"/>
  <c r="K316" i="6" s="1"/>
  <c r="L316" i="6" s="1"/>
  <c r="H334" i="6"/>
  <c r="K334" i="6" s="1"/>
  <c r="L334" i="6" s="1"/>
  <c r="H339" i="6"/>
  <c r="K339" i="6" s="1"/>
  <c r="L339" i="6" s="1"/>
  <c r="M341" i="6"/>
  <c r="H350" i="6"/>
  <c r="K350" i="6" s="1"/>
  <c r="L350" i="6" s="1"/>
  <c r="H352" i="6"/>
  <c r="K352" i="6" s="1"/>
  <c r="L352" i="6" s="1"/>
  <c r="H356" i="6"/>
  <c r="K356" i="6" s="1"/>
  <c r="L356" i="6" s="1"/>
  <c r="H403" i="6"/>
  <c r="K403" i="6" s="1"/>
  <c r="L403" i="6" s="1"/>
  <c r="H411" i="6"/>
  <c r="K411" i="6" s="1"/>
  <c r="L411" i="6" s="1"/>
  <c r="M413" i="6"/>
  <c r="H419" i="6"/>
  <c r="K419" i="6" s="1"/>
  <c r="L419" i="6" s="1"/>
  <c r="M421" i="6"/>
  <c r="H422" i="6"/>
  <c r="K422" i="6" s="1"/>
  <c r="L422" i="6" s="1"/>
  <c r="M424" i="6"/>
  <c r="M429" i="6"/>
  <c r="H430" i="6"/>
  <c r="K430" i="6" s="1"/>
  <c r="L430" i="6" s="1"/>
  <c r="M432" i="6"/>
  <c r="H435" i="6"/>
  <c r="K435" i="6" s="1"/>
  <c r="L435" i="6" s="1"/>
  <c r="H437" i="6"/>
  <c r="K437" i="6" s="1"/>
  <c r="L437" i="6" s="1"/>
  <c r="H462" i="6"/>
  <c r="K462" i="6" s="1"/>
  <c r="L462" i="6" s="1"/>
  <c r="H470" i="6"/>
  <c r="K470" i="6" s="1"/>
  <c r="L470" i="6" s="1"/>
  <c r="H478" i="6"/>
  <c r="K478" i="6" s="1"/>
  <c r="L478" i="6" s="1"/>
  <c r="M500" i="6"/>
  <c r="H387" i="6"/>
  <c r="K387" i="6" s="1"/>
  <c r="L387" i="6" s="1"/>
  <c r="M393" i="6"/>
  <c r="M405" i="6"/>
  <c r="H424" i="6"/>
  <c r="K424" i="6" s="1"/>
  <c r="L424" i="6" s="1"/>
  <c r="M426" i="6"/>
  <c r="H432" i="6"/>
  <c r="K432" i="6" s="1"/>
  <c r="L432" i="6" s="1"/>
  <c r="M434" i="6"/>
  <c r="M436" i="6"/>
  <c r="H439" i="6"/>
  <c r="K439" i="6" s="1"/>
  <c r="L439" i="6" s="1"/>
  <c r="M455" i="6"/>
  <c r="H486" i="6"/>
  <c r="K486" i="6" s="1"/>
  <c r="L486" i="6" s="1"/>
  <c r="M488" i="6"/>
  <c r="H23" i="6"/>
  <c r="K23" i="6" s="1"/>
  <c r="L23" i="6" s="1"/>
  <c r="M25" i="6"/>
  <c r="H39" i="6"/>
  <c r="K39" i="6" s="1"/>
  <c r="L39" i="6" s="1"/>
  <c r="M41" i="6"/>
  <c r="H15" i="6"/>
  <c r="K15" i="6" s="1"/>
  <c r="L15" i="6" s="1"/>
  <c r="M17" i="6"/>
  <c r="H31" i="6"/>
  <c r="K31" i="6" s="1"/>
  <c r="L31" i="6" s="1"/>
  <c r="M33" i="6"/>
  <c r="H54" i="6"/>
  <c r="K54" i="6" s="1"/>
  <c r="L54" i="6" s="1"/>
  <c r="H62" i="6"/>
  <c r="K62" i="6" s="1"/>
  <c r="L62" i="6" s="1"/>
  <c r="M67" i="6"/>
  <c r="H68" i="6"/>
  <c r="K68" i="6" s="1"/>
  <c r="L68" i="6" s="1"/>
  <c r="H78" i="6"/>
  <c r="K78" i="6" s="1"/>
  <c r="L78" i="6" s="1"/>
  <c r="H84" i="6"/>
  <c r="K84" i="6" s="1"/>
  <c r="L84" i="6" s="1"/>
  <c r="H94" i="6"/>
  <c r="K94" i="6" s="1"/>
  <c r="L94" i="6" s="1"/>
  <c r="H100" i="6"/>
  <c r="K100" i="6" s="1"/>
  <c r="L100" i="6" s="1"/>
  <c r="M102" i="6"/>
  <c r="H108" i="6"/>
  <c r="K108" i="6" s="1"/>
  <c r="L108" i="6" s="1"/>
  <c r="M136" i="6"/>
  <c r="H159" i="6"/>
  <c r="K159" i="6" s="1"/>
  <c r="L159" i="6" s="1"/>
  <c r="M167" i="6"/>
  <c r="H52" i="6"/>
  <c r="K52" i="6" s="1"/>
  <c r="L52" i="6" s="1"/>
  <c r="H150" i="6"/>
  <c r="K150" i="6" s="1"/>
  <c r="L150" i="6" s="1"/>
  <c r="H158" i="6"/>
  <c r="K158" i="6" s="1"/>
  <c r="L158" i="6" s="1"/>
  <c r="M62" i="6"/>
  <c r="M78" i="6"/>
  <c r="M94" i="6"/>
  <c r="H168" i="6"/>
  <c r="K168" i="6" s="1"/>
  <c r="L168" i="6" s="1"/>
  <c r="M142" i="6"/>
  <c r="H144" i="6"/>
  <c r="K144" i="6" s="1"/>
  <c r="L144" i="6" s="1"/>
  <c r="M166" i="6"/>
  <c r="M174" i="6"/>
  <c r="H184" i="6"/>
  <c r="K184" i="6" s="1"/>
  <c r="L184" i="6" s="1"/>
  <c r="M186" i="6"/>
  <c r="H192" i="6"/>
  <c r="K192" i="6" s="1"/>
  <c r="L192" i="6" s="1"/>
  <c r="M194" i="6"/>
  <c r="H200" i="6"/>
  <c r="K200" i="6" s="1"/>
  <c r="L200" i="6" s="1"/>
  <c r="M202" i="6"/>
  <c r="H208" i="6"/>
  <c r="K208" i="6" s="1"/>
  <c r="L208" i="6" s="1"/>
  <c r="M210" i="6"/>
  <c r="H216" i="6"/>
  <c r="K216" i="6" s="1"/>
  <c r="L216" i="6" s="1"/>
  <c r="M218" i="6"/>
  <c r="M110" i="6"/>
  <c r="M182" i="6"/>
  <c r="M190" i="6"/>
  <c r="M198" i="6"/>
  <c r="M206" i="6"/>
  <c r="M214" i="6"/>
  <c r="M320" i="6"/>
  <c r="M349" i="6"/>
  <c r="M368" i="6"/>
  <c r="M221" i="6"/>
  <c r="M228" i="6"/>
  <c r="M240" i="6"/>
  <c r="H244" i="6"/>
  <c r="K244" i="6" s="1"/>
  <c r="L244" i="6" s="1"/>
  <c r="M252" i="6"/>
  <c r="M276" i="6"/>
  <c r="H351" i="6"/>
  <c r="K351" i="6" s="1"/>
  <c r="L351" i="6" s="1"/>
  <c r="H223" i="6"/>
  <c r="K223" i="6" s="1"/>
  <c r="L223" i="6" s="1"/>
  <c r="H243" i="6"/>
  <c r="K243" i="6" s="1"/>
  <c r="L243" i="6" s="1"/>
  <c r="H247" i="6"/>
  <c r="K247" i="6" s="1"/>
  <c r="L247" i="6" s="1"/>
  <c r="M285" i="6"/>
  <c r="H315" i="6"/>
  <c r="K315" i="6" s="1"/>
  <c r="L315" i="6" s="1"/>
  <c r="M329" i="6"/>
  <c r="H239" i="6"/>
  <c r="K239" i="6" s="1"/>
  <c r="L239" i="6" s="1"/>
  <c r="M245" i="6"/>
  <c r="H246" i="6"/>
  <c r="K246" i="6" s="1"/>
  <c r="L246" i="6" s="1"/>
  <c r="H251" i="6"/>
  <c r="K251" i="6" s="1"/>
  <c r="L251" i="6" s="1"/>
  <c r="M384" i="6"/>
  <c r="H407" i="6"/>
  <c r="K407" i="6" s="1"/>
  <c r="L407" i="6" s="1"/>
  <c r="M301" i="6"/>
  <c r="H303" i="6"/>
  <c r="K303" i="6" s="1"/>
  <c r="L303" i="6" s="1"/>
  <c r="H331" i="6"/>
  <c r="K331" i="6" s="1"/>
  <c r="L331" i="6" s="1"/>
  <c r="M336" i="6"/>
  <c r="M479" i="6"/>
  <c r="M268" i="6"/>
  <c r="H283" i="6"/>
  <c r="K283" i="6" s="1"/>
  <c r="L283" i="6" s="1"/>
  <c r="M288" i="6"/>
  <c r="M317" i="6"/>
  <c r="H319" i="6"/>
  <c r="K319" i="6" s="1"/>
  <c r="L319" i="6" s="1"/>
  <c r="H347" i="6"/>
  <c r="K347" i="6" s="1"/>
  <c r="L347" i="6" s="1"/>
  <c r="M352" i="6"/>
  <c r="M360" i="6"/>
  <c r="M376" i="6"/>
  <c r="M392" i="6"/>
  <c r="M400" i="6"/>
  <c r="H438" i="6"/>
  <c r="K438" i="6" s="1"/>
  <c r="L438" i="6" s="1"/>
  <c r="M447" i="6"/>
  <c r="M260" i="6"/>
  <c r="H299" i="6"/>
  <c r="K299" i="6" s="1"/>
  <c r="L299" i="6" s="1"/>
  <c r="M304" i="6"/>
  <c r="M333" i="6"/>
  <c r="H335" i="6"/>
  <c r="K335" i="6" s="1"/>
  <c r="L335" i="6" s="1"/>
  <c r="M446" i="6"/>
  <c r="M451" i="6"/>
  <c r="M467" i="6"/>
  <c r="M483" i="6"/>
  <c r="M443" i="6"/>
  <c r="M459" i="6"/>
  <c r="M475" i="6"/>
  <c r="M491" i="6"/>
  <c r="M499" i="6"/>
  <c r="N11" i="6" l="1"/>
  <c r="I12" i="7"/>
  <c r="I15" i="7"/>
  <c r="I14" i="7"/>
  <c r="I13" i="7"/>
  <c r="I11" i="7"/>
  <c r="I9" i="7"/>
  <c r="I6" i="7"/>
  <c r="I8" i="7"/>
  <c r="I7" i="7"/>
  <c r="I10" i="7"/>
  <c r="N207" i="6"/>
  <c r="N282" i="6"/>
  <c r="N204" i="6"/>
  <c r="N398" i="6"/>
  <c r="N143" i="6"/>
  <c r="N397" i="6"/>
  <c r="N196" i="6"/>
  <c r="N55" i="6"/>
  <c r="N463" i="6"/>
  <c r="N53" i="6"/>
  <c r="N461" i="6"/>
  <c r="N468" i="6"/>
  <c r="N218" i="6"/>
  <c r="N183" i="6"/>
  <c r="I2" i="7"/>
  <c r="N427" i="6"/>
  <c r="N237" i="6"/>
  <c r="N316" i="6"/>
  <c r="N251" i="6"/>
  <c r="N500" i="6"/>
  <c r="N113" i="6"/>
  <c r="N177" i="6"/>
  <c r="N479" i="6"/>
  <c r="N136" i="6"/>
  <c r="N443" i="6"/>
  <c r="N477" i="6"/>
  <c r="N375" i="6"/>
  <c r="N405" i="6"/>
  <c r="N411" i="6"/>
  <c r="N58" i="6"/>
  <c r="N465" i="6"/>
  <c r="N430" i="6"/>
  <c r="N214" i="6"/>
  <c r="N428" i="6"/>
  <c r="N175" i="6"/>
  <c r="N37" i="6"/>
  <c r="N402" i="6"/>
  <c r="N299" i="6"/>
  <c r="N497" i="6"/>
  <c r="N239" i="6"/>
  <c r="N258" i="6"/>
  <c r="N211" i="6"/>
  <c r="N451" i="6"/>
  <c r="N91" i="6"/>
  <c r="I4" i="7"/>
  <c r="I5" i="7"/>
  <c r="I3" i="7"/>
  <c r="N186" i="6"/>
  <c r="N158" i="6"/>
  <c r="N200" i="6"/>
  <c r="N312" i="6"/>
  <c r="N460" i="6"/>
  <c r="N454" i="6"/>
  <c r="N83" i="6"/>
  <c r="N65" i="6"/>
  <c r="N422" i="6"/>
  <c r="N206" i="6"/>
  <c r="N150" i="6"/>
  <c r="N334" i="6"/>
  <c r="N481" i="6"/>
  <c r="N17" i="6"/>
  <c r="N288" i="6"/>
  <c r="N385" i="6"/>
  <c r="N426" i="6"/>
  <c r="N40" i="6"/>
  <c r="N473" i="6"/>
  <c r="N174" i="6"/>
  <c r="N339" i="6"/>
  <c r="N7" i="6"/>
  <c r="N190" i="6"/>
  <c r="N180" i="6"/>
  <c r="N41" i="6"/>
  <c r="N152" i="6"/>
  <c r="N114" i="6"/>
  <c r="N56" i="6"/>
  <c r="N4" i="6"/>
  <c r="N492" i="6"/>
  <c r="N235" i="6"/>
  <c r="N354" i="6"/>
  <c r="N84" i="6"/>
  <c r="N165" i="6"/>
  <c r="N131" i="6"/>
  <c r="N108" i="6"/>
  <c r="N383" i="6"/>
  <c r="N456" i="6"/>
  <c r="N300" i="6"/>
  <c r="N483" i="6"/>
  <c r="N115" i="6"/>
  <c r="N241" i="6"/>
  <c r="N265" i="6"/>
  <c r="N370" i="6"/>
  <c r="N318" i="6"/>
  <c r="N389" i="6"/>
  <c r="N71" i="6"/>
  <c r="N96" i="6"/>
  <c r="N144" i="6"/>
  <c r="N458" i="6"/>
  <c r="N377" i="6"/>
  <c r="N315" i="6"/>
  <c r="N359" i="6"/>
  <c r="N384" i="6"/>
  <c r="N486" i="6"/>
  <c r="N439" i="6"/>
  <c r="N187" i="6"/>
  <c r="N106" i="6"/>
  <c r="N420" i="6"/>
  <c r="N82" i="6"/>
  <c r="N93" i="6"/>
  <c r="N353" i="6"/>
  <c r="N393" i="6"/>
  <c r="N317" i="6"/>
  <c r="N46" i="6"/>
  <c r="N34" i="6"/>
  <c r="N159" i="6"/>
  <c r="N337" i="6"/>
  <c r="N263" i="6"/>
  <c r="N26" i="6"/>
  <c r="N35" i="6"/>
  <c r="N346" i="6"/>
  <c r="N391" i="6"/>
  <c r="N10" i="6"/>
  <c r="N403" i="6"/>
  <c r="N198" i="6"/>
  <c r="N166" i="6"/>
  <c r="N39" i="6"/>
  <c r="N429" i="6"/>
  <c r="N242" i="6"/>
  <c r="N153" i="6"/>
  <c r="N494" i="6"/>
  <c r="N280" i="6"/>
  <c r="N396" i="6"/>
  <c r="N331" i="6"/>
  <c r="N245" i="6"/>
  <c r="N369" i="6"/>
  <c r="N490" i="6"/>
  <c r="N372" i="6"/>
  <c r="N446" i="6"/>
  <c r="N276" i="6"/>
  <c r="N421" i="6"/>
  <c r="N489" i="6"/>
  <c r="N224" i="6"/>
  <c r="N120" i="6"/>
  <c r="N232" i="6"/>
  <c r="N380" i="6"/>
  <c r="N305" i="6"/>
  <c r="N269" i="6"/>
  <c r="N295" i="6"/>
  <c r="N347" i="6"/>
  <c r="N210" i="6"/>
  <c r="N488" i="6"/>
  <c r="N437" i="6"/>
  <c r="N364" i="6"/>
  <c r="N130" i="6"/>
  <c r="N118" i="6"/>
  <c r="N85" i="6"/>
  <c r="N406" i="6"/>
  <c r="N496" i="6"/>
  <c r="N81" i="6"/>
  <c r="N32" i="6"/>
  <c r="N54" i="6"/>
  <c r="N356" i="6"/>
  <c r="N302" i="6"/>
  <c r="N348" i="6"/>
  <c r="N154" i="6"/>
  <c r="N259" i="6"/>
  <c r="N387" i="6"/>
  <c r="N335" i="6"/>
  <c r="N320" i="6"/>
  <c r="N192" i="6"/>
  <c r="N478" i="6"/>
  <c r="N298" i="6"/>
  <c r="N272" i="6"/>
  <c r="N228" i="6"/>
  <c r="N394" i="6"/>
  <c r="N327" i="6"/>
  <c r="N73" i="6"/>
  <c r="N203" i="6"/>
  <c r="N345" i="6"/>
  <c r="N98" i="6"/>
  <c r="N155" i="6"/>
  <c r="N243" i="6"/>
  <c r="N221" i="6"/>
  <c r="N216" i="6"/>
  <c r="N72" i="6"/>
  <c r="N309" i="6"/>
  <c r="N254" i="6"/>
  <c r="N366" i="6"/>
  <c r="N164" i="6"/>
  <c r="N257" i="6"/>
  <c r="N64" i="6"/>
  <c r="N433" i="6"/>
  <c r="N360" i="6"/>
  <c r="N319" i="6"/>
  <c r="N52" i="6"/>
  <c r="N227" i="6"/>
  <c r="N230" i="6"/>
  <c r="N401" i="6"/>
  <c r="N491" i="6"/>
  <c r="N9" i="6"/>
  <c r="N90" i="6"/>
  <c r="N70" i="6"/>
  <c r="N255" i="6"/>
  <c r="N44" i="6"/>
  <c r="N95" i="6"/>
  <c r="N14" i="6"/>
  <c r="N378" i="6"/>
  <c r="N88" i="6"/>
  <c r="N222" i="6"/>
  <c r="N129" i="6"/>
  <c r="N438" i="6"/>
  <c r="N167" i="6"/>
  <c r="N249" i="6"/>
  <c r="N179" i="6"/>
  <c r="N449" i="6"/>
  <c r="N374" i="6"/>
  <c r="N43" i="6"/>
  <c r="N278" i="6"/>
  <c r="N76" i="6"/>
  <c r="N289" i="6"/>
  <c r="N87" i="6"/>
  <c r="N27" i="6"/>
  <c r="N124" i="6"/>
  <c r="N501" i="6"/>
  <c r="N425" i="6"/>
  <c r="N434" i="6"/>
  <c r="N325" i="6"/>
  <c r="N261" i="6"/>
  <c r="N185" i="6"/>
  <c r="N189" i="6"/>
  <c r="N163" i="6"/>
  <c r="N234" i="6"/>
  <c r="N324" i="6"/>
  <c r="N445" i="6"/>
  <c r="N134" i="6"/>
  <c r="N293" i="6"/>
  <c r="N321" i="6"/>
  <c r="N99" i="6"/>
  <c r="N471" i="6"/>
  <c r="N414" i="6"/>
  <c r="N103" i="6"/>
  <c r="N102" i="6"/>
  <c r="N419" i="6"/>
  <c r="N217" i="6"/>
  <c r="N97" i="6"/>
  <c r="N21" i="6"/>
  <c r="N452" i="6"/>
  <c r="N29" i="6"/>
  <c r="N441" i="6"/>
  <c r="N160" i="6"/>
  <c r="N172" i="6"/>
  <c r="N357" i="6"/>
  <c r="N22" i="6"/>
  <c r="N267" i="6"/>
  <c r="N270" i="6"/>
  <c r="N112" i="6"/>
  <c r="N47" i="6"/>
  <c r="N38" i="6"/>
  <c r="N365" i="6"/>
  <c r="N464" i="6"/>
  <c r="N462" i="6"/>
  <c r="N286" i="6"/>
  <c r="N30" i="6"/>
  <c r="N246" i="6"/>
  <c r="N240" i="6"/>
  <c r="N23" i="6"/>
  <c r="N151" i="6"/>
  <c r="N36" i="6"/>
  <c r="N442" i="6"/>
  <c r="N475" i="6"/>
  <c r="N400" i="6"/>
  <c r="N472" i="6"/>
  <c r="N45" i="6"/>
  <c r="N119" i="6"/>
  <c r="N69" i="6"/>
  <c r="N137" i="6"/>
  <c r="N116" i="6"/>
  <c r="N110" i="6"/>
  <c r="N208" i="6"/>
  <c r="N111" i="6"/>
  <c r="N493" i="6"/>
  <c r="N80" i="6"/>
  <c r="N480" i="6"/>
  <c r="N467" i="6"/>
  <c r="N304" i="6"/>
  <c r="N268" i="6"/>
  <c r="N388" i="6"/>
  <c r="N132" i="6"/>
  <c r="N226" i="6"/>
  <c r="N19" i="6"/>
  <c r="N453" i="6"/>
  <c r="N178" i="6"/>
  <c r="N109" i="6"/>
  <c r="N275" i="6"/>
  <c r="N173" i="6"/>
  <c r="N423" i="6"/>
  <c r="N13" i="6"/>
  <c r="N122" i="6"/>
  <c r="N142" i="6"/>
  <c r="N157" i="6"/>
  <c r="N329" i="6"/>
  <c r="N341" i="6"/>
  <c r="N418" i="6"/>
  <c r="N86" i="6"/>
  <c r="N213" i="6"/>
  <c r="N415" i="6"/>
  <c r="N28" i="6"/>
  <c r="N431" i="6"/>
  <c r="N121" i="6"/>
  <c r="N482" i="6"/>
  <c r="N368" i="6"/>
  <c r="N48" i="6"/>
  <c r="N140" i="6"/>
  <c r="N79" i="6"/>
  <c r="N215" i="6"/>
  <c r="N199" i="6"/>
  <c r="N5" i="6"/>
  <c r="N294" i="6"/>
  <c r="N50" i="6"/>
  <c r="N266" i="6"/>
  <c r="N395" i="6"/>
  <c r="N457" i="6"/>
  <c r="N363" i="6"/>
  <c r="N297" i="6"/>
  <c r="N219" i="6"/>
  <c r="N343" i="6"/>
  <c r="N225" i="6"/>
  <c r="N3" i="6"/>
  <c r="N145" i="6"/>
  <c r="N410" i="6"/>
  <c r="N408" i="6"/>
  <c r="N264" i="6"/>
  <c r="N498" i="6"/>
  <c r="N409" i="6"/>
  <c r="N371" i="6"/>
  <c r="N417" i="6"/>
  <c r="N476" i="6"/>
  <c r="N281" i="6"/>
  <c r="N256" i="6"/>
  <c r="N435" i="6"/>
  <c r="N169" i="6"/>
  <c r="N322" i="6"/>
  <c r="N162" i="6"/>
  <c r="N466" i="6"/>
  <c r="N63" i="6"/>
  <c r="N33" i="6"/>
  <c r="N220" i="6"/>
  <c r="N253" i="6"/>
  <c r="N271" i="6"/>
  <c r="N127" i="6"/>
  <c r="N182" i="6"/>
  <c r="N168" i="6"/>
  <c r="N31" i="6"/>
  <c r="N117" i="6"/>
  <c r="N470" i="6"/>
  <c r="N314" i="6"/>
  <c r="N306" i="6"/>
  <c r="N390" i="6"/>
  <c r="N342" i="6"/>
  <c r="N260" i="6"/>
  <c r="N459" i="6"/>
  <c r="N303" i="6"/>
  <c r="N326" i="6"/>
  <c r="N12" i="6"/>
  <c r="N233" i="6"/>
  <c r="N290" i="6"/>
  <c r="N373" i="6"/>
  <c r="N223" i="6"/>
  <c r="N236" i="6"/>
  <c r="N273" i="6"/>
  <c r="N197" i="6"/>
  <c r="N101" i="6"/>
  <c r="N51" i="6"/>
  <c r="N386" i="6"/>
  <c r="N361" i="6"/>
  <c r="N139" i="6"/>
  <c r="N413" i="6"/>
  <c r="N279" i="6"/>
  <c r="N285" i="6"/>
  <c r="N68" i="6"/>
  <c r="N283" i="6"/>
  <c r="N436" i="6"/>
  <c r="N171" i="6"/>
  <c r="N252" i="6"/>
  <c r="N336" i="6"/>
  <c r="N448" i="6"/>
  <c r="N277" i="6"/>
  <c r="N440" i="6"/>
  <c r="N212" i="6"/>
  <c r="N338" i="6"/>
  <c r="N59" i="6"/>
  <c r="N147" i="6"/>
  <c r="N156" i="6"/>
  <c r="N376" i="6"/>
  <c r="N104" i="6"/>
  <c r="N107" i="6"/>
  <c r="N447" i="6"/>
  <c r="N367" i="6"/>
  <c r="N77" i="6"/>
  <c r="N123" i="6"/>
  <c r="N66" i="6"/>
  <c r="N412" i="6"/>
  <c r="N181" i="6"/>
  <c r="N128" i="6"/>
  <c r="N310" i="6"/>
  <c r="N474" i="6"/>
  <c r="N499" i="6"/>
  <c r="N100" i="6"/>
  <c r="N188" i="6"/>
  <c r="N333" i="6"/>
  <c r="N407" i="6"/>
  <c r="N184" i="6"/>
  <c r="N399" i="6"/>
  <c r="N358" i="6"/>
  <c r="N161" i="6"/>
  <c r="N42" i="6"/>
  <c r="N404" i="6"/>
  <c r="N349" i="6"/>
  <c r="N382" i="6"/>
  <c r="N307" i="6"/>
  <c r="N247" i="6"/>
  <c r="N202" i="6"/>
  <c r="N250" i="6"/>
  <c r="N74" i="6"/>
  <c r="N195" i="6"/>
  <c r="N49" i="6"/>
  <c r="N67" i="6"/>
  <c r="N25" i="6"/>
  <c r="N313" i="6"/>
  <c r="N379" i="6"/>
  <c r="N287" i="6"/>
  <c r="N141" i="6"/>
  <c r="N24" i="6"/>
  <c r="N469" i="6"/>
  <c r="N194" i="6"/>
  <c r="N15" i="6"/>
  <c r="N311" i="6"/>
  <c r="N20" i="6"/>
  <c r="N138" i="6"/>
  <c r="N8" i="6"/>
  <c r="N248" i="6"/>
  <c r="N291" i="6"/>
  <c r="N244" i="6"/>
  <c r="N75" i="6"/>
  <c r="N392" i="6"/>
  <c r="N229" i="6"/>
  <c r="N176" i="6"/>
  <c r="N340" i="6"/>
  <c r="N61" i="6"/>
  <c r="N274" i="6"/>
  <c r="N455" i="6"/>
  <c r="N332" i="6"/>
  <c r="N485" i="6"/>
  <c r="N444" i="6"/>
  <c r="N344" i="6"/>
  <c r="N205" i="6"/>
  <c r="N148" i="6"/>
  <c r="N355" i="6"/>
  <c r="N89" i="6"/>
  <c r="N495" i="6"/>
  <c r="N149" i="6"/>
  <c r="N416" i="6"/>
  <c r="N328" i="6"/>
  <c r="N201" i="6"/>
  <c r="N262" i="6"/>
  <c r="N92" i="6"/>
  <c r="N170" i="6"/>
  <c r="N323" i="6"/>
  <c r="N146" i="6"/>
  <c r="N6" i="6"/>
  <c r="N330" i="6"/>
  <c r="N126" i="6"/>
  <c r="N94" i="6"/>
  <c r="N432" i="6"/>
  <c r="N193" i="6"/>
  <c r="N125" i="6"/>
  <c r="N484" i="6"/>
  <c r="N301" i="6"/>
  <c r="N308" i="6"/>
  <c r="N284" i="6"/>
  <c r="N296" i="6"/>
  <c r="N350" i="6"/>
  <c r="N450" i="6"/>
  <c r="N487" i="6"/>
  <c r="N292" i="6"/>
  <c r="N231" i="6"/>
  <c r="N351" i="6"/>
  <c r="N209" i="6"/>
  <c r="N105" i="6"/>
  <c r="N362" i="6"/>
  <c r="N135" i="6"/>
  <c r="N352" i="6"/>
  <c r="N78" i="6"/>
  <c r="N191" i="6"/>
  <c r="N60" i="6"/>
  <c r="N424" i="6"/>
  <c r="N238" i="6"/>
  <c r="N2" i="6"/>
  <c r="N18" i="6"/>
  <c r="N133" i="6"/>
  <c r="N16" i="6"/>
  <c r="N381" i="6"/>
  <c r="N57" i="6"/>
  <c r="N62" i="6"/>
</calcChain>
</file>

<file path=xl/sharedStrings.xml><?xml version="1.0" encoding="utf-8"?>
<sst xmlns="http://schemas.openxmlformats.org/spreadsheetml/2006/main" count="186" uniqueCount="60">
  <si>
    <t>Listing ID</t>
  </si>
  <si>
    <t>CD ID</t>
  </si>
  <si>
    <t>Price ($)</t>
  </si>
  <si>
    <t>Effective YTM</t>
  </si>
  <si>
    <t>Remaining Duration (Days)</t>
  </si>
  <si>
    <t>Maturity Date</t>
  </si>
  <si>
    <t>Issuer</t>
  </si>
  <si>
    <t>Value at Maturity ($)</t>
  </si>
  <si>
    <t>Corresponding Rate</t>
  </si>
  <si>
    <t>Entry Spread</t>
  </si>
  <si>
    <t>Timestamp</t>
  </si>
  <si>
    <t>Interest Rate</t>
  </si>
  <si>
    <t>Duration (Days)</t>
  </si>
  <si>
    <t>Buy Timestamp</t>
  </si>
  <si>
    <t>Order Timestamp</t>
  </si>
  <si>
    <t>Asking Price ($)</t>
  </si>
  <si>
    <t>Matched Timestamp</t>
  </si>
  <si>
    <t>Sell Timestamp</t>
  </si>
  <si>
    <t>Buy Price ($)</t>
  </si>
  <si>
    <t>Sell Price ($)</t>
  </si>
  <si>
    <t>Gross Profit ($)</t>
  </si>
  <si>
    <t>Tax ($)</t>
  </si>
  <si>
    <t>Fee ($)</t>
  </si>
  <si>
    <t>Net Profit ($)</t>
  </si>
  <si>
    <t>ROI</t>
  </si>
  <si>
    <t>Holding Period (Days)</t>
  </si>
  <si>
    <t>Effective Annual Return</t>
  </si>
  <si>
    <t>MBB</t>
  </si>
  <si>
    <t>Remaining Days</t>
  </si>
  <si>
    <t>Liquidity Spread</t>
  </si>
  <si>
    <t>Pricing Yield</t>
  </si>
  <si>
    <t>Model Price ($)</t>
  </si>
  <si>
    <t>L-0001</t>
  </si>
  <si>
    <t>TP03077</t>
  </si>
  <si>
    <t>TP03093</t>
  </si>
  <si>
    <t>TP03104</t>
  </si>
  <si>
    <t>TP03085</t>
  </si>
  <si>
    <t>L-0002</t>
  </si>
  <si>
    <t>L-0003</t>
  </si>
  <si>
    <t>L-0004</t>
  </si>
  <si>
    <t>TP00964</t>
  </si>
  <si>
    <t>TP03429</t>
  </si>
  <si>
    <t>TP00537</t>
  </si>
  <si>
    <t>TP01034</t>
  </si>
  <si>
    <t>TP00945</t>
  </si>
  <si>
    <t>L-0005</t>
  </si>
  <si>
    <t>L-0006</t>
  </si>
  <si>
    <t>L-0007</t>
  </si>
  <si>
    <t>L-0008</t>
  </si>
  <si>
    <t>L-0009</t>
  </si>
  <si>
    <t>TP00558</t>
  </si>
  <si>
    <t>L-0010</t>
  </si>
  <si>
    <t>TP00877</t>
  </si>
  <si>
    <t>TP01801</t>
  </si>
  <si>
    <t>TP00397</t>
  </si>
  <si>
    <t>TP93098</t>
  </si>
  <si>
    <t>L-0011</t>
  </si>
  <si>
    <t>L-0012</t>
  </si>
  <si>
    <t>L-0013</t>
  </si>
  <si>
    <t>L-0014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</si>
</sst>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;[Red]\(\$#,##0.00\);\-"/>
    <numFmt numFmtId="165" formatCode="0.0000%;[Red]\(0.0000%\);\-"/>
    <numFmt numFmtId="166" formatCode="[$-409]d\-mmm\-yyyy;@"/>
    <numFmt numFmtId="167" formatCode="dd\-mm\-yyyy"/>
  </numFmts>
  <fonts count="7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sz val="11"/>
      <color rgb="FF008000"/>
      <name val="Carlito"/>
    </font>
    <font>
      <sz val="11"/>
      <color rgb="FF000000"/>
      <name val="Carlito"/>
    </font>
    <font>
      <sz val="11"/>
      <color theme="1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4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164" fontId="2" fillId="0" borderId="0" xfId="0" applyNumberFormat="1" applyFont="1" applyFill="1" applyBorder="1"/>
    <xf numFmtId="165" fontId="2" fillId="0" borderId="0" xfId="0" applyNumberFormat="1" applyFont="1" applyFill="1" applyBorder="1"/>
    <xf numFmtId="165" fontId="3" fillId="0" borderId="0" xfId="0" applyNumberFormat="1" applyFont="1" applyFill="1" applyBorder="1"/>
    <xf numFmtId="165" fontId="4" fillId="0" borderId="0" xfId="0" applyNumberFormat="1" applyFont="1" applyFill="1" applyBorder="1"/>
    <xf numFmtId="1" fontId="2" fillId="0" borderId="0" xfId="0" applyNumberFormat="1" applyFont="1" applyFill="1" applyBorder="1"/>
    <xf numFmtId="164" fontId="3" fillId="0" borderId="0" xfId="0" applyNumberFormat="1" applyFont="1" applyFill="1" applyBorder="1"/>
    <xf numFmtId="164" fontId="4" fillId="0" borderId="0" xfId="0" applyNumberFormat="1" applyFont="1" applyFill="1" applyBorder="1"/>
    <xf numFmtId="1" fontId="4" fillId="0" borderId="0" xfId="0" applyNumberFormat="1" applyFont="1" applyFill="1" applyBorder="1"/>
    <xf numFmtId="166" fontId="1" fillId="2" borderId="0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49" fontId="2" fillId="0" borderId="0" xfId="0" applyNumberFormat="1" applyFont="1" applyFill="1" applyBorder="1"/>
    <xf numFmtId="167" fontId="2" fillId="0" borderId="0" xfId="0" applyNumberFormat="1" applyFont="1" applyFill="1" applyBorder="1"/>
    <xf numFmtId="14" fontId="0" fillId="0" borderId="0" xfId="0" applyNumberFormat="1"/>
    <xf numFmtId="0" fontId="5" fillId="3" borderId="1" xfId="0" applyFont="1" applyFill="1" applyBorder="1"/>
    <xf numFmtId="49" fontId="2" fillId="3" borderId="2" xfId="0" applyNumberFormat="1" applyFont="1" applyFill="1" applyBorder="1"/>
    <xf numFmtId="49" fontId="0" fillId="0" borderId="0" xfId="0" applyNumberFormat="1"/>
    <xf numFmtId="49" fontId="2" fillId="0" borderId="2" xfId="0" applyNumberFormat="1" applyFont="1" applyBorder="1"/>
    <xf numFmtId="49" fontId="5" fillId="0" borderId="1" xfId="0" applyNumberFormat="1" applyFont="1" applyBorder="1"/>
    <xf numFmtId="49" fontId="5" fillId="3" borderId="1" xfId="0" applyNumberFormat="1" applyFont="1" applyFill="1" applyBorder="1"/>
    <xf numFmtId="167" fontId="3" fillId="0" borderId="0" xfId="0" applyNumberFormat="1" applyFont="1" applyFill="1" applyBorder="1"/>
    <xf numFmtId="165" fontId="3" fillId="0" borderId="0" xfId="1" applyNumberFormat="1" applyFont="1" applyFill="1" applyBorder="1"/>
  </cellXfs>
  <cellStyles count="2">
    <cellStyle name="Normal" xfId="0" builtinId="0"/>
    <cellStyle name="Percent" xfId="1" builtinId="5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rlito"/>
        <scheme val="none"/>
      </font>
      <numFmt numFmtId="165" formatCode="0.0000%;[Red]\(0.0000%\);\-"/>
      <fill>
        <patternFill patternType="none">
          <fgColor indexed="64"/>
          <bgColor indexed="65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ont>
        <color rgb="FFC00000"/>
      </font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numFmt numFmtId="167" formatCode="dd\-mm\-yyyy"/>
    </dxf>
    <dxf>
      <numFmt numFmtId="167" formatCode="dd\-mm\-yyyy"/>
    </dxf>
    <dxf>
      <numFmt numFmtId="167" formatCode="dd\-mm\-yyyy"/>
    </dxf>
    <dxf>
      <numFmt numFmtId="167" formatCode="dd\-mm\-yyyy"/>
    </dxf>
    <dxf>
      <numFmt numFmtId="167" formatCode="dd\-mm\-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rlito"/>
        <scheme val="none"/>
      </font>
      <numFmt numFmtId="165" formatCode="0.0000%;[Red]\(0.0000%\);\-"/>
      <fill>
        <patternFill patternType="none">
          <fgColor indexed="64"/>
          <bgColor indexed="65"/>
        </patternFill>
      </fill>
    </dxf>
    <dxf>
      <numFmt numFmtId="1" formatCode="0"/>
    </dxf>
    <dxf>
      <font>
        <color rgb="FF0000FF"/>
      </font>
      <numFmt numFmtId="167" formatCode="dd\-mm\-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rlito"/>
        <scheme val="none"/>
      </font>
      <numFmt numFmtId="164" formatCode="\$#,##0.00;[Red]\(\$#,##0.00\);\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rlito"/>
        <scheme val="none"/>
      </font>
      <numFmt numFmtId="167" formatCode="dd\-mm\-yyyy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</dxf>
    <dxf>
      <numFmt numFmtId="167" formatCode="dd\-mm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ankRatesTable" displayName="BankRatesTable" ref="A1:D501" totalsRowShown="0">
  <tableColumns count="4">
    <tableColumn id="1" xr3:uid="{00000000-0010-0000-0100-000001000000}" name="Issuer"/>
    <tableColumn id="2" xr3:uid="{00000000-0010-0000-0100-000002000000}" name="Timestamp" dataDxfId="28"/>
    <tableColumn id="3" xr3:uid="{00000000-0010-0000-0100-000003000000}" name="Interest Rate"/>
    <tableColumn id="4" xr3:uid="{00000000-0010-0000-0100-000004000000}" name="Duration (Days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ObservationsTable" displayName="RawObservationsTable" ref="A1:K1001" totalsRowShown="0">
  <tableColumns count="11">
    <tableColumn id="1" xr3:uid="{00000000-0010-0000-0000-000001000000}" name="Listing ID" dataDxfId="27">
      <calculatedColumnFormula>IF(B2&lt;&gt;"","L-"&amp;TEXT(ROW()-1,"0000"),"")</calculatedColumnFormula>
    </tableColumn>
    <tableColumn id="2" xr3:uid="{00000000-0010-0000-0000-000002000000}" name="CD ID" dataDxfId="26"/>
    <tableColumn id="11" xr3:uid="{00000000-0010-0000-0000-00000B000000}" name="Timestamp" dataDxfId="25"/>
    <tableColumn id="3" xr3:uid="{00000000-0010-0000-0000-000003000000}" name="Price ($)"/>
    <tableColumn id="8" xr3:uid="{00000000-0010-0000-0000-000008000000}" name="Value at Maturity ($)" dataDxfId="24"/>
    <tableColumn id="6" xr3:uid="{00000000-0010-0000-0000-000006000000}" name="Maturity Date" dataDxfId="23"/>
    <tableColumn id="5" xr3:uid="{00000000-0010-0000-0000-000005000000}" name="Remaining Duration (Days)" dataDxfId="22">
      <calculatedColumnFormula>RawObservationsTable[[#This Row],[Maturity Date]]-RawObservationsTable[[#This Row],[Timestamp]]</calculatedColumnFormula>
    </tableColumn>
    <tableColumn id="7" xr3:uid="{00000000-0010-0000-0000-000007000000}" name="Issuer"/>
    <tableColumn id="4" xr3:uid="{00000000-0010-0000-0000-000004000000}" name="Effective YTM" dataDxfId="21"/>
    <tableColumn id="9" xr3:uid="{00000000-0010-0000-0000-000009000000}" name="Corresponding Rate"/>
    <tableColumn id="10" xr3:uid="{00000000-0010-0000-0000-00000A000000}" name="Entry Spre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uyHistoryTable" displayName="BuyHistoryTable" ref="A1:C501" totalsRowShown="0">
  <tableColumns count="3">
    <tableColumn id="1" xr3:uid="{00000000-0010-0000-0200-000001000000}" name="Listing ID" dataDxfId="20">
      <calculatedColumnFormula>IF(B2&lt;&gt;"","L-"&amp;TEXT(ROW()-1,"0000"),"")</calculatedColumnFormula>
    </tableColumn>
    <tableColumn id="2" xr3:uid="{00000000-0010-0000-0200-000002000000}" name="CD ID"/>
    <tableColumn id="3" xr3:uid="{00000000-0010-0000-0200-000003000000}" name="Buy Timestamp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rderHistoryTable" displayName="OrderHistoryTable" ref="A1:D501" totalsRowShown="0">
  <tableColumns count="4">
    <tableColumn id="1" xr3:uid="{00000000-0010-0000-0300-000001000000}" name="Listing ID"/>
    <tableColumn id="2" xr3:uid="{00000000-0010-0000-0300-000002000000}" name="CD ID"/>
    <tableColumn id="3" xr3:uid="{00000000-0010-0000-0300-000003000000}" name="Order Timestamp" dataDxfId="18"/>
    <tableColumn id="4" xr3:uid="{00000000-0010-0000-0300-000004000000}" name="Asking Price ($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ellHistoryTable" displayName="SellHistoryTable" ref="A1:C501" totalsRowShown="0">
  <tableColumns count="3">
    <tableColumn id="1" xr3:uid="{00000000-0010-0000-0400-000001000000}" name="Listing ID"/>
    <tableColumn id="2" xr3:uid="{00000000-0010-0000-0400-000002000000}" name="CD ID"/>
    <tableColumn id="3" xr3:uid="{00000000-0010-0000-0400-000003000000}" name="Matched Timestamp" dataDxfId="1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radeResultsTable" displayName="TradeResultsTable" ref="A1:N501" totalsRowShown="0">
  <tableColumns count="14">
    <tableColumn id="1" xr3:uid="{00000000-0010-0000-0500-000001000000}" name="Listing ID"/>
    <tableColumn id="2" xr3:uid="{00000000-0010-0000-0500-000002000000}" name="CD ID"/>
    <tableColumn id="3" xr3:uid="{00000000-0010-0000-0500-000003000000}" name="Buy Timestamp" dataDxfId="16"/>
    <tableColumn id="4" xr3:uid="{00000000-0010-0000-0500-000004000000}" name="Sell Timestamp" dataDxfId="15"/>
    <tableColumn id="5" xr3:uid="{00000000-0010-0000-0500-000005000000}" name="Buy Price ($)"/>
    <tableColumn id="6" xr3:uid="{00000000-0010-0000-0500-000006000000}" name="Sell Price ($)"/>
    <tableColumn id="14" xr3:uid="{70AE9E9E-012D-41AA-B144-92BBAE2FAA1D}" name="Liquidity Spread" dataDxfId="0">
      <calculatedColumnFormula>IF(COUNTIFS(Pricing!$A:$A,A2,Pricing!$B:$B,B2)=0,"",SUMIFS(Pricing!$G:$G,Pricing!$A:$A,A2,Pricing!$B:$B,B2))</calculatedColumnFormula>
    </tableColumn>
    <tableColumn id="7" xr3:uid="{00000000-0010-0000-0500-000007000000}" name="Gross Profit ($)"/>
    <tableColumn id="8" xr3:uid="{00000000-0010-0000-0500-000008000000}" name="Tax ($)"/>
    <tableColumn id="9" xr3:uid="{00000000-0010-0000-0500-000009000000}" name="Fee ($)"/>
    <tableColumn id="10" xr3:uid="{00000000-0010-0000-0500-00000A000000}" name="Net Profit ($)"/>
    <tableColumn id="11" xr3:uid="{00000000-0010-0000-0500-00000B000000}" name="ROI"/>
    <tableColumn id="12" xr3:uid="{00000000-0010-0000-0500-00000C000000}" name="Holding Period (Days)"/>
    <tableColumn id="13" xr3:uid="{00000000-0010-0000-0500-00000D000000}" name="Effective Annual Ret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1"/>
  <sheetViews>
    <sheetView workbookViewId="0">
      <selection activeCell="D3" sqref="D3"/>
    </sheetView>
  </sheetViews>
  <sheetFormatPr defaultRowHeight="13.8"/>
  <cols>
    <col min="1" max="1" width="20" customWidth="1"/>
    <col min="2" max="2" width="20" style="12" customWidth="1"/>
    <col min="3" max="3" width="16" customWidth="1"/>
    <col min="4" max="4" width="18" customWidth="1"/>
  </cols>
  <sheetData>
    <row r="1" spans="1:4" ht="25.65" customHeight="1">
      <c r="A1" s="1" t="s">
        <v>6</v>
      </c>
      <c r="B1" s="11" t="s">
        <v>10</v>
      </c>
      <c r="C1" s="1" t="s">
        <v>11</v>
      </c>
      <c r="D1" s="1" t="s">
        <v>12</v>
      </c>
    </row>
    <row r="2" spans="1:4">
      <c r="A2" s="2" t="s">
        <v>27</v>
      </c>
      <c r="B2" s="14">
        <v>46244</v>
      </c>
      <c r="C2" s="4">
        <v>1.7999999999999999E-2</v>
      </c>
      <c r="D2" s="7">
        <v>1</v>
      </c>
    </row>
    <row r="3" spans="1:4">
      <c r="A3" s="2" t="s">
        <v>27</v>
      </c>
      <c r="B3" s="14">
        <v>46244</v>
      </c>
      <c r="C3" s="4">
        <v>0.04</v>
      </c>
      <c r="D3" s="7">
        <v>7</v>
      </c>
    </row>
    <row r="4" spans="1:4">
      <c r="A4" s="2" t="s">
        <v>27</v>
      </c>
      <c r="B4" s="14">
        <v>46244</v>
      </c>
      <c r="C4" s="4">
        <v>6.5000000000000002E-2</v>
      </c>
      <c r="D4" s="7">
        <v>30</v>
      </c>
    </row>
    <row r="5" spans="1:4">
      <c r="A5" s="2" t="s">
        <v>27</v>
      </c>
      <c r="B5" s="14">
        <v>46244</v>
      </c>
      <c r="C5" s="4">
        <v>6.7000000000000004E-2</v>
      </c>
      <c r="D5" s="7">
        <v>60</v>
      </c>
    </row>
    <row r="6" spans="1:4">
      <c r="A6" s="2" t="s">
        <v>27</v>
      </c>
      <c r="B6" s="14">
        <v>46244</v>
      </c>
      <c r="C6" s="4">
        <v>7.0000000000000007E-2</v>
      </c>
      <c r="D6" s="7">
        <v>90</v>
      </c>
    </row>
    <row r="7" spans="1:4">
      <c r="A7" s="2" t="s">
        <v>27</v>
      </c>
      <c r="B7" s="14">
        <v>46244</v>
      </c>
      <c r="C7" s="4">
        <v>7.0000000000000007E-2</v>
      </c>
      <c r="D7" s="7">
        <v>120</v>
      </c>
    </row>
    <row r="8" spans="1:4">
      <c r="A8" s="2" t="s">
        <v>27</v>
      </c>
      <c r="B8" s="14">
        <v>46244</v>
      </c>
      <c r="C8" s="4">
        <v>7.0000000000000007E-2</v>
      </c>
      <c r="D8" s="7">
        <v>150</v>
      </c>
    </row>
    <row r="9" spans="1:4">
      <c r="A9" s="2" t="s">
        <v>27</v>
      </c>
      <c r="B9" s="14">
        <v>46244</v>
      </c>
      <c r="C9" s="4">
        <v>7.0999999999999994E-2</v>
      </c>
      <c r="D9" s="7">
        <v>180</v>
      </c>
    </row>
    <row r="10" spans="1:4">
      <c r="A10" s="2" t="s">
        <v>27</v>
      </c>
      <c r="B10" s="14">
        <v>46244</v>
      </c>
      <c r="C10" s="4">
        <v>7.0999999999999994E-2</v>
      </c>
      <c r="D10" s="7">
        <v>210</v>
      </c>
    </row>
    <row r="11" spans="1:4">
      <c r="A11" s="2" t="s">
        <v>27</v>
      </c>
      <c r="B11" s="14">
        <v>46244</v>
      </c>
      <c r="C11" s="4">
        <v>7.0999999999999994E-2</v>
      </c>
      <c r="D11" s="7">
        <v>240</v>
      </c>
    </row>
    <row r="12" spans="1:4">
      <c r="A12" s="2" t="s">
        <v>27</v>
      </c>
      <c r="B12" s="14">
        <v>46244</v>
      </c>
      <c r="C12" s="4">
        <v>7.0999999999999994E-2</v>
      </c>
      <c r="D12" s="7">
        <v>270</v>
      </c>
    </row>
    <row r="13" spans="1:4">
      <c r="A13" s="2"/>
      <c r="B13" s="14"/>
      <c r="C13" s="4"/>
      <c r="D13" s="7"/>
    </row>
    <row r="14" spans="1:4">
      <c r="A14" s="2"/>
      <c r="B14" s="14"/>
      <c r="C14" s="4"/>
      <c r="D14" s="7"/>
    </row>
    <row r="15" spans="1:4">
      <c r="A15" s="2"/>
      <c r="B15" s="14"/>
      <c r="C15" s="4"/>
      <c r="D15" s="7"/>
    </row>
    <row r="16" spans="1:4">
      <c r="A16" s="2"/>
      <c r="B16" s="14"/>
      <c r="C16" s="4"/>
      <c r="D16" s="7"/>
    </row>
    <row r="17" spans="1:4">
      <c r="A17" s="2"/>
      <c r="B17" s="14"/>
      <c r="C17" s="4"/>
      <c r="D17" s="7"/>
    </row>
    <row r="18" spans="1:4">
      <c r="A18" s="2"/>
      <c r="B18" s="14"/>
      <c r="C18" s="4"/>
      <c r="D18" s="7"/>
    </row>
    <row r="19" spans="1:4">
      <c r="A19" s="2"/>
      <c r="B19" s="14"/>
      <c r="C19" s="4"/>
      <c r="D19" s="7"/>
    </row>
    <row r="20" spans="1:4">
      <c r="A20" s="2"/>
      <c r="B20" s="14"/>
      <c r="C20" s="4"/>
      <c r="D20" s="7"/>
    </row>
    <row r="21" spans="1:4">
      <c r="A21" s="2"/>
      <c r="B21" s="14"/>
      <c r="C21" s="4"/>
      <c r="D21" s="7"/>
    </row>
    <row r="22" spans="1:4">
      <c r="A22" s="2"/>
      <c r="B22" s="14"/>
      <c r="C22" s="4"/>
      <c r="D22" s="7"/>
    </row>
    <row r="23" spans="1:4">
      <c r="A23" s="2"/>
      <c r="B23" s="14"/>
      <c r="C23" s="4"/>
      <c r="D23" s="7"/>
    </row>
    <row r="24" spans="1:4">
      <c r="A24" s="2"/>
      <c r="B24" s="14"/>
      <c r="C24" s="4"/>
      <c r="D24" s="7"/>
    </row>
    <row r="25" spans="1:4">
      <c r="A25" s="2"/>
      <c r="B25" s="14"/>
      <c r="C25" s="4"/>
      <c r="D25" s="7"/>
    </row>
    <row r="26" spans="1:4">
      <c r="A26" s="2"/>
      <c r="B26" s="14"/>
      <c r="C26" s="4"/>
      <c r="D26" s="7"/>
    </row>
    <row r="27" spans="1:4">
      <c r="A27" s="2"/>
      <c r="B27" s="14"/>
      <c r="C27" s="4"/>
      <c r="D27" s="7"/>
    </row>
    <row r="28" spans="1:4">
      <c r="A28" s="2"/>
      <c r="B28" s="14"/>
      <c r="C28" s="4"/>
      <c r="D28" s="7"/>
    </row>
    <row r="29" spans="1:4">
      <c r="A29" s="2"/>
      <c r="B29" s="14"/>
      <c r="C29" s="4"/>
      <c r="D29" s="7"/>
    </row>
    <row r="30" spans="1:4">
      <c r="A30" s="2"/>
      <c r="B30" s="14"/>
      <c r="C30" s="4"/>
      <c r="D30" s="7"/>
    </row>
    <row r="31" spans="1:4">
      <c r="A31" s="2"/>
      <c r="B31" s="14"/>
      <c r="C31" s="4"/>
      <c r="D31" s="7"/>
    </row>
    <row r="32" spans="1:4">
      <c r="A32" s="2"/>
      <c r="B32" s="14"/>
      <c r="C32" s="4"/>
      <c r="D32" s="7"/>
    </row>
    <row r="33" spans="1:4">
      <c r="A33" s="2"/>
      <c r="B33" s="14"/>
      <c r="C33" s="4"/>
      <c r="D33" s="7"/>
    </row>
    <row r="34" spans="1:4">
      <c r="A34" s="2"/>
      <c r="B34" s="14"/>
      <c r="C34" s="4"/>
      <c r="D34" s="7"/>
    </row>
    <row r="35" spans="1:4">
      <c r="A35" s="2"/>
      <c r="B35" s="14"/>
      <c r="C35" s="4"/>
      <c r="D35" s="7"/>
    </row>
    <row r="36" spans="1:4">
      <c r="A36" s="2"/>
      <c r="B36" s="14"/>
      <c r="C36" s="4"/>
      <c r="D36" s="7"/>
    </row>
    <row r="37" spans="1:4">
      <c r="A37" s="2"/>
      <c r="B37" s="14"/>
      <c r="C37" s="4"/>
      <c r="D37" s="7"/>
    </row>
    <row r="38" spans="1:4">
      <c r="A38" s="2"/>
      <c r="B38" s="14"/>
      <c r="C38" s="4"/>
      <c r="D38" s="7"/>
    </row>
    <row r="39" spans="1:4">
      <c r="A39" s="2"/>
      <c r="B39" s="14"/>
      <c r="C39" s="4"/>
      <c r="D39" s="7"/>
    </row>
    <row r="40" spans="1:4">
      <c r="A40" s="2"/>
      <c r="B40" s="14"/>
      <c r="C40" s="4"/>
      <c r="D40" s="7"/>
    </row>
    <row r="41" spans="1:4">
      <c r="A41" s="2"/>
      <c r="B41" s="14"/>
      <c r="C41" s="4"/>
      <c r="D41" s="7"/>
    </row>
    <row r="42" spans="1:4">
      <c r="A42" s="2"/>
      <c r="B42" s="14"/>
      <c r="C42" s="4"/>
      <c r="D42" s="7"/>
    </row>
    <row r="43" spans="1:4">
      <c r="A43" s="2"/>
      <c r="B43" s="14"/>
      <c r="C43" s="4"/>
      <c r="D43" s="7"/>
    </row>
    <row r="44" spans="1:4">
      <c r="A44" s="2"/>
      <c r="B44" s="14"/>
      <c r="C44" s="4"/>
      <c r="D44" s="7"/>
    </row>
    <row r="45" spans="1:4">
      <c r="A45" s="2"/>
      <c r="B45" s="14"/>
      <c r="C45" s="4"/>
      <c r="D45" s="7"/>
    </row>
    <row r="46" spans="1:4">
      <c r="A46" s="2"/>
      <c r="B46" s="14"/>
      <c r="C46" s="4"/>
      <c r="D46" s="7"/>
    </row>
    <row r="47" spans="1:4">
      <c r="A47" s="2"/>
      <c r="B47" s="14"/>
      <c r="C47" s="4"/>
      <c r="D47" s="7"/>
    </row>
    <row r="48" spans="1:4">
      <c r="A48" s="2"/>
      <c r="B48" s="14"/>
      <c r="C48" s="4"/>
      <c r="D48" s="7"/>
    </row>
    <row r="49" spans="1:4">
      <c r="A49" s="2"/>
      <c r="B49" s="14"/>
      <c r="C49" s="4"/>
      <c r="D49" s="7"/>
    </row>
    <row r="50" spans="1:4">
      <c r="A50" s="2"/>
      <c r="B50" s="14"/>
      <c r="C50" s="4"/>
      <c r="D50" s="7"/>
    </row>
    <row r="51" spans="1:4">
      <c r="A51" s="2"/>
      <c r="B51" s="14"/>
      <c r="C51" s="4"/>
      <c r="D51" s="7"/>
    </row>
    <row r="52" spans="1:4">
      <c r="A52" s="2"/>
      <c r="B52" s="14"/>
      <c r="C52" s="4"/>
      <c r="D52" s="7"/>
    </row>
    <row r="53" spans="1:4">
      <c r="A53" s="2"/>
      <c r="B53" s="14"/>
      <c r="C53" s="4"/>
      <c r="D53" s="7"/>
    </row>
    <row r="54" spans="1:4">
      <c r="A54" s="2"/>
      <c r="B54" s="14"/>
      <c r="C54" s="4"/>
      <c r="D54" s="7"/>
    </row>
    <row r="55" spans="1:4">
      <c r="A55" s="2"/>
      <c r="B55" s="14"/>
      <c r="C55" s="4"/>
      <c r="D55" s="7"/>
    </row>
    <row r="56" spans="1:4">
      <c r="A56" s="2"/>
      <c r="B56" s="14"/>
      <c r="C56" s="4"/>
      <c r="D56" s="7"/>
    </row>
    <row r="57" spans="1:4">
      <c r="A57" s="2"/>
      <c r="B57" s="14"/>
      <c r="C57" s="4"/>
      <c r="D57" s="7"/>
    </row>
    <row r="58" spans="1:4">
      <c r="A58" s="2"/>
      <c r="B58" s="14"/>
      <c r="C58" s="4"/>
      <c r="D58" s="7"/>
    </row>
    <row r="59" spans="1:4">
      <c r="A59" s="2"/>
      <c r="B59" s="14"/>
      <c r="C59" s="4"/>
      <c r="D59" s="7"/>
    </row>
    <row r="60" spans="1:4">
      <c r="A60" s="2"/>
      <c r="B60" s="14"/>
      <c r="C60" s="4"/>
      <c r="D60" s="7"/>
    </row>
    <row r="61" spans="1:4">
      <c r="A61" s="2"/>
      <c r="B61" s="14"/>
      <c r="C61" s="4"/>
      <c r="D61" s="7"/>
    </row>
    <row r="62" spans="1:4">
      <c r="A62" s="2"/>
      <c r="B62" s="14"/>
      <c r="C62" s="4"/>
      <c r="D62" s="7"/>
    </row>
    <row r="63" spans="1:4">
      <c r="A63" s="2"/>
      <c r="B63" s="14"/>
      <c r="C63" s="4"/>
      <c r="D63" s="7"/>
    </row>
    <row r="64" spans="1:4">
      <c r="A64" s="2"/>
      <c r="B64" s="14"/>
      <c r="C64" s="4"/>
      <c r="D64" s="7"/>
    </row>
    <row r="65" spans="1:4">
      <c r="A65" s="2"/>
      <c r="B65" s="14"/>
      <c r="C65" s="4"/>
      <c r="D65" s="7"/>
    </row>
    <row r="66" spans="1:4">
      <c r="A66" s="2"/>
      <c r="B66" s="14"/>
      <c r="C66" s="4"/>
      <c r="D66" s="7"/>
    </row>
    <row r="67" spans="1:4">
      <c r="A67" s="2"/>
      <c r="B67" s="14"/>
      <c r="C67" s="4"/>
      <c r="D67" s="7"/>
    </row>
    <row r="68" spans="1:4">
      <c r="A68" s="2"/>
      <c r="B68" s="14"/>
      <c r="C68" s="4"/>
      <c r="D68" s="7"/>
    </row>
    <row r="69" spans="1:4">
      <c r="A69" s="2"/>
      <c r="B69" s="14"/>
      <c r="C69" s="4"/>
      <c r="D69" s="7"/>
    </row>
    <row r="70" spans="1:4">
      <c r="A70" s="2"/>
      <c r="B70" s="14"/>
      <c r="C70" s="4"/>
      <c r="D70" s="7"/>
    </row>
    <row r="71" spans="1:4">
      <c r="A71" s="2"/>
      <c r="B71" s="14"/>
      <c r="C71" s="4"/>
      <c r="D71" s="7"/>
    </row>
    <row r="72" spans="1:4">
      <c r="A72" s="2"/>
      <c r="B72" s="14"/>
      <c r="C72" s="4"/>
      <c r="D72" s="7"/>
    </row>
    <row r="73" spans="1:4">
      <c r="A73" s="2"/>
      <c r="B73" s="14"/>
      <c r="C73" s="4"/>
      <c r="D73" s="7"/>
    </row>
    <row r="74" spans="1:4">
      <c r="A74" s="2"/>
      <c r="B74" s="14"/>
      <c r="C74" s="4"/>
      <c r="D74" s="7"/>
    </row>
    <row r="75" spans="1:4">
      <c r="A75" s="2"/>
      <c r="B75" s="14"/>
      <c r="C75" s="4"/>
      <c r="D75" s="7"/>
    </row>
    <row r="76" spans="1:4">
      <c r="A76" s="2"/>
      <c r="B76" s="14"/>
      <c r="C76" s="4"/>
      <c r="D76" s="7"/>
    </row>
    <row r="77" spans="1:4">
      <c r="A77" s="2"/>
      <c r="B77" s="14"/>
      <c r="C77" s="4"/>
      <c r="D77" s="7"/>
    </row>
    <row r="78" spans="1:4">
      <c r="A78" s="2"/>
      <c r="B78" s="14"/>
      <c r="C78" s="4"/>
      <c r="D78" s="7"/>
    </row>
    <row r="79" spans="1:4">
      <c r="A79" s="2"/>
      <c r="B79" s="14"/>
      <c r="C79" s="4"/>
      <c r="D79" s="7"/>
    </row>
    <row r="80" spans="1:4">
      <c r="A80" s="2"/>
      <c r="B80" s="14"/>
      <c r="C80" s="4"/>
      <c r="D80" s="7"/>
    </row>
    <row r="81" spans="1:4">
      <c r="A81" s="2"/>
      <c r="B81" s="14"/>
      <c r="C81" s="4"/>
      <c r="D81" s="7"/>
    </row>
    <row r="82" spans="1:4">
      <c r="A82" s="2"/>
      <c r="B82" s="14"/>
      <c r="C82" s="4"/>
      <c r="D82" s="7"/>
    </row>
    <row r="83" spans="1:4">
      <c r="A83" s="2"/>
      <c r="B83" s="14"/>
      <c r="C83" s="4"/>
      <c r="D83" s="7"/>
    </row>
    <row r="84" spans="1:4">
      <c r="A84" s="2"/>
      <c r="B84" s="14"/>
      <c r="C84" s="4"/>
      <c r="D84" s="7"/>
    </row>
    <row r="85" spans="1:4">
      <c r="A85" s="2"/>
      <c r="B85" s="14"/>
      <c r="C85" s="4"/>
      <c r="D85" s="7"/>
    </row>
    <row r="86" spans="1:4">
      <c r="A86" s="2"/>
      <c r="B86" s="14"/>
      <c r="C86" s="4"/>
      <c r="D86" s="7"/>
    </row>
    <row r="87" spans="1:4">
      <c r="A87" s="2"/>
      <c r="B87" s="14"/>
      <c r="C87" s="4"/>
      <c r="D87" s="7"/>
    </row>
    <row r="88" spans="1:4">
      <c r="A88" s="2"/>
      <c r="B88" s="14"/>
      <c r="C88" s="4"/>
      <c r="D88" s="7"/>
    </row>
    <row r="89" spans="1:4">
      <c r="A89" s="2"/>
      <c r="B89" s="14"/>
      <c r="C89" s="4"/>
      <c r="D89" s="7"/>
    </row>
    <row r="90" spans="1:4">
      <c r="A90" s="2"/>
      <c r="B90" s="14"/>
      <c r="C90" s="4"/>
      <c r="D90" s="7"/>
    </row>
    <row r="91" spans="1:4">
      <c r="A91" s="2"/>
      <c r="B91" s="14"/>
      <c r="C91" s="4"/>
      <c r="D91" s="7"/>
    </row>
    <row r="92" spans="1:4">
      <c r="A92" s="2"/>
      <c r="B92" s="14"/>
      <c r="C92" s="4"/>
      <c r="D92" s="7"/>
    </row>
    <row r="93" spans="1:4">
      <c r="A93" s="2"/>
      <c r="B93" s="14"/>
      <c r="C93" s="4"/>
      <c r="D93" s="7"/>
    </row>
    <row r="94" spans="1:4">
      <c r="A94" s="2"/>
      <c r="B94" s="14"/>
      <c r="C94" s="4"/>
      <c r="D94" s="7"/>
    </row>
    <row r="95" spans="1:4">
      <c r="A95" s="2"/>
      <c r="B95" s="14"/>
      <c r="C95" s="4"/>
      <c r="D95" s="7"/>
    </row>
    <row r="96" spans="1:4">
      <c r="A96" s="2"/>
      <c r="B96" s="14"/>
      <c r="C96" s="4"/>
      <c r="D96" s="7"/>
    </row>
    <row r="97" spans="1:4">
      <c r="A97" s="2"/>
      <c r="B97" s="14"/>
      <c r="C97" s="4"/>
      <c r="D97" s="7"/>
    </row>
    <row r="98" spans="1:4">
      <c r="A98" s="2"/>
      <c r="B98" s="14"/>
      <c r="C98" s="4"/>
      <c r="D98" s="7"/>
    </row>
    <row r="99" spans="1:4">
      <c r="A99" s="2"/>
      <c r="B99" s="14"/>
      <c r="C99" s="4"/>
      <c r="D99" s="7"/>
    </row>
    <row r="100" spans="1:4">
      <c r="A100" s="2"/>
      <c r="B100" s="14"/>
      <c r="C100" s="4"/>
      <c r="D100" s="7"/>
    </row>
    <row r="101" spans="1:4">
      <c r="A101" s="2"/>
      <c r="B101" s="14"/>
      <c r="C101" s="4"/>
      <c r="D101" s="7"/>
    </row>
    <row r="102" spans="1:4">
      <c r="A102" s="2"/>
      <c r="B102" s="14"/>
      <c r="C102" s="4"/>
      <c r="D102" s="7"/>
    </row>
    <row r="103" spans="1:4">
      <c r="A103" s="2"/>
      <c r="B103" s="14"/>
      <c r="C103" s="4"/>
      <c r="D103" s="7"/>
    </row>
    <row r="104" spans="1:4">
      <c r="A104" s="2"/>
      <c r="B104" s="14"/>
      <c r="C104" s="4"/>
      <c r="D104" s="7"/>
    </row>
    <row r="105" spans="1:4">
      <c r="A105" s="2"/>
      <c r="B105" s="14"/>
      <c r="C105" s="4"/>
      <c r="D105" s="7"/>
    </row>
    <row r="106" spans="1:4">
      <c r="A106" s="2"/>
      <c r="B106" s="14"/>
      <c r="C106" s="4"/>
      <c r="D106" s="7"/>
    </row>
    <row r="107" spans="1:4">
      <c r="A107" s="2"/>
      <c r="B107" s="14"/>
      <c r="C107" s="4"/>
      <c r="D107" s="7"/>
    </row>
    <row r="108" spans="1:4">
      <c r="A108" s="2"/>
      <c r="B108" s="14"/>
      <c r="C108" s="4"/>
      <c r="D108" s="7"/>
    </row>
    <row r="109" spans="1:4">
      <c r="A109" s="2"/>
      <c r="B109" s="14"/>
      <c r="C109" s="4"/>
      <c r="D109" s="7"/>
    </row>
    <row r="110" spans="1:4">
      <c r="A110" s="2"/>
      <c r="B110" s="14"/>
      <c r="C110" s="4"/>
      <c r="D110" s="7"/>
    </row>
    <row r="111" spans="1:4">
      <c r="A111" s="2"/>
      <c r="B111" s="14"/>
      <c r="C111" s="4"/>
      <c r="D111" s="7"/>
    </row>
    <row r="112" spans="1:4">
      <c r="A112" s="2"/>
      <c r="B112" s="14"/>
      <c r="C112" s="4"/>
      <c r="D112" s="7"/>
    </row>
    <row r="113" spans="1:4">
      <c r="A113" s="2"/>
      <c r="B113" s="14"/>
      <c r="C113" s="4"/>
      <c r="D113" s="7"/>
    </row>
    <row r="114" spans="1:4">
      <c r="A114" s="2"/>
      <c r="B114" s="14"/>
      <c r="C114" s="4"/>
      <c r="D114" s="7"/>
    </row>
    <row r="115" spans="1:4">
      <c r="A115" s="2"/>
      <c r="B115" s="14"/>
      <c r="C115" s="4"/>
      <c r="D115" s="7"/>
    </row>
    <row r="116" spans="1:4">
      <c r="A116" s="2"/>
      <c r="B116" s="14"/>
      <c r="C116" s="4"/>
      <c r="D116" s="7"/>
    </row>
    <row r="117" spans="1:4">
      <c r="A117" s="2"/>
      <c r="B117" s="14"/>
      <c r="C117" s="4"/>
      <c r="D117" s="7"/>
    </row>
    <row r="118" spans="1:4">
      <c r="A118" s="2"/>
      <c r="B118" s="14"/>
      <c r="C118" s="4"/>
      <c r="D118" s="7"/>
    </row>
    <row r="119" spans="1:4">
      <c r="A119" s="2"/>
      <c r="B119" s="14"/>
      <c r="C119" s="4"/>
      <c r="D119" s="7"/>
    </row>
    <row r="120" spans="1:4">
      <c r="A120" s="2"/>
      <c r="B120" s="14"/>
      <c r="C120" s="4"/>
      <c r="D120" s="7"/>
    </row>
    <row r="121" spans="1:4">
      <c r="A121" s="2"/>
      <c r="B121" s="14"/>
      <c r="C121" s="4"/>
      <c r="D121" s="7"/>
    </row>
    <row r="122" spans="1:4">
      <c r="A122" s="2"/>
      <c r="B122" s="14"/>
      <c r="C122" s="4"/>
      <c r="D122" s="7"/>
    </row>
    <row r="123" spans="1:4">
      <c r="A123" s="2"/>
      <c r="B123" s="14"/>
      <c r="C123" s="4"/>
      <c r="D123" s="7"/>
    </row>
    <row r="124" spans="1:4">
      <c r="A124" s="2"/>
      <c r="B124" s="14"/>
      <c r="C124" s="4"/>
      <c r="D124" s="7"/>
    </row>
    <row r="125" spans="1:4">
      <c r="A125" s="2"/>
      <c r="B125" s="14"/>
      <c r="C125" s="4"/>
      <c r="D125" s="7"/>
    </row>
    <row r="126" spans="1:4">
      <c r="A126" s="2"/>
      <c r="B126" s="14"/>
      <c r="C126" s="4"/>
      <c r="D126" s="7"/>
    </row>
    <row r="127" spans="1:4">
      <c r="A127" s="2"/>
      <c r="B127" s="14"/>
      <c r="C127" s="4"/>
      <c r="D127" s="7"/>
    </row>
    <row r="128" spans="1:4">
      <c r="A128" s="2"/>
      <c r="B128" s="14"/>
      <c r="C128" s="4"/>
      <c r="D128" s="7"/>
    </row>
    <row r="129" spans="1:4">
      <c r="A129" s="2"/>
      <c r="B129" s="14"/>
      <c r="C129" s="4"/>
      <c r="D129" s="7"/>
    </row>
    <row r="130" spans="1:4">
      <c r="A130" s="2"/>
      <c r="B130" s="14"/>
      <c r="C130" s="4"/>
      <c r="D130" s="7"/>
    </row>
    <row r="131" spans="1:4">
      <c r="A131" s="2"/>
      <c r="B131" s="14"/>
      <c r="C131" s="4"/>
      <c r="D131" s="7"/>
    </row>
    <row r="132" spans="1:4">
      <c r="A132" s="2"/>
      <c r="B132" s="14"/>
      <c r="C132" s="4"/>
      <c r="D132" s="7"/>
    </row>
    <row r="133" spans="1:4">
      <c r="A133" s="2"/>
      <c r="B133" s="14"/>
      <c r="C133" s="4"/>
      <c r="D133" s="7"/>
    </row>
    <row r="134" spans="1:4">
      <c r="A134" s="2"/>
      <c r="B134" s="14"/>
      <c r="C134" s="4"/>
      <c r="D134" s="7"/>
    </row>
    <row r="135" spans="1:4">
      <c r="A135" s="2"/>
      <c r="B135" s="14"/>
      <c r="C135" s="4"/>
      <c r="D135" s="7"/>
    </row>
    <row r="136" spans="1:4">
      <c r="A136" s="2"/>
      <c r="B136" s="14"/>
      <c r="C136" s="4"/>
      <c r="D136" s="7"/>
    </row>
    <row r="137" spans="1:4">
      <c r="A137" s="2"/>
      <c r="B137" s="14"/>
      <c r="C137" s="4"/>
      <c r="D137" s="7"/>
    </row>
    <row r="138" spans="1:4">
      <c r="A138" s="2"/>
      <c r="B138" s="14"/>
      <c r="C138" s="4"/>
      <c r="D138" s="7"/>
    </row>
    <row r="139" spans="1:4">
      <c r="A139" s="2"/>
      <c r="B139" s="14"/>
      <c r="C139" s="4"/>
      <c r="D139" s="7"/>
    </row>
    <row r="140" spans="1:4">
      <c r="A140" s="2"/>
      <c r="B140" s="14"/>
      <c r="C140" s="4"/>
      <c r="D140" s="7"/>
    </row>
    <row r="141" spans="1:4">
      <c r="A141" s="2"/>
      <c r="B141" s="14"/>
      <c r="C141" s="4"/>
      <c r="D141" s="7"/>
    </row>
    <row r="142" spans="1:4">
      <c r="A142" s="2"/>
      <c r="B142" s="14"/>
      <c r="C142" s="4"/>
      <c r="D142" s="7"/>
    </row>
    <row r="143" spans="1:4">
      <c r="A143" s="2"/>
      <c r="B143" s="14"/>
      <c r="C143" s="4"/>
      <c r="D143" s="7"/>
    </row>
    <row r="144" spans="1:4">
      <c r="A144" s="2"/>
      <c r="B144" s="14"/>
      <c r="C144" s="4"/>
      <c r="D144" s="7"/>
    </row>
    <row r="145" spans="1:4">
      <c r="A145" s="2"/>
      <c r="B145" s="14"/>
      <c r="C145" s="4"/>
      <c r="D145" s="7"/>
    </row>
    <row r="146" spans="1:4">
      <c r="A146" s="2"/>
      <c r="B146" s="14"/>
      <c r="C146" s="4"/>
      <c r="D146" s="7"/>
    </row>
    <row r="147" spans="1:4">
      <c r="A147" s="2"/>
      <c r="B147" s="14"/>
      <c r="C147" s="4"/>
      <c r="D147" s="7"/>
    </row>
    <row r="148" spans="1:4">
      <c r="A148" s="2"/>
      <c r="B148" s="14"/>
      <c r="C148" s="4"/>
      <c r="D148" s="7"/>
    </row>
    <row r="149" spans="1:4">
      <c r="A149" s="2"/>
      <c r="B149" s="14"/>
      <c r="C149" s="4"/>
      <c r="D149" s="7"/>
    </row>
    <row r="150" spans="1:4">
      <c r="A150" s="2"/>
      <c r="B150" s="14"/>
      <c r="C150" s="4"/>
      <c r="D150" s="7"/>
    </row>
    <row r="151" spans="1:4">
      <c r="A151" s="2"/>
      <c r="B151" s="14"/>
      <c r="C151" s="4"/>
      <c r="D151" s="7"/>
    </row>
    <row r="152" spans="1:4">
      <c r="A152" s="2"/>
      <c r="B152" s="14"/>
      <c r="C152" s="4"/>
      <c r="D152" s="7"/>
    </row>
    <row r="153" spans="1:4">
      <c r="A153" s="2"/>
      <c r="B153" s="14"/>
      <c r="C153" s="4"/>
      <c r="D153" s="7"/>
    </row>
    <row r="154" spans="1:4">
      <c r="A154" s="2"/>
      <c r="B154" s="14"/>
      <c r="C154" s="4"/>
      <c r="D154" s="7"/>
    </row>
    <row r="155" spans="1:4">
      <c r="A155" s="2"/>
      <c r="B155" s="14"/>
      <c r="C155" s="4"/>
      <c r="D155" s="7"/>
    </row>
    <row r="156" spans="1:4">
      <c r="A156" s="2"/>
      <c r="B156" s="14"/>
      <c r="C156" s="4"/>
      <c r="D156" s="7"/>
    </row>
    <row r="157" spans="1:4">
      <c r="A157" s="2"/>
      <c r="B157" s="14"/>
      <c r="C157" s="4"/>
      <c r="D157" s="7"/>
    </row>
    <row r="158" spans="1:4">
      <c r="A158" s="2"/>
      <c r="B158" s="14"/>
      <c r="C158" s="4"/>
      <c r="D158" s="7"/>
    </row>
    <row r="159" spans="1:4">
      <c r="A159" s="2"/>
      <c r="B159" s="14"/>
      <c r="C159" s="4"/>
      <c r="D159" s="7"/>
    </row>
    <row r="160" spans="1:4">
      <c r="A160" s="2"/>
      <c r="B160" s="14"/>
      <c r="C160" s="4"/>
      <c r="D160" s="7"/>
    </row>
    <row r="161" spans="1:4">
      <c r="A161" s="2"/>
      <c r="B161" s="14"/>
      <c r="C161" s="4"/>
      <c r="D161" s="7"/>
    </row>
    <row r="162" spans="1:4">
      <c r="A162" s="2"/>
      <c r="B162" s="14"/>
      <c r="C162" s="4"/>
      <c r="D162" s="7"/>
    </row>
    <row r="163" spans="1:4">
      <c r="A163" s="2"/>
      <c r="B163" s="14"/>
      <c r="C163" s="4"/>
      <c r="D163" s="7"/>
    </row>
    <row r="164" spans="1:4">
      <c r="A164" s="2"/>
      <c r="B164" s="14"/>
      <c r="C164" s="4"/>
      <c r="D164" s="7"/>
    </row>
    <row r="165" spans="1:4">
      <c r="A165" s="2"/>
      <c r="B165" s="14"/>
      <c r="C165" s="4"/>
      <c r="D165" s="7"/>
    </row>
    <row r="166" spans="1:4">
      <c r="A166" s="2"/>
      <c r="B166" s="14"/>
      <c r="C166" s="4"/>
      <c r="D166" s="7"/>
    </row>
    <row r="167" spans="1:4">
      <c r="A167" s="2"/>
      <c r="B167" s="14"/>
      <c r="C167" s="4"/>
      <c r="D167" s="7"/>
    </row>
    <row r="168" spans="1:4">
      <c r="A168" s="2"/>
      <c r="B168" s="14"/>
      <c r="C168" s="4"/>
      <c r="D168" s="7"/>
    </row>
    <row r="169" spans="1:4">
      <c r="A169" s="2"/>
      <c r="B169" s="14"/>
      <c r="C169" s="4"/>
      <c r="D169" s="7"/>
    </row>
    <row r="170" spans="1:4">
      <c r="A170" s="2"/>
      <c r="B170" s="14"/>
      <c r="C170" s="4"/>
      <c r="D170" s="7"/>
    </row>
    <row r="171" spans="1:4">
      <c r="A171" s="2"/>
      <c r="B171" s="14"/>
      <c r="C171" s="4"/>
      <c r="D171" s="7"/>
    </row>
    <row r="172" spans="1:4">
      <c r="A172" s="2"/>
      <c r="B172" s="14"/>
      <c r="C172" s="4"/>
      <c r="D172" s="7"/>
    </row>
    <row r="173" spans="1:4">
      <c r="A173" s="2"/>
      <c r="B173" s="14"/>
      <c r="C173" s="4"/>
      <c r="D173" s="7"/>
    </row>
    <row r="174" spans="1:4">
      <c r="A174" s="2"/>
      <c r="B174" s="14"/>
      <c r="C174" s="4"/>
      <c r="D174" s="7"/>
    </row>
    <row r="175" spans="1:4">
      <c r="A175" s="2"/>
      <c r="B175" s="14"/>
      <c r="C175" s="4"/>
      <c r="D175" s="7"/>
    </row>
    <row r="176" spans="1:4">
      <c r="A176" s="2"/>
      <c r="B176" s="14"/>
      <c r="C176" s="4"/>
      <c r="D176" s="7"/>
    </row>
    <row r="177" spans="1:4">
      <c r="A177" s="2"/>
      <c r="B177" s="14"/>
      <c r="C177" s="4"/>
      <c r="D177" s="7"/>
    </row>
    <row r="178" spans="1:4">
      <c r="A178" s="2"/>
      <c r="B178" s="14"/>
      <c r="C178" s="4"/>
      <c r="D178" s="7"/>
    </row>
    <row r="179" spans="1:4">
      <c r="A179" s="2"/>
      <c r="B179" s="14"/>
      <c r="C179" s="4"/>
      <c r="D179" s="7"/>
    </row>
    <row r="180" spans="1:4">
      <c r="A180" s="2"/>
      <c r="B180" s="14"/>
      <c r="C180" s="4"/>
      <c r="D180" s="7"/>
    </row>
    <row r="181" spans="1:4">
      <c r="A181" s="2"/>
      <c r="B181" s="14"/>
      <c r="C181" s="4"/>
      <c r="D181" s="7"/>
    </row>
    <row r="182" spans="1:4">
      <c r="A182" s="2"/>
      <c r="B182" s="14"/>
      <c r="C182" s="4"/>
      <c r="D182" s="7"/>
    </row>
    <row r="183" spans="1:4">
      <c r="A183" s="2"/>
      <c r="B183" s="14"/>
      <c r="C183" s="4"/>
      <c r="D183" s="7"/>
    </row>
    <row r="184" spans="1:4">
      <c r="A184" s="2"/>
      <c r="B184" s="14"/>
      <c r="C184" s="4"/>
      <c r="D184" s="7"/>
    </row>
    <row r="185" spans="1:4">
      <c r="A185" s="2"/>
      <c r="B185" s="14"/>
      <c r="C185" s="4"/>
      <c r="D185" s="7"/>
    </row>
    <row r="186" spans="1:4">
      <c r="A186" s="2"/>
      <c r="B186" s="14"/>
      <c r="C186" s="4"/>
      <c r="D186" s="7"/>
    </row>
    <row r="187" spans="1:4">
      <c r="A187" s="2"/>
      <c r="B187" s="14"/>
      <c r="C187" s="4"/>
      <c r="D187" s="7"/>
    </row>
    <row r="188" spans="1:4">
      <c r="A188" s="2"/>
      <c r="B188" s="14"/>
      <c r="C188" s="4"/>
      <c r="D188" s="7"/>
    </row>
    <row r="189" spans="1:4">
      <c r="A189" s="2"/>
      <c r="B189" s="14"/>
      <c r="C189" s="4"/>
      <c r="D189" s="7"/>
    </row>
    <row r="190" spans="1:4">
      <c r="A190" s="2"/>
      <c r="B190" s="14"/>
      <c r="C190" s="4"/>
      <c r="D190" s="7"/>
    </row>
    <row r="191" spans="1:4">
      <c r="A191" s="2"/>
      <c r="B191" s="14"/>
      <c r="C191" s="4"/>
      <c r="D191" s="7"/>
    </row>
    <row r="192" spans="1:4">
      <c r="A192" s="2"/>
      <c r="B192" s="14"/>
      <c r="C192" s="4"/>
      <c r="D192" s="7"/>
    </row>
    <row r="193" spans="1:4">
      <c r="A193" s="2"/>
      <c r="B193" s="14"/>
      <c r="C193" s="4"/>
      <c r="D193" s="7"/>
    </row>
    <row r="194" spans="1:4">
      <c r="A194" s="2"/>
      <c r="B194" s="14"/>
      <c r="C194" s="4"/>
      <c r="D194" s="7"/>
    </row>
    <row r="195" spans="1:4">
      <c r="A195" s="2"/>
      <c r="B195" s="14"/>
      <c r="C195" s="4"/>
      <c r="D195" s="7"/>
    </row>
    <row r="196" spans="1:4">
      <c r="A196" s="2"/>
      <c r="B196" s="14"/>
      <c r="C196" s="4"/>
      <c r="D196" s="7"/>
    </row>
    <row r="197" spans="1:4">
      <c r="A197" s="2"/>
      <c r="B197" s="14"/>
      <c r="C197" s="4"/>
      <c r="D197" s="7"/>
    </row>
    <row r="198" spans="1:4">
      <c r="A198" s="2"/>
      <c r="B198" s="14"/>
      <c r="C198" s="4"/>
      <c r="D198" s="7"/>
    </row>
    <row r="199" spans="1:4">
      <c r="A199" s="2"/>
      <c r="B199" s="14"/>
      <c r="C199" s="4"/>
      <c r="D199" s="7"/>
    </row>
    <row r="200" spans="1:4">
      <c r="A200" s="2"/>
      <c r="B200" s="14"/>
      <c r="C200" s="4"/>
      <c r="D200" s="7"/>
    </row>
    <row r="201" spans="1:4">
      <c r="A201" s="2"/>
      <c r="B201" s="14"/>
      <c r="C201" s="4"/>
      <c r="D201" s="7"/>
    </row>
    <row r="202" spans="1:4">
      <c r="A202" s="2"/>
      <c r="B202" s="14"/>
      <c r="C202" s="4"/>
      <c r="D202" s="7"/>
    </row>
    <row r="203" spans="1:4">
      <c r="A203" s="2"/>
      <c r="B203" s="14"/>
      <c r="C203" s="4"/>
      <c r="D203" s="7"/>
    </row>
    <row r="204" spans="1:4">
      <c r="A204" s="2"/>
      <c r="B204" s="14"/>
      <c r="C204" s="4"/>
      <c r="D204" s="7"/>
    </row>
    <row r="205" spans="1:4">
      <c r="A205" s="2"/>
      <c r="B205" s="14"/>
      <c r="C205" s="4"/>
      <c r="D205" s="7"/>
    </row>
    <row r="206" spans="1:4">
      <c r="A206" s="2"/>
      <c r="B206" s="14"/>
      <c r="C206" s="4"/>
      <c r="D206" s="7"/>
    </row>
    <row r="207" spans="1:4">
      <c r="A207" s="2"/>
      <c r="B207" s="14"/>
      <c r="C207" s="4"/>
      <c r="D207" s="7"/>
    </row>
    <row r="208" spans="1:4">
      <c r="A208" s="2"/>
      <c r="B208" s="14"/>
      <c r="C208" s="4"/>
      <c r="D208" s="7"/>
    </row>
    <row r="209" spans="1:4">
      <c r="A209" s="2"/>
      <c r="B209" s="14"/>
      <c r="C209" s="4"/>
      <c r="D209" s="7"/>
    </row>
    <row r="210" spans="1:4">
      <c r="A210" s="2"/>
      <c r="B210" s="14"/>
      <c r="C210" s="4"/>
      <c r="D210" s="7"/>
    </row>
    <row r="211" spans="1:4">
      <c r="A211" s="2"/>
      <c r="B211" s="14"/>
      <c r="C211" s="4"/>
      <c r="D211" s="7"/>
    </row>
    <row r="212" spans="1:4">
      <c r="A212" s="2"/>
      <c r="B212" s="14"/>
      <c r="C212" s="4"/>
      <c r="D212" s="7"/>
    </row>
    <row r="213" spans="1:4">
      <c r="A213" s="2"/>
      <c r="B213" s="14"/>
      <c r="C213" s="4"/>
      <c r="D213" s="7"/>
    </row>
    <row r="214" spans="1:4">
      <c r="A214" s="2"/>
      <c r="B214" s="14"/>
      <c r="C214" s="4"/>
      <c r="D214" s="7"/>
    </row>
    <row r="215" spans="1:4">
      <c r="A215" s="2"/>
      <c r="B215" s="14"/>
      <c r="C215" s="4"/>
      <c r="D215" s="7"/>
    </row>
    <row r="216" spans="1:4">
      <c r="A216" s="2"/>
      <c r="B216" s="14"/>
      <c r="C216" s="4"/>
      <c r="D216" s="7"/>
    </row>
    <row r="217" spans="1:4">
      <c r="A217" s="2"/>
      <c r="B217" s="14"/>
      <c r="C217" s="4"/>
      <c r="D217" s="7"/>
    </row>
    <row r="218" spans="1:4">
      <c r="A218" s="2"/>
      <c r="B218" s="14"/>
      <c r="C218" s="4"/>
      <c r="D218" s="7"/>
    </row>
    <row r="219" spans="1:4">
      <c r="A219" s="2"/>
      <c r="B219" s="14"/>
      <c r="C219" s="4"/>
      <c r="D219" s="7"/>
    </row>
    <row r="220" spans="1:4">
      <c r="A220" s="2"/>
      <c r="B220" s="14"/>
      <c r="C220" s="4"/>
      <c r="D220" s="7"/>
    </row>
    <row r="221" spans="1:4">
      <c r="A221" s="2"/>
      <c r="B221" s="14"/>
      <c r="C221" s="4"/>
      <c r="D221" s="7"/>
    </row>
    <row r="222" spans="1:4">
      <c r="A222" s="2"/>
      <c r="B222" s="14"/>
      <c r="C222" s="4"/>
      <c r="D222" s="7"/>
    </row>
    <row r="223" spans="1:4">
      <c r="A223" s="2"/>
      <c r="B223" s="14"/>
      <c r="C223" s="4"/>
      <c r="D223" s="7"/>
    </row>
    <row r="224" spans="1:4">
      <c r="A224" s="2"/>
      <c r="B224" s="14"/>
      <c r="C224" s="4"/>
      <c r="D224" s="7"/>
    </row>
    <row r="225" spans="1:4">
      <c r="A225" s="2"/>
      <c r="B225" s="14"/>
      <c r="C225" s="4"/>
      <c r="D225" s="7"/>
    </row>
    <row r="226" spans="1:4">
      <c r="A226" s="2"/>
      <c r="B226" s="14"/>
      <c r="C226" s="4"/>
      <c r="D226" s="7"/>
    </row>
    <row r="227" spans="1:4">
      <c r="A227" s="2"/>
      <c r="B227" s="14"/>
      <c r="C227" s="4"/>
      <c r="D227" s="7"/>
    </row>
    <row r="228" spans="1:4">
      <c r="A228" s="2"/>
      <c r="B228" s="14"/>
      <c r="C228" s="4"/>
      <c r="D228" s="7"/>
    </row>
    <row r="229" spans="1:4">
      <c r="A229" s="2"/>
      <c r="B229" s="14"/>
      <c r="C229" s="4"/>
      <c r="D229" s="7"/>
    </row>
    <row r="230" spans="1:4">
      <c r="A230" s="2"/>
      <c r="B230" s="14"/>
      <c r="C230" s="4"/>
      <c r="D230" s="7"/>
    </row>
    <row r="231" spans="1:4">
      <c r="A231" s="2"/>
      <c r="B231" s="14"/>
      <c r="C231" s="4"/>
      <c r="D231" s="7"/>
    </row>
    <row r="232" spans="1:4">
      <c r="A232" s="2"/>
      <c r="B232" s="14"/>
      <c r="C232" s="4"/>
      <c r="D232" s="7"/>
    </row>
    <row r="233" spans="1:4">
      <c r="A233" s="2"/>
      <c r="B233" s="14"/>
      <c r="C233" s="4"/>
      <c r="D233" s="7"/>
    </row>
    <row r="234" spans="1:4">
      <c r="A234" s="2"/>
      <c r="B234" s="14"/>
      <c r="C234" s="4"/>
      <c r="D234" s="7"/>
    </row>
    <row r="235" spans="1:4">
      <c r="A235" s="2"/>
      <c r="B235" s="14"/>
      <c r="C235" s="4"/>
      <c r="D235" s="7"/>
    </row>
    <row r="236" spans="1:4">
      <c r="A236" s="2"/>
      <c r="B236" s="14"/>
      <c r="C236" s="4"/>
      <c r="D236" s="7"/>
    </row>
    <row r="237" spans="1:4">
      <c r="A237" s="2"/>
      <c r="B237" s="14"/>
      <c r="C237" s="4"/>
      <c r="D237" s="7"/>
    </row>
    <row r="238" spans="1:4">
      <c r="A238" s="2"/>
      <c r="B238" s="14"/>
      <c r="C238" s="4"/>
      <c r="D238" s="7"/>
    </row>
    <row r="239" spans="1:4">
      <c r="A239" s="2"/>
      <c r="B239" s="14"/>
      <c r="C239" s="4"/>
      <c r="D239" s="7"/>
    </row>
    <row r="240" spans="1:4">
      <c r="A240" s="2"/>
      <c r="B240" s="14"/>
      <c r="C240" s="4"/>
      <c r="D240" s="7"/>
    </row>
    <row r="241" spans="1:4">
      <c r="A241" s="2"/>
      <c r="B241" s="14"/>
      <c r="C241" s="4"/>
      <c r="D241" s="7"/>
    </row>
    <row r="242" spans="1:4">
      <c r="A242" s="2"/>
      <c r="B242" s="14"/>
      <c r="C242" s="4"/>
      <c r="D242" s="7"/>
    </row>
    <row r="243" spans="1:4">
      <c r="A243" s="2"/>
      <c r="B243" s="14"/>
      <c r="C243" s="4"/>
      <c r="D243" s="7"/>
    </row>
    <row r="244" spans="1:4">
      <c r="A244" s="2"/>
      <c r="B244" s="14"/>
      <c r="C244" s="4"/>
      <c r="D244" s="7"/>
    </row>
    <row r="245" spans="1:4">
      <c r="A245" s="2"/>
      <c r="B245" s="14"/>
      <c r="C245" s="4"/>
      <c r="D245" s="7"/>
    </row>
    <row r="246" spans="1:4">
      <c r="A246" s="2"/>
      <c r="B246" s="14"/>
      <c r="C246" s="4"/>
      <c r="D246" s="7"/>
    </row>
    <row r="247" spans="1:4">
      <c r="A247" s="2"/>
      <c r="B247" s="14"/>
      <c r="C247" s="4"/>
      <c r="D247" s="7"/>
    </row>
    <row r="248" spans="1:4">
      <c r="A248" s="2"/>
      <c r="B248" s="14"/>
      <c r="C248" s="4"/>
      <c r="D248" s="7"/>
    </row>
    <row r="249" spans="1:4">
      <c r="A249" s="2"/>
      <c r="B249" s="14"/>
      <c r="C249" s="4"/>
      <c r="D249" s="7"/>
    </row>
    <row r="250" spans="1:4">
      <c r="A250" s="2"/>
      <c r="B250" s="14"/>
      <c r="C250" s="4"/>
      <c r="D250" s="7"/>
    </row>
    <row r="251" spans="1:4">
      <c r="A251" s="2"/>
      <c r="B251" s="14"/>
      <c r="C251" s="4"/>
      <c r="D251" s="7"/>
    </row>
    <row r="252" spans="1:4">
      <c r="A252" s="2"/>
      <c r="B252" s="14"/>
      <c r="C252" s="4"/>
      <c r="D252" s="7"/>
    </row>
    <row r="253" spans="1:4">
      <c r="A253" s="2"/>
      <c r="B253" s="14"/>
      <c r="C253" s="4"/>
      <c r="D253" s="7"/>
    </row>
    <row r="254" spans="1:4">
      <c r="A254" s="2"/>
      <c r="B254" s="14"/>
      <c r="C254" s="4"/>
      <c r="D254" s="7"/>
    </row>
    <row r="255" spans="1:4">
      <c r="A255" s="2"/>
      <c r="B255" s="14"/>
      <c r="C255" s="4"/>
      <c r="D255" s="7"/>
    </row>
    <row r="256" spans="1:4">
      <c r="A256" s="2"/>
      <c r="B256" s="14"/>
      <c r="C256" s="4"/>
      <c r="D256" s="7"/>
    </row>
    <row r="257" spans="1:4">
      <c r="A257" s="2"/>
      <c r="B257" s="14"/>
      <c r="C257" s="4"/>
      <c r="D257" s="7"/>
    </row>
    <row r="258" spans="1:4">
      <c r="A258" s="2"/>
      <c r="B258" s="14"/>
      <c r="C258" s="4"/>
      <c r="D258" s="7"/>
    </row>
    <row r="259" spans="1:4">
      <c r="A259" s="2"/>
      <c r="B259" s="14"/>
      <c r="C259" s="4"/>
      <c r="D259" s="7"/>
    </row>
    <row r="260" spans="1:4">
      <c r="A260" s="2"/>
      <c r="B260" s="14"/>
      <c r="C260" s="4"/>
      <c r="D260" s="7"/>
    </row>
    <row r="261" spans="1:4">
      <c r="A261" s="2"/>
      <c r="B261" s="14"/>
      <c r="C261" s="4"/>
      <c r="D261" s="7"/>
    </row>
    <row r="262" spans="1:4">
      <c r="A262" s="2"/>
      <c r="B262" s="14"/>
      <c r="C262" s="4"/>
      <c r="D262" s="7"/>
    </row>
    <row r="263" spans="1:4">
      <c r="A263" s="2"/>
      <c r="B263" s="14"/>
      <c r="C263" s="4"/>
      <c r="D263" s="7"/>
    </row>
    <row r="264" spans="1:4">
      <c r="A264" s="2"/>
      <c r="B264" s="14"/>
      <c r="C264" s="4"/>
      <c r="D264" s="7"/>
    </row>
    <row r="265" spans="1:4">
      <c r="A265" s="2"/>
      <c r="B265" s="14"/>
      <c r="C265" s="4"/>
      <c r="D265" s="7"/>
    </row>
    <row r="266" spans="1:4">
      <c r="A266" s="2"/>
      <c r="B266" s="14"/>
      <c r="C266" s="4"/>
      <c r="D266" s="7"/>
    </row>
    <row r="267" spans="1:4">
      <c r="A267" s="2"/>
      <c r="B267" s="14"/>
      <c r="C267" s="4"/>
      <c r="D267" s="7"/>
    </row>
    <row r="268" spans="1:4">
      <c r="A268" s="2"/>
      <c r="B268" s="14"/>
      <c r="C268" s="4"/>
      <c r="D268" s="7"/>
    </row>
    <row r="269" spans="1:4">
      <c r="A269" s="2"/>
      <c r="B269" s="14"/>
      <c r="C269" s="4"/>
      <c r="D269" s="7"/>
    </row>
    <row r="270" spans="1:4">
      <c r="A270" s="2"/>
      <c r="B270" s="14"/>
      <c r="C270" s="4"/>
      <c r="D270" s="7"/>
    </row>
    <row r="271" spans="1:4">
      <c r="A271" s="2"/>
      <c r="B271" s="14"/>
      <c r="C271" s="4"/>
      <c r="D271" s="7"/>
    </row>
    <row r="272" spans="1:4">
      <c r="A272" s="2"/>
      <c r="B272" s="14"/>
      <c r="C272" s="4"/>
      <c r="D272" s="7"/>
    </row>
    <row r="273" spans="1:4">
      <c r="A273" s="2"/>
      <c r="B273" s="14"/>
      <c r="C273" s="4"/>
      <c r="D273" s="7"/>
    </row>
    <row r="274" spans="1:4">
      <c r="A274" s="2"/>
      <c r="B274" s="14"/>
      <c r="C274" s="4"/>
      <c r="D274" s="7"/>
    </row>
    <row r="275" spans="1:4">
      <c r="A275" s="2"/>
      <c r="B275" s="14"/>
      <c r="C275" s="4"/>
      <c r="D275" s="7"/>
    </row>
    <row r="276" spans="1:4">
      <c r="A276" s="2"/>
      <c r="B276" s="14"/>
      <c r="C276" s="4"/>
      <c r="D276" s="7"/>
    </row>
    <row r="277" spans="1:4">
      <c r="A277" s="2"/>
      <c r="B277" s="14"/>
      <c r="C277" s="4"/>
      <c r="D277" s="7"/>
    </row>
    <row r="278" spans="1:4">
      <c r="A278" s="2"/>
      <c r="B278" s="14"/>
      <c r="C278" s="4"/>
      <c r="D278" s="7"/>
    </row>
    <row r="279" spans="1:4">
      <c r="A279" s="2"/>
      <c r="B279" s="14"/>
      <c r="C279" s="4"/>
      <c r="D279" s="7"/>
    </row>
    <row r="280" spans="1:4">
      <c r="A280" s="2"/>
      <c r="B280" s="14"/>
      <c r="C280" s="4"/>
      <c r="D280" s="7"/>
    </row>
    <row r="281" spans="1:4">
      <c r="A281" s="2"/>
      <c r="B281" s="14"/>
      <c r="C281" s="4"/>
      <c r="D281" s="7"/>
    </row>
    <row r="282" spans="1:4">
      <c r="A282" s="2"/>
      <c r="B282" s="14"/>
      <c r="C282" s="4"/>
      <c r="D282" s="7"/>
    </row>
    <row r="283" spans="1:4">
      <c r="A283" s="2"/>
      <c r="B283" s="14"/>
      <c r="C283" s="4"/>
      <c r="D283" s="7"/>
    </row>
    <row r="284" spans="1:4">
      <c r="A284" s="2"/>
      <c r="B284" s="14"/>
      <c r="C284" s="4"/>
      <c r="D284" s="7"/>
    </row>
    <row r="285" spans="1:4">
      <c r="A285" s="2"/>
      <c r="B285" s="14"/>
      <c r="C285" s="4"/>
      <c r="D285" s="7"/>
    </row>
    <row r="286" spans="1:4">
      <c r="A286" s="2"/>
      <c r="B286" s="14"/>
      <c r="C286" s="4"/>
      <c r="D286" s="7"/>
    </row>
    <row r="287" spans="1:4">
      <c r="A287" s="2"/>
      <c r="B287" s="14"/>
      <c r="C287" s="4"/>
      <c r="D287" s="7"/>
    </row>
    <row r="288" spans="1:4">
      <c r="A288" s="2"/>
      <c r="B288" s="14"/>
      <c r="C288" s="4"/>
      <c r="D288" s="7"/>
    </row>
    <row r="289" spans="1:4">
      <c r="A289" s="2"/>
      <c r="B289" s="14"/>
      <c r="C289" s="4"/>
      <c r="D289" s="7"/>
    </row>
    <row r="290" spans="1:4">
      <c r="A290" s="2"/>
      <c r="B290" s="14"/>
      <c r="C290" s="4"/>
      <c r="D290" s="7"/>
    </row>
    <row r="291" spans="1:4">
      <c r="A291" s="2"/>
      <c r="B291" s="14"/>
      <c r="C291" s="4"/>
      <c r="D291" s="7"/>
    </row>
    <row r="292" spans="1:4">
      <c r="A292" s="2"/>
      <c r="B292" s="14"/>
      <c r="C292" s="4"/>
      <c r="D292" s="7"/>
    </row>
    <row r="293" spans="1:4">
      <c r="A293" s="2"/>
      <c r="B293" s="14"/>
      <c r="C293" s="4"/>
      <c r="D293" s="7"/>
    </row>
    <row r="294" spans="1:4">
      <c r="A294" s="2"/>
      <c r="B294" s="14"/>
      <c r="C294" s="4"/>
      <c r="D294" s="7"/>
    </row>
    <row r="295" spans="1:4">
      <c r="A295" s="2"/>
      <c r="B295" s="14"/>
      <c r="C295" s="4"/>
      <c r="D295" s="7"/>
    </row>
    <row r="296" spans="1:4">
      <c r="A296" s="2"/>
      <c r="B296" s="14"/>
      <c r="C296" s="4"/>
      <c r="D296" s="7"/>
    </row>
    <row r="297" spans="1:4">
      <c r="A297" s="2"/>
      <c r="B297" s="14"/>
      <c r="C297" s="4"/>
      <c r="D297" s="7"/>
    </row>
    <row r="298" spans="1:4">
      <c r="A298" s="2"/>
      <c r="B298" s="14"/>
      <c r="C298" s="4"/>
      <c r="D298" s="7"/>
    </row>
    <row r="299" spans="1:4">
      <c r="A299" s="2"/>
      <c r="B299" s="14"/>
      <c r="C299" s="4"/>
      <c r="D299" s="7"/>
    </row>
    <row r="300" spans="1:4">
      <c r="A300" s="2"/>
      <c r="B300" s="14"/>
      <c r="C300" s="4"/>
      <c r="D300" s="7"/>
    </row>
    <row r="301" spans="1:4">
      <c r="A301" s="2"/>
      <c r="B301" s="14"/>
      <c r="C301" s="4"/>
      <c r="D301" s="7"/>
    </row>
    <row r="302" spans="1:4">
      <c r="A302" s="2"/>
      <c r="B302" s="14"/>
      <c r="C302" s="4"/>
      <c r="D302" s="7"/>
    </row>
    <row r="303" spans="1:4">
      <c r="A303" s="2"/>
      <c r="B303" s="14"/>
      <c r="C303" s="4"/>
      <c r="D303" s="7"/>
    </row>
    <row r="304" spans="1:4">
      <c r="A304" s="2"/>
      <c r="B304" s="14"/>
      <c r="C304" s="4"/>
      <c r="D304" s="7"/>
    </row>
    <row r="305" spans="1:4">
      <c r="A305" s="2"/>
      <c r="B305" s="14"/>
      <c r="C305" s="4"/>
      <c r="D305" s="7"/>
    </row>
    <row r="306" spans="1:4">
      <c r="A306" s="2"/>
      <c r="B306" s="14"/>
      <c r="C306" s="4"/>
      <c r="D306" s="7"/>
    </row>
    <row r="307" spans="1:4">
      <c r="A307" s="2"/>
      <c r="B307" s="14"/>
      <c r="C307" s="4"/>
      <c r="D307" s="7"/>
    </row>
    <row r="308" spans="1:4">
      <c r="A308" s="2"/>
      <c r="B308" s="14"/>
      <c r="C308" s="4"/>
      <c r="D308" s="7"/>
    </row>
    <row r="309" spans="1:4">
      <c r="A309" s="2"/>
      <c r="B309" s="14"/>
      <c r="C309" s="4"/>
      <c r="D309" s="7"/>
    </row>
    <row r="310" spans="1:4">
      <c r="A310" s="2"/>
      <c r="B310" s="14"/>
      <c r="C310" s="4"/>
      <c r="D310" s="7"/>
    </row>
    <row r="311" spans="1:4">
      <c r="A311" s="2"/>
      <c r="B311" s="14"/>
      <c r="C311" s="4"/>
      <c r="D311" s="7"/>
    </row>
    <row r="312" spans="1:4">
      <c r="A312" s="2"/>
      <c r="B312" s="14"/>
      <c r="C312" s="4"/>
      <c r="D312" s="7"/>
    </row>
    <row r="313" spans="1:4">
      <c r="A313" s="2"/>
      <c r="B313" s="14"/>
      <c r="C313" s="4"/>
      <c r="D313" s="7"/>
    </row>
    <row r="314" spans="1:4">
      <c r="A314" s="2"/>
      <c r="B314" s="14"/>
      <c r="C314" s="4"/>
      <c r="D314" s="7"/>
    </row>
    <row r="315" spans="1:4">
      <c r="A315" s="2"/>
      <c r="B315" s="14"/>
      <c r="C315" s="4"/>
      <c r="D315" s="7"/>
    </row>
    <row r="316" spans="1:4">
      <c r="A316" s="2"/>
      <c r="B316" s="14"/>
      <c r="C316" s="4"/>
      <c r="D316" s="7"/>
    </row>
    <row r="317" spans="1:4">
      <c r="A317" s="2"/>
      <c r="B317" s="14"/>
      <c r="C317" s="4"/>
      <c r="D317" s="7"/>
    </row>
    <row r="318" spans="1:4">
      <c r="A318" s="2"/>
      <c r="B318" s="14"/>
      <c r="C318" s="4"/>
      <c r="D318" s="7"/>
    </row>
    <row r="319" spans="1:4">
      <c r="A319" s="2"/>
      <c r="B319" s="14"/>
      <c r="C319" s="4"/>
      <c r="D319" s="7"/>
    </row>
    <row r="320" spans="1:4">
      <c r="A320" s="2"/>
      <c r="B320" s="14"/>
      <c r="C320" s="4"/>
      <c r="D320" s="7"/>
    </row>
    <row r="321" spans="1:4">
      <c r="A321" s="2"/>
      <c r="B321" s="14"/>
      <c r="C321" s="4"/>
      <c r="D321" s="7"/>
    </row>
    <row r="322" spans="1:4">
      <c r="A322" s="2"/>
      <c r="B322" s="14"/>
      <c r="C322" s="4"/>
      <c r="D322" s="7"/>
    </row>
    <row r="323" spans="1:4">
      <c r="A323" s="2"/>
      <c r="B323" s="14"/>
      <c r="C323" s="4"/>
      <c r="D323" s="7"/>
    </row>
    <row r="324" spans="1:4">
      <c r="A324" s="2"/>
      <c r="B324" s="14"/>
      <c r="C324" s="4"/>
      <c r="D324" s="7"/>
    </row>
    <row r="325" spans="1:4">
      <c r="A325" s="2"/>
      <c r="B325" s="14"/>
      <c r="C325" s="4"/>
      <c r="D325" s="7"/>
    </row>
    <row r="326" spans="1:4">
      <c r="A326" s="2"/>
      <c r="B326" s="14"/>
      <c r="C326" s="4"/>
      <c r="D326" s="7"/>
    </row>
    <row r="327" spans="1:4">
      <c r="A327" s="2"/>
      <c r="B327" s="14"/>
      <c r="C327" s="4"/>
      <c r="D327" s="7"/>
    </row>
    <row r="328" spans="1:4">
      <c r="A328" s="2"/>
      <c r="B328" s="14"/>
      <c r="C328" s="4"/>
      <c r="D328" s="7"/>
    </row>
    <row r="329" spans="1:4">
      <c r="A329" s="2"/>
      <c r="B329" s="14"/>
      <c r="C329" s="4"/>
      <c r="D329" s="7"/>
    </row>
    <row r="330" spans="1:4">
      <c r="A330" s="2"/>
      <c r="B330" s="14"/>
      <c r="C330" s="4"/>
      <c r="D330" s="7"/>
    </row>
    <row r="331" spans="1:4">
      <c r="A331" s="2"/>
      <c r="B331" s="14"/>
      <c r="C331" s="4"/>
      <c r="D331" s="7"/>
    </row>
    <row r="332" spans="1:4">
      <c r="A332" s="2"/>
      <c r="B332" s="14"/>
      <c r="C332" s="4"/>
      <c r="D332" s="7"/>
    </row>
    <row r="333" spans="1:4">
      <c r="A333" s="2"/>
      <c r="B333" s="14"/>
      <c r="C333" s="4"/>
      <c r="D333" s="7"/>
    </row>
    <row r="334" spans="1:4">
      <c r="A334" s="2"/>
      <c r="B334" s="14"/>
      <c r="C334" s="4"/>
      <c r="D334" s="7"/>
    </row>
    <row r="335" spans="1:4">
      <c r="A335" s="2"/>
      <c r="B335" s="14"/>
      <c r="C335" s="4"/>
      <c r="D335" s="7"/>
    </row>
    <row r="336" spans="1:4">
      <c r="A336" s="2"/>
      <c r="B336" s="14"/>
      <c r="C336" s="4"/>
      <c r="D336" s="7"/>
    </row>
    <row r="337" spans="1:4">
      <c r="A337" s="2"/>
      <c r="B337" s="14"/>
      <c r="C337" s="4"/>
      <c r="D337" s="7"/>
    </row>
    <row r="338" spans="1:4">
      <c r="A338" s="2"/>
      <c r="B338" s="14"/>
      <c r="C338" s="4"/>
      <c r="D338" s="7"/>
    </row>
    <row r="339" spans="1:4">
      <c r="A339" s="2"/>
      <c r="B339" s="14"/>
      <c r="C339" s="4"/>
      <c r="D339" s="7"/>
    </row>
    <row r="340" spans="1:4">
      <c r="A340" s="2"/>
      <c r="B340" s="14"/>
      <c r="C340" s="4"/>
      <c r="D340" s="7"/>
    </row>
    <row r="341" spans="1:4">
      <c r="A341" s="2"/>
      <c r="B341" s="14"/>
      <c r="C341" s="4"/>
      <c r="D341" s="7"/>
    </row>
    <row r="342" spans="1:4">
      <c r="A342" s="2"/>
      <c r="B342" s="14"/>
      <c r="C342" s="4"/>
      <c r="D342" s="7"/>
    </row>
    <row r="343" spans="1:4">
      <c r="A343" s="2"/>
      <c r="B343" s="14"/>
      <c r="C343" s="4"/>
      <c r="D343" s="7"/>
    </row>
    <row r="344" spans="1:4">
      <c r="A344" s="2"/>
      <c r="B344" s="14"/>
      <c r="C344" s="4"/>
      <c r="D344" s="7"/>
    </row>
    <row r="345" spans="1:4">
      <c r="A345" s="2"/>
      <c r="B345" s="14"/>
      <c r="C345" s="4"/>
      <c r="D345" s="7"/>
    </row>
    <row r="346" spans="1:4">
      <c r="A346" s="2"/>
      <c r="B346" s="14"/>
      <c r="C346" s="4"/>
      <c r="D346" s="7"/>
    </row>
    <row r="347" spans="1:4">
      <c r="A347" s="2"/>
      <c r="B347" s="14"/>
      <c r="C347" s="4"/>
      <c r="D347" s="7"/>
    </row>
    <row r="348" spans="1:4">
      <c r="A348" s="2"/>
      <c r="B348" s="14"/>
      <c r="C348" s="4"/>
      <c r="D348" s="7"/>
    </row>
    <row r="349" spans="1:4">
      <c r="A349" s="2"/>
      <c r="B349" s="14"/>
      <c r="C349" s="4"/>
      <c r="D349" s="7"/>
    </row>
    <row r="350" spans="1:4">
      <c r="A350" s="2"/>
      <c r="B350" s="14"/>
      <c r="C350" s="4"/>
      <c r="D350" s="7"/>
    </row>
    <row r="351" spans="1:4">
      <c r="A351" s="2"/>
      <c r="B351" s="14"/>
      <c r="C351" s="4"/>
      <c r="D351" s="7"/>
    </row>
    <row r="352" spans="1:4">
      <c r="A352" s="2"/>
      <c r="B352" s="14"/>
      <c r="C352" s="4"/>
      <c r="D352" s="7"/>
    </row>
    <row r="353" spans="1:4">
      <c r="A353" s="2"/>
      <c r="B353" s="14"/>
      <c r="C353" s="4"/>
      <c r="D353" s="7"/>
    </row>
    <row r="354" spans="1:4">
      <c r="A354" s="2"/>
      <c r="B354" s="14"/>
      <c r="C354" s="4"/>
      <c r="D354" s="7"/>
    </row>
    <row r="355" spans="1:4">
      <c r="A355" s="2"/>
      <c r="B355" s="14"/>
      <c r="C355" s="4"/>
      <c r="D355" s="7"/>
    </row>
    <row r="356" spans="1:4">
      <c r="A356" s="2"/>
      <c r="B356" s="14"/>
      <c r="C356" s="4"/>
      <c r="D356" s="7"/>
    </row>
    <row r="357" spans="1:4">
      <c r="A357" s="2"/>
      <c r="B357" s="14"/>
      <c r="C357" s="4"/>
      <c r="D357" s="7"/>
    </row>
    <row r="358" spans="1:4">
      <c r="A358" s="2"/>
      <c r="B358" s="14"/>
      <c r="C358" s="4"/>
      <c r="D358" s="7"/>
    </row>
    <row r="359" spans="1:4">
      <c r="A359" s="2"/>
      <c r="B359" s="14"/>
      <c r="C359" s="4"/>
      <c r="D359" s="7"/>
    </row>
    <row r="360" spans="1:4">
      <c r="A360" s="2"/>
      <c r="B360" s="14"/>
      <c r="C360" s="4"/>
      <c r="D360" s="7"/>
    </row>
    <row r="361" spans="1:4">
      <c r="A361" s="2"/>
      <c r="B361" s="14"/>
      <c r="C361" s="4"/>
      <c r="D361" s="7"/>
    </row>
    <row r="362" spans="1:4">
      <c r="A362" s="2"/>
      <c r="B362" s="14"/>
      <c r="C362" s="4"/>
      <c r="D362" s="7"/>
    </row>
    <row r="363" spans="1:4">
      <c r="A363" s="2"/>
      <c r="B363" s="14"/>
      <c r="C363" s="4"/>
      <c r="D363" s="7"/>
    </row>
    <row r="364" spans="1:4">
      <c r="A364" s="2"/>
      <c r="B364" s="14"/>
      <c r="C364" s="4"/>
      <c r="D364" s="7"/>
    </row>
    <row r="365" spans="1:4">
      <c r="A365" s="2"/>
      <c r="B365" s="14"/>
      <c r="C365" s="4"/>
      <c r="D365" s="7"/>
    </row>
    <row r="366" spans="1:4">
      <c r="A366" s="2"/>
      <c r="B366" s="14"/>
      <c r="C366" s="4"/>
      <c r="D366" s="7"/>
    </row>
    <row r="367" spans="1:4">
      <c r="A367" s="2"/>
      <c r="B367" s="14"/>
      <c r="C367" s="4"/>
      <c r="D367" s="7"/>
    </row>
    <row r="368" spans="1:4">
      <c r="A368" s="2"/>
      <c r="B368" s="14"/>
      <c r="C368" s="4"/>
      <c r="D368" s="7"/>
    </row>
    <row r="369" spans="1:4">
      <c r="A369" s="2"/>
      <c r="B369" s="14"/>
      <c r="C369" s="4"/>
      <c r="D369" s="7"/>
    </row>
    <row r="370" spans="1:4">
      <c r="A370" s="2"/>
      <c r="B370" s="14"/>
      <c r="C370" s="4"/>
      <c r="D370" s="7"/>
    </row>
    <row r="371" spans="1:4">
      <c r="A371" s="2"/>
      <c r="B371" s="14"/>
      <c r="C371" s="4"/>
      <c r="D371" s="7"/>
    </row>
    <row r="372" spans="1:4">
      <c r="A372" s="2"/>
      <c r="B372" s="14"/>
      <c r="C372" s="4"/>
      <c r="D372" s="7"/>
    </row>
    <row r="373" spans="1:4">
      <c r="A373" s="2"/>
      <c r="B373" s="14"/>
      <c r="C373" s="4"/>
      <c r="D373" s="7"/>
    </row>
    <row r="374" spans="1:4">
      <c r="A374" s="2"/>
      <c r="B374" s="14"/>
      <c r="C374" s="4"/>
      <c r="D374" s="7"/>
    </row>
    <row r="375" spans="1:4">
      <c r="A375" s="2"/>
      <c r="B375" s="14"/>
      <c r="C375" s="4"/>
      <c r="D375" s="7"/>
    </row>
    <row r="376" spans="1:4">
      <c r="A376" s="2"/>
      <c r="B376" s="14"/>
      <c r="C376" s="4"/>
      <c r="D376" s="7"/>
    </row>
    <row r="377" spans="1:4">
      <c r="A377" s="2"/>
      <c r="B377" s="14"/>
      <c r="C377" s="4"/>
      <c r="D377" s="7"/>
    </row>
    <row r="378" spans="1:4">
      <c r="A378" s="2"/>
      <c r="B378" s="14"/>
      <c r="C378" s="4"/>
      <c r="D378" s="7"/>
    </row>
    <row r="379" spans="1:4">
      <c r="A379" s="2"/>
      <c r="B379" s="14"/>
      <c r="C379" s="4"/>
      <c r="D379" s="7"/>
    </row>
    <row r="380" spans="1:4">
      <c r="A380" s="2"/>
      <c r="B380" s="14"/>
      <c r="C380" s="4"/>
      <c r="D380" s="7"/>
    </row>
    <row r="381" spans="1:4">
      <c r="A381" s="2"/>
      <c r="B381" s="14"/>
      <c r="C381" s="4"/>
      <c r="D381" s="7"/>
    </row>
    <row r="382" spans="1:4">
      <c r="A382" s="2"/>
      <c r="B382" s="14"/>
      <c r="C382" s="4"/>
      <c r="D382" s="7"/>
    </row>
    <row r="383" spans="1:4">
      <c r="A383" s="2"/>
      <c r="B383" s="14"/>
      <c r="C383" s="4"/>
      <c r="D383" s="7"/>
    </row>
    <row r="384" spans="1:4">
      <c r="A384" s="2"/>
      <c r="B384" s="14"/>
      <c r="C384" s="4"/>
      <c r="D384" s="7"/>
    </row>
    <row r="385" spans="1:4">
      <c r="A385" s="2"/>
      <c r="B385" s="14"/>
      <c r="C385" s="4"/>
      <c r="D385" s="7"/>
    </row>
    <row r="386" spans="1:4">
      <c r="A386" s="2"/>
      <c r="B386" s="14"/>
      <c r="C386" s="4"/>
      <c r="D386" s="7"/>
    </row>
    <row r="387" spans="1:4">
      <c r="A387" s="2"/>
      <c r="B387" s="14"/>
      <c r="C387" s="4"/>
      <c r="D387" s="7"/>
    </row>
    <row r="388" spans="1:4">
      <c r="A388" s="2"/>
      <c r="B388" s="14"/>
      <c r="C388" s="4"/>
      <c r="D388" s="7"/>
    </row>
    <row r="389" spans="1:4">
      <c r="A389" s="2"/>
      <c r="B389" s="14"/>
      <c r="C389" s="4"/>
      <c r="D389" s="7"/>
    </row>
    <row r="390" spans="1:4">
      <c r="A390" s="2"/>
      <c r="B390" s="14"/>
      <c r="C390" s="4"/>
      <c r="D390" s="7"/>
    </row>
    <row r="391" spans="1:4">
      <c r="A391" s="2"/>
      <c r="B391" s="14"/>
      <c r="C391" s="4"/>
      <c r="D391" s="7"/>
    </row>
    <row r="392" spans="1:4">
      <c r="A392" s="2"/>
      <c r="B392" s="14"/>
      <c r="C392" s="4"/>
      <c r="D392" s="7"/>
    </row>
    <row r="393" spans="1:4">
      <c r="A393" s="2"/>
      <c r="B393" s="14"/>
      <c r="C393" s="4"/>
      <c r="D393" s="7"/>
    </row>
    <row r="394" spans="1:4">
      <c r="A394" s="2"/>
      <c r="B394" s="14"/>
      <c r="C394" s="4"/>
      <c r="D394" s="7"/>
    </row>
    <row r="395" spans="1:4">
      <c r="A395" s="2"/>
      <c r="B395" s="14"/>
      <c r="C395" s="4"/>
      <c r="D395" s="7"/>
    </row>
    <row r="396" spans="1:4">
      <c r="A396" s="2"/>
      <c r="B396" s="14"/>
      <c r="C396" s="4"/>
      <c r="D396" s="7"/>
    </row>
    <row r="397" spans="1:4">
      <c r="A397" s="2"/>
      <c r="B397" s="14"/>
      <c r="C397" s="4"/>
      <c r="D397" s="7"/>
    </row>
    <row r="398" spans="1:4">
      <c r="A398" s="2"/>
      <c r="B398" s="14"/>
      <c r="C398" s="4"/>
      <c r="D398" s="7"/>
    </row>
    <row r="399" spans="1:4">
      <c r="A399" s="2"/>
      <c r="B399" s="14"/>
      <c r="C399" s="4"/>
      <c r="D399" s="7"/>
    </row>
    <row r="400" spans="1:4">
      <c r="A400" s="2"/>
      <c r="B400" s="14"/>
      <c r="C400" s="4"/>
      <c r="D400" s="7"/>
    </row>
    <row r="401" spans="1:4">
      <c r="A401" s="2"/>
      <c r="B401" s="14"/>
      <c r="C401" s="4"/>
      <c r="D401" s="7"/>
    </row>
    <row r="402" spans="1:4">
      <c r="A402" s="2"/>
      <c r="B402" s="14"/>
      <c r="C402" s="4"/>
      <c r="D402" s="7"/>
    </row>
    <row r="403" spans="1:4">
      <c r="A403" s="2"/>
      <c r="B403" s="14"/>
      <c r="C403" s="4"/>
      <c r="D403" s="7"/>
    </row>
    <row r="404" spans="1:4">
      <c r="A404" s="2"/>
      <c r="B404" s="14"/>
      <c r="C404" s="4"/>
      <c r="D404" s="7"/>
    </row>
    <row r="405" spans="1:4">
      <c r="A405" s="2"/>
      <c r="B405" s="14"/>
      <c r="C405" s="4"/>
      <c r="D405" s="7"/>
    </row>
    <row r="406" spans="1:4">
      <c r="A406" s="2"/>
      <c r="B406" s="14"/>
      <c r="C406" s="4"/>
      <c r="D406" s="7"/>
    </row>
    <row r="407" spans="1:4">
      <c r="A407" s="2"/>
      <c r="B407" s="14"/>
      <c r="C407" s="4"/>
      <c r="D407" s="7"/>
    </row>
    <row r="408" spans="1:4">
      <c r="A408" s="2"/>
      <c r="B408" s="14"/>
      <c r="C408" s="4"/>
      <c r="D408" s="7"/>
    </row>
    <row r="409" spans="1:4">
      <c r="A409" s="2"/>
      <c r="B409" s="14"/>
      <c r="C409" s="4"/>
      <c r="D409" s="7"/>
    </row>
    <row r="410" spans="1:4">
      <c r="A410" s="2"/>
      <c r="B410" s="14"/>
      <c r="C410" s="4"/>
      <c r="D410" s="7"/>
    </row>
    <row r="411" spans="1:4">
      <c r="A411" s="2"/>
      <c r="B411" s="14"/>
      <c r="C411" s="4"/>
      <c r="D411" s="7"/>
    </row>
    <row r="412" spans="1:4">
      <c r="A412" s="2"/>
      <c r="B412" s="14"/>
      <c r="C412" s="4"/>
      <c r="D412" s="7"/>
    </row>
    <row r="413" spans="1:4">
      <c r="A413" s="2"/>
      <c r="B413" s="14"/>
      <c r="C413" s="4"/>
      <c r="D413" s="7"/>
    </row>
    <row r="414" spans="1:4">
      <c r="A414" s="2"/>
      <c r="B414" s="14"/>
      <c r="C414" s="4"/>
      <c r="D414" s="7"/>
    </row>
    <row r="415" spans="1:4">
      <c r="A415" s="2"/>
      <c r="B415" s="14"/>
      <c r="C415" s="4"/>
      <c r="D415" s="7"/>
    </row>
    <row r="416" spans="1:4">
      <c r="A416" s="2"/>
      <c r="B416" s="14"/>
      <c r="C416" s="4"/>
      <c r="D416" s="7"/>
    </row>
    <row r="417" spans="1:4">
      <c r="A417" s="2"/>
      <c r="B417" s="14"/>
      <c r="C417" s="4"/>
      <c r="D417" s="7"/>
    </row>
    <row r="418" spans="1:4">
      <c r="A418" s="2"/>
      <c r="B418" s="14"/>
      <c r="C418" s="4"/>
      <c r="D418" s="7"/>
    </row>
    <row r="419" spans="1:4">
      <c r="A419" s="2"/>
      <c r="B419" s="14"/>
      <c r="C419" s="4"/>
      <c r="D419" s="7"/>
    </row>
    <row r="420" spans="1:4">
      <c r="A420" s="2"/>
      <c r="B420" s="14"/>
      <c r="C420" s="4"/>
      <c r="D420" s="7"/>
    </row>
    <row r="421" spans="1:4">
      <c r="A421" s="2"/>
      <c r="B421" s="14"/>
      <c r="C421" s="4"/>
      <c r="D421" s="7"/>
    </row>
    <row r="422" spans="1:4">
      <c r="A422" s="2"/>
      <c r="B422" s="14"/>
      <c r="C422" s="4"/>
      <c r="D422" s="7"/>
    </row>
    <row r="423" spans="1:4">
      <c r="A423" s="2"/>
      <c r="B423" s="14"/>
      <c r="C423" s="4"/>
      <c r="D423" s="7"/>
    </row>
    <row r="424" spans="1:4">
      <c r="A424" s="2"/>
      <c r="B424" s="14"/>
      <c r="C424" s="4"/>
      <c r="D424" s="7"/>
    </row>
    <row r="425" spans="1:4">
      <c r="A425" s="2"/>
      <c r="B425" s="14"/>
      <c r="C425" s="4"/>
      <c r="D425" s="7"/>
    </row>
    <row r="426" spans="1:4">
      <c r="A426" s="2"/>
      <c r="B426" s="14"/>
      <c r="C426" s="4"/>
      <c r="D426" s="7"/>
    </row>
    <row r="427" spans="1:4">
      <c r="A427" s="2"/>
      <c r="B427" s="14"/>
      <c r="C427" s="4"/>
      <c r="D427" s="7"/>
    </row>
    <row r="428" spans="1:4">
      <c r="A428" s="2"/>
      <c r="B428" s="14"/>
      <c r="C428" s="4"/>
      <c r="D428" s="7"/>
    </row>
    <row r="429" spans="1:4">
      <c r="A429" s="2"/>
      <c r="B429" s="14"/>
      <c r="C429" s="4"/>
      <c r="D429" s="7"/>
    </row>
    <row r="430" spans="1:4">
      <c r="A430" s="2"/>
      <c r="B430" s="14"/>
      <c r="C430" s="4"/>
      <c r="D430" s="7"/>
    </row>
    <row r="431" spans="1:4">
      <c r="A431" s="2"/>
      <c r="B431" s="14"/>
      <c r="C431" s="4"/>
      <c r="D431" s="7"/>
    </row>
    <row r="432" spans="1:4">
      <c r="A432" s="2"/>
      <c r="B432" s="14"/>
      <c r="C432" s="4"/>
      <c r="D432" s="7"/>
    </row>
    <row r="433" spans="1:4">
      <c r="A433" s="2"/>
      <c r="B433" s="14"/>
      <c r="C433" s="4"/>
      <c r="D433" s="7"/>
    </row>
    <row r="434" spans="1:4">
      <c r="A434" s="2"/>
      <c r="B434" s="14"/>
      <c r="C434" s="4"/>
      <c r="D434" s="7"/>
    </row>
    <row r="435" spans="1:4">
      <c r="A435" s="2"/>
      <c r="B435" s="14"/>
      <c r="C435" s="4"/>
      <c r="D435" s="7"/>
    </row>
    <row r="436" spans="1:4">
      <c r="A436" s="2"/>
      <c r="B436" s="14"/>
      <c r="C436" s="4"/>
      <c r="D436" s="7"/>
    </row>
    <row r="437" spans="1:4">
      <c r="A437" s="2"/>
      <c r="B437" s="14"/>
      <c r="C437" s="4"/>
      <c r="D437" s="7"/>
    </row>
    <row r="438" spans="1:4">
      <c r="A438" s="2"/>
      <c r="B438" s="14"/>
      <c r="C438" s="4"/>
      <c r="D438" s="7"/>
    </row>
    <row r="439" spans="1:4">
      <c r="A439" s="2"/>
      <c r="B439" s="14"/>
      <c r="C439" s="4"/>
      <c r="D439" s="7"/>
    </row>
    <row r="440" spans="1:4">
      <c r="A440" s="2"/>
      <c r="B440" s="14"/>
      <c r="C440" s="4"/>
      <c r="D440" s="7"/>
    </row>
    <row r="441" spans="1:4">
      <c r="A441" s="2"/>
      <c r="B441" s="14"/>
      <c r="C441" s="4"/>
      <c r="D441" s="7"/>
    </row>
    <row r="442" spans="1:4">
      <c r="A442" s="2"/>
      <c r="B442" s="14"/>
      <c r="C442" s="4"/>
      <c r="D442" s="7"/>
    </row>
    <row r="443" spans="1:4">
      <c r="A443" s="2"/>
      <c r="B443" s="14"/>
      <c r="C443" s="4"/>
      <c r="D443" s="7"/>
    </row>
    <row r="444" spans="1:4">
      <c r="A444" s="2"/>
      <c r="B444" s="14"/>
      <c r="C444" s="4"/>
      <c r="D444" s="7"/>
    </row>
    <row r="445" spans="1:4">
      <c r="A445" s="2"/>
      <c r="B445" s="14"/>
      <c r="C445" s="4"/>
      <c r="D445" s="7"/>
    </row>
    <row r="446" spans="1:4">
      <c r="A446" s="2"/>
      <c r="B446" s="14"/>
      <c r="C446" s="4"/>
      <c r="D446" s="7"/>
    </row>
    <row r="447" spans="1:4">
      <c r="A447" s="2"/>
      <c r="B447" s="14"/>
      <c r="C447" s="4"/>
      <c r="D447" s="7"/>
    </row>
    <row r="448" spans="1:4">
      <c r="A448" s="2"/>
      <c r="B448" s="14"/>
      <c r="C448" s="4"/>
      <c r="D448" s="7"/>
    </row>
    <row r="449" spans="1:4">
      <c r="A449" s="2"/>
      <c r="B449" s="14"/>
      <c r="C449" s="4"/>
      <c r="D449" s="7"/>
    </row>
    <row r="450" spans="1:4">
      <c r="A450" s="2"/>
      <c r="B450" s="14"/>
      <c r="C450" s="4"/>
      <c r="D450" s="7"/>
    </row>
    <row r="451" spans="1:4">
      <c r="A451" s="2"/>
      <c r="B451" s="14"/>
      <c r="C451" s="4"/>
      <c r="D451" s="7"/>
    </row>
    <row r="452" spans="1:4">
      <c r="A452" s="2"/>
      <c r="B452" s="14"/>
      <c r="C452" s="4"/>
      <c r="D452" s="7"/>
    </row>
    <row r="453" spans="1:4">
      <c r="A453" s="2"/>
      <c r="B453" s="14"/>
      <c r="C453" s="4"/>
      <c r="D453" s="7"/>
    </row>
    <row r="454" spans="1:4">
      <c r="A454" s="2"/>
      <c r="B454" s="14"/>
      <c r="C454" s="4"/>
      <c r="D454" s="7"/>
    </row>
    <row r="455" spans="1:4">
      <c r="A455" s="2"/>
      <c r="B455" s="14"/>
      <c r="C455" s="4"/>
      <c r="D455" s="7"/>
    </row>
    <row r="456" spans="1:4">
      <c r="A456" s="2"/>
      <c r="B456" s="14"/>
      <c r="C456" s="4"/>
      <c r="D456" s="7"/>
    </row>
    <row r="457" spans="1:4">
      <c r="A457" s="2"/>
      <c r="B457" s="14"/>
      <c r="C457" s="4"/>
      <c r="D457" s="7"/>
    </row>
    <row r="458" spans="1:4">
      <c r="A458" s="2"/>
      <c r="B458" s="14"/>
      <c r="C458" s="4"/>
      <c r="D458" s="7"/>
    </row>
    <row r="459" spans="1:4">
      <c r="A459" s="2"/>
      <c r="B459" s="14"/>
      <c r="C459" s="4"/>
      <c r="D459" s="7"/>
    </row>
    <row r="460" spans="1:4">
      <c r="A460" s="2"/>
      <c r="B460" s="14"/>
      <c r="C460" s="4"/>
      <c r="D460" s="7"/>
    </row>
    <row r="461" spans="1:4">
      <c r="A461" s="2"/>
      <c r="B461" s="14"/>
      <c r="C461" s="4"/>
      <c r="D461" s="7"/>
    </row>
    <row r="462" spans="1:4">
      <c r="A462" s="2"/>
      <c r="B462" s="14"/>
      <c r="C462" s="4"/>
      <c r="D462" s="7"/>
    </row>
    <row r="463" spans="1:4">
      <c r="A463" s="2"/>
      <c r="B463" s="14"/>
      <c r="C463" s="4"/>
      <c r="D463" s="7"/>
    </row>
    <row r="464" spans="1:4">
      <c r="A464" s="2"/>
      <c r="B464" s="14"/>
      <c r="C464" s="4"/>
      <c r="D464" s="7"/>
    </row>
    <row r="465" spans="1:4">
      <c r="A465" s="2"/>
      <c r="B465" s="14"/>
      <c r="C465" s="4"/>
      <c r="D465" s="7"/>
    </row>
    <row r="466" spans="1:4">
      <c r="A466" s="2"/>
      <c r="B466" s="14"/>
      <c r="C466" s="4"/>
      <c r="D466" s="7"/>
    </row>
    <row r="467" spans="1:4">
      <c r="A467" s="2"/>
      <c r="B467" s="14"/>
      <c r="C467" s="4"/>
      <c r="D467" s="7"/>
    </row>
    <row r="468" spans="1:4">
      <c r="A468" s="2"/>
      <c r="B468" s="14"/>
      <c r="C468" s="4"/>
      <c r="D468" s="7"/>
    </row>
    <row r="469" spans="1:4">
      <c r="A469" s="2"/>
      <c r="B469" s="14"/>
      <c r="C469" s="4"/>
      <c r="D469" s="7"/>
    </row>
    <row r="470" spans="1:4">
      <c r="A470" s="2"/>
      <c r="B470" s="14"/>
      <c r="C470" s="4"/>
      <c r="D470" s="7"/>
    </row>
    <row r="471" spans="1:4">
      <c r="A471" s="2"/>
      <c r="B471" s="14"/>
      <c r="C471" s="4"/>
      <c r="D471" s="7"/>
    </row>
    <row r="472" spans="1:4">
      <c r="A472" s="2"/>
      <c r="B472" s="14"/>
      <c r="C472" s="4"/>
      <c r="D472" s="7"/>
    </row>
    <row r="473" spans="1:4">
      <c r="A473" s="2"/>
      <c r="B473" s="14"/>
      <c r="C473" s="4"/>
      <c r="D473" s="7"/>
    </row>
    <row r="474" spans="1:4">
      <c r="A474" s="2"/>
      <c r="B474" s="14"/>
      <c r="C474" s="4"/>
      <c r="D474" s="7"/>
    </row>
    <row r="475" spans="1:4">
      <c r="A475" s="2"/>
      <c r="B475" s="14"/>
      <c r="C475" s="4"/>
      <c r="D475" s="7"/>
    </row>
    <row r="476" spans="1:4">
      <c r="A476" s="2"/>
      <c r="B476" s="14"/>
      <c r="C476" s="4"/>
      <c r="D476" s="7"/>
    </row>
    <row r="477" spans="1:4">
      <c r="A477" s="2"/>
      <c r="B477" s="14"/>
      <c r="C477" s="4"/>
      <c r="D477" s="7"/>
    </row>
    <row r="478" spans="1:4">
      <c r="A478" s="2"/>
      <c r="B478" s="14"/>
      <c r="C478" s="4"/>
      <c r="D478" s="7"/>
    </row>
    <row r="479" spans="1:4">
      <c r="A479" s="2"/>
      <c r="B479" s="14"/>
      <c r="C479" s="4"/>
      <c r="D479" s="7"/>
    </row>
    <row r="480" spans="1:4">
      <c r="A480" s="2"/>
      <c r="B480" s="14"/>
      <c r="C480" s="4"/>
      <c r="D480" s="7"/>
    </row>
    <row r="481" spans="1:4">
      <c r="A481" s="2"/>
      <c r="B481" s="14"/>
      <c r="C481" s="4"/>
      <c r="D481" s="7"/>
    </row>
    <row r="482" spans="1:4">
      <c r="A482" s="2"/>
      <c r="B482" s="14"/>
      <c r="C482" s="4"/>
      <c r="D482" s="7"/>
    </row>
    <row r="483" spans="1:4">
      <c r="A483" s="2"/>
      <c r="B483" s="14"/>
      <c r="C483" s="4"/>
      <c r="D483" s="7"/>
    </row>
    <row r="484" spans="1:4">
      <c r="A484" s="2"/>
      <c r="B484" s="14"/>
      <c r="C484" s="4"/>
      <c r="D484" s="7"/>
    </row>
    <row r="485" spans="1:4">
      <c r="A485" s="2"/>
      <c r="B485" s="14"/>
      <c r="C485" s="4"/>
      <c r="D485" s="7"/>
    </row>
    <row r="486" spans="1:4">
      <c r="A486" s="2"/>
      <c r="B486" s="14"/>
      <c r="C486" s="4"/>
      <c r="D486" s="7"/>
    </row>
    <row r="487" spans="1:4">
      <c r="A487" s="2"/>
      <c r="B487" s="14"/>
      <c r="C487" s="4"/>
      <c r="D487" s="7"/>
    </row>
    <row r="488" spans="1:4">
      <c r="A488" s="2"/>
      <c r="B488" s="14"/>
      <c r="C488" s="4"/>
      <c r="D488" s="7"/>
    </row>
    <row r="489" spans="1:4">
      <c r="A489" s="2"/>
      <c r="B489" s="14"/>
      <c r="C489" s="4"/>
      <c r="D489" s="7"/>
    </row>
    <row r="490" spans="1:4">
      <c r="A490" s="2"/>
      <c r="B490" s="14"/>
      <c r="C490" s="4"/>
      <c r="D490" s="7"/>
    </row>
    <row r="491" spans="1:4">
      <c r="A491" s="2"/>
      <c r="B491" s="14"/>
      <c r="C491" s="4"/>
      <c r="D491" s="7"/>
    </row>
    <row r="492" spans="1:4">
      <c r="A492" s="2"/>
      <c r="B492" s="14"/>
      <c r="C492" s="4"/>
      <c r="D492" s="7"/>
    </row>
    <row r="493" spans="1:4">
      <c r="A493" s="2"/>
      <c r="B493" s="14"/>
      <c r="C493" s="4"/>
      <c r="D493" s="7"/>
    </row>
    <row r="494" spans="1:4">
      <c r="A494" s="2"/>
      <c r="B494" s="14"/>
      <c r="C494" s="4"/>
      <c r="D494" s="7"/>
    </row>
    <row r="495" spans="1:4">
      <c r="A495" s="2"/>
      <c r="B495" s="14"/>
      <c r="C495" s="4"/>
      <c r="D495" s="7"/>
    </row>
    <row r="496" spans="1:4">
      <c r="A496" s="2"/>
      <c r="B496" s="14"/>
      <c r="C496" s="4"/>
      <c r="D496" s="7"/>
    </row>
    <row r="497" spans="1:4">
      <c r="A497" s="2"/>
      <c r="B497" s="14"/>
      <c r="C497" s="4"/>
      <c r="D497" s="7"/>
    </row>
    <row r="498" spans="1:4">
      <c r="A498" s="2"/>
      <c r="B498" s="14"/>
      <c r="C498" s="4"/>
      <c r="D498" s="7"/>
    </row>
    <row r="499" spans="1:4">
      <c r="A499" s="2"/>
      <c r="B499" s="14"/>
      <c r="C499" s="4"/>
      <c r="D499" s="7"/>
    </row>
    <row r="500" spans="1:4">
      <c r="A500" s="2"/>
      <c r="B500" s="14"/>
      <c r="C500" s="4"/>
      <c r="D500" s="7"/>
    </row>
    <row r="501" spans="1:4">
      <c r="A501" s="2"/>
      <c r="B501" s="14"/>
      <c r="C501" s="4"/>
      <c r="D501" s="7"/>
    </row>
  </sheetData>
  <conditionalFormatting sqref="A2:D501">
    <cfRule type="expression" dxfId="14" priority="1">
      <formula>AND($A2&lt;&gt;"",COUNTIFS($A:$A,$A2,$B:$B,$B2,$D:$D,$D2)&gt;1)</formula>
    </cfRule>
  </conditionalFormatting>
  <dataValidations count="2">
    <dataValidation type="decimal" operator="greaterThanOrEqual" sqref="C2:C501" xr:uid="{00000000-0002-0000-0100-000000000000}">
      <formula1>0</formula1>
    </dataValidation>
    <dataValidation type="whole" operator="greaterThan" sqref="D2:D501" xr:uid="{00000000-0002-0000-0100-000001000000}">
      <formula1>0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workbookViewId="0">
      <selection activeCell="K10" sqref="K10"/>
    </sheetView>
  </sheetViews>
  <sheetFormatPr defaultRowHeight="13.8"/>
  <cols>
    <col min="1" max="2" width="16" customWidth="1"/>
    <col min="3" max="3" width="20" customWidth="1"/>
    <col min="4" max="4" width="14" customWidth="1"/>
    <col min="5" max="5" width="20" customWidth="1"/>
    <col min="6" max="6" width="12.5" bestFit="1" customWidth="1"/>
    <col min="7" max="7" width="15" style="12" customWidth="1"/>
    <col min="8" max="8" width="16.5" customWidth="1"/>
    <col min="9" max="9" width="10" bestFit="1" customWidth="1"/>
    <col min="10" max="10" width="15" customWidth="1"/>
    <col min="12" max="12" width="20" customWidth="1"/>
    <col min="13" max="13" width="18" customWidth="1"/>
    <col min="14" max="14" width="16" customWidth="1"/>
  </cols>
  <sheetData>
    <row r="1" spans="1:12" ht="25.65" customHeight="1">
      <c r="A1" s="1" t="s">
        <v>0</v>
      </c>
      <c r="B1" s="1" t="s">
        <v>1</v>
      </c>
      <c r="C1" s="1" t="s">
        <v>10</v>
      </c>
      <c r="D1" s="1" t="s">
        <v>2</v>
      </c>
      <c r="E1" s="1" t="s">
        <v>7</v>
      </c>
      <c r="F1" s="11" t="s">
        <v>5</v>
      </c>
      <c r="G1" s="1" t="s">
        <v>4</v>
      </c>
      <c r="H1" s="1" t="s">
        <v>6</v>
      </c>
      <c r="I1" s="1" t="s">
        <v>3</v>
      </c>
      <c r="J1" s="1" t="s">
        <v>8</v>
      </c>
      <c r="K1" s="1" t="s">
        <v>9</v>
      </c>
    </row>
    <row r="2" spans="1:12">
      <c r="A2" s="18" t="str">
        <f>IF(B2&lt;&gt;"","L-"&amp;TEXT(ROW()-1,"0000"),"")</f>
        <v>L-0001</v>
      </c>
      <c r="B2" s="13" t="s">
        <v>33</v>
      </c>
      <c r="C2" s="14">
        <v>46253</v>
      </c>
      <c r="D2" s="3">
        <v>4653638</v>
      </c>
      <c r="E2" s="3">
        <v>4671001</v>
      </c>
      <c r="F2" s="14">
        <v>46274</v>
      </c>
      <c r="G2" s="7">
        <f>RawObservationsTable[[#This Row],[Maturity Date]]-RawObservationsTable[[#This Row],[Timestamp]]</f>
        <v>21</v>
      </c>
      <c r="H2" s="2" t="s">
        <v>27</v>
      </c>
      <c r="I2" s="4">
        <f>(RawObservationsTable[[#This Row],[Value at Maturity ($)]]/RawObservationsTable[[#This Row],[Price ($)]])^(365/RawObservationsTable[[#This Row],[Remaining Duration (Days)]])-1</f>
        <v>6.6869530770370389E-2</v>
      </c>
      <c r="J2" s="4">
        <f>IFERROR(LOOKUP(2,1/((Bank_Rates!$A$2:$A$100=H2)*(Bank_Rates!$B$2:$B$100=LOOKUP(2,1/((Bank_Rates!$A$2:$A$100=H2)*(Bank_Rates!$B$2:$B$100&lt;=C2)),Bank_Rates!$B$2:$B$100))*(Bank_Rates!$D$2:$D$100&lt;=G2)),Bank_Rates!$C$2:$C$100),"No Match")</f>
        <v>0.04</v>
      </c>
      <c r="K2" s="6">
        <f t="shared" ref="K2:K65" si="0">IF(OR(I2="",J2=""),"",I2-J2)</f>
        <v>2.6869530770370388E-2</v>
      </c>
      <c r="L2" s="15"/>
    </row>
    <row r="3" spans="1:12">
      <c r="A3" s="18" t="str">
        <f t="shared" ref="A3:A66" si="1">IF(B3&lt;&gt;"","L-"&amp;TEXT(ROW()-1,"0000"),"")</f>
        <v>L-0002</v>
      </c>
      <c r="B3" s="13" t="s">
        <v>36</v>
      </c>
      <c r="C3" s="14">
        <v>46253</v>
      </c>
      <c r="D3" s="3">
        <v>3508365</v>
      </c>
      <c r="E3" s="3">
        <v>3520202</v>
      </c>
      <c r="F3" s="14">
        <v>46272</v>
      </c>
      <c r="G3" s="7">
        <f>RawObservationsTable[[#This Row],[Maturity Date]]-RawObservationsTable[[#This Row],[Timestamp]]</f>
        <v>19</v>
      </c>
      <c r="H3" s="2" t="s">
        <v>27</v>
      </c>
      <c r="I3" s="4">
        <f>(RawObservationsTable[[#This Row],[Value at Maturity ($)]]/RawObservationsTable[[#This Row],[Price ($)]])^(365/RawObservationsTable[[#This Row],[Remaining Duration (Days)]])-1</f>
        <v>6.6845321750421904E-2</v>
      </c>
      <c r="J3" s="4">
        <f>IFERROR(LOOKUP(2,1/((Bank_Rates!$A$2:$A$100=H3)*(Bank_Rates!$B$2:$B$100=LOOKUP(2,1/((Bank_Rates!$A$2:$A$100=H3)*(Bank_Rates!$B$2:$B$100&lt;=C3)),Bank_Rates!$B$2:$B$100))*(Bank_Rates!$D$2:$D$100&lt;=G3)),Bank_Rates!$C$2:$C$100),"No Match")</f>
        <v>0.04</v>
      </c>
      <c r="K3" s="6">
        <f t="shared" si="0"/>
        <v>2.6845321750421904E-2</v>
      </c>
    </row>
    <row r="4" spans="1:12">
      <c r="A4" s="18" t="str">
        <f t="shared" si="1"/>
        <v>L-0003</v>
      </c>
      <c r="B4" s="13" t="s">
        <v>34</v>
      </c>
      <c r="C4" s="14">
        <v>46253</v>
      </c>
      <c r="D4" s="3">
        <v>4610986</v>
      </c>
      <c r="E4" s="3">
        <v>4626551</v>
      </c>
      <c r="F4" s="14">
        <v>46272</v>
      </c>
      <c r="G4" s="7">
        <f>RawObservationsTable[[#This Row],[Maturity Date]]-RawObservationsTable[[#This Row],[Timestamp]]</f>
        <v>19</v>
      </c>
      <c r="H4" s="2" t="s">
        <v>27</v>
      </c>
      <c r="I4" s="4">
        <f>(RawObservationsTable[[#This Row],[Value at Maturity ($)]]/RawObservationsTable[[#This Row],[Price ($)]])^(365/RawObservationsTable[[#This Row],[Remaining Duration (Days)]])-1</f>
        <v>6.6879994290029332E-2</v>
      </c>
      <c r="J4" s="4">
        <f>IFERROR(LOOKUP(2,1/((Bank_Rates!$A$2:$A$100=H4)*(Bank_Rates!$B$2:$B$100=LOOKUP(2,1/((Bank_Rates!$A$2:$A$100=H4)*(Bank_Rates!$B$2:$B$100&lt;=C4)),Bank_Rates!$B$2:$B$100))*(Bank_Rates!$D$2:$D$100&lt;=G4)),Bank_Rates!$C$2:$C$100),"No Match")</f>
        <v>0.04</v>
      </c>
      <c r="K4" s="6">
        <f t="shared" si="0"/>
        <v>2.6879994290029331E-2</v>
      </c>
    </row>
    <row r="5" spans="1:12">
      <c r="A5" s="18" t="str">
        <f t="shared" si="1"/>
        <v>L-0004</v>
      </c>
      <c r="B5" s="13" t="s">
        <v>35</v>
      </c>
      <c r="C5" s="14">
        <v>46253</v>
      </c>
      <c r="D5" s="3">
        <v>3508456</v>
      </c>
      <c r="E5" s="3">
        <v>3520202</v>
      </c>
      <c r="F5" s="14">
        <v>46272</v>
      </c>
      <c r="G5" s="7">
        <f>RawObservationsTable[[#This Row],[Maturity Date]]-RawObservationsTable[[#This Row],[Timestamp]]</f>
        <v>19</v>
      </c>
      <c r="H5" s="2" t="s">
        <v>27</v>
      </c>
      <c r="I5" s="4">
        <f>(RawObservationsTable[[#This Row],[Value at Maturity ($)]]/RawObservationsTable[[#This Row],[Price ($)]])^(365/RawObservationsTable[[#This Row],[Remaining Duration (Days)]])-1</f>
        <v>6.6313870398653441E-2</v>
      </c>
      <c r="J5" s="4">
        <f>IFERROR(LOOKUP(2,1/((Bank_Rates!$A$2:$A$100=H5)*(Bank_Rates!$B$2:$B$100=LOOKUP(2,1/((Bank_Rates!$A$2:$A$100=H5)*(Bank_Rates!$B$2:$B$100&lt;=C5)),Bank_Rates!$B$2:$B$100))*(Bank_Rates!$D$2:$D$100&lt;=G5)),Bank_Rates!$C$2:$C$100),"No Match")</f>
        <v>0.04</v>
      </c>
      <c r="K5" s="6">
        <f t="shared" si="0"/>
        <v>2.631387039865344E-2</v>
      </c>
    </row>
    <row r="6" spans="1:12">
      <c r="A6" s="18" t="str">
        <f t="shared" si="1"/>
        <v>L-0005</v>
      </c>
      <c r="B6" s="13" t="s">
        <v>40</v>
      </c>
      <c r="C6" s="14">
        <v>46245</v>
      </c>
      <c r="D6" s="3">
        <v>6671860</v>
      </c>
      <c r="E6" s="3">
        <v>6749674</v>
      </c>
      <c r="F6" s="14">
        <v>46305</v>
      </c>
      <c r="G6" s="7">
        <f>RawObservationsTable[[#This Row],[Maturity Date]]-RawObservationsTable[[#This Row],[Timestamp]]</f>
        <v>60</v>
      </c>
      <c r="H6" s="2" t="s">
        <v>27</v>
      </c>
      <c r="I6" s="4">
        <f>(RawObservationsTable[[#This Row],[Value at Maturity ($)]]/RawObservationsTable[[#This Row],[Price ($)]])^(365/RawObservationsTable[[#This Row],[Remaining Duration (Days)]])-1</f>
        <v>7.3086900382836495E-2</v>
      </c>
      <c r="J6" s="4">
        <f>IFERROR(LOOKUP(2,1/((Bank_Rates!$A$2:$A$100=H6)*(Bank_Rates!$B$2:$B$100=LOOKUP(2,1/((Bank_Rates!$A$2:$A$100=H6)*(Bank_Rates!$B$2:$B$100&lt;=C6)),Bank_Rates!$B$2:$B$100))*(Bank_Rates!$D$2:$D$100&lt;=G6)),Bank_Rates!$C$2:$C$100),"No Match")</f>
        <v>6.7000000000000004E-2</v>
      </c>
      <c r="K6" s="6">
        <f t="shared" si="0"/>
        <v>6.0869003828364909E-3</v>
      </c>
    </row>
    <row r="7" spans="1:12">
      <c r="A7" s="18" t="str">
        <f t="shared" si="1"/>
        <v>L-0006</v>
      </c>
      <c r="B7" s="13" t="s">
        <v>41</v>
      </c>
      <c r="C7" s="14">
        <v>46247</v>
      </c>
      <c r="D7" s="3">
        <v>20060000</v>
      </c>
      <c r="E7" s="3">
        <v>20826744</v>
      </c>
      <c r="F7" s="14">
        <v>46430</v>
      </c>
      <c r="G7" s="7">
        <f>RawObservationsTable[[#This Row],[Maturity Date]]-RawObservationsTable[[#This Row],[Timestamp]]</f>
        <v>183</v>
      </c>
      <c r="H7" s="2" t="s">
        <v>27</v>
      </c>
      <c r="I7" s="4">
        <f>(RawObservationsTable[[#This Row],[Value at Maturity ($)]]/RawObservationsTable[[#This Row],[Price ($)]])^(365/RawObservationsTable[[#This Row],[Remaining Duration (Days)]])-1</f>
        <v>7.7685107277584597E-2</v>
      </c>
      <c r="J7" s="4">
        <f>IFERROR(LOOKUP(2,1/((Bank_Rates!$A$2:$A$100=H7)*(Bank_Rates!$B$2:$B$100=LOOKUP(2,1/((Bank_Rates!$A$2:$A$100=H7)*(Bank_Rates!$B$2:$B$100&lt;=C7)),Bank_Rates!$B$2:$B$100))*(Bank_Rates!$D$2:$D$100&lt;=G7)),Bank_Rates!$C$2:$C$100),"No Match")</f>
        <v>7.0999999999999994E-2</v>
      </c>
      <c r="K7" s="6">
        <f t="shared" si="0"/>
        <v>6.6851072775846038E-3</v>
      </c>
    </row>
    <row r="8" spans="1:12">
      <c r="A8" s="18" t="str">
        <f t="shared" si="1"/>
        <v>L-0007</v>
      </c>
      <c r="B8" s="13" t="s">
        <v>42</v>
      </c>
      <c r="C8" s="14">
        <v>46248</v>
      </c>
      <c r="D8" s="3">
        <v>29685213</v>
      </c>
      <c r="E8" s="3">
        <v>30297331</v>
      </c>
      <c r="F8" s="14">
        <v>46346</v>
      </c>
      <c r="G8" s="7">
        <f>RawObservationsTable[[#This Row],[Maturity Date]]-RawObservationsTable[[#This Row],[Timestamp]]</f>
        <v>98</v>
      </c>
      <c r="H8" s="2" t="s">
        <v>27</v>
      </c>
      <c r="I8" s="4">
        <f>(RawObservationsTable[[#This Row],[Value at Maturity ($)]]/RawObservationsTable[[#This Row],[Price ($)]])^(365/RawObservationsTable[[#This Row],[Remaining Duration (Days)]])-1</f>
        <v>7.898307048992903E-2</v>
      </c>
      <c r="J8" s="4">
        <f>IFERROR(LOOKUP(2,1/((Bank_Rates!$A$2:$A$100=H8)*(Bank_Rates!$B$2:$B$100=LOOKUP(2,1/((Bank_Rates!$A$2:$A$100=H8)*(Bank_Rates!$B$2:$B$100&lt;=C8)),Bank_Rates!$B$2:$B$100))*(Bank_Rates!$D$2:$D$100&lt;=G8)),Bank_Rates!$C$2:$C$100),"No Match")</f>
        <v>7.0000000000000007E-2</v>
      </c>
      <c r="K8" s="6">
        <f t="shared" si="0"/>
        <v>8.9830704899290237E-3</v>
      </c>
    </row>
    <row r="9" spans="1:12">
      <c r="A9" s="18" t="str">
        <f t="shared" si="1"/>
        <v>L-0008</v>
      </c>
      <c r="B9" s="13" t="s">
        <v>43</v>
      </c>
      <c r="C9" s="14">
        <v>46248</v>
      </c>
      <c r="D9" s="3">
        <v>30046000</v>
      </c>
      <c r="E9" s="3">
        <v>31206091</v>
      </c>
      <c r="F9" s="14">
        <v>46431</v>
      </c>
      <c r="G9" s="7">
        <f>RawObservationsTable[[#This Row],[Maturity Date]]-RawObservationsTable[[#This Row],[Timestamp]]</f>
        <v>183</v>
      </c>
      <c r="H9" s="2" t="s">
        <v>27</v>
      </c>
      <c r="I9" s="4">
        <f>(RawObservationsTable[[#This Row],[Value at Maturity ($)]]/RawObservationsTable[[#This Row],[Price ($)]])^(365/RawObservationsTable[[#This Row],[Remaining Duration (Days)]])-1</f>
        <v>7.84884784833213E-2</v>
      </c>
      <c r="J9" s="4">
        <f>IFERROR(LOOKUP(2,1/((Bank_Rates!$A$2:$A$100=H9)*(Bank_Rates!$B$2:$B$100=LOOKUP(2,1/((Bank_Rates!$A$2:$A$100=H9)*(Bank_Rates!$B$2:$B$100&lt;=C9)),Bank_Rates!$B$2:$B$100))*(Bank_Rates!$D$2:$D$100&lt;=G9)),Bank_Rates!$C$2:$C$100),"No Match")</f>
        <v>7.0999999999999994E-2</v>
      </c>
      <c r="K9" s="6">
        <f t="shared" si="0"/>
        <v>7.4884784833213064E-3</v>
      </c>
    </row>
    <row r="10" spans="1:12">
      <c r="A10" s="18" t="str">
        <f t="shared" si="1"/>
        <v>L-0009</v>
      </c>
      <c r="B10" s="13" t="s">
        <v>44</v>
      </c>
      <c r="C10" s="14">
        <v>46251</v>
      </c>
      <c r="D10" s="3">
        <v>20064000</v>
      </c>
      <c r="E10" s="3">
        <v>20110411</v>
      </c>
      <c r="F10" s="14">
        <v>46264</v>
      </c>
      <c r="G10" s="7">
        <f>RawObservationsTable[[#This Row],[Maturity Date]]-RawObservationsTable[[#This Row],[Timestamp]]</f>
        <v>13</v>
      </c>
      <c r="H10" s="2" t="s">
        <v>27</v>
      </c>
      <c r="I10" s="4">
        <f>(RawObservationsTable[[#This Row],[Value at Maturity ($)]]/RawObservationsTable[[#This Row],[Price ($)]])^(365/RawObservationsTable[[#This Row],[Remaining Duration (Days)]])-1</f>
        <v>6.7021452010702864E-2</v>
      </c>
      <c r="J10" s="4">
        <f>IFERROR(LOOKUP(2,1/((Bank_Rates!$A$2:$A$100=H10)*(Bank_Rates!$B$2:$B$100=LOOKUP(2,1/((Bank_Rates!$A$2:$A$100=H10)*(Bank_Rates!$B$2:$B$100&lt;=C10)),Bank_Rates!$B$2:$B$100))*(Bank_Rates!$D$2:$D$100&lt;=G10)),Bank_Rates!$C$2:$C$100),"No Match")</f>
        <v>0.04</v>
      </c>
      <c r="K10" s="6">
        <f t="shared" si="0"/>
        <v>2.7021452010702864E-2</v>
      </c>
    </row>
    <row r="11" spans="1:12">
      <c r="A11" s="18" t="str">
        <f t="shared" si="1"/>
        <v>L-0010</v>
      </c>
      <c r="B11" s="13" t="s">
        <v>50</v>
      </c>
      <c r="C11" s="14">
        <v>46256</v>
      </c>
      <c r="D11" s="3">
        <v>50217550</v>
      </c>
      <c r="E11" s="3">
        <v>50305612</v>
      </c>
      <c r="F11" s="14">
        <v>46266</v>
      </c>
      <c r="G11" s="7">
        <f>RawObservationsTable[[#This Row],[Maturity Date]]-RawObservationsTable[[#This Row],[Timestamp]]</f>
        <v>10</v>
      </c>
      <c r="H11" s="2" t="s">
        <v>27</v>
      </c>
      <c r="I11" s="4">
        <f>(RawObservationsTable[[#This Row],[Value at Maturity ($)]]/RawObservationsTable[[#This Row],[Price ($)]])^(365/RawObservationsTable[[#This Row],[Remaining Duration (Days)]])-1</f>
        <v>6.6039853031993667E-2</v>
      </c>
      <c r="J11" s="4">
        <f>IFERROR(LOOKUP(2,1/((Bank_Rates!$A$2:$A$100=H11)*(Bank_Rates!$B$2:$B$100=LOOKUP(2,1/((Bank_Rates!$A$2:$A$100=H11)*(Bank_Rates!$B$2:$B$100&lt;=C11)),Bank_Rates!$B$2:$B$100))*(Bank_Rates!$D$2:$D$100&lt;=G11)),Bank_Rates!$C$2:$C$100),"No Match")</f>
        <v>0.04</v>
      </c>
      <c r="K11" s="6">
        <f t="shared" si="0"/>
        <v>2.6039853031993666E-2</v>
      </c>
    </row>
    <row r="12" spans="1:12">
      <c r="A12" s="18" t="str">
        <f t="shared" si="1"/>
        <v>L-0011</v>
      </c>
      <c r="B12" s="13" t="s">
        <v>52</v>
      </c>
      <c r="C12" s="14">
        <v>46256</v>
      </c>
      <c r="D12" s="3">
        <v>9927097</v>
      </c>
      <c r="E12" s="3">
        <v>9963029</v>
      </c>
      <c r="F12" s="14">
        <v>46276</v>
      </c>
      <c r="G12" s="7">
        <f>RawObservationsTable[[#This Row],[Maturity Date]]-RawObservationsTable[[#This Row],[Timestamp]]</f>
        <v>20</v>
      </c>
      <c r="H12" s="2" t="s">
        <v>27</v>
      </c>
      <c r="I12" s="4">
        <f>(RawObservationsTable[[#This Row],[Value at Maturity ($)]]/RawObservationsTable[[#This Row],[Price ($)]])^(365/RawObservationsTable[[#This Row],[Remaining Duration (Days)]])-1</f>
        <v>6.8160720007433229E-2</v>
      </c>
      <c r="J12" s="4">
        <f>IFERROR(LOOKUP(2,1/((Bank_Rates!$A$2:$A$100=H12)*(Bank_Rates!$B$2:$B$100=LOOKUP(2,1/((Bank_Rates!$A$2:$A$100=H12)*(Bank_Rates!$B$2:$B$100&lt;=C12)),Bank_Rates!$B$2:$B$100))*(Bank_Rates!$D$2:$D$100&lt;=G12)),Bank_Rates!$C$2:$C$100),"No Match")</f>
        <v>0.04</v>
      </c>
      <c r="K12" s="6">
        <f t="shared" si="0"/>
        <v>2.8160720007433228E-2</v>
      </c>
    </row>
    <row r="13" spans="1:12">
      <c r="A13" s="18" t="str">
        <f t="shared" si="1"/>
        <v>L-0012</v>
      </c>
      <c r="B13" s="13" t="s">
        <v>53</v>
      </c>
      <c r="C13" s="14">
        <v>46256</v>
      </c>
      <c r="D13" s="3">
        <v>6557889</v>
      </c>
      <c r="E13" s="3">
        <v>6584707</v>
      </c>
      <c r="F13" s="14">
        <v>46269</v>
      </c>
      <c r="G13" s="7">
        <f>RawObservationsTable[[#This Row],[Maturity Date]]-RawObservationsTable[[#This Row],[Timestamp]]</f>
        <v>13</v>
      </c>
      <c r="H13" s="2" t="s">
        <v>27</v>
      </c>
      <c r="I13" s="4">
        <f>(RawObservationsTable[[#This Row],[Value at Maturity ($)]]/RawObservationsTable[[#This Row],[Price ($)]])^(365/RawObservationsTable[[#This Row],[Remaining Duration (Days)]])-1</f>
        <v>0.12140723769994732</v>
      </c>
      <c r="J13" s="4">
        <f>IFERROR(LOOKUP(2,1/((Bank_Rates!$A$2:$A$100=H13)*(Bank_Rates!$B$2:$B$100=LOOKUP(2,1/((Bank_Rates!$A$2:$A$100=H13)*(Bank_Rates!$B$2:$B$100&lt;=C13)),Bank_Rates!$B$2:$B$100))*(Bank_Rates!$D$2:$D$100&lt;=G13)),Bank_Rates!$C$2:$C$100),"No Match")</f>
        <v>0.04</v>
      </c>
      <c r="K13" s="6">
        <f t="shared" si="0"/>
        <v>8.1407237699947316E-2</v>
      </c>
    </row>
    <row r="14" spans="1:12">
      <c r="A14" s="18" t="str">
        <f t="shared" si="1"/>
        <v>L-0013</v>
      </c>
      <c r="B14" s="13" t="s">
        <v>54</v>
      </c>
      <c r="C14" s="14">
        <v>46256</v>
      </c>
      <c r="D14" s="3">
        <v>4554317</v>
      </c>
      <c r="E14" s="3">
        <v>4574570</v>
      </c>
      <c r="F14" s="14">
        <v>46281</v>
      </c>
      <c r="G14" s="7">
        <f>RawObservationsTable[[#This Row],[Maturity Date]]-RawObservationsTable[[#This Row],[Timestamp]]</f>
        <v>25</v>
      </c>
      <c r="H14" s="2" t="s">
        <v>27</v>
      </c>
      <c r="I14" s="4">
        <f>(RawObservationsTable[[#This Row],[Value at Maturity ($)]]/RawObservationsTable[[#This Row],[Price ($)]])^(365/RawObservationsTable[[#This Row],[Remaining Duration (Days)]])-1</f>
        <v>6.6926527424052029E-2</v>
      </c>
      <c r="J14" s="4">
        <f>IFERROR(LOOKUP(2,1/((Bank_Rates!$A$2:$A$100=H14)*(Bank_Rates!$B$2:$B$100=LOOKUP(2,1/((Bank_Rates!$A$2:$A$100=H14)*(Bank_Rates!$B$2:$B$100&lt;=C14)),Bank_Rates!$B$2:$B$100))*(Bank_Rates!$D$2:$D$100&lt;=G14)),Bank_Rates!$C$2:$C$100),"No Match")</f>
        <v>0.04</v>
      </c>
      <c r="K14" s="6">
        <f t="shared" si="0"/>
        <v>2.6926527424052028E-2</v>
      </c>
    </row>
    <row r="15" spans="1:12">
      <c r="A15" s="18" t="str">
        <f t="shared" si="1"/>
        <v>L-0014</v>
      </c>
      <c r="B15" s="13" t="s">
        <v>55</v>
      </c>
      <c r="C15" s="14">
        <v>46256</v>
      </c>
      <c r="D15" s="3">
        <v>49969000</v>
      </c>
      <c r="E15" s="3">
        <v>51993393</v>
      </c>
      <c r="F15" s="14">
        <v>46439</v>
      </c>
      <c r="G15" s="7">
        <f>RawObservationsTable[[#This Row],[Maturity Date]]-RawObservationsTable[[#This Row],[Timestamp]]</f>
        <v>183</v>
      </c>
      <c r="H15" s="2" t="s">
        <v>27</v>
      </c>
      <c r="I15" s="4">
        <f>(RawObservationsTable[[#This Row],[Value at Maturity ($)]]/RawObservationsTable[[#This Row],[Price ($)]])^(365/RawObservationsTable[[#This Row],[Remaining Duration (Days)]])-1</f>
        <v>8.2432327380667303E-2</v>
      </c>
      <c r="J15" s="4">
        <f>IFERROR(LOOKUP(2,1/((Bank_Rates!$A$2:$A$100=H15)*(Bank_Rates!$B$2:$B$100=LOOKUP(2,1/((Bank_Rates!$A$2:$A$100=H15)*(Bank_Rates!$B$2:$B$100&lt;=C15)),Bank_Rates!$B$2:$B$100))*(Bank_Rates!$D$2:$D$100&lt;=G15)),Bank_Rates!$C$2:$C$100),"No Match")</f>
        <v>7.0999999999999994E-2</v>
      </c>
      <c r="K15" s="6">
        <f t="shared" si="0"/>
        <v>1.1432327380667309E-2</v>
      </c>
    </row>
    <row r="16" spans="1:12">
      <c r="A16" s="18" t="str">
        <f t="shared" si="1"/>
        <v/>
      </c>
      <c r="B16" s="13"/>
      <c r="C16" s="14"/>
      <c r="D16" s="3"/>
      <c r="E16" s="3"/>
      <c r="F16" s="14"/>
      <c r="G16" s="7">
        <f>RawObservationsTable[[#This Row],[Maturity Date]]-RawObservationsTable[[#This Row],[Timestamp]]</f>
        <v>0</v>
      </c>
      <c r="H16" s="2"/>
      <c r="I16" s="4"/>
      <c r="J16" s="4">
        <f>IFERROR(LOOKUP(2,1/((Bank_Rates!$A$2:$A$100=H16)*(Bank_Rates!$B$2:$B$100=LOOKUP(2,1/((Bank_Rates!$A$2:$A$100=H16)*(Bank_Rates!$B$2:$B$100&lt;=C16)),Bank_Rates!$B$2:$B$100))*(Bank_Rates!$D$2:$D$100&lt;=G16)),Bank_Rates!$C$2:$C$100),"No Match")</f>
        <v>0</v>
      </c>
      <c r="K16" s="6" t="str">
        <f t="shared" si="0"/>
        <v/>
      </c>
    </row>
    <row r="17" spans="1:11">
      <c r="A17" s="18" t="str">
        <f t="shared" si="1"/>
        <v/>
      </c>
      <c r="B17" s="13"/>
      <c r="C17" s="14"/>
      <c r="D17" s="3"/>
      <c r="E17" s="3"/>
      <c r="F17" s="14"/>
      <c r="G17" s="7">
        <f>RawObservationsTable[[#This Row],[Maturity Date]]-RawObservationsTable[[#This Row],[Timestamp]]</f>
        <v>0</v>
      </c>
      <c r="H17" s="2"/>
      <c r="I17" s="4"/>
      <c r="J17" s="4">
        <f>IFERROR(LOOKUP(2,1/((Bank_Rates!$A$2:$A$100=H17)*(Bank_Rates!$B$2:$B$100=LOOKUP(2,1/((Bank_Rates!$A$2:$A$100=H17)*(Bank_Rates!$B$2:$B$100&lt;=C17)),Bank_Rates!$B$2:$B$100))*(Bank_Rates!$D$2:$D$100&lt;=G17)),Bank_Rates!$C$2:$C$100),"No Match")</f>
        <v>0</v>
      </c>
      <c r="K17" s="6" t="str">
        <f t="shared" si="0"/>
        <v/>
      </c>
    </row>
    <row r="18" spans="1:11">
      <c r="A18" s="18" t="str">
        <f t="shared" si="1"/>
        <v/>
      </c>
      <c r="B18" s="13"/>
      <c r="C18" s="14"/>
      <c r="D18" s="3"/>
      <c r="E18" s="3"/>
      <c r="F18" s="14"/>
      <c r="G18" s="7">
        <f>RawObservationsTable[[#This Row],[Maturity Date]]-RawObservationsTable[[#This Row],[Timestamp]]</f>
        <v>0</v>
      </c>
      <c r="H18" s="2"/>
      <c r="I18" s="4"/>
      <c r="J18" s="4">
        <f>IFERROR(LOOKUP(2,1/((Bank_Rates!$A$2:$A$100=H18)*(Bank_Rates!$B$2:$B$100=LOOKUP(2,1/((Bank_Rates!$A$2:$A$100=H18)*(Bank_Rates!$B$2:$B$100&lt;=C18)),Bank_Rates!$B$2:$B$100))*(Bank_Rates!$D$2:$D$100&lt;=G18)),Bank_Rates!$C$2:$C$100),"No Match")</f>
        <v>0</v>
      </c>
      <c r="K18" s="6" t="str">
        <f t="shared" si="0"/>
        <v/>
      </c>
    </row>
    <row r="19" spans="1:11">
      <c r="A19" s="18" t="str">
        <f t="shared" si="1"/>
        <v/>
      </c>
      <c r="B19" s="13"/>
      <c r="C19" s="14"/>
      <c r="D19" s="3"/>
      <c r="E19" s="3"/>
      <c r="F19" s="14"/>
      <c r="G19" s="7">
        <f>RawObservationsTable[[#This Row],[Maturity Date]]-RawObservationsTable[[#This Row],[Timestamp]]</f>
        <v>0</v>
      </c>
      <c r="H19" s="2"/>
      <c r="I19" s="4"/>
      <c r="J19" s="4">
        <f>IFERROR(LOOKUP(2,1/((Bank_Rates!$A$2:$A$100=H19)*(Bank_Rates!$B$2:$B$100=LOOKUP(2,1/((Bank_Rates!$A$2:$A$100=H19)*(Bank_Rates!$B$2:$B$100&lt;=C19)),Bank_Rates!$B$2:$B$100))*(Bank_Rates!$D$2:$D$100&lt;=G19)),Bank_Rates!$C$2:$C$100),"No Match")</f>
        <v>0</v>
      </c>
      <c r="K19" s="6" t="str">
        <f t="shared" si="0"/>
        <v/>
      </c>
    </row>
    <row r="20" spans="1:11">
      <c r="A20" s="18" t="str">
        <f t="shared" si="1"/>
        <v/>
      </c>
      <c r="B20" s="13"/>
      <c r="C20" s="14"/>
      <c r="D20" s="3"/>
      <c r="E20" s="3"/>
      <c r="F20" s="14"/>
      <c r="G20" s="7">
        <f>RawObservationsTable[[#This Row],[Maturity Date]]-RawObservationsTable[[#This Row],[Timestamp]]</f>
        <v>0</v>
      </c>
      <c r="H20" s="2"/>
      <c r="I20" s="4"/>
      <c r="J20" s="4">
        <f>IFERROR(LOOKUP(2,1/((Bank_Rates!$A$2:$A$100=H20)*(Bank_Rates!$B$2:$B$100=LOOKUP(2,1/((Bank_Rates!$A$2:$A$100=H20)*(Bank_Rates!$B$2:$B$100&lt;=C20)),Bank_Rates!$B$2:$B$100))*(Bank_Rates!$D$2:$D$100&lt;=G20)),Bank_Rates!$C$2:$C$100),"No Match")</f>
        <v>0</v>
      </c>
      <c r="K20" s="6" t="str">
        <f t="shared" si="0"/>
        <v/>
      </c>
    </row>
    <row r="21" spans="1:11">
      <c r="A21" s="18" t="str">
        <f t="shared" si="1"/>
        <v/>
      </c>
      <c r="B21" s="13"/>
      <c r="C21" s="14"/>
      <c r="D21" s="3"/>
      <c r="E21" s="3"/>
      <c r="F21" s="14"/>
      <c r="G21" s="7">
        <f>RawObservationsTable[[#This Row],[Maturity Date]]-RawObservationsTable[[#This Row],[Timestamp]]</f>
        <v>0</v>
      </c>
      <c r="H21" s="2"/>
      <c r="I21" s="4"/>
      <c r="J21" s="4">
        <f>IFERROR(LOOKUP(2,1/((Bank_Rates!$A$2:$A$100=H21)*(Bank_Rates!$B$2:$B$100=LOOKUP(2,1/((Bank_Rates!$A$2:$A$100=H21)*(Bank_Rates!$B$2:$B$100&lt;=C21)),Bank_Rates!$B$2:$B$100))*(Bank_Rates!$D$2:$D$100&lt;=G21)),Bank_Rates!$C$2:$C$100),"No Match")</f>
        <v>0</v>
      </c>
      <c r="K21" s="6" t="str">
        <f t="shared" si="0"/>
        <v/>
      </c>
    </row>
    <row r="22" spans="1:11">
      <c r="A22" s="18" t="str">
        <f t="shared" si="1"/>
        <v/>
      </c>
      <c r="B22" s="13"/>
      <c r="C22" s="14"/>
      <c r="D22" s="3"/>
      <c r="E22" s="3"/>
      <c r="F22" s="14"/>
      <c r="G22" s="7">
        <f>RawObservationsTable[[#This Row],[Maturity Date]]-RawObservationsTable[[#This Row],[Timestamp]]</f>
        <v>0</v>
      </c>
      <c r="H22" s="2"/>
      <c r="I22" s="4"/>
      <c r="J22" s="4">
        <f>IFERROR(LOOKUP(2,1/((Bank_Rates!$A$2:$A$100=H22)*(Bank_Rates!$B$2:$B$100=LOOKUP(2,1/((Bank_Rates!$A$2:$A$100=H22)*(Bank_Rates!$B$2:$B$100&lt;=C22)),Bank_Rates!$B$2:$B$100))*(Bank_Rates!$D$2:$D$100&lt;=G22)),Bank_Rates!$C$2:$C$100),"No Match")</f>
        <v>0</v>
      </c>
      <c r="K22" s="6" t="str">
        <f t="shared" si="0"/>
        <v/>
      </c>
    </row>
    <row r="23" spans="1:11">
      <c r="A23" s="18" t="str">
        <f t="shared" si="1"/>
        <v/>
      </c>
      <c r="B23" s="13"/>
      <c r="C23" s="14"/>
      <c r="D23" s="3"/>
      <c r="E23" s="3"/>
      <c r="F23" s="14"/>
      <c r="G23" s="7">
        <f>RawObservationsTable[[#This Row],[Maturity Date]]-RawObservationsTable[[#This Row],[Timestamp]]</f>
        <v>0</v>
      </c>
      <c r="H23" s="2"/>
      <c r="I23" s="4"/>
      <c r="J23" s="4">
        <f>IFERROR(LOOKUP(2,1/((Bank_Rates!$A$2:$A$100=H23)*(Bank_Rates!$B$2:$B$100=LOOKUP(2,1/((Bank_Rates!$A$2:$A$100=H23)*(Bank_Rates!$B$2:$B$100&lt;=C23)),Bank_Rates!$B$2:$B$100))*(Bank_Rates!$D$2:$D$100&lt;=G23)),Bank_Rates!$C$2:$C$100),"No Match")</f>
        <v>0</v>
      </c>
      <c r="K23" s="6" t="str">
        <f t="shared" si="0"/>
        <v/>
      </c>
    </row>
    <row r="24" spans="1:11">
      <c r="A24" s="18" t="str">
        <f t="shared" si="1"/>
        <v/>
      </c>
      <c r="B24" s="13"/>
      <c r="C24" s="14"/>
      <c r="D24" s="3"/>
      <c r="E24" s="3"/>
      <c r="F24" s="14"/>
      <c r="G24" s="7">
        <f>RawObservationsTable[[#This Row],[Maturity Date]]-RawObservationsTable[[#This Row],[Timestamp]]</f>
        <v>0</v>
      </c>
      <c r="H24" s="2"/>
      <c r="I24" s="4"/>
      <c r="J24" s="4">
        <f>IFERROR(LOOKUP(2,1/((Bank_Rates!$A$2:$A$100=H24)*(Bank_Rates!$B$2:$B$100=LOOKUP(2,1/((Bank_Rates!$A$2:$A$100=H24)*(Bank_Rates!$B$2:$B$100&lt;=C24)),Bank_Rates!$B$2:$B$100))*(Bank_Rates!$D$2:$D$100&lt;=G24)),Bank_Rates!$C$2:$C$100),"No Match")</f>
        <v>0</v>
      </c>
      <c r="K24" s="6" t="str">
        <f t="shared" si="0"/>
        <v/>
      </c>
    </row>
    <row r="25" spans="1:11">
      <c r="A25" s="18" t="str">
        <f t="shared" si="1"/>
        <v/>
      </c>
      <c r="B25" s="13"/>
      <c r="C25" s="14"/>
      <c r="D25" s="3"/>
      <c r="E25" s="3"/>
      <c r="F25" s="14"/>
      <c r="G25" s="7">
        <f>RawObservationsTable[[#This Row],[Maturity Date]]-RawObservationsTable[[#This Row],[Timestamp]]</f>
        <v>0</v>
      </c>
      <c r="H25" s="2"/>
      <c r="I25" s="4"/>
      <c r="J25" s="4">
        <f>IFERROR(LOOKUP(2,1/((Bank_Rates!$A$2:$A$100=H25)*(Bank_Rates!$B$2:$B$100=LOOKUP(2,1/((Bank_Rates!$A$2:$A$100=H25)*(Bank_Rates!$B$2:$B$100&lt;=C25)),Bank_Rates!$B$2:$B$100))*(Bank_Rates!$D$2:$D$100&lt;=G25)),Bank_Rates!$C$2:$C$100),"No Match")</f>
        <v>0</v>
      </c>
      <c r="K25" s="6" t="str">
        <f t="shared" si="0"/>
        <v/>
      </c>
    </row>
    <row r="26" spans="1:11">
      <c r="A26" s="18" t="str">
        <f t="shared" si="1"/>
        <v/>
      </c>
      <c r="B26" s="13"/>
      <c r="C26" s="14"/>
      <c r="D26" s="3"/>
      <c r="E26" s="3"/>
      <c r="F26" s="14"/>
      <c r="G26" s="7">
        <f>RawObservationsTable[[#This Row],[Maturity Date]]-RawObservationsTable[[#This Row],[Timestamp]]</f>
        <v>0</v>
      </c>
      <c r="H26" s="2"/>
      <c r="I26" s="4"/>
      <c r="J26" s="4">
        <f>IFERROR(LOOKUP(2,1/((Bank_Rates!$A$2:$A$100=H26)*(Bank_Rates!$B$2:$B$100=LOOKUP(2,1/((Bank_Rates!$A$2:$A$100=H26)*(Bank_Rates!$B$2:$B$100&lt;=C26)),Bank_Rates!$B$2:$B$100))*(Bank_Rates!$D$2:$D$100&lt;=G26)),Bank_Rates!$C$2:$C$100),"No Match")</f>
        <v>0</v>
      </c>
      <c r="K26" s="6" t="str">
        <f t="shared" si="0"/>
        <v/>
      </c>
    </row>
    <row r="27" spans="1:11">
      <c r="A27" s="18" t="str">
        <f t="shared" si="1"/>
        <v/>
      </c>
      <c r="B27" s="13"/>
      <c r="C27" s="14"/>
      <c r="D27" s="3"/>
      <c r="E27" s="3"/>
      <c r="F27" s="14"/>
      <c r="G27" s="7">
        <f>RawObservationsTable[[#This Row],[Maturity Date]]-RawObservationsTable[[#This Row],[Timestamp]]</f>
        <v>0</v>
      </c>
      <c r="H27" s="2"/>
      <c r="I27" s="4"/>
      <c r="J27" s="4">
        <f>IFERROR(LOOKUP(2,1/((Bank_Rates!$A$2:$A$100=H27)*(Bank_Rates!$B$2:$B$100=LOOKUP(2,1/((Bank_Rates!$A$2:$A$100=H27)*(Bank_Rates!$B$2:$B$100&lt;=C27)),Bank_Rates!$B$2:$B$100))*(Bank_Rates!$D$2:$D$100&lt;=G27)),Bank_Rates!$C$2:$C$100),"No Match")</f>
        <v>0</v>
      </c>
      <c r="K27" s="6" t="str">
        <f t="shared" si="0"/>
        <v/>
      </c>
    </row>
    <row r="28" spans="1:11">
      <c r="A28" s="18" t="str">
        <f t="shared" si="1"/>
        <v/>
      </c>
      <c r="B28" s="13"/>
      <c r="C28" s="14"/>
      <c r="D28" s="3"/>
      <c r="E28" s="3"/>
      <c r="F28" s="14"/>
      <c r="G28" s="7">
        <f>RawObservationsTable[[#This Row],[Maturity Date]]-RawObservationsTable[[#This Row],[Timestamp]]</f>
        <v>0</v>
      </c>
      <c r="H28" s="2"/>
      <c r="I28" s="4"/>
      <c r="J28" s="5" t="str">
        <f>IF(OR(H28="",G28="",C28=""),"",LET(n,COUNTIFS(Bank_Rates!$A$2:$A$501,H28,Bank_Rates!$B$2:$B$501,"&lt;="&amp;C28),IF(n=0,"",LET(t,MAXIFS(Bank_Rates!$B$2:$B$501,Bank_Rates!$A$2:$A$501,H28,Bank_Rates!$B$2:$B$501,"&lt;="&amp;C28),m,COUNTIFS(Bank_Rates!$A$2:$A$501,H28,Bank_Rates!$B$2:$B$501,t,Bank_Rates!$D$2:$D$501,"&lt;="&amp;G28),IF(m=0,"",LET(d,MAXIFS(Bank_Rates!$D$2:$D$501,Bank_Rates!$A$2:$A$501,H28,Bank_Rates!$B$2:$B$501,t,Bank_Rates!$D$2:$D$501,"&lt;="&amp;G28),SUMIFS(Bank_Rates!$C$2:$C$501,Bank_Rates!$A$2:$A$501,H28,Bank_Rates!$B$2:$B$501,t,Bank_Rates!$D$2:$D$501,d)))))))</f>
        <v/>
      </c>
      <c r="K28" s="6" t="str">
        <f t="shared" si="0"/>
        <v/>
      </c>
    </row>
    <row r="29" spans="1:11">
      <c r="A29" s="18" t="str">
        <f t="shared" si="1"/>
        <v/>
      </c>
      <c r="B29" s="13"/>
      <c r="C29" s="14"/>
      <c r="D29" s="3"/>
      <c r="E29" s="3"/>
      <c r="F29" s="14"/>
      <c r="G29" s="7">
        <f>RawObservationsTable[[#This Row],[Maturity Date]]-RawObservationsTable[[#This Row],[Timestamp]]</f>
        <v>0</v>
      </c>
      <c r="H29" s="2"/>
      <c r="I29" s="4"/>
      <c r="J29" s="5" t="str">
        <f>IF(OR(H29="",G29="",C29=""),"",LET(n,COUNTIFS(Bank_Rates!$A$2:$A$501,H29,Bank_Rates!$B$2:$B$501,"&lt;="&amp;C29),IF(n=0,"",LET(t,MAXIFS(Bank_Rates!$B$2:$B$501,Bank_Rates!$A$2:$A$501,H29,Bank_Rates!$B$2:$B$501,"&lt;="&amp;C29),m,COUNTIFS(Bank_Rates!$A$2:$A$501,H29,Bank_Rates!$B$2:$B$501,t,Bank_Rates!$D$2:$D$501,"&lt;="&amp;G29),IF(m=0,"",LET(d,MAXIFS(Bank_Rates!$D$2:$D$501,Bank_Rates!$A$2:$A$501,H29,Bank_Rates!$B$2:$B$501,t,Bank_Rates!$D$2:$D$501,"&lt;="&amp;G29),SUMIFS(Bank_Rates!$C$2:$C$501,Bank_Rates!$A$2:$A$501,H29,Bank_Rates!$B$2:$B$501,t,Bank_Rates!$D$2:$D$501,d)))))))</f>
        <v/>
      </c>
      <c r="K29" s="6" t="str">
        <f t="shared" si="0"/>
        <v/>
      </c>
    </row>
    <row r="30" spans="1:11">
      <c r="A30" s="18" t="str">
        <f t="shared" si="1"/>
        <v/>
      </c>
      <c r="B30" s="13"/>
      <c r="C30" s="14"/>
      <c r="D30" s="3"/>
      <c r="E30" s="3"/>
      <c r="F30" s="14"/>
      <c r="G30" s="7">
        <f>RawObservationsTable[[#This Row],[Maturity Date]]-RawObservationsTable[[#This Row],[Timestamp]]</f>
        <v>0</v>
      </c>
      <c r="H30" s="2"/>
      <c r="I30" s="4"/>
      <c r="J30" s="5" t="str">
        <f>IF(OR(H30="",G30="",C30=""),"",LET(n,COUNTIFS(Bank_Rates!$A$2:$A$501,H30,Bank_Rates!$B$2:$B$501,"&lt;="&amp;C30),IF(n=0,"",LET(t,MAXIFS(Bank_Rates!$B$2:$B$501,Bank_Rates!$A$2:$A$501,H30,Bank_Rates!$B$2:$B$501,"&lt;="&amp;C30),m,COUNTIFS(Bank_Rates!$A$2:$A$501,H30,Bank_Rates!$B$2:$B$501,t,Bank_Rates!$D$2:$D$501,"&lt;="&amp;G30),IF(m=0,"",LET(d,MAXIFS(Bank_Rates!$D$2:$D$501,Bank_Rates!$A$2:$A$501,H30,Bank_Rates!$B$2:$B$501,t,Bank_Rates!$D$2:$D$501,"&lt;="&amp;G30),SUMIFS(Bank_Rates!$C$2:$C$501,Bank_Rates!$A$2:$A$501,H30,Bank_Rates!$B$2:$B$501,t,Bank_Rates!$D$2:$D$501,d)))))))</f>
        <v/>
      </c>
      <c r="K30" s="6" t="str">
        <f t="shared" si="0"/>
        <v/>
      </c>
    </row>
    <row r="31" spans="1:11">
      <c r="A31" s="18" t="str">
        <f t="shared" si="1"/>
        <v/>
      </c>
      <c r="B31" s="13"/>
      <c r="C31" s="14"/>
      <c r="D31" s="3"/>
      <c r="E31" s="3"/>
      <c r="F31" s="14"/>
      <c r="G31" s="7">
        <f>RawObservationsTable[[#This Row],[Maturity Date]]-RawObservationsTable[[#This Row],[Timestamp]]</f>
        <v>0</v>
      </c>
      <c r="H31" s="2"/>
      <c r="I31" s="4"/>
      <c r="J31" s="5" t="str">
        <f>IF(OR(H31="",G31="",C31=""),"",LET(n,COUNTIFS(Bank_Rates!$A$2:$A$501,H31,Bank_Rates!$B$2:$B$501,"&lt;="&amp;C31),IF(n=0,"",LET(t,MAXIFS(Bank_Rates!$B$2:$B$501,Bank_Rates!$A$2:$A$501,H31,Bank_Rates!$B$2:$B$501,"&lt;="&amp;C31),m,COUNTIFS(Bank_Rates!$A$2:$A$501,H31,Bank_Rates!$B$2:$B$501,t,Bank_Rates!$D$2:$D$501,"&lt;="&amp;G31),IF(m=0,"",LET(d,MAXIFS(Bank_Rates!$D$2:$D$501,Bank_Rates!$A$2:$A$501,H31,Bank_Rates!$B$2:$B$501,t,Bank_Rates!$D$2:$D$501,"&lt;="&amp;G31),SUMIFS(Bank_Rates!$C$2:$C$501,Bank_Rates!$A$2:$A$501,H31,Bank_Rates!$B$2:$B$501,t,Bank_Rates!$D$2:$D$501,d)))))))</f>
        <v/>
      </c>
      <c r="K31" s="6" t="str">
        <f t="shared" si="0"/>
        <v/>
      </c>
    </row>
    <row r="32" spans="1:11">
      <c r="A32" s="18" t="str">
        <f t="shared" si="1"/>
        <v/>
      </c>
      <c r="B32" s="13"/>
      <c r="C32" s="14"/>
      <c r="D32" s="3"/>
      <c r="E32" s="3"/>
      <c r="F32" s="14"/>
      <c r="G32" s="7">
        <f>RawObservationsTable[[#This Row],[Maturity Date]]-RawObservationsTable[[#This Row],[Timestamp]]</f>
        <v>0</v>
      </c>
      <c r="H32" s="2"/>
      <c r="I32" s="4"/>
      <c r="J32" s="5" t="str">
        <f>IF(OR(H32="",G32="",C32=""),"",LET(n,COUNTIFS(Bank_Rates!$A$2:$A$501,H32,Bank_Rates!$B$2:$B$501,"&lt;="&amp;C32),IF(n=0,"",LET(t,MAXIFS(Bank_Rates!$B$2:$B$501,Bank_Rates!$A$2:$A$501,H32,Bank_Rates!$B$2:$B$501,"&lt;="&amp;C32),m,COUNTIFS(Bank_Rates!$A$2:$A$501,H32,Bank_Rates!$B$2:$B$501,t,Bank_Rates!$D$2:$D$501,"&lt;="&amp;G32),IF(m=0,"",LET(d,MAXIFS(Bank_Rates!$D$2:$D$501,Bank_Rates!$A$2:$A$501,H32,Bank_Rates!$B$2:$B$501,t,Bank_Rates!$D$2:$D$501,"&lt;="&amp;G32),SUMIFS(Bank_Rates!$C$2:$C$501,Bank_Rates!$A$2:$A$501,H32,Bank_Rates!$B$2:$B$501,t,Bank_Rates!$D$2:$D$501,d)))))))</f>
        <v/>
      </c>
      <c r="K32" s="6" t="str">
        <f t="shared" si="0"/>
        <v/>
      </c>
    </row>
    <row r="33" spans="1:11">
      <c r="A33" s="18" t="str">
        <f t="shared" si="1"/>
        <v/>
      </c>
      <c r="B33" s="13"/>
      <c r="C33" s="14"/>
      <c r="D33" s="3"/>
      <c r="E33" s="3"/>
      <c r="F33" s="14"/>
      <c r="G33" s="7">
        <f>RawObservationsTable[[#This Row],[Maturity Date]]-RawObservationsTable[[#This Row],[Timestamp]]</f>
        <v>0</v>
      </c>
      <c r="H33" s="2"/>
      <c r="I33" s="4"/>
      <c r="J33" s="5" t="str">
        <f>IF(OR(H33="",G33="",C33=""),"",LET(n,COUNTIFS(Bank_Rates!$A$2:$A$501,H33,Bank_Rates!$B$2:$B$501,"&lt;="&amp;C33),IF(n=0,"",LET(t,MAXIFS(Bank_Rates!$B$2:$B$501,Bank_Rates!$A$2:$A$501,H33,Bank_Rates!$B$2:$B$501,"&lt;="&amp;C33),m,COUNTIFS(Bank_Rates!$A$2:$A$501,H33,Bank_Rates!$B$2:$B$501,t,Bank_Rates!$D$2:$D$501,"&lt;="&amp;G33),IF(m=0,"",LET(d,MAXIFS(Bank_Rates!$D$2:$D$501,Bank_Rates!$A$2:$A$501,H33,Bank_Rates!$B$2:$B$501,t,Bank_Rates!$D$2:$D$501,"&lt;="&amp;G33),SUMIFS(Bank_Rates!$C$2:$C$501,Bank_Rates!$A$2:$A$501,H33,Bank_Rates!$B$2:$B$501,t,Bank_Rates!$D$2:$D$501,d)))))))</f>
        <v/>
      </c>
      <c r="K33" s="6" t="str">
        <f t="shared" si="0"/>
        <v/>
      </c>
    </row>
    <row r="34" spans="1:11">
      <c r="A34" s="18" t="str">
        <f t="shared" si="1"/>
        <v/>
      </c>
      <c r="B34" s="13"/>
      <c r="C34" s="14"/>
      <c r="D34" s="3"/>
      <c r="E34" s="3"/>
      <c r="F34" s="14"/>
      <c r="G34" s="7">
        <f>RawObservationsTable[[#This Row],[Maturity Date]]-RawObservationsTable[[#This Row],[Timestamp]]</f>
        <v>0</v>
      </c>
      <c r="H34" s="2"/>
      <c r="I34" s="4"/>
      <c r="J34" s="5" t="str">
        <f>IF(OR(H34="",G34="",C34=""),"",LET(n,COUNTIFS(Bank_Rates!$A$2:$A$501,H34,Bank_Rates!$B$2:$B$501,"&lt;="&amp;C34),IF(n=0,"",LET(t,MAXIFS(Bank_Rates!$B$2:$B$501,Bank_Rates!$A$2:$A$501,H34,Bank_Rates!$B$2:$B$501,"&lt;="&amp;C34),m,COUNTIFS(Bank_Rates!$A$2:$A$501,H34,Bank_Rates!$B$2:$B$501,t,Bank_Rates!$D$2:$D$501,"&lt;="&amp;G34),IF(m=0,"",LET(d,MAXIFS(Bank_Rates!$D$2:$D$501,Bank_Rates!$A$2:$A$501,H34,Bank_Rates!$B$2:$B$501,t,Bank_Rates!$D$2:$D$501,"&lt;="&amp;G34),SUMIFS(Bank_Rates!$C$2:$C$501,Bank_Rates!$A$2:$A$501,H34,Bank_Rates!$B$2:$B$501,t,Bank_Rates!$D$2:$D$501,d)))))))</f>
        <v/>
      </c>
      <c r="K34" s="6" t="str">
        <f t="shared" si="0"/>
        <v/>
      </c>
    </row>
    <row r="35" spans="1:11">
      <c r="A35" s="18" t="str">
        <f t="shared" si="1"/>
        <v/>
      </c>
      <c r="B35" s="13"/>
      <c r="C35" s="14"/>
      <c r="D35" s="3"/>
      <c r="E35" s="3"/>
      <c r="F35" s="14"/>
      <c r="G35" s="7">
        <f>RawObservationsTable[[#This Row],[Maturity Date]]-RawObservationsTable[[#This Row],[Timestamp]]</f>
        <v>0</v>
      </c>
      <c r="H35" s="2"/>
      <c r="I35" s="4"/>
      <c r="J35" s="5" t="str">
        <f>IF(OR(H35="",G35="",C35=""),"",LET(n,COUNTIFS(Bank_Rates!$A$2:$A$501,H35,Bank_Rates!$B$2:$B$501,"&lt;="&amp;C35),IF(n=0,"",LET(t,MAXIFS(Bank_Rates!$B$2:$B$501,Bank_Rates!$A$2:$A$501,H35,Bank_Rates!$B$2:$B$501,"&lt;="&amp;C35),m,COUNTIFS(Bank_Rates!$A$2:$A$501,H35,Bank_Rates!$B$2:$B$501,t,Bank_Rates!$D$2:$D$501,"&lt;="&amp;G35),IF(m=0,"",LET(d,MAXIFS(Bank_Rates!$D$2:$D$501,Bank_Rates!$A$2:$A$501,H35,Bank_Rates!$B$2:$B$501,t,Bank_Rates!$D$2:$D$501,"&lt;="&amp;G35),SUMIFS(Bank_Rates!$C$2:$C$501,Bank_Rates!$A$2:$A$501,H35,Bank_Rates!$B$2:$B$501,t,Bank_Rates!$D$2:$D$501,d)))))))</f>
        <v/>
      </c>
      <c r="K35" s="6" t="str">
        <f t="shared" si="0"/>
        <v/>
      </c>
    </row>
    <row r="36" spans="1:11">
      <c r="A36" s="18" t="str">
        <f t="shared" si="1"/>
        <v/>
      </c>
      <c r="B36" s="13"/>
      <c r="C36" s="14"/>
      <c r="D36" s="3"/>
      <c r="E36" s="3"/>
      <c r="F36" s="14"/>
      <c r="G36" s="7">
        <f>RawObservationsTable[[#This Row],[Maturity Date]]-RawObservationsTable[[#This Row],[Timestamp]]</f>
        <v>0</v>
      </c>
      <c r="H36" s="2"/>
      <c r="I36" s="4"/>
      <c r="J36" s="5" t="str">
        <f>IF(OR(H36="",G36="",C36=""),"",LET(n,COUNTIFS(Bank_Rates!$A$2:$A$501,H36,Bank_Rates!$B$2:$B$501,"&lt;="&amp;C36),IF(n=0,"",LET(t,MAXIFS(Bank_Rates!$B$2:$B$501,Bank_Rates!$A$2:$A$501,H36,Bank_Rates!$B$2:$B$501,"&lt;="&amp;C36),m,COUNTIFS(Bank_Rates!$A$2:$A$501,H36,Bank_Rates!$B$2:$B$501,t,Bank_Rates!$D$2:$D$501,"&lt;="&amp;G36),IF(m=0,"",LET(d,MAXIFS(Bank_Rates!$D$2:$D$501,Bank_Rates!$A$2:$A$501,H36,Bank_Rates!$B$2:$B$501,t,Bank_Rates!$D$2:$D$501,"&lt;="&amp;G36),SUMIFS(Bank_Rates!$C$2:$C$501,Bank_Rates!$A$2:$A$501,H36,Bank_Rates!$B$2:$B$501,t,Bank_Rates!$D$2:$D$501,d)))))))</f>
        <v/>
      </c>
      <c r="K36" s="6" t="str">
        <f t="shared" si="0"/>
        <v/>
      </c>
    </row>
    <row r="37" spans="1:11">
      <c r="A37" s="18" t="str">
        <f t="shared" si="1"/>
        <v/>
      </c>
      <c r="B37" s="13"/>
      <c r="C37" s="14"/>
      <c r="D37" s="3"/>
      <c r="E37" s="3"/>
      <c r="F37" s="14"/>
      <c r="G37" s="7">
        <f>RawObservationsTable[[#This Row],[Maturity Date]]-RawObservationsTable[[#This Row],[Timestamp]]</f>
        <v>0</v>
      </c>
      <c r="H37" s="2"/>
      <c r="I37" s="4"/>
      <c r="J37" s="5" t="str">
        <f>IF(OR(H37="",G37="",C37=""),"",LET(n,COUNTIFS(Bank_Rates!$A$2:$A$501,H37,Bank_Rates!$B$2:$B$501,"&lt;="&amp;C37),IF(n=0,"",LET(t,MAXIFS(Bank_Rates!$B$2:$B$501,Bank_Rates!$A$2:$A$501,H37,Bank_Rates!$B$2:$B$501,"&lt;="&amp;C37),m,COUNTIFS(Bank_Rates!$A$2:$A$501,H37,Bank_Rates!$B$2:$B$501,t,Bank_Rates!$D$2:$D$501,"&lt;="&amp;G37),IF(m=0,"",LET(d,MAXIFS(Bank_Rates!$D$2:$D$501,Bank_Rates!$A$2:$A$501,H37,Bank_Rates!$B$2:$B$501,t,Bank_Rates!$D$2:$D$501,"&lt;="&amp;G37),SUMIFS(Bank_Rates!$C$2:$C$501,Bank_Rates!$A$2:$A$501,H37,Bank_Rates!$B$2:$B$501,t,Bank_Rates!$D$2:$D$501,d)))))))</f>
        <v/>
      </c>
      <c r="K37" s="6" t="str">
        <f t="shared" si="0"/>
        <v/>
      </c>
    </row>
    <row r="38" spans="1:11">
      <c r="A38" s="18" t="str">
        <f t="shared" si="1"/>
        <v/>
      </c>
      <c r="B38" s="13"/>
      <c r="C38" s="14"/>
      <c r="D38" s="3"/>
      <c r="E38" s="3"/>
      <c r="F38" s="14"/>
      <c r="G38" s="7">
        <f>RawObservationsTable[[#This Row],[Maturity Date]]-RawObservationsTable[[#This Row],[Timestamp]]</f>
        <v>0</v>
      </c>
      <c r="H38" s="2"/>
      <c r="I38" s="4"/>
      <c r="J38" s="5" t="str">
        <f>IF(OR(H38="",G38="",C38=""),"",LET(n,COUNTIFS(Bank_Rates!$A$2:$A$501,H38,Bank_Rates!$B$2:$B$501,"&lt;="&amp;C38),IF(n=0,"",LET(t,MAXIFS(Bank_Rates!$B$2:$B$501,Bank_Rates!$A$2:$A$501,H38,Bank_Rates!$B$2:$B$501,"&lt;="&amp;C38),m,COUNTIFS(Bank_Rates!$A$2:$A$501,H38,Bank_Rates!$B$2:$B$501,t,Bank_Rates!$D$2:$D$501,"&lt;="&amp;G38),IF(m=0,"",LET(d,MAXIFS(Bank_Rates!$D$2:$D$501,Bank_Rates!$A$2:$A$501,H38,Bank_Rates!$B$2:$B$501,t,Bank_Rates!$D$2:$D$501,"&lt;="&amp;G38),SUMIFS(Bank_Rates!$C$2:$C$501,Bank_Rates!$A$2:$A$501,H38,Bank_Rates!$B$2:$B$501,t,Bank_Rates!$D$2:$D$501,d)))))))</f>
        <v/>
      </c>
      <c r="K38" s="6" t="str">
        <f t="shared" si="0"/>
        <v/>
      </c>
    </row>
    <row r="39" spans="1:11">
      <c r="A39" s="18" t="str">
        <f t="shared" si="1"/>
        <v/>
      </c>
      <c r="B39" s="13"/>
      <c r="C39" s="14"/>
      <c r="D39" s="3"/>
      <c r="E39" s="3"/>
      <c r="F39" s="14"/>
      <c r="G39" s="7">
        <f>RawObservationsTable[[#This Row],[Maturity Date]]-RawObservationsTable[[#This Row],[Timestamp]]</f>
        <v>0</v>
      </c>
      <c r="H39" s="2"/>
      <c r="I39" s="4"/>
      <c r="J39" s="5" t="str">
        <f>IF(OR(H39="",G39="",C39=""),"",LET(n,COUNTIFS(Bank_Rates!$A$2:$A$501,H39,Bank_Rates!$B$2:$B$501,"&lt;="&amp;C39),IF(n=0,"",LET(t,MAXIFS(Bank_Rates!$B$2:$B$501,Bank_Rates!$A$2:$A$501,H39,Bank_Rates!$B$2:$B$501,"&lt;="&amp;C39),m,COUNTIFS(Bank_Rates!$A$2:$A$501,H39,Bank_Rates!$B$2:$B$501,t,Bank_Rates!$D$2:$D$501,"&lt;="&amp;G39),IF(m=0,"",LET(d,MAXIFS(Bank_Rates!$D$2:$D$501,Bank_Rates!$A$2:$A$501,H39,Bank_Rates!$B$2:$B$501,t,Bank_Rates!$D$2:$D$501,"&lt;="&amp;G39),SUMIFS(Bank_Rates!$C$2:$C$501,Bank_Rates!$A$2:$A$501,H39,Bank_Rates!$B$2:$B$501,t,Bank_Rates!$D$2:$D$501,d)))))))</f>
        <v/>
      </c>
      <c r="K39" s="6" t="str">
        <f t="shared" si="0"/>
        <v/>
      </c>
    </row>
    <row r="40" spans="1:11">
      <c r="A40" s="18" t="str">
        <f t="shared" si="1"/>
        <v/>
      </c>
      <c r="B40" s="13"/>
      <c r="C40" s="14"/>
      <c r="D40" s="3"/>
      <c r="E40" s="3"/>
      <c r="F40" s="14"/>
      <c r="G40" s="7">
        <f>RawObservationsTable[[#This Row],[Maturity Date]]-RawObservationsTable[[#This Row],[Timestamp]]</f>
        <v>0</v>
      </c>
      <c r="H40" s="2"/>
      <c r="I40" s="4"/>
      <c r="J40" s="5" t="str">
        <f>IF(OR(H40="",G40="",C40=""),"",LET(n,COUNTIFS(Bank_Rates!$A$2:$A$501,H40,Bank_Rates!$B$2:$B$501,"&lt;="&amp;C40),IF(n=0,"",LET(t,MAXIFS(Bank_Rates!$B$2:$B$501,Bank_Rates!$A$2:$A$501,H40,Bank_Rates!$B$2:$B$501,"&lt;="&amp;C40),m,COUNTIFS(Bank_Rates!$A$2:$A$501,H40,Bank_Rates!$B$2:$B$501,t,Bank_Rates!$D$2:$D$501,"&lt;="&amp;G40),IF(m=0,"",LET(d,MAXIFS(Bank_Rates!$D$2:$D$501,Bank_Rates!$A$2:$A$501,H40,Bank_Rates!$B$2:$B$501,t,Bank_Rates!$D$2:$D$501,"&lt;="&amp;G40),SUMIFS(Bank_Rates!$C$2:$C$501,Bank_Rates!$A$2:$A$501,H40,Bank_Rates!$B$2:$B$501,t,Bank_Rates!$D$2:$D$501,d)))))))</f>
        <v/>
      </c>
      <c r="K40" s="6" t="str">
        <f t="shared" si="0"/>
        <v/>
      </c>
    </row>
    <row r="41" spans="1:11">
      <c r="A41" s="18" t="str">
        <f t="shared" si="1"/>
        <v/>
      </c>
      <c r="B41" s="13"/>
      <c r="C41" s="14"/>
      <c r="D41" s="3"/>
      <c r="E41" s="3"/>
      <c r="F41" s="14"/>
      <c r="G41" s="7">
        <f>RawObservationsTable[[#This Row],[Maturity Date]]-RawObservationsTable[[#This Row],[Timestamp]]</f>
        <v>0</v>
      </c>
      <c r="H41" s="2"/>
      <c r="I41" s="4"/>
      <c r="J41" s="5" t="str">
        <f>IF(OR(H41="",G41="",C41=""),"",LET(n,COUNTIFS(Bank_Rates!$A$2:$A$501,H41,Bank_Rates!$B$2:$B$501,"&lt;="&amp;C41),IF(n=0,"",LET(t,MAXIFS(Bank_Rates!$B$2:$B$501,Bank_Rates!$A$2:$A$501,H41,Bank_Rates!$B$2:$B$501,"&lt;="&amp;C41),m,COUNTIFS(Bank_Rates!$A$2:$A$501,H41,Bank_Rates!$B$2:$B$501,t,Bank_Rates!$D$2:$D$501,"&lt;="&amp;G41),IF(m=0,"",LET(d,MAXIFS(Bank_Rates!$D$2:$D$501,Bank_Rates!$A$2:$A$501,H41,Bank_Rates!$B$2:$B$501,t,Bank_Rates!$D$2:$D$501,"&lt;="&amp;G41),SUMIFS(Bank_Rates!$C$2:$C$501,Bank_Rates!$A$2:$A$501,H41,Bank_Rates!$B$2:$B$501,t,Bank_Rates!$D$2:$D$501,d)))))))</f>
        <v/>
      </c>
      <c r="K41" s="6" t="str">
        <f t="shared" si="0"/>
        <v/>
      </c>
    </row>
    <row r="42" spans="1:11">
      <c r="A42" s="18" t="str">
        <f t="shared" si="1"/>
        <v/>
      </c>
      <c r="B42" s="13"/>
      <c r="C42" s="14"/>
      <c r="D42" s="3"/>
      <c r="E42" s="3"/>
      <c r="F42" s="14"/>
      <c r="G42" s="7">
        <f>RawObservationsTable[[#This Row],[Maturity Date]]-RawObservationsTable[[#This Row],[Timestamp]]</f>
        <v>0</v>
      </c>
      <c r="H42" s="2"/>
      <c r="I42" s="4"/>
      <c r="J42" s="5" t="str">
        <f>IF(OR(H42="",G42="",C42=""),"",LET(n,COUNTIFS(Bank_Rates!$A$2:$A$501,H42,Bank_Rates!$B$2:$B$501,"&lt;="&amp;C42),IF(n=0,"",LET(t,MAXIFS(Bank_Rates!$B$2:$B$501,Bank_Rates!$A$2:$A$501,H42,Bank_Rates!$B$2:$B$501,"&lt;="&amp;C42),m,COUNTIFS(Bank_Rates!$A$2:$A$501,H42,Bank_Rates!$B$2:$B$501,t,Bank_Rates!$D$2:$D$501,"&lt;="&amp;G42),IF(m=0,"",LET(d,MAXIFS(Bank_Rates!$D$2:$D$501,Bank_Rates!$A$2:$A$501,H42,Bank_Rates!$B$2:$B$501,t,Bank_Rates!$D$2:$D$501,"&lt;="&amp;G42),SUMIFS(Bank_Rates!$C$2:$C$501,Bank_Rates!$A$2:$A$501,H42,Bank_Rates!$B$2:$B$501,t,Bank_Rates!$D$2:$D$501,d)))))))</f>
        <v/>
      </c>
      <c r="K42" s="6" t="str">
        <f t="shared" si="0"/>
        <v/>
      </c>
    </row>
    <row r="43" spans="1:11">
      <c r="A43" s="18" t="str">
        <f t="shared" si="1"/>
        <v/>
      </c>
      <c r="B43" s="13"/>
      <c r="C43" s="14"/>
      <c r="D43" s="3"/>
      <c r="E43" s="3"/>
      <c r="F43" s="14"/>
      <c r="G43" s="7">
        <f>RawObservationsTable[[#This Row],[Maturity Date]]-RawObservationsTable[[#This Row],[Timestamp]]</f>
        <v>0</v>
      </c>
      <c r="H43" s="2"/>
      <c r="I43" s="4"/>
      <c r="J43" s="5" t="str">
        <f>IF(OR(H43="",G43="",C43=""),"",LET(n,COUNTIFS(Bank_Rates!$A$2:$A$501,H43,Bank_Rates!$B$2:$B$501,"&lt;="&amp;C43),IF(n=0,"",LET(t,MAXIFS(Bank_Rates!$B$2:$B$501,Bank_Rates!$A$2:$A$501,H43,Bank_Rates!$B$2:$B$501,"&lt;="&amp;C43),m,COUNTIFS(Bank_Rates!$A$2:$A$501,H43,Bank_Rates!$B$2:$B$501,t,Bank_Rates!$D$2:$D$501,"&lt;="&amp;G43),IF(m=0,"",LET(d,MAXIFS(Bank_Rates!$D$2:$D$501,Bank_Rates!$A$2:$A$501,H43,Bank_Rates!$B$2:$B$501,t,Bank_Rates!$D$2:$D$501,"&lt;="&amp;G43),SUMIFS(Bank_Rates!$C$2:$C$501,Bank_Rates!$A$2:$A$501,H43,Bank_Rates!$B$2:$B$501,t,Bank_Rates!$D$2:$D$501,d)))))))</f>
        <v/>
      </c>
      <c r="K43" s="6" t="str">
        <f t="shared" si="0"/>
        <v/>
      </c>
    </row>
    <row r="44" spans="1:11">
      <c r="A44" s="18" t="str">
        <f t="shared" si="1"/>
        <v/>
      </c>
      <c r="B44" s="13"/>
      <c r="C44" s="14"/>
      <c r="D44" s="3"/>
      <c r="E44" s="3"/>
      <c r="F44" s="14"/>
      <c r="G44" s="7">
        <f>RawObservationsTable[[#This Row],[Maturity Date]]-RawObservationsTable[[#This Row],[Timestamp]]</f>
        <v>0</v>
      </c>
      <c r="H44" s="2"/>
      <c r="I44" s="4"/>
      <c r="J44" s="5" t="str">
        <f>IF(OR(H44="",G44="",C44=""),"",LET(n,COUNTIFS(Bank_Rates!$A$2:$A$501,H44,Bank_Rates!$B$2:$B$501,"&lt;="&amp;C44),IF(n=0,"",LET(t,MAXIFS(Bank_Rates!$B$2:$B$501,Bank_Rates!$A$2:$A$501,H44,Bank_Rates!$B$2:$B$501,"&lt;="&amp;C44),m,COUNTIFS(Bank_Rates!$A$2:$A$501,H44,Bank_Rates!$B$2:$B$501,t,Bank_Rates!$D$2:$D$501,"&lt;="&amp;G44),IF(m=0,"",LET(d,MAXIFS(Bank_Rates!$D$2:$D$501,Bank_Rates!$A$2:$A$501,H44,Bank_Rates!$B$2:$B$501,t,Bank_Rates!$D$2:$D$501,"&lt;="&amp;G44),SUMIFS(Bank_Rates!$C$2:$C$501,Bank_Rates!$A$2:$A$501,H44,Bank_Rates!$B$2:$B$501,t,Bank_Rates!$D$2:$D$501,d)))))))</f>
        <v/>
      </c>
      <c r="K44" s="6" t="str">
        <f t="shared" si="0"/>
        <v/>
      </c>
    </row>
    <row r="45" spans="1:11">
      <c r="A45" s="18" t="str">
        <f t="shared" si="1"/>
        <v/>
      </c>
      <c r="B45" s="13"/>
      <c r="C45" s="14"/>
      <c r="D45" s="3"/>
      <c r="E45" s="3"/>
      <c r="F45" s="14"/>
      <c r="G45" s="7">
        <f>RawObservationsTable[[#This Row],[Maturity Date]]-RawObservationsTable[[#This Row],[Timestamp]]</f>
        <v>0</v>
      </c>
      <c r="H45" s="2"/>
      <c r="I45" s="4"/>
      <c r="J45" s="5" t="str">
        <f>IF(OR(H45="",G45="",C45=""),"",LET(n,COUNTIFS(Bank_Rates!$A$2:$A$501,H45,Bank_Rates!$B$2:$B$501,"&lt;="&amp;C45),IF(n=0,"",LET(t,MAXIFS(Bank_Rates!$B$2:$B$501,Bank_Rates!$A$2:$A$501,H45,Bank_Rates!$B$2:$B$501,"&lt;="&amp;C45),m,COUNTIFS(Bank_Rates!$A$2:$A$501,H45,Bank_Rates!$B$2:$B$501,t,Bank_Rates!$D$2:$D$501,"&lt;="&amp;G45),IF(m=0,"",LET(d,MAXIFS(Bank_Rates!$D$2:$D$501,Bank_Rates!$A$2:$A$501,H45,Bank_Rates!$B$2:$B$501,t,Bank_Rates!$D$2:$D$501,"&lt;="&amp;G45),SUMIFS(Bank_Rates!$C$2:$C$501,Bank_Rates!$A$2:$A$501,H45,Bank_Rates!$B$2:$B$501,t,Bank_Rates!$D$2:$D$501,d)))))))</f>
        <v/>
      </c>
      <c r="K45" s="6" t="str">
        <f t="shared" si="0"/>
        <v/>
      </c>
    </row>
    <row r="46" spans="1:11">
      <c r="A46" s="18" t="str">
        <f t="shared" si="1"/>
        <v/>
      </c>
      <c r="B46" s="13"/>
      <c r="C46" s="14"/>
      <c r="D46" s="3"/>
      <c r="E46" s="3"/>
      <c r="F46" s="14"/>
      <c r="G46" s="7">
        <f>RawObservationsTable[[#This Row],[Maturity Date]]-RawObservationsTable[[#This Row],[Timestamp]]</f>
        <v>0</v>
      </c>
      <c r="H46" s="2"/>
      <c r="I46" s="4"/>
      <c r="J46" s="5" t="str">
        <f>IF(OR(H46="",G46="",C46=""),"",LET(n,COUNTIFS(Bank_Rates!$A$2:$A$501,H46,Bank_Rates!$B$2:$B$501,"&lt;="&amp;C46),IF(n=0,"",LET(t,MAXIFS(Bank_Rates!$B$2:$B$501,Bank_Rates!$A$2:$A$501,H46,Bank_Rates!$B$2:$B$501,"&lt;="&amp;C46),m,COUNTIFS(Bank_Rates!$A$2:$A$501,H46,Bank_Rates!$B$2:$B$501,t,Bank_Rates!$D$2:$D$501,"&lt;="&amp;G46),IF(m=0,"",LET(d,MAXIFS(Bank_Rates!$D$2:$D$501,Bank_Rates!$A$2:$A$501,H46,Bank_Rates!$B$2:$B$501,t,Bank_Rates!$D$2:$D$501,"&lt;="&amp;G46),SUMIFS(Bank_Rates!$C$2:$C$501,Bank_Rates!$A$2:$A$501,H46,Bank_Rates!$B$2:$B$501,t,Bank_Rates!$D$2:$D$501,d)))))))</f>
        <v/>
      </c>
      <c r="K46" s="6" t="str">
        <f t="shared" si="0"/>
        <v/>
      </c>
    </row>
    <row r="47" spans="1:11">
      <c r="A47" s="18" t="str">
        <f t="shared" si="1"/>
        <v/>
      </c>
      <c r="B47" s="13"/>
      <c r="C47" s="14"/>
      <c r="D47" s="3"/>
      <c r="E47" s="3"/>
      <c r="F47" s="14"/>
      <c r="G47" s="7">
        <f>RawObservationsTable[[#This Row],[Maturity Date]]-RawObservationsTable[[#This Row],[Timestamp]]</f>
        <v>0</v>
      </c>
      <c r="H47" s="2"/>
      <c r="I47" s="4"/>
      <c r="J47" s="5" t="str">
        <f>IF(OR(H47="",G47="",C47=""),"",LET(n,COUNTIFS(Bank_Rates!$A$2:$A$501,H47,Bank_Rates!$B$2:$B$501,"&lt;="&amp;C47),IF(n=0,"",LET(t,MAXIFS(Bank_Rates!$B$2:$B$501,Bank_Rates!$A$2:$A$501,H47,Bank_Rates!$B$2:$B$501,"&lt;="&amp;C47),m,COUNTIFS(Bank_Rates!$A$2:$A$501,H47,Bank_Rates!$B$2:$B$501,t,Bank_Rates!$D$2:$D$501,"&lt;="&amp;G47),IF(m=0,"",LET(d,MAXIFS(Bank_Rates!$D$2:$D$501,Bank_Rates!$A$2:$A$501,H47,Bank_Rates!$B$2:$B$501,t,Bank_Rates!$D$2:$D$501,"&lt;="&amp;G47),SUMIFS(Bank_Rates!$C$2:$C$501,Bank_Rates!$A$2:$A$501,H47,Bank_Rates!$B$2:$B$501,t,Bank_Rates!$D$2:$D$501,d)))))))</f>
        <v/>
      </c>
      <c r="K47" s="6" t="str">
        <f t="shared" si="0"/>
        <v/>
      </c>
    </row>
    <row r="48" spans="1:11">
      <c r="A48" s="18" t="str">
        <f t="shared" si="1"/>
        <v/>
      </c>
      <c r="B48" s="13"/>
      <c r="C48" s="14"/>
      <c r="D48" s="3"/>
      <c r="E48" s="3"/>
      <c r="F48" s="14"/>
      <c r="G48" s="7">
        <f>RawObservationsTable[[#This Row],[Maturity Date]]-RawObservationsTable[[#This Row],[Timestamp]]</f>
        <v>0</v>
      </c>
      <c r="H48" s="2"/>
      <c r="I48" s="4"/>
      <c r="J48" s="5" t="str">
        <f>IF(OR(H48="",G48="",C48=""),"",LET(n,COUNTIFS(Bank_Rates!$A$2:$A$501,H48,Bank_Rates!$B$2:$B$501,"&lt;="&amp;C48),IF(n=0,"",LET(t,MAXIFS(Bank_Rates!$B$2:$B$501,Bank_Rates!$A$2:$A$501,H48,Bank_Rates!$B$2:$B$501,"&lt;="&amp;C48),m,COUNTIFS(Bank_Rates!$A$2:$A$501,H48,Bank_Rates!$B$2:$B$501,t,Bank_Rates!$D$2:$D$501,"&lt;="&amp;G48),IF(m=0,"",LET(d,MAXIFS(Bank_Rates!$D$2:$D$501,Bank_Rates!$A$2:$A$501,H48,Bank_Rates!$B$2:$B$501,t,Bank_Rates!$D$2:$D$501,"&lt;="&amp;G48),SUMIFS(Bank_Rates!$C$2:$C$501,Bank_Rates!$A$2:$A$501,H48,Bank_Rates!$B$2:$B$501,t,Bank_Rates!$D$2:$D$501,d)))))))</f>
        <v/>
      </c>
      <c r="K48" s="6" t="str">
        <f t="shared" si="0"/>
        <v/>
      </c>
    </row>
    <row r="49" spans="1:11">
      <c r="A49" s="18" t="str">
        <f t="shared" si="1"/>
        <v/>
      </c>
      <c r="B49" s="13"/>
      <c r="C49" s="14"/>
      <c r="D49" s="3"/>
      <c r="E49" s="3"/>
      <c r="F49" s="14"/>
      <c r="G49" s="7">
        <f>RawObservationsTable[[#This Row],[Maturity Date]]-RawObservationsTable[[#This Row],[Timestamp]]</f>
        <v>0</v>
      </c>
      <c r="H49" s="2"/>
      <c r="I49" s="4"/>
      <c r="J49" s="5" t="str">
        <f>IF(OR(H49="",G49="",C49=""),"",LET(n,COUNTIFS(Bank_Rates!$A$2:$A$501,H49,Bank_Rates!$B$2:$B$501,"&lt;="&amp;C49),IF(n=0,"",LET(t,MAXIFS(Bank_Rates!$B$2:$B$501,Bank_Rates!$A$2:$A$501,H49,Bank_Rates!$B$2:$B$501,"&lt;="&amp;C49),m,COUNTIFS(Bank_Rates!$A$2:$A$501,H49,Bank_Rates!$B$2:$B$501,t,Bank_Rates!$D$2:$D$501,"&lt;="&amp;G49),IF(m=0,"",LET(d,MAXIFS(Bank_Rates!$D$2:$D$501,Bank_Rates!$A$2:$A$501,H49,Bank_Rates!$B$2:$B$501,t,Bank_Rates!$D$2:$D$501,"&lt;="&amp;G49),SUMIFS(Bank_Rates!$C$2:$C$501,Bank_Rates!$A$2:$A$501,H49,Bank_Rates!$B$2:$B$501,t,Bank_Rates!$D$2:$D$501,d)))))))</f>
        <v/>
      </c>
      <c r="K49" s="6" t="str">
        <f t="shared" si="0"/>
        <v/>
      </c>
    </row>
    <row r="50" spans="1:11">
      <c r="A50" s="18" t="str">
        <f t="shared" si="1"/>
        <v/>
      </c>
      <c r="B50" s="13"/>
      <c r="C50" s="14"/>
      <c r="D50" s="3"/>
      <c r="E50" s="3"/>
      <c r="F50" s="14"/>
      <c r="G50" s="7">
        <f>RawObservationsTable[[#This Row],[Maturity Date]]-RawObservationsTable[[#This Row],[Timestamp]]</f>
        <v>0</v>
      </c>
      <c r="H50" s="2"/>
      <c r="I50" s="4"/>
      <c r="J50" s="5" t="str">
        <f>IF(OR(H50="",G50="",C50=""),"",LET(n,COUNTIFS(Bank_Rates!$A$2:$A$501,H50,Bank_Rates!$B$2:$B$501,"&lt;="&amp;C50),IF(n=0,"",LET(t,MAXIFS(Bank_Rates!$B$2:$B$501,Bank_Rates!$A$2:$A$501,H50,Bank_Rates!$B$2:$B$501,"&lt;="&amp;C50),m,COUNTIFS(Bank_Rates!$A$2:$A$501,H50,Bank_Rates!$B$2:$B$501,t,Bank_Rates!$D$2:$D$501,"&lt;="&amp;G50),IF(m=0,"",LET(d,MAXIFS(Bank_Rates!$D$2:$D$501,Bank_Rates!$A$2:$A$501,H50,Bank_Rates!$B$2:$B$501,t,Bank_Rates!$D$2:$D$501,"&lt;="&amp;G50),SUMIFS(Bank_Rates!$C$2:$C$501,Bank_Rates!$A$2:$A$501,H50,Bank_Rates!$B$2:$B$501,t,Bank_Rates!$D$2:$D$501,d)))))))</f>
        <v/>
      </c>
      <c r="K50" s="6" t="str">
        <f t="shared" si="0"/>
        <v/>
      </c>
    </row>
    <row r="51" spans="1:11">
      <c r="A51" s="18" t="str">
        <f t="shared" si="1"/>
        <v/>
      </c>
      <c r="B51" s="13"/>
      <c r="C51" s="14"/>
      <c r="D51" s="3"/>
      <c r="E51" s="3"/>
      <c r="F51" s="14"/>
      <c r="G51" s="7">
        <f>RawObservationsTable[[#This Row],[Maturity Date]]-RawObservationsTable[[#This Row],[Timestamp]]</f>
        <v>0</v>
      </c>
      <c r="H51" s="2"/>
      <c r="I51" s="4"/>
      <c r="J51" s="5" t="str">
        <f>IF(OR(H51="",G51="",C51=""),"",LET(n,COUNTIFS(Bank_Rates!$A$2:$A$501,H51,Bank_Rates!$B$2:$B$501,"&lt;="&amp;C51),IF(n=0,"",LET(t,MAXIFS(Bank_Rates!$B$2:$B$501,Bank_Rates!$A$2:$A$501,H51,Bank_Rates!$B$2:$B$501,"&lt;="&amp;C51),m,COUNTIFS(Bank_Rates!$A$2:$A$501,H51,Bank_Rates!$B$2:$B$501,t,Bank_Rates!$D$2:$D$501,"&lt;="&amp;G51),IF(m=0,"",LET(d,MAXIFS(Bank_Rates!$D$2:$D$501,Bank_Rates!$A$2:$A$501,H51,Bank_Rates!$B$2:$B$501,t,Bank_Rates!$D$2:$D$501,"&lt;="&amp;G51),SUMIFS(Bank_Rates!$C$2:$C$501,Bank_Rates!$A$2:$A$501,H51,Bank_Rates!$B$2:$B$501,t,Bank_Rates!$D$2:$D$501,d)))))))</f>
        <v/>
      </c>
      <c r="K51" s="6" t="str">
        <f t="shared" si="0"/>
        <v/>
      </c>
    </row>
    <row r="52" spans="1:11">
      <c r="A52" s="18" t="str">
        <f t="shared" si="1"/>
        <v/>
      </c>
      <c r="B52" s="13"/>
      <c r="C52" s="14"/>
      <c r="D52" s="3"/>
      <c r="E52" s="3"/>
      <c r="F52" s="14"/>
      <c r="G52" s="7">
        <f>RawObservationsTable[[#This Row],[Maturity Date]]-RawObservationsTable[[#This Row],[Timestamp]]</f>
        <v>0</v>
      </c>
      <c r="H52" s="2"/>
      <c r="I52" s="4"/>
      <c r="J52" s="5" t="str">
        <f>IF(OR(H52="",G52="",C52=""),"",LET(n,COUNTIFS(Bank_Rates!$A$2:$A$501,H52,Bank_Rates!$B$2:$B$501,"&lt;="&amp;C52),IF(n=0,"",LET(t,MAXIFS(Bank_Rates!$B$2:$B$501,Bank_Rates!$A$2:$A$501,H52,Bank_Rates!$B$2:$B$501,"&lt;="&amp;C52),m,COUNTIFS(Bank_Rates!$A$2:$A$501,H52,Bank_Rates!$B$2:$B$501,t,Bank_Rates!$D$2:$D$501,"&lt;="&amp;G52),IF(m=0,"",LET(d,MAXIFS(Bank_Rates!$D$2:$D$501,Bank_Rates!$A$2:$A$501,H52,Bank_Rates!$B$2:$B$501,t,Bank_Rates!$D$2:$D$501,"&lt;="&amp;G52),SUMIFS(Bank_Rates!$C$2:$C$501,Bank_Rates!$A$2:$A$501,H52,Bank_Rates!$B$2:$B$501,t,Bank_Rates!$D$2:$D$501,d)))))))</f>
        <v/>
      </c>
      <c r="K52" s="6" t="str">
        <f t="shared" si="0"/>
        <v/>
      </c>
    </row>
    <row r="53" spans="1:11">
      <c r="A53" s="18" t="str">
        <f t="shared" si="1"/>
        <v/>
      </c>
      <c r="B53" s="13"/>
      <c r="C53" s="14"/>
      <c r="D53" s="3"/>
      <c r="E53" s="3"/>
      <c r="F53" s="14"/>
      <c r="G53" s="7">
        <f>RawObservationsTable[[#This Row],[Maturity Date]]-RawObservationsTable[[#This Row],[Timestamp]]</f>
        <v>0</v>
      </c>
      <c r="H53" s="2"/>
      <c r="I53" s="4"/>
      <c r="J53" s="5" t="str">
        <f>IF(OR(H53="",G53="",C53=""),"",LET(n,COUNTIFS(Bank_Rates!$A$2:$A$501,H53,Bank_Rates!$B$2:$B$501,"&lt;="&amp;C53),IF(n=0,"",LET(t,MAXIFS(Bank_Rates!$B$2:$B$501,Bank_Rates!$A$2:$A$501,H53,Bank_Rates!$B$2:$B$501,"&lt;="&amp;C53),m,COUNTIFS(Bank_Rates!$A$2:$A$501,H53,Bank_Rates!$B$2:$B$501,t,Bank_Rates!$D$2:$D$501,"&lt;="&amp;G53),IF(m=0,"",LET(d,MAXIFS(Bank_Rates!$D$2:$D$501,Bank_Rates!$A$2:$A$501,H53,Bank_Rates!$B$2:$B$501,t,Bank_Rates!$D$2:$D$501,"&lt;="&amp;G53),SUMIFS(Bank_Rates!$C$2:$C$501,Bank_Rates!$A$2:$A$501,H53,Bank_Rates!$B$2:$B$501,t,Bank_Rates!$D$2:$D$501,d)))))))</f>
        <v/>
      </c>
      <c r="K53" s="6" t="str">
        <f t="shared" si="0"/>
        <v/>
      </c>
    </row>
    <row r="54" spans="1:11">
      <c r="A54" s="18" t="str">
        <f t="shared" si="1"/>
        <v/>
      </c>
      <c r="B54" s="13"/>
      <c r="C54" s="14"/>
      <c r="D54" s="3"/>
      <c r="E54" s="3"/>
      <c r="F54" s="14"/>
      <c r="G54" s="7">
        <f>RawObservationsTable[[#This Row],[Maturity Date]]-RawObservationsTable[[#This Row],[Timestamp]]</f>
        <v>0</v>
      </c>
      <c r="H54" s="2"/>
      <c r="I54" s="4"/>
      <c r="J54" s="5" t="str">
        <f>IF(OR(H54="",G54="",C54=""),"",LET(n,COUNTIFS(Bank_Rates!$A$2:$A$501,H54,Bank_Rates!$B$2:$B$501,"&lt;="&amp;C54),IF(n=0,"",LET(t,MAXIFS(Bank_Rates!$B$2:$B$501,Bank_Rates!$A$2:$A$501,H54,Bank_Rates!$B$2:$B$501,"&lt;="&amp;C54),m,COUNTIFS(Bank_Rates!$A$2:$A$501,H54,Bank_Rates!$B$2:$B$501,t,Bank_Rates!$D$2:$D$501,"&lt;="&amp;G54),IF(m=0,"",LET(d,MAXIFS(Bank_Rates!$D$2:$D$501,Bank_Rates!$A$2:$A$501,H54,Bank_Rates!$B$2:$B$501,t,Bank_Rates!$D$2:$D$501,"&lt;="&amp;G54),SUMIFS(Bank_Rates!$C$2:$C$501,Bank_Rates!$A$2:$A$501,H54,Bank_Rates!$B$2:$B$501,t,Bank_Rates!$D$2:$D$501,d)))))))</f>
        <v/>
      </c>
      <c r="K54" s="6" t="str">
        <f t="shared" si="0"/>
        <v/>
      </c>
    </row>
    <row r="55" spans="1:11">
      <c r="A55" s="18" t="str">
        <f t="shared" si="1"/>
        <v/>
      </c>
      <c r="B55" s="13"/>
      <c r="C55" s="14"/>
      <c r="D55" s="3"/>
      <c r="E55" s="3"/>
      <c r="F55" s="14"/>
      <c r="G55" s="7">
        <f>RawObservationsTable[[#This Row],[Maturity Date]]-RawObservationsTable[[#This Row],[Timestamp]]</f>
        <v>0</v>
      </c>
      <c r="H55" s="2"/>
      <c r="I55" s="4"/>
      <c r="J55" s="5" t="str">
        <f>IF(OR(H55="",G55="",C55=""),"",LET(n,COUNTIFS(Bank_Rates!$A$2:$A$501,H55,Bank_Rates!$B$2:$B$501,"&lt;="&amp;C55),IF(n=0,"",LET(t,MAXIFS(Bank_Rates!$B$2:$B$501,Bank_Rates!$A$2:$A$501,H55,Bank_Rates!$B$2:$B$501,"&lt;="&amp;C55),m,COUNTIFS(Bank_Rates!$A$2:$A$501,H55,Bank_Rates!$B$2:$B$501,t,Bank_Rates!$D$2:$D$501,"&lt;="&amp;G55),IF(m=0,"",LET(d,MAXIFS(Bank_Rates!$D$2:$D$501,Bank_Rates!$A$2:$A$501,H55,Bank_Rates!$B$2:$B$501,t,Bank_Rates!$D$2:$D$501,"&lt;="&amp;G55),SUMIFS(Bank_Rates!$C$2:$C$501,Bank_Rates!$A$2:$A$501,H55,Bank_Rates!$B$2:$B$501,t,Bank_Rates!$D$2:$D$501,d)))))))</f>
        <v/>
      </c>
      <c r="K55" s="6" t="str">
        <f t="shared" si="0"/>
        <v/>
      </c>
    </row>
    <row r="56" spans="1:11">
      <c r="A56" s="18" t="str">
        <f t="shared" si="1"/>
        <v/>
      </c>
      <c r="B56" s="13"/>
      <c r="C56" s="14"/>
      <c r="D56" s="3"/>
      <c r="E56" s="3"/>
      <c r="F56" s="14"/>
      <c r="G56" s="7">
        <f>RawObservationsTable[[#This Row],[Maturity Date]]-RawObservationsTable[[#This Row],[Timestamp]]</f>
        <v>0</v>
      </c>
      <c r="H56" s="2"/>
      <c r="I56" s="4"/>
      <c r="J56" s="5" t="str">
        <f>IF(OR(H56="",G56="",C56=""),"",LET(n,COUNTIFS(Bank_Rates!$A$2:$A$501,H56,Bank_Rates!$B$2:$B$501,"&lt;="&amp;C56),IF(n=0,"",LET(t,MAXIFS(Bank_Rates!$B$2:$B$501,Bank_Rates!$A$2:$A$501,H56,Bank_Rates!$B$2:$B$501,"&lt;="&amp;C56),m,COUNTIFS(Bank_Rates!$A$2:$A$501,H56,Bank_Rates!$B$2:$B$501,t,Bank_Rates!$D$2:$D$501,"&lt;="&amp;G56),IF(m=0,"",LET(d,MAXIFS(Bank_Rates!$D$2:$D$501,Bank_Rates!$A$2:$A$501,H56,Bank_Rates!$B$2:$B$501,t,Bank_Rates!$D$2:$D$501,"&lt;="&amp;G56),SUMIFS(Bank_Rates!$C$2:$C$501,Bank_Rates!$A$2:$A$501,H56,Bank_Rates!$B$2:$B$501,t,Bank_Rates!$D$2:$D$501,d)))))))</f>
        <v/>
      </c>
      <c r="K56" s="6" t="str">
        <f t="shared" si="0"/>
        <v/>
      </c>
    </row>
    <row r="57" spans="1:11">
      <c r="A57" s="18" t="str">
        <f t="shared" si="1"/>
        <v/>
      </c>
      <c r="B57" s="13"/>
      <c r="C57" s="14"/>
      <c r="D57" s="3"/>
      <c r="E57" s="3"/>
      <c r="F57" s="14"/>
      <c r="G57" s="7">
        <f>RawObservationsTable[[#This Row],[Maturity Date]]-RawObservationsTable[[#This Row],[Timestamp]]</f>
        <v>0</v>
      </c>
      <c r="H57" s="2"/>
      <c r="I57" s="4"/>
      <c r="J57" s="5" t="str">
        <f>IF(OR(H57="",G57="",C57=""),"",LET(n,COUNTIFS(Bank_Rates!$A$2:$A$501,H57,Bank_Rates!$B$2:$B$501,"&lt;="&amp;C57),IF(n=0,"",LET(t,MAXIFS(Bank_Rates!$B$2:$B$501,Bank_Rates!$A$2:$A$501,H57,Bank_Rates!$B$2:$B$501,"&lt;="&amp;C57),m,COUNTIFS(Bank_Rates!$A$2:$A$501,H57,Bank_Rates!$B$2:$B$501,t,Bank_Rates!$D$2:$D$501,"&lt;="&amp;G57),IF(m=0,"",LET(d,MAXIFS(Bank_Rates!$D$2:$D$501,Bank_Rates!$A$2:$A$501,H57,Bank_Rates!$B$2:$B$501,t,Bank_Rates!$D$2:$D$501,"&lt;="&amp;G57),SUMIFS(Bank_Rates!$C$2:$C$501,Bank_Rates!$A$2:$A$501,H57,Bank_Rates!$B$2:$B$501,t,Bank_Rates!$D$2:$D$501,d)))))))</f>
        <v/>
      </c>
      <c r="K57" s="6" t="str">
        <f t="shared" si="0"/>
        <v/>
      </c>
    </row>
    <row r="58" spans="1:11">
      <c r="A58" s="18" t="str">
        <f t="shared" si="1"/>
        <v/>
      </c>
      <c r="B58" s="13"/>
      <c r="C58" s="14"/>
      <c r="D58" s="3"/>
      <c r="E58" s="3"/>
      <c r="F58" s="14"/>
      <c r="G58" s="7">
        <f>RawObservationsTable[[#This Row],[Maturity Date]]-RawObservationsTable[[#This Row],[Timestamp]]</f>
        <v>0</v>
      </c>
      <c r="H58" s="2"/>
      <c r="I58" s="4"/>
      <c r="J58" s="5" t="str">
        <f>IF(OR(H58="",G58="",C58=""),"",LET(n,COUNTIFS(Bank_Rates!$A$2:$A$501,H58,Bank_Rates!$B$2:$B$501,"&lt;="&amp;C58),IF(n=0,"",LET(t,MAXIFS(Bank_Rates!$B$2:$B$501,Bank_Rates!$A$2:$A$501,H58,Bank_Rates!$B$2:$B$501,"&lt;="&amp;C58),m,COUNTIFS(Bank_Rates!$A$2:$A$501,H58,Bank_Rates!$B$2:$B$501,t,Bank_Rates!$D$2:$D$501,"&lt;="&amp;G58),IF(m=0,"",LET(d,MAXIFS(Bank_Rates!$D$2:$D$501,Bank_Rates!$A$2:$A$501,H58,Bank_Rates!$B$2:$B$501,t,Bank_Rates!$D$2:$D$501,"&lt;="&amp;G58),SUMIFS(Bank_Rates!$C$2:$C$501,Bank_Rates!$A$2:$A$501,H58,Bank_Rates!$B$2:$B$501,t,Bank_Rates!$D$2:$D$501,d)))))))</f>
        <v/>
      </c>
      <c r="K58" s="6" t="str">
        <f t="shared" si="0"/>
        <v/>
      </c>
    </row>
    <row r="59" spans="1:11">
      <c r="A59" s="18" t="str">
        <f t="shared" si="1"/>
        <v/>
      </c>
      <c r="B59" s="13"/>
      <c r="C59" s="14"/>
      <c r="D59" s="3"/>
      <c r="E59" s="3"/>
      <c r="F59" s="14"/>
      <c r="G59" s="7">
        <f>RawObservationsTable[[#This Row],[Maturity Date]]-RawObservationsTable[[#This Row],[Timestamp]]</f>
        <v>0</v>
      </c>
      <c r="H59" s="2"/>
      <c r="I59" s="4"/>
      <c r="J59" s="5" t="str">
        <f>IF(OR(H59="",G59="",C59=""),"",LET(n,COUNTIFS(Bank_Rates!$A$2:$A$501,H59,Bank_Rates!$B$2:$B$501,"&lt;="&amp;C59),IF(n=0,"",LET(t,MAXIFS(Bank_Rates!$B$2:$B$501,Bank_Rates!$A$2:$A$501,H59,Bank_Rates!$B$2:$B$501,"&lt;="&amp;C59),m,COUNTIFS(Bank_Rates!$A$2:$A$501,H59,Bank_Rates!$B$2:$B$501,t,Bank_Rates!$D$2:$D$501,"&lt;="&amp;G59),IF(m=0,"",LET(d,MAXIFS(Bank_Rates!$D$2:$D$501,Bank_Rates!$A$2:$A$501,H59,Bank_Rates!$B$2:$B$501,t,Bank_Rates!$D$2:$D$501,"&lt;="&amp;G59),SUMIFS(Bank_Rates!$C$2:$C$501,Bank_Rates!$A$2:$A$501,H59,Bank_Rates!$B$2:$B$501,t,Bank_Rates!$D$2:$D$501,d)))))))</f>
        <v/>
      </c>
      <c r="K59" s="6" t="str">
        <f t="shared" si="0"/>
        <v/>
      </c>
    </row>
    <row r="60" spans="1:11">
      <c r="A60" s="18" t="str">
        <f t="shared" si="1"/>
        <v/>
      </c>
      <c r="B60" s="13"/>
      <c r="C60" s="14"/>
      <c r="D60" s="3"/>
      <c r="E60" s="3"/>
      <c r="F60" s="14"/>
      <c r="G60" s="7">
        <f>RawObservationsTable[[#This Row],[Maturity Date]]-RawObservationsTable[[#This Row],[Timestamp]]</f>
        <v>0</v>
      </c>
      <c r="H60" s="2"/>
      <c r="I60" s="4"/>
      <c r="J60" s="5" t="str">
        <f>IF(OR(H60="",G60="",C60=""),"",LET(n,COUNTIFS(Bank_Rates!$A$2:$A$501,H60,Bank_Rates!$B$2:$B$501,"&lt;="&amp;C60),IF(n=0,"",LET(t,MAXIFS(Bank_Rates!$B$2:$B$501,Bank_Rates!$A$2:$A$501,H60,Bank_Rates!$B$2:$B$501,"&lt;="&amp;C60),m,COUNTIFS(Bank_Rates!$A$2:$A$501,H60,Bank_Rates!$B$2:$B$501,t,Bank_Rates!$D$2:$D$501,"&lt;="&amp;G60),IF(m=0,"",LET(d,MAXIFS(Bank_Rates!$D$2:$D$501,Bank_Rates!$A$2:$A$501,H60,Bank_Rates!$B$2:$B$501,t,Bank_Rates!$D$2:$D$501,"&lt;="&amp;G60),SUMIFS(Bank_Rates!$C$2:$C$501,Bank_Rates!$A$2:$A$501,H60,Bank_Rates!$B$2:$B$501,t,Bank_Rates!$D$2:$D$501,d)))))))</f>
        <v/>
      </c>
      <c r="K60" s="6" t="str">
        <f t="shared" si="0"/>
        <v/>
      </c>
    </row>
    <row r="61" spans="1:11">
      <c r="A61" s="18" t="str">
        <f t="shared" si="1"/>
        <v/>
      </c>
      <c r="B61" s="13"/>
      <c r="C61" s="14"/>
      <c r="D61" s="3"/>
      <c r="E61" s="3"/>
      <c r="F61" s="14"/>
      <c r="G61" s="7">
        <f>RawObservationsTable[[#This Row],[Maturity Date]]-RawObservationsTable[[#This Row],[Timestamp]]</f>
        <v>0</v>
      </c>
      <c r="H61" s="2"/>
      <c r="I61" s="4"/>
      <c r="J61" s="5" t="str">
        <f>IF(OR(H61="",G61="",C61=""),"",LET(n,COUNTIFS(Bank_Rates!$A$2:$A$501,H61,Bank_Rates!$B$2:$B$501,"&lt;="&amp;C61),IF(n=0,"",LET(t,MAXIFS(Bank_Rates!$B$2:$B$501,Bank_Rates!$A$2:$A$501,H61,Bank_Rates!$B$2:$B$501,"&lt;="&amp;C61),m,COUNTIFS(Bank_Rates!$A$2:$A$501,H61,Bank_Rates!$B$2:$B$501,t,Bank_Rates!$D$2:$D$501,"&lt;="&amp;G61),IF(m=0,"",LET(d,MAXIFS(Bank_Rates!$D$2:$D$501,Bank_Rates!$A$2:$A$501,H61,Bank_Rates!$B$2:$B$501,t,Bank_Rates!$D$2:$D$501,"&lt;="&amp;G61),SUMIFS(Bank_Rates!$C$2:$C$501,Bank_Rates!$A$2:$A$501,H61,Bank_Rates!$B$2:$B$501,t,Bank_Rates!$D$2:$D$501,d)))))))</f>
        <v/>
      </c>
      <c r="K61" s="6" t="str">
        <f t="shared" si="0"/>
        <v/>
      </c>
    </row>
    <row r="62" spans="1:11">
      <c r="A62" s="18" t="str">
        <f t="shared" si="1"/>
        <v/>
      </c>
      <c r="B62" s="13"/>
      <c r="C62" s="14"/>
      <c r="D62" s="3"/>
      <c r="E62" s="3"/>
      <c r="F62" s="14"/>
      <c r="G62" s="7">
        <f>RawObservationsTable[[#This Row],[Maturity Date]]-RawObservationsTable[[#This Row],[Timestamp]]</f>
        <v>0</v>
      </c>
      <c r="H62" s="2"/>
      <c r="I62" s="4"/>
      <c r="J62" s="5" t="str">
        <f>IF(OR(H62="",G62="",C62=""),"",LET(n,COUNTIFS(Bank_Rates!$A$2:$A$501,H62,Bank_Rates!$B$2:$B$501,"&lt;="&amp;C62),IF(n=0,"",LET(t,MAXIFS(Bank_Rates!$B$2:$B$501,Bank_Rates!$A$2:$A$501,H62,Bank_Rates!$B$2:$B$501,"&lt;="&amp;C62),m,COUNTIFS(Bank_Rates!$A$2:$A$501,H62,Bank_Rates!$B$2:$B$501,t,Bank_Rates!$D$2:$D$501,"&lt;="&amp;G62),IF(m=0,"",LET(d,MAXIFS(Bank_Rates!$D$2:$D$501,Bank_Rates!$A$2:$A$501,H62,Bank_Rates!$B$2:$B$501,t,Bank_Rates!$D$2:$D$501,"&lt;="&amp;G62),SUMIFS(Bank_Rates!$C$2:$C$501,Bank_Rates!$A$2:$A$501,H62,Bank_Rates!$B$2:$B$501,t,Bank_Rates!$D$2:$D$501,d)))))))</f>
        <v/>
      </c>
      <c r="K62" s="6" t="str">
        <f t="shared" si="0"/>
        <v/>
      </c>
    </row>
    <row r="63" spans="1:11">
      <c r="A63" s="18" t="str">
        <f t="shared" si="1"/>
        <v/>
      </c>
      <c r="B63" s="13"/>
      <c r="C63" s="14"/>
      <c r="D63" s="3"/>
      <c r="E63" s="3"/>
      <c r="F63" s="14"/>
      <c r="G63" s="7">
        <f>RawObservationsTable[[#This Row],[Maturity Date]]-RawObservationsTable[[#This Row],[Timestamp]]</f>
        <v>0</v>
      </c>
      <c r="H63" s="2"/>
      <c r="I63" s="4"/>
      <c r="J63" s="5" t="str">
        <f>IF(OR(H63="",G63="",C63=""),"",LET(n,COUNTIFS(Bank_Rates!$A$2:$A$501,H63,Bank_Rates!$B$2:$B$501,"&lt;="&amp;C63),IF(n=0,"",LET(t,MAXIFS(Bank_Rates!$B$2:$B$501,Bank_Rates!$A$2:$A$501,H63,Bank_Rates!$B$2:$B$501,"&lt;="&amp;C63),m,COUNTIFS(Bank_Rates!$A$2:$A$501,H63,Bank_Rates!$B$2:$B$501,t,Bank_Rates!$D$2:$D$501,"&lt;="&amp;G63),IF(m=0,"",LET(d,MAXIFS(Bank_Rates!$D$2:$D$501,Bank_Rates!$A$2:$A$501,H63,Bank_Rates!$B$2:$B$501,t,Bank_Rates!$D$2:$D$501,"&lt;="&amp;G63),SUMIFS(Bank_Rates!$C$2:$C$501,Bank_Rates!$A$2:$A$501,H63,Bank_Rates!$B$2:$B$501,t,Bank_Rates!$D$2:$D$501,d)))))))</f>
        <v/>
      </c>
      <c r="K63" s="6" t="str">
        <f t="shared" si="0"/>
        <v/>
      </c>
    </row>
    <row r="64" spans="1:11">
      <c r="A64" s="18" t="str">
        <f t="shared" si="1"/>
        <v/>
      </c>
      <c r="B64" s="13"/>
      <c r="C64" s="14"/>
      <c r="D64" s="3"/>
      <c r="E64" s="3"/>
      <c r="F64" s="14"/>
      <c r="G64" s="7">
        <f>RawObservationsTable[[#This Row],[Maturity Date]]-RawObservationsTable[[#This Row],[Timestamp]]</f>
        <v>0</v>
      </c>
      <c r="H64" s="2"/>
      <c r="I64" s="4"/>
      <c r="J64" s="5" t="str">
        <f>IF(OR(H64="",G64="",C64=""),"",LET(n,COUNTIFS(Bank_Rates!$A$2:$A$501,H64,Bank_Rates!$B$2:$B$501,"&lt;="&amp;C64),IF(n=0,"",LET(t,MAXIFS(Bank_Rates!$B$2:$B$501,Bank_Rates!$A$2:$A$501,H64,Bank_Rates!$B$2:$B$501,"&lt;="&amp;C64),m,COUNTIFS(Bank_Rates!$A$2:$A$501,H64,Bank_Rates!$B$2:$B$501,t,Bank_Rates!$D$2:$D$501,"&lt;="&amp;G64),IF(m=0,"",LET(d,MAXIFS(Bank_Rates!$D$2:$D$501,Bank_Rates!$A$2:$A$501,H64,Bank_Rates!$B$2:$B$501,t,Bank_Rates!$D$2:$D$501,"&lt;="&amp;G64),SUMIFS(Bank_Rates!$C$2:$C$501,Bank_Rates!$A$2:$A$501,H64,Bank_Rates!$B$2:$B$501,t,Bank_Rates!$D$2:$D$501,d)))))))</f>
        <v/>
      </c>
      <c r="K64" s="6" t="str">
        <f t="shared" si="0"/>
        <v/>
      </c>
    </row>
    <row r="65" spans="1:11">
      <c r="A65" s="18" t="str">
        <f t="shared" si="1"/>
        <v/>
      </c>
      <c r="B65" s="13"/>
      <c r="C65" s="14"/>
      <c r="D65" s="3"/>
      <c r="E65" s="3"/>
      <c r="F65" s="14"/>
      <c r="G65" s="7">
        <f>RawObservationsTable[[#This Row],[Maturity Date]]-RawObservationsTable[[#This Row],[Timestamp]]</f>
        <v>0</v>
      </c>
      <c r="H65" s="2"/>
      <c r="I65" s="4"/>
      <c r="J65" s="5" t="str">
        <f>IF(OR(H65="",G65="",C65=""),"",LET(n,COUNTIFS(Bank_Rates!$A$2:$A$501,H65,Bank_Rates!$B$2:$B$501,"&lt;="&amp;C65),IF(n=0,"",LET(t,MAXIFS(Bank_Rates!$B$2:$B$501,Bank_Rates!$A$2:$A$501,H65,Bank_Rates!$B$2:$B$501,"&lt;="&amp;C65),m,COUNTIFS(Bank_Rates!$A$2:$A$501,H65,Bank_Rates!$B$2:$B$501,t,Bank_Rates!$D$2:$D$501,"&lt;="&amp;G65),IF(m=0,"",LET(d,MAXIFS(Bank_Rates!$D$2:$D$501,Bank_Rates!$A$2:$A$501,H65,Bank_Rates!$B$2:$B$501,t,Bank_Rates!$D$2:$D$501,"&lt;="&amp;G65),SUMIFS(Bank_Rates!$C$2:$C$501,Bank_Rates!$A$2:$A$501,H65,Bank_Rates!$B$2:$B$501,t,Bank_Rates!$D$2:$D$501,d)))))))</f>
        <v/>
      </c>
      <c r="K65" s="6" t="str">
        <f t="shared" si="0"/>
        <v/>
      </c>
    </row>
    <row r="66" spans="1:11">
      <c r="A66" s="18" t="str">
        <f t="shared" si="1"/>
        <v/>
      </c>
      <c r="B66" s="13"/>
      <c r="C66" s="14"/>
      <c r="D66" s="3"/>
      <c r="E66" s="3"/>
      <c r="F66" s="14"/>
      <c r="G66" s="7">
        <f>RawObservationsTable[[#This Row],[Maturity Date]]-RawObservationsTable[[#This Row],[Timestamp]]</f>
        <v>0</v>
      </c>
      <c r="H66" s="2"/>
      <c r="I66" s="4"/>
      <c r="J66" s="5" t="str">
        <f>IF(OR(H66="",G66="",C66=""),"",LET(n,COUNTIFS(Bank_Rates!$A$2:$A$501,H66,Bank_Rates!$B$2:$B$501,"&lt;="&amp;C66),IF(n=0,"",LET(t,MAXIFS(Bank_Rates!$B$2:$B$501,Bank_Rates!$A$2:$A$501,H66,Bank_Rates!$B$2:$B$501,"&lt;="&amp;C66),m,COUNTIFS(Bank_Rates!$A$2:$A$501,H66,Bank_Rates!$B$2:$B$501,t,Bank_Rates!$D$2:$D$501,"&lt;="&amp;G66),IF(m=0,"",LET(d,MAXIFS(Bank_Rates!$D$2:$D$501,Bank_Rates!$A$2:$A$501,H66,Bank_Rates!$B$2:$B$501,t,Bank_Rates!$D$2:$D$501,"&lt;="&amp;G66),SUMIFS(Bank_Rates!$C$2:$C$501,Bank_Rates!$A$2:$A$501,H66,Bank_Rates!$B$2:$B$501,t,Bank_Rates!$D$2:$D$501,d)))))))</f>
        <v/>
      </c>
      <c r="K66" s="6" t="str">
        <f t="shared" ref="K66:K129" si="2">IF(OR(I66="",J66=""),"",I66-J66)</f>
        <v/>
      </c>
    </row>
    <row r="67" spans="1:11">
      <c r="A67" s="18" t="str">
        <f t="shared" ref="A67:A130" si="3">IF(B67&lt;&gt;"","L-"&amp;TEXT(ROW()-1,"0000"),"")</f>
        <v/>
      </c>
      <c r="B67" s="13"/>
      <c r="C67" s="14"/>
      <c r="D67" s="3"/>
      <c r="E67" s="3"/>
      <c r="F67" s="14"/>
      <c r="G67" s="7">
        <f>RawObservationsTable[[#This Row],[Maturity Date]]-RawObservationsTable[[#This Row],[Timestamp]]</f>
        <v>0</v>
      </c>
      <c r="H67" s="2"/>
      <c r="I67" s="4"/>
      <c r="J67" s="5" t="str">
        <f>IF(OR(H67="",G67="",C67=""),"",LET(n,COUNTIFS(Bank_Rates!$A$2:$A$501,H67,Bank_Rates!$B$2:$B$501,"&lt;="&amp;C67),IF(n=0,"",LET(t,MAXIFS(Bank_Rates!$B$2:$B$501,Bank_Rates!$A$2:$A$501,H67,Bank_Rates!$B$2:$B$501,"&lt;="&amp;C67),m,COUNTIFS(Bank_Rates!$A$2:$A$501,H67,Bank_Rates!$B$2:$B$501,t,Bank_Rates!$D$2:$D$501,"&lt;="&amp;G67),IF(m=0,"",LET(d,MAXIFS(Bank_Rates!$D$2:$D$501,Bank_Rates!$A$2:$A$501,H67,Bank_Rates!$B$2:$B$501,t,Bank_Rates!$D$2:$D$501,"&lt;="&amp;G67),SUMIFS(Bank_Rates!$C$2:$C$501,Bank_Rates!$A$2:$A$501,H67,Bank_Rates!$B$2:$B$501,t,Bank_Rates!$D$2:$D$501,d)))))))</f>
        <v/>
      </c>
      <c r="K67" s="6" t="str">
        <f t="shared" si="2"/>
        <v/>
      </c>
    </row>
    <row r="68" spans="1:11">
      <c r="A68" s="18" t="str">
        <f t="shared" si="3"/>
        <v/>
      </c>
      <c r="B68" s="13"/>
      <c r="C68" s="14"/>
      <c r="D68" s="3"/>
      <c r="E68" s="3"/>
      <c r="F68" s="14"/>
      <c r="G68" s="7">
        <f>RawObservationsTable[[#This Row],[Maturity Date]]-RawObservationsTable[[#This Row],[Timestamp]]</f>
        <v>0</v>
      </c>
      <c r="H68" s="2"/>
      <c r="I68" s="4"/>
      <c r="J68" s="5" t="str">
        <f>IF(OR(H68="",G68="",C68=""),"",LET(n,COUNTIFS(Bank_Rates!$A$2:$A$501,H68,Bank_Rates!$B$2:$B$501,"&lt;="&amp;C68),IF(n=0,"",LET(t,MAXIFS(Bank_Rates!$B$2:$B$501,Bank_Rates!$A$2:$A$501,H68,Bank_Rates!$B$2:$B$501,"&lt;="&amp;C68),m,COUNTIFS(Bank_Rates!$A$2:$A$501,H68,Bank_Rates!$B$2:$B$501,t,Bank_Rates!$D$2:$D$501,"&lt;="&amp;G68),IF(m=0,"",LET(d,MAXIFS(Bank_Rates!$D$2:$D$501,Bank_Rates!$A$2:$A$501,H68,Bank_Rates!$B$2:$B$501,t,Bank_Rates!$D$2:$D$501,"&lt;="&amp;G68),SUMIFS(Bank_Rates!$C$2:$C$501,Bank_Rates!$A$2:$A$501,H68,Bank_Rates!$B$2:$B$501,t,Bank_Rates!$D$2:$D$501,d)))))))</f>
        <v/>
      </c>
      <c r="K68" s="6" t="str">
        <f t="shared" si="2"/>
        <v/>
      </c>
    </row>
    <row r="69" spans="1:11">
      <c r="A69" s="18" t="str">
        <f t="shared" si="3"/>
        <v/>
      </c>
      <c r="B69" s="13"/>
      <c r="C69" s="14"/>
      <c r="D69" s="3"/>
      <c r="E69" s="3"/>
      <c r="F69" s="14"/>
      <c r="G69" s="7">
        <f>RawObservationsTable[[#This Row],[Maturity Date]]-RawObservationsTable[[#This Row],[Timestamp]]</f>
        <v>0</v>
      </c>
      <c r="H69" s="2"/>
      <c r="I69" s="4"/>
      <c r="J69" s="5" t="str">
        <f>IF(OR(H69="",G69="",C69=""),"",LET(n,COUNTIFS(Bank_Rates!$A$2:$A$501,H69,Bank_Rates!$B$2:$B$501,"&lt;="&amp;C69),IF(n=0,"",LET(t,MAXIFS(Bank_Rates!$B$2:$B$501,Bank_Rates!$A$2:$A$501,H69,Bank_Rates!$B$2:$B$501,"&lt;="&amp;C69),m,COUNTIFS(Bank_Rates!$A$2:$A$501,H69,Bank_Rates!$B$2:$B$501,t,Bank_Rates!$D$2:$D$501,"&lt;="&amp;G69),IF(m=0,"",LET(d,MAXIFS(Bank_Rates!$D$2:$D$501,Bank_Rates!$A$2:$A$501,H69,Bank_Rates!$B$2:$B$501,t,Bank_Rates!$D$2:$D$501,"&lt;="&amp;G69),SUMIFS(Bank_Rates!$C$2:$C$501,Bank_Rates!$A$2:$A$501,H69,Bank_Rates!$B$2:$B$501,t,Bank_Rates!$D$2:$D$501,d)))))))</f>
        <v/>
      </c>
      <c r="K69" s="6" t="str">
        <f t="shared" si="2"/>
        <v/>
      </c>
    </row>
    <row r="70" spans="1:11">
      <c r="A70" s="18" t="str">
        <f t="shared" si="3"/>
        <v/>
      </c>
      <c r="B70" s="13"/>
      <c r="C70" s="14"/>
      <c r="D70" s="3"/>
      <c r="E70" s="3"/>
      <c r="F70" s="14"/>
      <c r="G70" s="7">
        <f>RawObservationsTable[[#This Row],[Maturity Date]]-RawObservationsTable[[#This Row],[Timestamp]]</f>
        <v>0</v>
      </c>
      <c r="H70" s="2"/>
      <c r="I70" s="4"/>
      <c r="J70" s="5" t="str">
        <f>IF(OR(H70="",G70="",C70=""),"",LET(n,COUNTIFS(Bank_Rates!$A$2:$A$501,H70,Bank_Rates!$B$2:$B$501,"&lt;="&amp;C70),IF(n=0,"",LET(t,MAXIFS(Bank_Rates!$B$2:$B$501,Bank_Rates!$A$2:$A$501,H70,Bank_Rates!$B$2:$B$501,"&lt;="&amp;C70),m,COUNTIFS(Bank_Rates!$A$2:$A$501,H70,Bank_Rates!$B$2:$B$501,t,Bank_Rates!$D$2:$D$501,"&lt;="&amp;G70),IF(m=0,"",LET(d,MAXIFS(Bank_Rates!$D$2:$D$501,Bank_Rates!$A$2:$A$501,H70,Bank_Rates!$B$2:$B$501,t,Bank_Rates!$D$2:$D$501,"&lt;="&amp;G70),SUMIFS(Bank_Rates!$C$2:$C$501,Bank_Rates!$A$2:$A$501,H70,Bank_Rates!$B$2:$B$501,t,Bank_Rates!$D$2:$D$501,d)))))))</f>
        <v/>
      </c>
      <c r="K70" s="6" t="str">
        <f t="shared" si="2"/>
        <v/>
      </c>
    </row>
    <row r="71" spans="1:11">
      <c r="A71" s="18" t="str">
        <f t="shared" si="3"/>
        <v/>
      </c>
      <c r="B71" s="13"/>
      <c r="C71" s="14"/>
      <c r="D71" s="3"/>
      <c r="E71" s="3"/>
      <c r="F71" s="14"/>
      <c r="G71" s="7">
        <f>RawObservationsTable[[#This Row],[Maturity Date]]-RawObservationsTable[[#This Row],[Timestamp]]</f>
        <v>0</v>
      </c>
      <c r="H71" s="2"/>
      <c r="I71" s="4"/>
      <c r="J71" s="5" t="str">
        <f>IF(OR(H71="",G71="",C71=""),"",LET(n,COUNTIFS(Bank_Rates!$A$2:$A$501,H71,Bank_Rates!$B$2:$B$501,"&lt;="&amp;C71),IF(n=0,"",LET(t,MAXIFS(Bank_Rates!$B$2:$B$501,Bank_Rates!$A$2:$A$501,H71,Bank_Rates!$B$2:$B$501,"&lt;="&amp;C71),m,COUNTIFS(Bank_Rates!$A$2:$A$501,H71,Bank_Rates!$B$2:$B$501,t,Bank_Rates!$D$2:$D$501,"&lt;="&amp;G71),IF(m=0,"",LET(d,MAXIFS(Bank_Rates!$D$2:$D$501,Bank_Rates!$A$2:$A$501,H71,Bank_Rates!$B$2:$B$501,t,Bank_Rates!$D$2:$D$501,"&lt;="&amp;G71),SUMIFS(Bank_Rates!$C$2:$C$501,Bank_Rates!$A$2:$A$501,H71,Bank_Rates!$B$2:$B$501,t,Bank_Rates!$D$2:$D$501,d)))))))</f>
        <v/>
      </c>
      <c r="K71" s="6" t="str">
        <f t="shared" si="2"/>
        <v/>
      </c>
    </row>
    <row r="72" spans="1:11">
      <c r="A72" s="18" t="str">
        <f t="shared" si="3"/>
        <v/>
      </c>
      <c r="B72" s="13"/>
      <c r="C72" s="14"/>
      <c r="D72" s="3"/>
      <c r="E72" s="3"/>
      <c r="F72" s="14"/>
      <c r="G72" s="7">
        <f>RawObservationsTable[[#This Row],[Maturity Date]]-RawObservationsTable[[#This Row],[Timestamp]]</f>
        <v>0</v>
      </c>
      <c r="H72" s="2"/>
      <c r="I72" s="4"/>
      <c r="J72" s="5" t="str">
        <f>IF(OR(H72="",G72="",C72=""),"",LET(n,COUNTIFS(Bank_Rates!$A$2:$A$501,H72,Bank_Rates!$B$2:$B$501,"&lt;="&amp;C72),IF(n=0,"",LET(t,MAXIFS(Bank_Rates!$B$2:$B$501,Bank_Rates!$A$2:$A$501,H72,Bank_Rates!$B$2:$B$501,"&lt;="&amp;C72),m,COUNTIFS(Bank_Rates!$A$2:$A$501,H72,Bank_Rates!$B$2:$B$501,t,Bank_Rates!$D$2:$D$501,"&lt;="&amp;G72),IF(m=0,"",LET(d,MAXIFS(Bank_Rates!$D$2:$D$501,Bank_Rates!$A$2:$A$501,H72,Bank_Rates!$B$2:$B$501,t,Bank_Rates!$D$2:$D$501,"&lt;="&amp;G72),SUMIFS(Bank_Rates!$C$2:$C$501,Bank_Rates!$A$2:$A$501,H72,Bank_Rates!$B$2:$B$501,t,Bank_Rates!$D$2:$D$501,d)))))))</f>
        <v/>
      </c>
      <c r="K72" s="6" t="str">
        <f t="shared" si="2"/>
        <v/>
      </c>
    </row>
    <row r="73" spans="1:11">
      <c r="A73" s="18" t="str">
        <f t="shared" si="3"/>
        <v/>
      </c>
      <c r="B73" s="13"/>
      <c r="C73" s="14"/>
      <c r="D73" s="3"/>
      <c r="E73" s="3"/>
      <c r="F73" s="14"/>
      <c r="G73" s="7">
        <f>RawObservationsTable[[#This Row],[Maturity Date]]-RawObservationsTable[[#This Row],[Timestamp]]</f>
        <v>0</v>
      </c>
      <c r="H73" s="2"/>
      <c r="I73" s="4"/>
      <c r="J73" s="5" t="str">
        <f>IF(OR(H73="",G73="",C73=""),"",LET(n,COUNTIFS(Bank_Rates!$A$2:$A$501,H73,Bank_Rates!$B$2:$B$501,"&lt;="&amp;C73),IF(n=0,"",LET(t,MAXIFS(Bank_Rates!$B$2:$B$501,Bank_Rates!$A$2:$A$501,H73,Bank_Rates!$B$2:$B$501,"&lt;="&amp;C73),m,COUNTIFS(Bank_Rates!$A$2:$A$501,H73,Bank_Rates!$B$2:$B$501,t,Bank_Rates!$D$2:$D$501,"&lt;="&amp;G73),IF(m=0,"",LET(d,MAXIFS(Bank_Rates!$D$2:$D$501,Bank_Rates!$A$2:$A$501,H73,Bank_Rates!$B$2:$B$501,t,Bank_Rates!$D$2:$D$501,"&lt;="&amp;G73),SUMIFS(Bank_Rates!$C$2:$C$501,Bank_Rates!$A$2:$A$501,H73,Bank_Rates!$B$2:$B$501,t,Bank_Rates!$D$2:$D$501,d)))))))</f>
        <v/>
      </c>
      <c r="K73" s="6" t="str">
        <f t="shared" si="2"/>
        <v/>
      </c>
    </row>
    <row r="74" spans="1:11">
      <c r="A74" s="18" t="str">
        <f t="shared" si="3"/>
        <v/>
      </c>
      <c r="B74" s="13"/>
      <c r="C74" s="14"/>
      <c r="D74" s="3"/>
      <c r="E74" s="3"/>
      <c r="F74" s="14"/>
      <c r="G74" s="7">
        <f>RawObservationsTable[[#This Row],[Maturity Date]]-RawObservationsTable[[#This Row],[Timestamp]]</f>
        <v>0</v>
      </c>
      <c r="H74" s="2"/>
      <c r="I74" s="4"/>
      <c r="J74" s="5" t="str">
        <f>IF(OR(H74="",G74="",C74=""),"",LET(n,COUNTIFS(Bank_Rates!$A$2:$A$501,H74,Bank_Rates!$B$2:$B$501,"&lt;="&amp;C74),IF(n=0,"",LET(t,MAXIFS(Bank_Rates!$B$2:$B$501,Bank_Rates!$A$2:$A$501,H74,Bank_Rates!$B$2:$B$501,"&lt;="&amp;C74),m,COUNTIFS(Bank_Rates!$A$2:$A$501,H74,Bank_Rates!$B$2:$B$501,t,Bank_Rates!$D$2:$D$501,"&lt;="&amp;G74),IF(m=0,"",LET(d,MAXIFS(Bank_Rates!$D$2:$D$501,Bank_Rates!$A$2:$A$501,H74,Bank_Rates!$B$2:$B$501,t,Bank_Rates!$D$2:$D$501,"&lt;="&amp;G74),SUMIFS(Bank_Rates!$C$2:$C$501,Bank_Rates!$A$2:$A$501,H74,Bank_Rates!$B$2:$B$501,t,Bank_Rates!$D$2:$D$501,d)))))))</f>
        <v/>
      </c>
      <c r="K74" s="6" t="str">
        <f t="shared" si="2"/>
        <v/>
      </c>
    </row>
    <row r="75" spans="1:11">
      <c r="A75" s="18" t="str">
        <f t="shared" si="3"/>
        <v/>
      </c>
      <c r="B75" s="13"/>
      <c r="C75" s="14"/>
      <c r="D75" s="3"/>
      <c r="E75" s="3"/>
      <c r="F75" s="14"/>
      <c r="G75" s="7">
        <f>RawObservationsTable[[#This Row],[Maturity Date]]-RawObservationsTable[[#This Row],[Timestamp]]</f>
        <v>0</v>
      </c>
      <c r="H75" s="2"/>
      <c r="I75" s="4"/>
      <c r="J75" s="5" t="str">
        <f>IF(OR(H75="",G75="",C75=""),"",LET(n,COUNTIFS(Bank_Rates!$A$2:$A$501,H75,Bank_Rates!$B$2:$B$501,"&lt;="&amp;C75),IF(n=0,"",LET(t,MAXIFS(Bank_Rates!$B$2:$B$501,Bank_Rates!$A$2:$A$501,H75,Bank_Rates!$B$2:$B$501,"&lt;="&amp;C75),m,COUNTIFS(Bank_Rates!$A$2:$A$501,H75,Bank_Rates!$B$2:$B$501,t,Bank_Rates!$D$2:$D$501,"&lt;="&amp;G75),IF(m=0,"",LET(d,MAXIFS(Bank_Rates!$D$2:$D$501,Bank_Rates!$A$2:$A$501,H75,Bank_Rates!$B$2:$B$501,t,Bank_Rates!$D$2:$D$501,"&lt;="&amp;G75),SUMIFS(Bank_Rates!$C$2:$C$501,Bank_Rates!$A$2:$A$501,H75,Bank_Rates!$B$2:$B$501,t,Bank_Rates!$D$2:$D$501,d)))))))</f>
        <v/>
      </c>
      <c r="K75" s="6" t="str">
        <f t="shared" si="2"/>
        <v/>
      </c>
    </row>
    <row r="76" spans="1:11">
      <c r="A76" s="18" t="str">
        <f t="shared" si="3"/>
        <v/>
      </c>
      <c r="B76" s="13"/>
      <c r="C76" s="14"/>
      <c r="D76" s="3"/>
      <c r="E76" s="3"/>
      <c r="F76" s="14"/>
      <c r="G76" s="7">
        <f>RawObservationsTable[[#This Row],[Maturity Date]]-RawObservationsTable[[#This Row],[Timestamp]]</f>
        <v>0</v>
      </c>
      <c r="H76" s="2"/>
      <c r="I76" s="4"/>
      <c r="J76" s="5" t="str">
        <f>IF(OR(H76="",G76="",C76=""),"",LET(n,COUNTIFS(Bank_Rates!$A$2:$A$501,H76,Bank_Rates!$B$2:$B$501,"&lt;="&amp;C76),IF(n=0,"",LET(t,MAXIFS(Bank_Rates!$B$2:$B$501,Bank_Rates!$A$2:$A$501,H76,Bank_Rates!$B$2:$B$501,"&lt;="&amp;C76),m,COUNTIFS(Bank_Rates!$A$2:$A$501,H76,Bank_Rates!$B$2:$B$501,t,Bank_Rates!$D$2:$D$501,"&lt;="&amp;G76),IF(m=0,"",LET(d,MAXIFS(Bank_Rates!$D$2:$D$501,Bank_Rates!$A$2:$A$501,H76,Bank_Rates!$B$2:$B$501,t,Bank_Rates!$D$2:$D$501,"&lt;="&amp;G76),SUMIFS(Bank_Rates!$C$2:$C$501,Bank_Rates!$A$2:$A$501,H76,Bank_Rates!$B$2:$B$501,t,Bank_Rates!$D$2:$D$501,d)))))))</f>
        <v/>
      </c>
      <c r="K76" s="6" t="str">
        <f t="shared" si="2"/>
        <v/>
      </c>
    </row>
    <row r="77" spans="1:11">
      <c r="A77" s="18" t="str">
        <f t="shared" si="3"/>
        <v/>
      </c>
      <c r="B77" s="13"/>
      <c r="C77" s="14"/>
      <c r="D77" s="3"/>
      <c r="E77" s="3"/>
      <c r="F77" s="14"/>
      <c r="G77" s="7">
        <f>RawObservationsTable[[#This Row],[Maturity Date]]-RawObservationsTable[[#This Row],[Timestamp]]</f>
        <v>0</v>
      </c>
      <c r="H77" s="2"/>
      <c r="I77" s="4"/>
      <c r="J77" s="5" t="str">
        <f>IF(OR(H77="",G77="",C77=""),"",LET(n,COUNTIFS(Bank_Rates!$A$2:$A$501,H77,Bank_Rates!$B$2:$B$501,"&lt;="&amp;C77),IF(n=0,"",LET(t,MAXIFS(Bank_Rates!$B$2:$B$501,Bank_Rates!$A$2:$A$501,H77,Bank_Rates!$B$2:$B$501,"&lt;="&amp;C77),m,COUNTIFS(Bank_Rates!$A$2:$A$501,H77,Bank_Rates!$B$2:$B$501,t,Bank_Rates!$D$2:$D$501,"&lt;="&amp;G77),IF(m=0,"",LET(d,MAXIFS(Bank_Rates!$D$2:$D$501,Bank_Rates!$A$2:$A$501,H77,Bank_Rates!$B$2:$B$501,t,Bank_Rates!$D$2:$D$501,"&lt;="&amp;G77),SUMIFS(Bank_Rates!$C$2:$C$501,Bank_Rates!$A$2:$A$501,H77,Bank_Rates!$B$2:$B$501,t,Bank_Rates!$D$2:$D$501,d)))))))</f>
        <v/>
      </c>
      <c r="K77" s="6" t="str">
        <f t="shared" si="2"/>
        <v/>
      </c>
    </row>
    <row r="78" spans="1:11">
      <c r="A78" s="18" t="str">
        <f t="shared" si="3"/>
        <v/>
      </c>
      <c r="B78" s="13"/>
      <c r="C78" s="14"/>
      <c r="D78" s="3"/>
      <c r="E78" s="3"/>
      <c r="F78" s="14"/>
      <c r="G78" s="7">
        <f>RawObservationsTable[[#This Row],[Maturity Date]]-RawObservationsTable[[#This Row],[Timestamp]]</f>
        <v>0</v>
      </c>
      <c r="H78" s="2"/>
      <c r="I78" s="4"/>
      <c r="J78" s="5" t="str">
        <f>IF(OR(H78="",G78="",C78=""),"",LET(n,COUNTIFS(Bank_Rates!$A$2:$A$501,H78,Bank_Rates!$B$2:$B$501,"&lt;="&amp;C78),IF(n=0,"",LET(t,MAXIFS(Bank_Rates!$B$2:$B$501,Bank_Rates!$A$2:$A$501,H78,Bank_Rates!$B$2:$B$501,"&lt;="&amp;C78),m,COUNTIFS(Bank_Rates!$A$2:$A$501,H78,Bank_Rates!$B$2:$B$501,t,Bank_Rates!$D$2:$D$501,"&lt;="&amp;G78),IF(m=0,"",LET(d,MAXIFS(Bank_Rates!$D$2:$D$501,Bank_Rates!$A$2:$A$501,H78,Bank_Rates!$B$2:$B$501,t,Bank_Rates!$D$2:$D$501,"&lt;="&amp;G78),SUMIFS(Bank_Rates!$C$2:$C$501,Bank_Rates!$A$2:$A$501,H78,Bank_Rates!$B$2:$B$501,t,Bank_Rates!$D$2:$D$501,d)))))))</f>
        <v/>
      </c>
      <c r="K78" s="6" t="str">
        <f t="shared" si="2"/>
        <v/>
      </c>
    </row>
    <row r="79" spans="1:11">
      <c r="A79" s="18" t="str">
        <f t="shared" si="3"/>
        <v/>
      </c>
      <c r="B79" s="13"/>
      <c r="C79" s="14"/>
      <c r="D79" s="3"/>
      <c r="E79" s="3"/>
      <c r="F79" s="14"/>
      <c r="G79" s="7">
        <f>RawObservationsTable[[#This Row],[Maturity Date]]-RawObservationsTable[[#This Row],[Timestamp]]</f>
        <v>0</v>
      </c>
      <c r="H79" s="2"/>
      <c r="I79" s="4"/>
      <c r="J79" s="5" t="str">
        <f>IF(OR(H79="",G79="",C79=""),"",LET(n,COUNTIFS(Bank_Rates!$A$2:$A$501,H79,Bank_Rates!$B$2:$B$501,"&lt;="&amp;C79),IF(n=0,"",LET(t,MAXIFS(Bank_Rates!$B$2:$B$501,Bank_Rates!$A$2:$A$501,H79,Bank_Rates!$B$2:$B$501,"&lt;="&amp;C79),m,COUNTIFS(Bank_Rates!$A$2:$A$501,H79,Bank_Rates!$B$2:$B$501,t,Bank_Rates!$D$2:$D$501,"&lt;="&amp;G79),IF(m=0,"",LET(d,MAXIFS(Bank_Rates!$D$2:$D$501,Bank_Rates!$A$2:$A$501,H79,Bank_Rates!$B$2:$B$501,t,Bank_Rates!$D$2:$D$501,"&lt;="&amp;G79),SUMIFS(Bank_Rates!$C$2:$C$501,Bank_Rates!$A$2:$A$501,H79,Bank_Rates!$B$2:$B$501,t,Bank_Rates!$D$2:$D$501,d)))))))</f>
        <v/>
      </c>
      <c r="K79" s="6" t="str">
        <f t="shared" si="2"/>
        <v/>
      </c>
    </row>
    <row r="80" spans="1:11">
      <c r="A80" s="18" t="str">
        <f t="shared" si="3"/>
        <v/>
      </c>
      <c r="B80" s="13"/>
      <c r="C80" s="14"/>
      <c r="D80" s="3"/>
      <c r="E80" s="3"/>
      <c r="F80" s="14"/>
      <c r="G80" s="7">
        <f>RawObservationsTable[[#This Row],[Maturity Date]]-RawObservationsTable[[#This Row],[Timestamp]]</f>
        <v>0</v>
      </c>
      <c r="H80" s="2"/>
      <c r="I80" s="4"/>
      <c r="J80" s="5" t="str">
        <f>IF(OR(H80="",G80="",C80=""),"",LET(n,COUNTIFS(Bank_Rates!$A$2:$A$501,H80,Bank_Rates!$B$2:$B$501,"&lt;="&amp;C80),IF(n=0,"",LET(t,MAXIFS(Bank_Rates!$B$2:$B$501,Bank_Rates!$A$2:$A$501,H80,Bank_Rates!$B$2:$B$501,"&lt;="&amp;C80),m,COUNTIFS(Bank_Rates!$A$2:$A$501,H80,Bank_Rates!$B$2:$B$501,t,Bank_Rates!$D$2:$D$501,"&lt;="&amp;G80),IF(m=0,"",LET(d,MAXIFS(Bank_Rates!$D$2:$D$501,Bank_Rates!$A$2:$A$501,H80,Bank_Rates!$B$2:$B$501,t,Bank_Rates!$D$2:$D$501,"&lt;="&amp;G80),SUMIFS(Bank_Rates!$C$2:$C$501,Bank_Rates!$A$2:$A$501,H80,Bank_Rates!$B$2:$B$501,t,Bank_Rates!$D$2:$D$501,d)))))))</f>
        <v/>
      </c>
      <c r="K80" s="6" t="str">
        <f t="shared" si="2"/>
        <v/>
      </c>
    </row>
    <row r="81" spans="1:11">
      <c r="A81" s="18" t="str">
        <f t="shared" si="3"/>
        <v/>
      </c>
      <c r="B81" s="13"/>
      <c r="C81" s="14"/>
      <c r="D81" s="3"/>
      <c r="E81" s="3"/>
      <c r="F81" s="14"/>
      <c r="G81" s="7">
        <f>RawObservationsTable[[#This Row],[Maturity Date]]-RawObservationsTable[[#This Row],[Timestamp]]</f>
        <v>0</v>
      </c>
      <c r="H81" s="2"/>
      <c r="I81" s="4"/>
      <c r="J81" s="5" t="str">
        <f>IF(OR(H81="",G81="",C81=""),"",LET(n,COUNTIFS(Bank_Rates!$A$2:$A$501,H81,Bank_Rates!$B$2:$B$501,"&lt;="&amp;C81),IF(n=0,"",LET(t,MAXIFS(Bank_Rates!$B$2:$B$501,Bank_Rates!$A$2:$A$501,H81,Bank_Rates!$B$2:$B$501,"&lt;="&amp;C81),m,COUNTIFS(Bank_Rates!$A$2:$A$501,H81,Bank_Rates!$B$2:$B$501,t,Bank_Rates!$D$2:$D$501,"&lt;="&amp;G81),IF(m=0,"",LET(d,MAXIFS(Bank_Rates!$D$2:$D$501,Bank_Rates!$A$2:$A$501,H81,Bank_Rates!$B$2:$B$501,t,Bank_Rates!$D$2:$D$501,"&lt;="&amp;G81),SUMIFS(Bank_Rates!$C$2:$C$501,Bank_Rates!$A$2:$A$501,H81,Bank_Rates!$B$2:$B$501,t,Bank_Rates!$D$2:$D$501,d)))))))</f>
        <v/>
      </c>
      <c r="K81" s="6" t="str">
        <f t="shared" si="2"/>
        <v/>
      </c>
    </row>
    <row r="82" spans="1:11">
      <c r="A82" s="18" t="str">
        <f t="shared" si="3"/>
        <v/>
      </c>
      <c r="B82" s="13"/>
      <c r="C82" s="14"/>
      <c r="D82" s="3"/>
      <c r="E82" s="3"/>
      <c r="F82" s="14"/>
      <c r="G82" s="7">
        <f>RawObservationsTable[[#This Row],[Maturity Date]]-RawObservationsTable[[#This Row],[Timestamp]]</f>
        <v>0</v>
      </c>
      <c r="H82" s="2"/>
      <c r="I82" s="4"/>
      <c r="J82" s="5" t="str">
        <f>IF(OR(H82="",G82="",C82=""),"",LET(n,COUNTIFS(Bank_Rates!$A$2:$A$501,H82,Bank_Rates!$B$2:$B$501,"&lt;="&amp;C82),IF(n=0,"",LET(t,MAXIFS(Bank_Rates!$B$2:$B$501,Bank_Rates!$A$2:$A$501,H82,Bank_Rates!$B$2:$B$501,"&lt;="&amp;C82),m,COUNTIFS(Bank_Rates!$A$2:$A$501,H82,Bank_Rates!$B$2:$B$501,t,Bank_Rates!$D$2:$D$501,"&lt;="&amp;G82),IF(m=0,"",LET(d,MAXIFS(Bank_Rates!$D$2:$D$501,Bank_Rates!$A$2:$A$501,H82,Bank_Rates!$B$2:$B$501,t,Bank_Rates!$D$2:$D$501,"&lt;="&amp;G82),SUMIFS(Bank_Rates!$C$2:$C$501,Bank_Rates!$A$2:$A$501,H82,Bank_Rates!$B$2:$B$501,t,Bank_Rates!$D$2:$D$501,d)))))))</f>
        <v/>
      </c>
      <c r="K82" s="6" t="str">
        <f t="shared" si="2"/>
        <v/>
      </c>
    </row>
    <row r="83" spans="1:11">
      <c r="A83" s="18" t="str">
        <f t="shared" si="3"/>
        <v/>
      </c>
      <c r="B83" s="13"/>
      <c r="C83" s="14"/>
      <c r="D83" s="3"/>
      <c r="E83" s="3"/>
      <c r="F83" s="14"/>
      <c r="G83" s="7">
        <f>RawObservationsTable[[#This Row],[Maturity Date]]-RawObservationsTable[[#This Row],[Timestamp]]</f>
        <v>0</v>
      </c>
      <c r="H83" s="2"/>
      <c r="I83" s="4"/>
      <c r="J83" s="5" t="str">
        <f>IF(OR(H83="",G83="",C83=""),"",LET(n,COUNTIFS(Bank_Rates!$A$2:$A$501,H83,Bank_Rates!$B$2:$B$501,"&lt;="&amp;C83),IF(n=0,"",LET(t,MAXIFS(Bank_Rates!$B$2:$B$501,Bank_Rates!$A$2:$A$501,H83,Bank_Rates!$B$2:$B$501,"&lt;="&amp;C83),m,COUNTIFS(Bank_Rates!$A$2:$A$501,H83,Bank_Rates!$B$2:$B$501,t,Bank_Rates!$D$2:$D$501,"&lt;="&amp;G83),IF(m=0,"",LET(d,MAXIFS(Bank_Rates!$D$2:$D$501,Bank_Rates!$A$2:$A$501,H83,Bank_Rates!$B$2:$B$501,t,Bank_Rates!$D$2:$D$501,"&lt;="&amp;G83),SUMIFS(Bank_Rates!$C$2:$C$501,Bank_Rates!$A$2:$A$501,H83,Bank_Rates!$B$2:$B$501,t,Bank_Rates!$D$2:$D$501,d)))))))</f>
        <v/>
      </c>
      <c r="K83" s="6" t="str">
        <f t="shared" si="2"/>
        <v/>
      </c>
    </row>
    <row r="84" spans="1:11">
      <c r="A84" s="18" t="str">
        <f t="shared" si="3"/>
        <v/>
      </c>
      <c r="B84" s="13"/>
      <c r="C84" s="14"/>
      <c r="D84" s="3"/>
      <c r="E84" s="3"/>
      <c r="F84" s="14"/>
      <c r="G84" s="7">
        <f>RawObservationsTable[[#This Row],[Maturity Date]]-RawObservationsTable[[#This Row],[Timestamp]]</f>
        <v>0</v>
      </c>
      <c r="H84" s="2"/>
      <c r="I84" s="4"/>
      <c r="J84" s="5" t="str">
        <f>IF(OR(H84="",G84="",C84=""),"",LET(n,COUNTIFS(Bank_Rates!$A$2:$A$501,H84,Bank_Rates!$B$2:$B$501,"&lt;="&amp;C84),IF(n=0,"",LET(t,MAXIFS(Bank_Rates!$B$2:$B$501,Bank_Rates!$A$2:$A$501,H84,Bank_Rates!$B$2:$B$501,"&lt;="&amp;C84),m,COUNTIFS(Bank_Rates!$A$2:$A$501,H84,Bank_Rates!$B$2:$B$501,t,Bank_Rates!$D$2:$D$501,"&lt;="&amp;G84),IF(m=0,"",LET(d,MAXIFS(Bank_Rates!$D$2:$D$501,Bank_Rates!$A$2:$A$501,H84,Bank_Rates!$B$2:$B$501,t,Bank_Rates!$D$2:$D$501,"&lt;="&amp;G84),SUMIFS(Bank_Rates!$C$2:$C$501,Bank_Rates!$A$2:$A$501,H84,Bank_Rates!$B$2:$B$501,t,Bank_Rates!$D$2:$D$501,d)))))))</f>
        <v/>
      </c>
      <c r="K84" s="6" t="str">
        <f t="shared" si="2"/>
        <v/>
      </c>
    </row>
    <row r="85" spans="1:11">
      <c r="A85" s="18" t="str">
        <f t="shared" si="3"/>
        <v/>
      </c>
      <c r="B85" s="13"/>
      <c r="C85" s="14"/>
      <c r="D85" s="3"/>
      <c r="E85" s="3"/>
      <c r="F85" s="14"/>
      <c r="G85" s="7">
        <f>RawObservationsTable[[#This Row],[Maturity Date]]-RawObservationsTable[[#This Row],[Timestamp]]</f>
        <v>0</v>
      </c>
      <c r="H85" s="2"/>
      <c r="I85" s="4"/>
      <c r="J85" s="5" t="str">
        <f>IF(OR(H85="",G85="",C85=""),"",LET(n,COUNTIFS(Bank_Rates!$A$2:$A$501,H85,Bank_Rates!$B$2:$B$501,"&lt;="&amp;C85),IF(n=0,"",LET(t,MAXIFS(Bank_Rates!$B$2:$B$501,Bank_Rates!$A$2:$A$501,H85,Bank_Rates!$B$2:$B$501,"&lt;="&amp;C85),m,COUNTIFS(Bank_Rates!$A$2:$A$501,H85,Bank_Rates!$B$2:$B$501,t,Bank_Rates!$D$2:$D$501,"&lt;="&amp;G85),IF(m=0,"",LET(d,MAXIFS(Bank_Rates!$D$2:$D$501,Bank_Rates!$A$2:$A$501,H85,Bank_Rates!$B$2:$B$501,t,Bank_Rates!$D$2:$D$501,"&lt;="&amp;G85),SUMIFS(Bank_Rates!$C$2:$C$501,Bank_Rates!$A$2:$A$501,H85,Bank_Rates!$B$2:$B$501,t,Bank_Rates!$D$2:$D$501,d)))))))</f>
        <v/>
      </c>
      <c r="K85" s="6" t="str">
        <f t="shared" si="2"/>
        <v/>
      </c>
    </row>
    <row r="86" spans="1:11">
      <c r="A86" s="18" t="str">
        <f t="shared" si="3"/>
        <v/>
      </c>
      <c r="B86" s="13"/>
      <c r="C86" s="14"/>
      <c r="D86" s="3"/>
      <c r="E86" s="3"/>
      <c r="F86" s="14"/>
      <c r="G86" s="7">
        <f>RawObservationsTable[[#This Row],[Maturity Date]]-RawObservationsTable[[#This Row],[Timestamp]]</f>
        <v>0</v>
      </c>
      <c r="H86" s="2"/>
      <c r="I86" s="4"/>
      <c r="J86" s="5" t="str">
        <f>IF(OR(H86="",G86="",C86=""),"",LET(n,COUNTIFS(Bank_Rates!$A$2:$A$501,H86,Bank_Rates!$B$2:$B$501,"&lt;="&amp;C86),IF(n=0,"",LET(t,MAXIFS(Bank_Rates!$B$2:$B$501,Bank_Rates!$A$2:$A$501,H86,Bank_Rates!$B$2:$B$501,"&lt;="&amp;C86),m,COUNTIFS(Bank_Rates!$A$2:$A$501,H86,Bank_Rates!$B$2:$B$501,t,Bank_Rates!$D$2:$D$501,"&lt;="&amp;G86),IF(m=0,"",LET(d,MAXIFS(Bank_Rates!$D$2:$D$501,Bank_Rates!$A$2:$A$501,H86,Bank_Rates!$B$2:$B$501,t,Bank_Rates!$D$2:$D$501,"&lt;="&amp;G86),SUMIFS(Bank_Rates!$C$2:$C$501,Bank_Rates!$A$2:$A$501,H86,Bank_Rates!$B$2:$B$501,t,Bank_Rates!$D$2:$D$501,d)))))))</f>
        <v/>
      </c>
      <c r="K86" s="6" t="str">
        <f t="shared" si="2"/>
        <v/>
      </c>
    </row>
    <row r="87" spans="1:11">
      <c r="A87" s="18" t="str">
        <f t="shared" si="3"/>
        <v/>
      </c>
      <c r="B87" s="13"/>
      <c r="C87" s="14"/>
      <c r="D87" s="3"/>
      <c r="E87" s="3"/>
      <c r="F87" s="14"/>
      <c r="G87" s="7">
        <f>RawObservationsTable[[#This Row],[Maturity Date]]-RawObservationsTable[[#This Row],[Timestamp]]</f>
        <v>0</v>
      </c>
      <c r="H87" s="2"/>
      <c r="I87" s="4"/>
      <c r="J87" s="5" t="str">
        <f>IF(OR(H87="",G87="",C87=""),"",LET(n,COUNTIFS(Bank_Rates!$A$2:$A$501,H87,Bank_Rates!$B$2:$B$501,"&lt;="&amp;C87),IF(n=0,"",LET(t,MAXIFS(Bank_Rates!$B$2:$B$501,Bank_Rates!$A$2:$A$501,H87,Bank_Rates!$B$2:$B$501,"&lt;="&amp;C87),m,COUNTIFS(Bank_Rates!$A$2:$A$501,H87,Bank_Rates!$B$2:$B$501,t,Bank_Rates!$D$2:$D$501,"&lt;="&amp;G87),IF(m=0,"",LET(d,MAXIFS(Bank_Rates!$D$2:$D$501,Bank_Rates!$A$2:$A$501,H87,Bank_Rates!$B$2:$B$501,t,Bank_Rates!$D$2:$D$501,"&lt;="&amp;G87),SUMIFS(Bank_Rates!$C$2:$C$501,Bank_Rates!$A$2:$A$501,H87,Bank_Rates!$B$2:$B$501,t,Bank_Rates!$D$2:$D$501,d)))))))</f>
        <v/>
      </c>
      <c r="K87" s="6" t="str">
        <f t="shared" si="2"/>
        <v/>
      </c>
    </row>
    <row r="88" spans="1:11">
      <c r="A88" s="18" t="str">
        <f t="shared" si="3"/>
        <v/>
      </c>
      <c r="B88" s="13"/>
      <c r="C88" s="14"/>
      <c r="D88" s="3"/>
      <c r="E88" s="3"/>
      <c r="F88" s="14"/>
      <c r="G88" s="7">
        <f>RawObservationsTable[[#This Row],[Maturity Date]]-RawObservationsTable[[#This Row],[Timestamp]]</f>
        <v>0</v>
      </c>
      <c r="H88" s="2"/>
      <c r="I88" s="4"/>
      <c r="J88" s="5" t="str">
        <f>IF(OR(H88="",G88="",C88=""),"",LET(n,COUNTIFS(Bank_Rates!$A$2:$A$501,H88,Bank_Rates!$B$2:$B$501,"&lt;="&amp;C88),IF(n=0,"",LET(t,MAXIFS(Bank_Rates!$B$2:$B$501,Bank_Rates!$A$2:$A$501,H88,Bank_Rates!$B$2:$B$501,"&lt;="&amp;C88),m,COUNTIFS(Bank_Rates!$A$2:$A$501,H88,Bank_Rates!$B$2:$B$501,t,Bank_Rates!$D$2:$D$501,"&lt;="&amp;G88),IF(m=0,"",LET(d,MAXIFS(Bank_Rates!$D$2:$D$501,Bank_Rates!$A$2:$A$501,H88,Bank_Rates!$B$2:$B$501,t,Bank_Rates!$D$2:$D$501,"&lt;="&amp;G88),SUMIFS(Bank_Rates!$C$2:$C$501,Bank_Rates!$A$2:$A$501,H88,Bank_Rates!$B$2:$B$501,t,Bank_Rates!$D$2:$D$501,d)))))))</f>
        <v/>
      </c>
      <c r="K88" s="6" t="str">
        <f t="shared" si="2"/>
        <v/>
      </c>
    </row>
    <row r="89" spans="1:11">
      <c r="A89" s="18" t="str">
        <f t="shared" si="3"/>
        <v/>
      </c>
      <c r="B89" s="13"/>
      <c r="C89" s="14"/>
      <c r="D89" s="3"/>
      <c r="E89" s="3"/>
      <c r="F89" s="14"/>
      <c r="G89" s="7">
        <f>RawObservationsTable[[#This Row],[Maturity Date]]-RawObservationsTable[[#This Row],[Timestamp]]</f>
        <v>0</v>
      </c>
      <c r="H89" s="2"/>
      <c r="I89" s="4"/>
      <c r="J89" s="5" t="str">
        <f>IF(OR(H89="",G89="",C89=""),"",LET(n,COUNTIFS(Bank_Rates!$A$2:$A$501,H89,Bank_Rates!$B$2:$B$501,"&lt;="&amp;C89),IF(n=0,"",LET(t,MAXIFS(Bank_Rates!$B$2:$B$501,Bank_Rates!$A$2:$A$501,H89,Bank_Rates!$B$2:$B$501,"&lt;="&amp;C89),m,COUNTIFS(Bank_Rates!$A$2:$A$501,H89,Bank_Rates!$B$2:$B$501,t,Bank_Rates!$D$2:$D$501,"&lt;="&amp;G89),IF(m=0,"",LET(d,MAXIFS(Bank_Rates!$D$2:$D$501,Bank_Rates!$A$2:$A$501,H89,Bank_Rates!$B$2:$B$501,t,Bank_Rates!$D$2:$D$501,"&lt;="&amp;G89),SUMIFS(Bank_Rates!$C$2:$C$501,Bank_Rates!$A$2:$A$501,H89,Bank_Rates!$B$2:$B$501,t,Bank_Rates!$D$2:$D$501,d)))))))</f>
        <v/>
      </c>
      <c r="K89" s="6" t="str">
        <f t="shared" si="2"/>
        <v/>
      </c>
    </row>
    <row r="90" spans="1:11">
      <c r="A90" s="18" t="str">
        <f t="shared" si="3"/>
        <v/>
      </c>
      <c r="B90" s="13"/>
      <c r="C90" s="14"/>
      <c r="D90" s="3"/>
      <c r="E90" s="3"/>
      <c r="F90" s="14"/>
      <c r="G90" s="7">
        <f>RawObservationsTable[[#This Row],[Maturity Date]]-RawObservationsTable[[#This Row],[Timestamp]]</f>
        <v>0</v>
      </c>
      <c r="H90" s="2"/>
      <c r="I90" s="4"/>
      <c r="J90" s="5" t="str">
        <f>IF(OR(H90="",G90="",C90=""),"",LET(n,COUNTIFS(Bank_Rates!$A$2:$A$501,H90,Bank_Rates!$B$2:$B$501,"&lt;="&amp;C90),IF(n=0,"",LET(t,MAXIFS(Bank_Rates!$B$2:$B$501,Bank_Rates!$A$2:$A$501,H90,Bank_Rates!$B$2:$B$501,"&lt;="&amp;C90),m,COUNTIFS(Bank_Rates!$A$2:$A$501,H90,Bank_Rates!$B$2:$B$501,t,Bank_Rates!$D$2:$D$501,"&lt;="&amp;G90),IF(m=0,"",LET(d,MAXIFS(Bank_Rates!$D$2:$D$501,Bank_Rates!$A$2:$A$501,H90,Bank_Rates!$B$2:$B$501,t,Bank_Rates!$D$2:$D$501,"&lt;="&amp;G90),SUMIFS(Bank_Rates!$C$2:$C$501,Bank_Rates!$A$2:$A$501,H90,Bank_Rates!$B$2:$B$501,t,Bank_Rates!$D$2:$D$501,d)))))))</f>
        <v/>
      </c>
      <c r="K90" s="6" t="str">
        <f t="shared" si="2"/>
        <v/>
      </c>
    </row>
    <row r="91" spans="1:11">
      <c r="A91" s="18" t="str">
        <f t="shared" si="3"/>
        <v/>
      </c>
      <c r="B91" s="13"/>
      <c r="C91" s="14"/>
      <c r="D91" s="3"/>
      <c r="E91" s="3"/>
      <c r="F91" s="14"/>
      <c r="G91" s="7">
        <f>RawObservationsTable[[#This Row],[Maturity Date]]-RawObservationsTable[[#This Row],[Timestamp]]</f>
        <v>0</v>
      </c>
      <c r="H91" s="2"/>
      <c r="I91" s="4"/>
      <c r="J91" s="5" t="str">
        <f>IF(OR(H91="",G91="",C91=""),"",LET(n,COUNTIFS(Bank_Rates!$A$2:$A$501,H91,Bank_Rates!$B$2:$B$501,"&lt;="&amp;C91),IF(n=0,"",LET(t,MAXIFS(Bank_Rates!$B$2:$B$501,Bank_Rates!$A$2:$A$501,H91,Bank_Rates!$B$2:$B$501,"&lt;="&amp;C91),m,COUNTIFS(Bank_Rates!$A$2:$A$501,H91,Bank_Rates!$B$2:$B$501,t,Bank_Rates!$D$2:$D$501,"&lt;="&amp;G91),IF(m=0,"",LET(d,MAXIFS(Bank_Rates!$D$2:$D$501,Bank_Rates!$A$2:$A$501,H91,Bank_Rates!$B$2:$B$501,t,Bank_Rates!$D$2:$D$501,"&lt;="&amp;G91),SUMIFS(Bank_Rates!$C$2:$C$501,Bank_Rates!$A$2:$A$501,H91,Bank_Rates!$B$2:$B$501,t,Bank_Rates!$D$2:$D$501,d)))))))</f>
        <v/>
      </c>
      <c r="K91" s="6" t="str">
        <f t="shared" si="2"/>
        <v/>
      </c>
    </row>
    <row r="92" spans="1:11">
      <c r="A92" s="18" t="str">
        <f t="shared" si="3"/>
        <v/>
      </c>
      <c r="B92" s="13"/>
      <c r="C92" s="14"/>
      <c r="D92" s="3"/>
      <c r="E92" s="3"/>
      <c r="F92" s="14"/>
      <c r="G92" s="7">
        <f>RawObservationsTable[[#This Row],[Maturity Date]]-RawObservationsTable[[#This Row],[Timestamp]]</f>
        <v>0</v>
      </c>
      <c r="H92" s="2"/>
      <c r="I92" s="4"/>
      <c r="J92" s="5" t="str">
        <f>IF(OR(H92="",G92="",C92=""),"",LET(n,COUNTIFS(Bank_Rates!$A$2:$A$501,H92,Bank_Rates!$B$2:$B$501,"&lt;="&amp;C92),IF(n=0,"",LET(t,MAXIFS(Bank_Rates!$B$2:$B$501,Bank_Rates!$A$2:$A$501,H92,Bank_Rates!$B$2:$B$501,"&lt;="&amp;C92),m,COUNTIFS(Bank_Rates!$A$2:$A$501,H92,Bank_Rates!$B$2:$B$501,t,Bank_Rates!$D$2:$D$501,"&lt;="&amp;G92),IF(m=0,"",LET(d,MAXIFS(Bank_Rates!$D$2:$D$501,Bank_Rates!$A$2:$A$501,H92,Bank_Rates!$B$2:$B$501,t,Bank_Rates!$D$2:$D$501,"&lt;="&amp;G92),SUMIFS(Bank_Rates!$C$2:$C$501,Bank_Rates!$A$2:$A$501,H92,Bank_Rates!$B$2:$B$501,t,Bank_Rates!$D$2:$D$501,d)))))))</f>
        <v/>
      </c>
      <c r="K92" s="6" t="str">
        <f t="shared" si="2"/>
        <v/>
      </c>
    </row>
    <row r="93" spans="1:11">
      <c r="A93" s="18" t="str">
        <f t="shared" si="3"/>
        <v/>
      </c>
      <c r="B93" s="13"/>
      <c r="C93" s="14"/>
      <c r="D93" s="3"/>
      <c r="E93" s="3"/>
      <c r="F93" s="14"/>
      <c r="G93" s="7">
        <f>RawObservationsTable[[#This Row],[Maturity Date]]-RawObservationsTable[[#This Row],[Timestamp]]</f>
        <v>0</v>
      </c>
      <c r="H93" s="2"/>
      <c r="I93" s="4"/>
      <c r="J93" s="5" t="str">
        <f>IF(OR(H93="",G93="",C93=""),"",LET(n,COUNTIFS(Bank_Rates!$A$2:$A$501,H93,Bank_Rates!$B$2:$B$501,"&lt;="&amp;C93),IF(n=0,"",LET(t,MAXIFS(Bank_Rates!$B$2:$B$501,Bank_Rates!$A$2:$A$501,H93,Bank_Rates!$B$2:$B$501,"&lt;="&amp;C93),m,COUNTIFS(Bank_Rates!$A$2:$A$501,H93,Bank_Rates!$B$2:$B$501,t,Bank_Rates!$D$2:$D$501,"&lt;="&amp;G93),IF(m=0,"",LET(d,MAXIFS(Bank_Rates!$D$2:$D$501,Bank_Rates!$A$2:$A$501,H93,Bank_Rates!$B$2:$B$501,t,Bank_Rates!$D$2:$D$501,"&lt;="&amp;G93),SUMIFS(Bank_Rates!$C$2:$C$501,Bank_Rates!$A$2:$A$501,H93,Bank_Rates!$B$2:$B$501,t,Bank_Rates!$D$2:$D$501,d)))))))</f>
        <v/>
      </c>
      <c r="K93" s="6" t="str">
        <f t="shared" si="2"/>
        <v/>
      </c>
    </row>
    <row r="94" spans="1:11">
      <c r="A94" s="18" t="str">
        <f t="shared" si="3"/>
        <v/>
      </c>
      <c r="B94" s="13"/>
      <c r="C94" s="14"/>
      <c r="D94" s="3"/>
      <c r="E94" s="3"/>
      <c r="F94" s="14"/>
      <c r="G94" s="7">
        <f>RawObservationsTable[[#This Row],[Maturity Date]]-RawObservationsTable[[#This Row],[Timestamp]]</f>
        <v>0</v>
      </c>
      <c r="H94" s="2"/>
      <c r="I94" s="4"/>
      <c r="J94" s="5" t="str">
        <f>IF(OR(H94="",G94="",C94=""),"",LET(n,COUNTIFS(Bank_Rates!$A$2:$A$501,H94,Bank_Rates!$B$2:$B$501,"&lt;="&amp;C94),IF(n=0,"",LET(t,MAXIFS(Bank_Rates!$B$2:$B$501,Bank_Rates!$A$2:$A$501,H94,Bank_Rates!$B$2:$B$501,"&lt;="&amp;C94),m,COUNTIFS(Bank_Rates!$A$2:$A$501,H94,Bank_Rates!$B$2:$B$501,t,Bank_Rates!$D$2:$D$501,"&lt;="&amp;G94),IF(m=0,"",LET(d,MAXIFS(Bank_Rates!$D$2:$D$501,Bank_Rates!$A$2:$A$501,H94,Bank_Rates!$B$2:$B$501,t,Bank_Rates!$D$2:$D$501,"&lt;="&amp;G94),SUMIFS(Bank_Rates!$C$2:$C$501,Bank_Rates!$A$2:$A$501,H94,Bank_Rates!$B$2:$B$501,t,Bank_Rates!$D$2:$D$501,d)))))))</f>
        <v/>
      </c>
      <c r="K94" s="6" t="str">
        <f t="shared" si="2"/>
        <v/>
      </c>
    </row>
    <row r="95" spans="1:11">
      <c r="A95" s="18" t="str">
        <f t="shared" si="3"/>
        <v/>
      </c>
      <c r="B95" s="13"/>
      <c r="C95" s="14"/>
      <c r="D95" s="3"/>
      <c r="E95" s="3"/>
      <c r="F95" s="14"/>
      <c r="G95" s="7">
        <f>RawObservationsTable[[#This Row],[Maturity Date]]-RawObservationsTable[[#This Row],[Timestamp]]</f>
        <v>0</v>
      </c>
      <c r="H95" s="2"/>
      <c r="I95" s="4"/>
      <c r="J95" s="5" t="str">
        <f>IF(OR(H95="",G95="",C95=""),"",LET(n,COUNTIFS(Bank_Rates!$A$2:$A$501,H95,Bank_Rates!$B$2:$B$501,"&lt;="&amp;C95),IF(n=0,"",LET(t,MAXIFS(Bank_Rates!$B$2:$B$501,Bank_Rates!$A$2:$A$501,H95,Bank_Rates!$B$2:$B$501,"&lt;="&amp;C95),m,COUNTIFS(Bank_Rates!$A$2:$A$501,H95,Bank_Rates!$B$2:$B$501,t,Bank_Rates!$D$2:$D$501,"&lt;="&amp;G95),IF(m=0,"",LET(d,MAXIFS(Bank_Rates!$D$2:$D$501,Bank_Rates!$A$2:$A$501,H95,Bank_Rates!$B$2:$B$501,t,Bank_Rates!$D$2:$D$501,"&lt;="&amp;G95),SUMIFS(Bank_Rates!$C$2:$C$501,Bank_Rates!$A$2:$A$501,H95,Bank_Rates!$B$2:$B$501,t,Bank_Rates!$D$2:$D$501,d)))))))</f>
        <v/>
      </c>
      <c r="K95" s="6" t="str">
        <f t="shared" si="2"/>
        <v/>
      </c>
    </row>
    <row r="96" spans="1:11">
      <c r="A96" s="18" t="str">
        <f t="shared" si="3"/>
        <v/>
      </c>
      <c r="B96" s="13"/>
      <c r="C96" s="14"/>
      <c r="D96" s="3"/>
      <c r="E96" s="3"/>
      <c r="F96" s="14"/>
      <c r="G96" s="7">
        <f>RawObservationsTable[[#This Row],[Maturity Date]]-RawObservationsTable[[#This Row],[Timestamp]]</f>
        <v>0</v>
      </c>
      <c r="H96" s="2"/>
      <c r="I96" s="4"/>
      <c r="J96" s="5" t="str">
        <f>IF(OR(H96="",G96="",C96=""),"",LET(n,COUNTIFS(Bank_Rates!$A$2:$A$501,H96,Bank_Rates!$B$2:$B$501,"&lt;="&amp;C96),IF(n=0,"",LET(t,MAXIFS(Bank_Rates!$B$2:$B$501,Bank_Rates!$A$2:$A$501,H96,Bank_Rates!$B$2:$B$501,"&lt;="&amp;C96),m,COUNTIFS(Bank_Rates!$A$2:$A$501,H96,Bank_Rates!$B$2:$B$501,t,Bank_Rates!$D$2:$D$501,"&lt;="&amp;G96),IF(m=0,"",LET(d,MAXIFS(Bank_Rates!$D$2:$D$501,Bank_Rates!$A$2:$A$501,H96,Bank_Rates!$B$2:$B$501,t,Bank_Rates!$D$2:$D$501,"&lt;="&amp;G96),SUMIFS(Bank_Rates!$C$2:$C$501,Bank_Rates!$A$2:$A$501,H96,Bank_Rates!$B$2:$B$501,t,Bank_Rates!$D$2:$D$501,d)))))))</f>
        <v/>
      </c>
      <c r="K96" s="6" t="str">
        <f t="shared" si="2"/>
        <v/>
      </c>
    </row>
    <row r="97" spans="1:11">
      <c r="A97" s="18" t="str">
        <f t="shared" si="3"/>
        <v/>
      </c>
      <c r="B97" s="13"/>
      <c r="C97" s="14"/>
      <c r="D97" s="3"/>
      <c r="E97" s="3"/>
      <c r="F97" s="14"/>
      <c r="G97" s="7">
        <f>RawObservationsTable[[#This Row],[Maturity Date]]-RawObservationsTable[[#This Row],[Timestamp]]</f>
        <v>0</v>
      </c>
      <c r="H97" s="2"/>
      <c r="I97" s="4"/>
      <c r="J97" s="5" t="str">
        <f>IF(OR(H97="",G97="",C97=""),"",LET(n,COUNTIFS(Bank_Rates!$A$2:$A$501,H97,Bank_Rates!$B$2:$B$501,"&lt;="&amp;C97),IF(n=0,"",LET(t,MAXIFS(Bank_Rates!$B$2:$B$501,Bank_Rates!$A$2:$A$501,H97,Bank_Rates!$B$2:$B$501,"&lt;="&amp;C97),m,COUNTIFS(Bank_Rates!$A$2:$A$501,H97,Bank_Rates!$B$2:$B$501,t,Bank_Rates!$D$2:$D$501,"&lt;="&amp;G97),IF(m=0,"",LET(d,MAXIFS(Bank_Rates!$D$2:$D$501,Bank_Rates!$A$2:$A$501,H97,Bank_Rates!$B$2:$B$501,t,Bank_Rates!$D$2:$D$501,"&lt;="&amp;G97),SUMIFS(Bank_Rates!$C$2:$C$501,Bank_Rates!$A$2:$A$501,H97,Bank_Rates!$B$2:$B$501,t,Bank_Rates!$D$2:$D$501,d)))))))</f>
        <v/>
      </c>
      <c r="K97" s="6" t="str">
        <f t="shared" si="2"/>
        <v/>
      </c>
    </row>
    <row r="98" spans="1:11">
      <c r="A98" s="18" t="str">
        <f t="shared" si="3"/>
        <v/>
      </c>
      <c r="B98" s="13"/>
      <c r="C98" s="14"/>
      <c r="D98" s="3"/>
      <c r="E98" s="3"/>
      <c r="F98" s="14"/>
      <c r="G98" s="7">
        <f>RawObservationsTable[[#This Row],[Maturity Date]]-RawObservationsTable[[#This Row],[Timestamp]]</f>
        <v>0</v>
      </c>
      <c r="H98" s="2"/>
      <c r="I98" s="4"/>
      <c r="J98" s="5" t="str">
        <f>IF(OR(H98="",G98="",C98=""),"",LET(n,COUNTIFS(Bank_Rates!$A$2:$A$501,H98,Bank_Rates!$B$2:$B$501,"&lt;="&amp;C98),IF(n=0,"",LET(t,MAXIFS(Bank_Rates!$B$2:$B$501,Bank_Rates!$A$2:$A$501,H98,Bank_Rates!$B$2:$B$501,"&lt;="&amp;C98),m,COUNTIFS(Bank_Rates!$A$2:$A$501,H98,Bank_Rates!$B$2:$B$501,t,Bank_Rates!$D$2:$D$501,"&lt;="&amp;G98),IF(m=0,"",LET(d,MAXIFS(Bank_Rates!$D$2:$D$501,Bank_Rates!$A$2:$A$501,H98,Bank_Rates!$B$2:$B$501,t,Bank_Rates!$D$2:$D$501,"&lt;="&amp;G98),SUMIFS(Bank_Rates!$C$2:$C$501,Bank_Rates!$A$2:$A$501,H98,Bank_Rates!$B$2:$B$501,t,Bank_Rates!$D$2:$D$501,d)))))))</f>
        <v/>
      </c>
      <c r="K98" s="6" t="str">
        <f t="shared" si="2"/>
        <v/>
      </c>
    </row>
    <row r="99" spans="1:11">
      <c r="A99" s="18" t="str">
        <f t="shared" si="3"/>
        <v/>
      </c>
      <c r="B99" s="13"/>
      <c r="C99" s="14"/>
      <c r="D99" s="3"/>
      <c r="E99" s="3"/>
      <c r="F99" s="14"/>
      <c r="G99" s="7">
        <f>RawObservationsTable[[#This Row],[Maturity Date]]-RawObservationsTable[[#This Row],[Timestamp]]</f>
        <v>0</v>
      </c>
      <c r="H99" s="2"/>
      <c r="I99" s="4"/>
      <c r="J99" s="5" t="str">
        <f>IF(OR(H99="",G99="",C99=""),"",LET(n,COUNTIFS(Bank_Rates!$A$2:$A$501,H99,Bank_Rates!$B$2:$B$501,"&lt;="&amp;C99),IF(n=0,"",LET(t,MAXIFS(Bank_Rates!$B$2:$B$501,Bank_Rates!$A$2:$A$501,H99,Bank_Rates!$B$2:$B$501,"&lt;="&amp;C99),m,COUNTIFS(Bank_Rates!$A$2:$A$501,H99,Bank_Rates!$B$2:$B$501,t,Bank_Rates!$D$2:$D$501,"&lt;="&amp;G99),IF(m=0,"",LET(d,MAXIFS(Bank_Rates!$D$2:$D$501,Bank_Rates!$A$2:$A$501,H99,Bank_Rates!$B$2:$B$501,t,Bank_Rates!$D$2:$D$501,"&lt;="&amp;G99),SUMIFS(Bank_Rates!$C$2:$C$501,Bank_Rates!$A$2:$A$501,H99,Bank_Rates!$B$2:$B$501,t,Bank_Rates!$D$2:$D$501,d)))))))</f>
        <v/>
      </c>
      <c r="K99" s="6" t="str">
        <f t="shared" si="2"/>
        <v/>
      </c>
    </row>
    <row r="100" spans="1:11">
      <c r="A100" s="18" t="str">
        <f t="shared" si="3"/>
        <v/>
      </c>
      <c r="B100" s="13"/>
      <c r="C100" s="14"/>
      <c r="D100" s="3"/>
      <c r="E100" s="3"/>
      <c r="F100" s="14"/>
      <c r="G100" s="7">
        <f>RawObservationsTable[[#This Row],[Maturity Date]]-RawObservationsTable[[#This Row],[Timestamp]]</f>
        <v>0</v>
      </c>
      <c r="H100" s="2"/>
      <c r="I100" s="4"/>
      <c r="J100" s="5" t="str">
        <f>IF(OR(H100="",G100="",C100=""),"",LET(n,COUNTIFS(Bank_Rates!$A$2:$A$501,H100,Bank_Rates!$B$2:$B$501,"&lt;="&amp;C100),IF(n=0,"",LET(t,MAXIFS(Bank_Rates!$B$2:$B$501,Bank_Rates!$A$2:$A$501,H100,Bank_Rates!$B$2:$B$501,"&lt;="&amp;C100),m,COUNTIFS(Bank_Rates!$A$2:$A$501,H100,Bank_Rates!$B$2:$B$501,t,Bank_Rates!$D$2:$D$501,"&lt;="&amp;G100),IF(m=0,"",LET(d,MAXIFS(Bank_Rates!$D$2:$D$501,Bank_Rates!$A$2:$A$501,H100,Bank_Rates!$B$2:$B$501,t,Bank_Rates!$D$2:$D$501,"&lt;="&amp;G100),SUMIFS(Bank_Rates!$C$2:$C$501,Bank_Rates!$A$2:$A$501,H100,Bank_Rates!$B$2:$B$501,t,Bank_Rates!$D$2:$D$501,d)))))))</f>
        <v/>
      </c>
      <c r="K100" s="6" t="str">
        <f t="shared" si="2"/>
        <v/>
      </c>
    </row>
    <row r="101" spans="1:11">
      <c r="A101" s="18" t="str">
        <f t="shared" si="3"/>
        <v/>
      </c>
      <c r="B101" s="13"/>
      <c r="C101" s="14"/>
      <c r="D101" s="3"/>
      <c r="E101" s="3"/>
      <c r="F101" s="14"/>
      <c r="G101" s="7">
        <f>RawObservationsTable[[#This Row],[Maturity Date]]-RawObservationsTable[[#This Row],[Timestamp]]</f>
        <v>0</v>
      </c>
      <c r="H101" s="2"/>
      <c r="I101" s="4"/>
      <c r="J101" s="5" t="str">
        <f>IF(OR(H101="",G101="",C101=""),"",LET(n,COUNTIFS(Bank_Rates!$A$2:$A$501,H101,Bank_Rates!$B$2:$B$501,"&lt;="&amp;C101),IF(n=0,"",LET(t,MAXIFS(Bank_Rates!$B$2:$B$501,Bank_Rates!$A$2:$A$501,H101,Bank_Rates!$B$2:$B$501,"&lt;="&amp;C101),m,COUNTIFS(Bank_Rates!$A$2:$A$501,H101,Bank_Rates!$B$2:$B$501,t,Bank_Rates!$D$2:$D$501,"&lt;="&amp;G101),IF(m=0,"",LET(d,MAXIFS(Bank_Rates!$D$2:$D$501,Bank_Rates!$A$2:$A$501,H101,Bank_Rates!$B$2:$B$501,t,Bank_Rates!$D$2:$D$501,"&lt;="&amp;G101),SUMIFS(Bank_Rates!$C$2:$C$501,Bank_Rates!$A$2:$A$501,H101,Bank_Rates!$B$2:$B$501,t,Bank_Rates!$D$2:$D$501,d)))))))</f>
        <v/>
      </c>
      <c r="K101" s="6" t="str">
        <f t="shared" si="2"/>
        <v/>
      </c>
    </row>
    <row r="102" spans="1:11">
      <c r="A102" s="18" t="str">
        <f t="shared" si="3"/>
        <v/>
      </c>
      <c r="B102" s="13"/>
      <c r="C102" s="14"/>
      <c r="D102" s="3"/>
      <c r="E102" s="3"/>
      <c r="F102" s="14"/>
      <c r="G102" s="7">
        <f>RawObservationsTable[[#This Row],[Maturity Date]]-RawObservationsTable[[#This Row],[Timestamp]]</f>
        <v>0</v>
      </c>
      <c r="H102" s="2"/>
      <c r="I102" s="4"/>
      <c r="J102" s="5" t="str">
        <f>IF(OR(H102="",G102="",C102=""),"",LET(n,COUNTIFS(Bank_Rates!$A$2:$A$501,H102,Bank_Rates!$B$2:$B$501,"&lt;="&amp;C102),IF(n=0,"",LET(t,MAXIFS(Bank_Rates!$B$2:$B$501,Bank_Rates!$A$2:$A$501,H102,Bank_Rates!$B$2:$B$501,"&lt;="&amp;C102),m,COUNTIFS(Bank_Rates!$A$2:$A$501,H102,Bank_Rates!$B$2:$B$501,t,Bank_Rates!$D$2:$D$501,"&lt;="&amp;G102),IF(m=0,"",LET(d,MAXIFS(Bank_Rates!$D$2:$D$501,Bank_Rates!$A$2:$A$501,H102,Bank_Rates!$B$2:$B$501,t,Bank_Rates!$D$2:$D$501,"&lt;="&amp;G102),SUMIFS(Bank_Rates!$C$2:$C$501,Bank_Rates!$A$2:$A$501,H102,Bank_Rates!$B$2:$B$501,t,Bank_Rates!$D$2:$D$501,d)))))))</f>
        <v/>
      </c>
      <c r="K102" s="6" t="str">
        <f t="shared" si="2"/>
        <v/>
      </c>
    </row>
    <row r="103" spans="1:11">
      <c r="A103" s="18" t="str">
        <f t="shared" si="3"/>
        <v/>
      </c>
      <c r="B103" s="13"/>
      <c r="C103" s="14"/>
      <c r="D103" s="3"/>
      <c r="E103" s="3"/>
      <c r="F103" s="14"/>
      <c r="G103" s="7">
        <f>RawObservationsTable[[#This Row],[Maturity Date]]-RawObservationsTable[[#This Row],[Timestamp]]</f>
        <v>0</v>
      </c>
      <c r="H103" s="2"/>
      <c r="I103" s="4"/>
      <c r="J103" s="5" t="str">
        <f>IF(OR(H103="",G103="",C103=""),"",LET(n,COUNTIFS(Bank_Rates!$A$2:$A$501,H103,Bank_Rates!$B$2:$B$501,"&lt;="&amp;C103),IF(n=0,"",LET(t,MAXIFS(Bank_Rates!$B$2:$B$501,Bank_Rates!$A$2:$A$501,H103,Bank_Rates!$B$2:$B$501,"&lt;="&amp;C103),m,COUNTIFS(Bank_Rates!$A$2:$A$501,H103,Bank_Rates!$B$2:$B$501,t,Bank_Rates!$D$2:$D$501,"&lt;="&amp;G103),IF(m=0,"",LET(d,MAXIFS(Bank_Rates!$D$2:$D$501,Bank_Rates!$A$2:$A$501,H103,Bank_Rates!$B$2:$B$501,t,Bank_Rates!$D$2:$D$501,"&lt;="&amp;G103),SUMIFS(Bank_Rates!$C$2:$C$501,Bank_Rates!$A$2:$A$501,H103,Bank_Rates!$B$2:$B$501,t,Bank_Rates!$D$2:$D$501,d)))))))</f>
        <v/>
      </c>
      <c r="K103" s="6" t="str">
        <f t="shared" si="2"/>
        <v/>
      </c>
    </row>
    <row r="104" spans="1:11">
      <c r="A104" s="18" t="str">
        <f t="shared" si="3"/>
        <v/>
      </c>
      <c r="B104" s="13"/>
      <c r="C104" s="14"/>
      <c r="D104" s="3"/>
      <c r="E104" s="3"/>
      <c r="F104" s="14"/>
      <c r="G104" s="7">
        <f>RawObservationsTable[[#This Row],[Maturity Date]]-RawObservationsTable[[#This Row],[Timestamp]]</f>
        <v>0</v>
      </c>
      <c r="H104" s="2"/>
      <c r="I104" s="4"/>
      <c r="J104" s="5" t="str">
        <f>IF(OR(H104="",G104="",C104=""),"",LET(n,COUNTIFS(Bank_Rates!$A$2:$A$501,H104,Bank_Rates!$B$2:$B$501,"&lt;="&amp;C104),IF(n=0,"",LET(t,MAXIFS(Bank_Rates!$B$2:$B$501,Bank_Rates!$A$2:$A$501,H104,Bank_Rates!$B$2:$B$501,"&lt;="&amp;C104),m,COUNTIFS(Bank_Rates!$A$2:$A$501,H104,Bank_Rates!$B$2:$B$501,t,Bank_Rates!$D$2:$D$501,"&lt;="&amp;G104),IF(m=0,"",LET(d,MAXIFS(Bank_Rates!$D$2:$D$501,Bank_Rates!$A$2:$A$501,H104,Bank_Rates!$B$2:$B$501,t,Bank_Rates!$D$2:$D$501,"&lt;="&amp;G104),SUMIFS(Bank_Rates!$C$2:$C$501,Bank_Rates!$A$2:$A$501,H104,Bank_Rates!$B$2:$B$501,t,Bank_Rates!$D$2:$D$501,d)))))))</f>
        <v/>
      </c>
      <c r="K104" s="6" t="str">
        <f t="shared" si="2"/>
        <v/>
      </c>
    </row>
    <row r="105" spans="1:11">
      <c r="A105" s="18" t="str">
        <f t="shared" si="3"/>
        <v/>
      </c>
      <c r="B105" s="13"/>
      <c r="C105" s="14"/>
      <c r="D105" s="3"/>
      <c r="E105" s="3"/>
      <c r="F105" s="14"/>
      <c r="G105" s="7">
        <f>RawObservationsTable[[#This Row],[Maturity Date]]-RawObservationsTable[[#This Row],[Timestamp]]</f>
        <v>0</v>
      </c>
      <c r="H105" s="2"/>
      <c r="I105" s="4"/>
      <c r="J105" s="5" t="str">
        <f>IF(OR(H105="",G105="",C105=""),"",LET(n,COUNTIFS(Bank_Rates!$A$2:$A$501,H105,Bank_Rates!$B$2:$B$501,"&lt;="&amp;C105),IF(n=0,"",LET(t,MAXIFS(Bank_Rates!$B$2:$B$501,Bank_Rates!$A$2:$A$501,H105,Bank_Rates!$B$2:$B$501,"&lt;="&amp;C105),m,COUNTIFS(Bank_Rates!$A$2:$A$501,H105,Bank_Rates!$B$2:$B$501,t,Bank_Rates!$D$2:$D$501,"&lt;="&amp;G105),IF(m=0,"",LET(d,MAXIFS(Bank_Rates!$D$2:$D$501,Bank_Rates!$A$2:$A$501,H105,Bank_Rates!$B$2:$B$501,t,Bank_Rates!$D$2:$D$501,"&lt;="&amp;G105),SUMIFS(Bank_Rates!$C$2:$C$501,Bank_Rates!$A$2:$A$501,H105,Bank_Rates!$B$2:$B$501,t,Bank_Rates!$D$2:$D$501,d)))))))</f>
        <v/>
      </c>
      <c r="K105" s="6" t="str">
        <f t="shared" si="2"/>
        <v/>
      </c>
    </row>
    <row r="106" spans="1:11">
      <c r="A106" s="18" t="str">
        <f t="shared" si="3"/>
        <v/>
      </c>
      <c r="B106" s="13"/>
      <c r="C106" s="14"/>
      <c r="D106" s="3"/>
      <c r="E106" s="3"/>
      <c r="F106" s="14"/>
      <c r="G106" s="7">
        <f>RawObservationsTable[[#This Row],[Maturity Date]]-RawObservationsTable[[#This Row],[Timestamp]]</f>
        <v>0</v>
      </c>
      <c r="H106" s="2"/>
      <c r="I106" s="4"/>
      <c r="J106" s="5" t="str">
        <f>IF(OR(H106="",G106="",C106=""),"",LET(n,COUNTIFS(Bank_Rates!$A$2:$A$501,H106,Bank_Rates!$B$2:$B$501,"&lt;="&amp;C106),IF(n=0,"",LET(t,MAXIFS(Bank_Rates!$B$2:$B$501,Bank_Rates!$A$2:$A$501,H106,Bank_Rates!$B$2:$B$501,"&lt;="&amp;C106),m,COUNTIFS(Bank_Rates!$A$2:$A$501,H106,Bank_Rates!$B$2:$B$501,t,Bank_Rates!$D$2:$D$501,"&lt;="&amp;G106),IF(m=0,"",LET(d,MAXIFS(Bank_Rates!$D$2:$D$501,Bank_Rates!$A$2:$A$501,H106,Bank_Rates!$B$2:$B$501,t,Bank_Rates!$D$2:$D$501,"&lt;="&amp;G106),SUMIFS(Bank_Rates!$C$2:$C$501,Bank_Rates!$A$2:$A$501,H106,Bank_Rates!$B$2:$B$501,t,Bank_Rates!$D$2:$D$501,d)))))))</f>
        <v/>
      </c>
      <c r="K106" s="6" t="str">
        <f t="shared" si="2"/>
        <v/>
      </c>
    </row>
    <row r="107" spans="1:11">
      <c r="A107" s="18" t="str">
        <f t="shared" si="3"/>
        <v/>
      </c>
      <c r="B107" s="13"/>
      <c r="C107" s="14"/>
      <c r="D107" s="3"/>
      <c r="E107" s="3"/>
      <c r="F107" s="14"/>
      <c r="G107" s="7">
        <f>RawObservationsTable[[#This Row],[Maturity Date]]-RawObservationsTable[[#This Row],[Timestamp]]</f>
        <v>0</v>
      </c>
      <c r="H107" s="2"/>
      <c r="I107" s="4"/>
      <c r="J107" s="5" t="str">
        <f>IF(OR(H107="",G107="",C107=""),"",LET(n,COUNTIFS(Bank_Rates!$A$2:$A$501,H107,Bank_Rates!$B$2:$B$501,"&lt;="&amp;C107),IF(n=0,"",LET(t,MAXIFS(Bank_Rates!$B$2:$B$501,Bank_Rates!$A$2:$A$501,H107,Bank_Rates!$B$2:$B$501,"&lt;="&amp;C107),m,COUNTIFS(Bank_Rates!$A$2:$A$501,H107,Bank_Rates!$B$2:$B$501,t,Bank_Rates!$D$2:$D$501,"&lt;="&amp;G107),IF(m=0,"",LET(d,MAXIFS(Bank_Rates!$D$2:$D$501,Bank_Rates!$A$2:$A$501,H107,Bank_Rates!$B$2:$B$501,t,Bank_Rates!$D$2:$D$501,"&lt;="&amp;G107),SUMIFS(Bank_Rates!$C$2:$C$501,Bank_Rates!$A$2:$A$501,H107,Bank_Rates!$B$2:$B$501,t,Bank_Rates!$D$2:$D$501,d)))))))</f>
        <v/>
      </c>
      <c r="K107" s="6" t="str">
        <f t="shared" si="2"/>
        <v/>
      </c>
    </row>
    <row r="108" spans="1:11">
      <c r="A108" s="18" t="str">
        <f t="shared" si="3"/>
        <v/>
      </c>
      <c r="B108" s="13"/>
      <c r="C108" s="14"/>
      <c r="D108" s="3"/>
      <c r="E108" s="3"/>
      <c r="F108" s="14"/>
      <c r="G108" s="7">
        <f>RawObservationsTable[[#This Row],[Maturity Date]]-RawObservationsTable[[#This Row],[Timestamp]]</f>
        <v>0</v>
      </c>
      <c r="H108" s="2"/>
      <c r="I108" s="4"/>
      <c r="J108" s="5" t="str">
        <f>IF(OR(H108="",G108="",C108=""),"",LET(n,COUNTIFS(Bank_Rates!$A$2:$A$501,H108,Bank_Rates!$B$2:$B$501,"&lt;="&amp;C108),IF(n=0,"",LET(t,MAXIFS(Bank_Rates!$B$2:$B$501,Bank_Rates!$A$2:$A$501,H108,Bank_Rates!$B$2:$B$501,"&lt;="&amp;C108),m,COUNTIFS(Bank_Rates!$A$2:$A$501,H108,Bank_Rates!$B$2:$B$501,t,Bank_Rates!$D$2:$D$501,"&lt;="&amp;G108),IF(m=0,"",LET(d,MAXIFS(Bank_Rates!$D$2:$D$501,Bank_Rates!$A$2:$A$501,H108,Bank_Rates!$B$2:$B$501,t,Bank_Rates!$D$2:$D$501,"&lt;="&amp;G108),SUMIFS(Bank_Rates!$C$2:$C$501,Bank_Rates!$A$2:$A$501,H108,Bank_Rates!$B$2:$B$501,t,Bank_Rates!$D$2:$D$501,d)))))))</f>
        <v/>
      </c>
      <c r="K108" s="6" t="str">
        <f t="shared" si="2"/>
        <v/>
      </c>
    </row>
    <row r="109" spans="1:11">
      <c r="A109" s="18" t="str">
        <f t="shared" si="3"/>
        <v/>
      </c>
      <c r="B109" s="13"/>
      <c r="C109" s="14"/>
      <c r="D109" s="3"/>
      <c r="E109" s="3"/>
      <c r="F109" s="14"/>
      <c r="G109" s="7">
        <f>RawObservationsTable[[#This Row],[Maturity Date]]-RawObservationsTable[[#This Row],[Timestamp]]</f>
        <v>0</v>
      </c>
      <c r="H109" s="2"/>
      <c r="I109" s="4"/>
      <c r="J109" s="5" t="str">
        <f>IF(OR(H109="",G109="",C109=""),"",LET(n,COUNTIFS(Bank_Rates!$A$2:$A$501,H109,Bank_Rates!$B$2:$B$501,"&lt;="&amp;C109),IF(n=0,"",LET(t,MAXIFS(Bank_Rates!$B$2:$B$501,Bank_Rates!$A$2:$A$501,H109,Bank_Rates!$B$2:$B$501,"&lt;="&amp;C109),m,COUNTIFS(Bank_Rates!$A$2:$A$501,H109,Bank_Rates!$B$2:$B$501,t,Bank_Rates!$D$2:$D$501,"&lt;="&amp;G109),IF(m=0,"",LET(d,MAXIFS(Bank_Rates!$D$2:$D$501,Bank_Rates!$A$2:$A$501,H109,Bank_Rates!$B$2:$B$501,t,Bank_Rates!$D$2:$D$501,"&lt;="&amp;G109),SUMIFS(Bank_Rates!$C$2:$C$501,Bank_Rates!$A$2:$A$501,H109,Bank_Rates!$B$2:$B$501,t,Bank_Rates!$D$2:$D$501,d)))))))</f>
        <v/>
      </c>
      <c r="K109" s="6" t="str">
        <f t="shared" si="2"/>
        <v/>
      </c>
    </row>
    <row r="110" spans="1:11">
      <c r="A110" s="18" t="str">
        <f t="shared" si="3"/>
        <v/>
      </c>
      <c r="B110" s="13"/>
      <c r="C110" s="14"/>
      <c r="D110" s="3"/>
      <c r="E110" s="3"/>
      <c r="F110" s="14"/>
      <c r="G110" s="7">
        <f>RawObservationsTable[[#This Row],[Maturity Date]]-RawObservationsTable[[#This Row],[Timestamp]]</f>
        <v>0</v>
      </c>
      <c r="H110" s="2"/>
      <c r="I110" s="4"/>
      <c r="J110" s="5" t="str">
        <f>IF(OR(H110="",G110="",C110=""),"",LET(n,COUNTIFS(Bank_Rates!$A$2:$A$501,H110,Bank_Rates!$B$2:$B$501,"&lt;="&amp;C110),IF(n=0,"",LET(t,MAXIFS(Bank_Rates!$B$2:$B$501,Bank_Rates!$A$2:$A$501,H110,Bank_Rates!$B$2:$B$501,"&lt;="&amp;C110),m,COUNTIFS(Bank_Rates!$A$2:$A$501,H110,Bank_Rates!$B$2:$B$501,t,Bank_Rates!$D$2:$D$501,"&lt;="&amp;G110),IF(m=0,"",LET(d,MAXIFS(Bank_Rates!$D$2:$D$501,Bank_Rates!$A$2:$A$501,H110,Bank_Rates!$B$2:$B$501,t,Bank_Rates!$D$2:$D$501,"&lt;="&amp;G110),SUMIFS(Bank_Rates!$C$2:$C$501,Bank_Rates!$A$2:$A$501,H110,Bank_Rates!$B$2:$B$501,t,Bank_Rates!$D$2:$D$501,d)))))))</f>
        <v/>
      </c>
      <c r="K110" s="6" t="str">
        <f t="shared" si="2"/>
        <v/>
      </c>
    </row>
    <row r="111" spans="1:11">
      <c r="A111" s="18" t="str">
        <f t="shared" si="3"/>
        <v/>
      </c>
      <c r="B111" s="13"/>
      <c r="C111" s="14"/>
      <c r="D111" s="3"/>
      <c r="E111" s="3"/>
      <c r="F111" s="14"/>
      <c r="G111" s="7">
        <f>RawObservationsTable[[#This Row],[Maturity Date]]-RawObservationsTable[[#This Row],[Timestamp]]</f>
        <v>0</v>
      </c>
      <c r="H111" s="2"/>
      <c r="I111" s="4"/>
      <c r="J111" s="5" t="str">
        <f>IF(OR(H111="",G111="",C111=""),"",LET(n,COUNTIFS(Bank_Rates!$A$2:$A$501,H111,Bank_Rates!$B$2:$B$501,"&lt;="&amp;C111),IF(n=0,"",LET(t,MAXIFS(Bank_Rates!$B$2:$B$501,Bank_Rates!$A$2:$A$501,H111,Bank_Rates!$B$2:$B$501,"&lt;="&amp;C111),m,COUNTIFS(Bank_Rates!$A$2:$A$501,H111,Bank_Rates!$B$2:$B$501,t,Bank_Rates!$D$2:$D$501,"&lt;="&amp;G111),IF(m=0,"",LET(d,MAXIFS(Bank_Rates!$D$2:$D$501,Bank_Rates!$A$2:$A$501,H111,Bank_Rates!$B$2:$B$501,t,Bank_Rates!$D$2:$D$501,"&lt;="&amp;G111),SUMIFS(Bank_Rates!$C$2:$C$501,Bank_Rates!$A$2:$A$501,H111,Bank_Rates!$B$2:$B$501,t,Bank_Rates!$D$2:$D$501,d)))))))</f>
        <v/>
      </c>
      <c r="K111" s="6" t="str">
        <f t="shared" si="2"/>
        <v/>
      </c>
    </row>
    <row r="112" spans="1:11">
      <c r="A112" s="18" t="str">
        <f t="shared" si="3"/>
        <v/>
      </c>
      <c r="B112" s="13"/>
      <c r="C112" s="14"/>
      <c r="D112" s="3"/>
      <c r="E112" s="3"/>
      <c r="F112" s="14"/>
      <c r="G112" s="7">
        <f>RawObservationsTable[[#This Row],[Maturity Date]]-RawObservationsTable[[#This Row],[Timestamp]]</f>
        <v>0</v>
      </c>
      <c r="H112" s="2"/>
      <c r="I112" s="4"/>
      <c r="J112" s="5" t="str">
        <f>IF(OR(H112="",G112="",C112=""),"",LET(n,COUNTIFS(Bank_Rates!$A$2:$A$501,H112,Bank_Rates!$B$2:$B$501,"&lt;="&amp;C112),IF(n=0,"",LET(t,MAXIFS(Bank_Rates!$B$2:$B$501,Bank_Rates!$A$2:$A$501,H112,Bank_Rates!$B$2:$B$501,"&lt;="&amp;C112),m,COUNTIFS(Bank_Rates!$A$2:$A$501,H112,Bank_Rates!$B$2:$B$501,t,Bank_Rates!$D$2:$D$501,"&lt;="&amp;G112),IF(m=0,"",LET(d,MAXIFS(Bank_Rates!$D$2:$D$501,Bank_Rates!$A$2:$A$501,H112,Bank_Rates!$B$2:$B$501,t,Bank_Rates!$D$2:$D$501,"&lt;="&amp;G112),SUMIFS(Bank_Rates!$C$2:$C$501,Bank_Rates!$A$2:$A$501,H112,Bank_Rates!$B$2:$B$501,t,Bank_Rates!$D$2:$D$501,d)))))))</f>
        <v/>
      </c>
      <c r="K112" s="6" t="str">
        <f t="shared" si="2"/>
        <v/>
      </c>
    </row>
    <row r="113" spans="1:11">
      <c r="A113" s="18" t="str">
        <f t="shared" si="3"/>
        <v/>
      </c>
      <c r="B113" s="13"/>
      <c r="C113" s="14"/>
      <c r="D113" s="3"/>
      <c r="E113" s="3"/>
      <c r="F113" s="14"/>
      <c r="G113" s="7">
        <f>RawObservationsTable[[#This Row],[Maturity Date]]-RawObservationsTable[[#This Row],[Timestamp]]</f>
        <v>0</v>
      </c>
      <c r="H113" s="2"/>
      <c r="I113" s="4"/>
      <c r="J113" s="5" t="str">
        <f>IF(OR(H113="",G113="",C113=""),"",LET(n,COUNTIFS(Bank_Rates!$A$2:$A$501,H113,Bank_Rates!$B$2:$B$501,"&lt;="&amp;C113),IF(n=0,"",LET(t,MAXIFS(Bank_Rates!$B$2:$B$501,Bank_Rates!$A$2:$A$501,H113,Bank_Rates!$B$2:$B$501,"&lt;="&amp;C113),m,COUNTIFS(Bank_Rates!$A$2:$A$501,H113,Bank_Rates!$B$2:$B$501,t,Bank_Rates!$D$2:$D$501,"&lt;="&amp;G113),IF(m=0,"",LET(d,MAXIFS(Bank_Rates!$D$2:$D$501,Bank_Rates!$A$2:$A$501,H113,Bank_Rates!$B$2:$B$501,t,Bank_Rates!$D$2:$D$501,"&lt;="&amp;G113),SUMIFS(Bank_Rates!$C$2:$C$501,Bank_Rates!$A$2:$A$501,H113,Bank_Rates!$B$2:$B$501,t,Bank_Rates!$D$2:$D$501,d)))))))</f>
        <v/>
      </c>
      <c r="K113" s="6" t="str">
        <f t="shared" si="2"/>
        <v/>
      </c>
    </row>
    <row r="114" spans="1:11">
      <c r="A114" s="18" t="str">
        <f t="shared" si="3"/>
        <v/>
      </c>
      <c r="B114" s="13"/>
      <c r="C114" s="14"/>
      <c r="D114" s="3"/>
      <c r="E114" s="3"/>
      <c r="F114" s="14"/>
      <c r="G114" s="7">
        <f>RawObservationsTable[[#This Row],[Maturity Date]]-RawObservationsTable[[#This Row],[Timestamp]]</f>
        <v>0</v>
      </c>
      <c r="H114" s="2"/>
      <c r="I114" s="4"/>
      <c r="J114" s="5" t="str">
        <f>IF(OR(H114="",G114="",C114=""),"",LET(n,COUNTIFS(Bank_Rates!$A$2:$A$501,H114,Bank_Rates!$B$2:$B$501,"&lt;="&amp;C114),IF(n=0,"",LET(t,MAXIFS(Bank_Rates!$B$2:$B$501,Bank_Rates!$A$2:$A$501,H114,Bank_Rates!$B$2:$B$501,"&lt;="&amp;C114),m,COUNTIFS(Bank_Rates!$A$2:$A$501,H114,Bank_Rates!$B$2:$B$501,t,Bank_Rates!$D$2:$D$501,"&lt;="&amp;G114),IF(m=0,"",LET(d,MAXIFS(Bank_Rates!$D$2:$D$501,Bank_Rates!$A$2:$A$501,H114,Bank_Rates!$B$2:$B$501,t,Bank_Rates!$D$2:$D$501,"&lt;="&amp;G114),SUMIFS(Bank_Rates!$C$2:$C$501,Bank_Rates!$A$2:$A$501,H114,Bank_Rates!$B$2:$B$501,t,Bank_Rates!$D$2:$D$501,d)))))))</f>
        <v/>
      </c>
      <c r="K114" s="6" t="str">
        <f t="shared" si="2"/>
        <v/>
      </c>
    </row>
    <row r="115" spans="1:11">
      <c r="A115" s="18" t="str">
        <f t="shared" si="3"/>
        <v/>
      </c>
      <c r="B115" s="13"/>
      <c r="C115" s="14"/>
      <c r="D115" s="3"/>
      <c r="E115" s="3"/>
      <c r="F115" s="14"/>
      <c r="G115" s="7">
        <f>RawObservationsTable[[#This Row],[Maturity Date]]-RawObservationsTable[[#This Row],[Timestamp]]</f>
        <v>0</v>
      </c>
      <c r="H115" s="2"/>
      <c r="I115" s="4"/>
      <c r="J115" s="5" t="str">
        <f>IF(OR(H115="",G115="",C115=""),"",LET(n,COUNTIFS(Bank_Rates!$A$2:$A$501,H115,Bank_Rates!$B$2:$B$501,"&lt;="&amp;C115),IF(n=0,"",LET(t,MAXIFS(Bank_Rates!$B$2:$B$501,Bank_Rates!$A$2:$A$501,H115,Bank_Rates!$B$2:$B$501,"&lt;="&amp;C115),m,COUNTIFS(Bank_Rates!$A$2:$A$501,H115,Bank_Rates!$B$2:$B$501,t,Bank_Rates!$D$2:$D$501,"&lt;="&amp;G115),IF(m=0,"",LET(d,MAXIFS(Bank_Rates!$D$2:$D$501,Bank_Rates!$A$2:$A$501,H115,Bank_Rates!$B$2:$B$501,t,Bank_Rates!$D$2:$D$501,"&lt;="&amp;G115),SUMIFS(Bank_Rates!$C$2:$C$501,Bank_Rates!$A$2:$A$501,H115,Bank_Rates!$B$2:$B$501,t,Bank_Rates!$D$2:$D$501,d)))))))</f>
        <v/>
      </c>
      <c r="K115" s="6" t="str">
        <f t="shared" si="2"/>
        <v/>
      </c>
    </row>
    <row r="116" spans="1:11">
      <c r="A116" s="18" t="str">
        <f t="shared" si="3"/>
        <v/>
      </c>
      <c r="B116" s="13"/>
      <c r="C116" s="14"/>
      <c r="D116" s="3"/>
      <c r="E116" s="3"/>
      <c r="F116" s="14"/>
      <c r="G116" s="7">
        <f>RawObservationsTable[[#This Row],[Maturity Date]]-RawObservationsTable[[#This Row],[Timestamp]]</f>
        <v>0</v>
      </c>
      <c r="H116" s="2"/>
      <c r="I116" s="4"/>
      <c r="J116" s="5" t="str">
        <f>IF(OR(H116="",G116="",C116=""),"",LET(n,COUNTIFS(Bank_Rates!$A$2:$A$501,H116,Bank_Rates!$B$2:$B$501,"&lt;="&amp;C116),IF(n=0,"",LET(t,MAXIFS(Bank_Rates!$B$2:$B$501,Bank_Rates!$A$2:$A$501,H116,Bank_Rates!$B$2:$B$501,"&lt;="&amp;C116),m,COUNTIFS(Bank_Rates!$A$2:$A$501,H116,Bank_Rates!$B$2:$B$501,t,Bank_Rates!$D$2:$D$501,"&lt;="&amp;G116),IF(m=0,"",LET(d,MAXIFS(Bank_Rates!$D$2:$D$501,Bank_Rates!$A$2:$A$501,H116,Bank_Rates!$B$2:$B$501,t,Bank_Rates!$D$2:$D$501,"&lt;="&amp;G116),SUMIFS(Bank_Rates!$C$2:$C$501,Bank_Rates!$A$2:$A$501,H116,Bank_Rates!$B$2:$B$501,t,Bank_Rates!$D$2:$D$501,d)))))))</f>
        <v/>
      </c>
      <c r="K116" s="6" t="str">
        <f t="shared" si="2"/>
        <v/>
      </c>
    </row>
    <row r="117" spans="1:11">
      <c r="A117" s="18" t="str">
        <f t="shared" si="3"/>
        <v/>
      </c>
      <c r="B117" s="13"/>
      <c r="C117" s="14"/>
      <c r="D117" s="3"/>
      <c r="E117" s="3"/>
      <c r="F117" s="14"/>
      <c r="G117" s="7">
        <f>RawObservationsTable[[#This Row],[Maturity Date]]-RawObservationsTable[[#This Row],[Timestamp]]</f>
        <v>0</v>
      </c>
      <c r="H117" s="2"/>
      <c r="I117" s="4"/>
      <c r="J117" s="5" t="str">
        <f>IF(OR(H117="",G117="",C117=""),"",LET(n,COUNTIFS(Bank_Rates!$A$2:$A$501,H117,Bank_Rates!$B$2:$B$501,"&lt;="&amp;C117),IF(n=0,"",LET(t,MAXIFS(Bank_Rates!$B$2:$B$501,Bank_Rates!$A$2:$A$501,H117,Bank_Rates!$B$2:$B$501,"&lt;="&amp;C117),m,COUNTIFS(Bank_Rates!$A$2:$A$501,H117,Bank_Rates!$B$2:$B$501,t,Bank_Rates!$D$2:$D$501,"&lt;="&amp;G117),IF(m=0,"",LET(d,MAXIFS(Bank_Rates!$D$2:$D$501,Bank_Rates!$A$2:$A$501,H117,Bank_Rates!$B$2:$B$501,t,Bank_Rates!$D$2:$D$501,"&lt;="&amp;G117),SUMIFS(Bank_Rates!$C$2:$C$501,Bank_Rates!$A$2:$A$501,H117,Bank_Rates!$B$2:$B$501,t,Bank_Rates!$D$2:$D$501,d)))))))</f>
        <v/>
      </c>
      <c r="K117" s="6" t="str">
        <f t="shared" si="2"/>
        <v/>
      </c>
    </row>
    <row r="118" spans="1:11">
      <c r="A118" s="18" t="str">
        <f t="shared" si="3"/>
        <v/>
      </c>
      <c r="B118" s="13"/>
      <c r="C118" s="14"/>
      <c r="D118" s="3"/>
      <c r="E118" s="3"/>
      <c r="F118" s="14"/>
      <c r="G118" s="7">
        <f>RawObservationsTable[[#This Row],[Maturity Date]]-RawObservationsTable[[#This Row],[Timestamp]]</f>
        <v>0</v>
      </c>
      <c r="H118" s="2"/>
      <c r="I118" s="4"/>
      <c r="J118" s="5" t="str">
        <f>IF(OR(H118="",G118="",C118=""),"",LET(n,COUNTIFS(Bank_Rates!$A$2:$A$501,H118,Bank_Rates!$B$2:$B$501,"&lt;="&amp;C118),IF(n=0,"",LET(t,MAXIFS(Bank_Rates!$B$2:$B$501,Bank_Rates!$A$2:$A$501,H118,Bank_Rates!$B$2:$B$501,"&lt;="&amp;C118),m,COUNTIFS(Bank_Rates!$A$2:$A$501,H118,Bank_Rates!$B$2:$B$501,t,Bank_Rates!$D$2:$D$501,"&lt;="&amp;G118),IF(m=0,"",LET(d,MAXIFS(Bank_Rates!$D$2:$D$501,Bank_Rates!$A$2:$A$501,H118,Bank_Rates!$B$2:$B$501,t,Bank_Rates!$D$2:$D$501,"&lt;="&amp;G118),SUMIFS(Bank_Rates!$C$2:$C$501,Bank_Rates!$A$2:$A$501,H118,Bank_Rates!$B$2:$B$501,t,Bank_Rates!$D$2:$D$501,d)))))))</f>
        <v/>
      </c>
      <c r="K118" s="6" t="str">
        <f t="shared" si="2"/>
        <v/>
      </c>
    </row>
    <row r="119" spans="1:11">
      <c r="A119" s="18" t="str">
        <f t="shared" si="3"/>
        <v/>
      </c>
      <c r="B119" s="13"/>
      <c r="C119" s="14"/>
      <c r="D119" s="3"/>
      <c r="E119" s="3"/>
      <c r="F119" s="14"/>
      <c r="G119" s="7">
        <f>RawObservationsTable[[#This Row],[Maturity Date]]-RawObservationsTable[[#This Row],[Timestamp]]</f>
        <v>0</v>
      </c>
      <c r="H119" s="2"/>
      <c r="I119" s="4"/>
      <c r="J119" s="5" t="str">
        <f>IF(OR(H119="",G119="",C119=""),"",LET(n,COUNTIFS(Bank_Rates!$A$2:$A$501,H119,Bank_Rates!$B$2:$B$501,"&lt;="&amp;C119),IF(n=0,"",LET(t,MAXIFS(Bank_Rates!$B$2:$B$501,Bank_Rates!$A$2:$A$501,H119,Bank_Rates!$B$2:$B$501,"&lt;="&amp;C119),m,COUNTIFS(Bank_Rates!$A$2:$A$501,H119,Bank_Rates!$B$2:$B$501,t,Bank_Rates!$D$2:$D$501,"&lt;="&amp;G119),IF(m=0,"",LET(d,MAXIFS(Bank_Rates!$D$2:$D$501,Bank_Rates!$A$2:$A$501,H119,Bank_Rates!$B$2:$B$501,t,Bank_Rates!$D$2:$D$501,"&lt;="&amp;G119),SUMIFS(Bank_Rates!$C$2:$C$501,Bank_Rates!$A$2:$A$501,H119,Bank_Rates!$B$2:$B$501,t,Bank_Rates!$D$2:$D$501,d)))))))</f>
        <v/>
      </c>
      <c r="K119" s="6" t="str">
        <f t="shared" si="2"/>
        <v/>
      </c>
    </row>
    <row r="120" spans="1:11">
      <c r="A120" s="18" t="str">
        <f t="shared" si="3"/>
        <v/>
      </c>
      <c r="B120" s="13"/>
      <c r="C120" s="14"/>
      <c r="D120" s="3"/>
      <c r="E120" s="3"/>
      <c r="F120" s="14"/>
      <c r="G120" s="7">
        <f>RawObservationsTable[[#This Row],[Maturity Date]]-RawObservationsTable[[#This Row],[Timestamp]]</f>
        <v>0</v>
      </c>
      <c r="H120" s="2"/>
      <c r="I120" s="4"/>
      <c r="J120" s="5" t="str">
        <f>IF(OR(H120="",G120="",C120=""),"",LET(n,COUNTIFS(Bank_Rates!$A$2:$A$501,H120,Bank_Rates!$B$2:$B$501,"&lt;="&amp;C120),IF(n=0,"",LET(t,MAXIFS(Bank_Rates!$B$2:$B$501,Bank_Rates!$A$2:$A$501,H120,Bank_Rates!$B$2:$B$501,"&lt;="&amp;C120),m,COUNTIFS(Bank_Rates!$A$2:$A$501,H120,Bank_Rates!$B$2:$B$501,t,Bank_Rates!$D$2:$D$501,"&lt;="&amp;G120),IF(m=0,"",LET(d,MAXIFS(Bank_Rates!$D$2:$D$501,Bank_Rates!$A$2:$A$501,H120,Bank_Rates!$B$2:$B$501,t,Bank_Rates!$D$2:$D$501,"&lt;="&amp;G120),SUMIFS(Bank_Rates!$C$2:$C$501,Bank_Rates!$A$2:$A$501,H120,Bank_Rates!$B$2:$B$501,t,Bank_Rates!$D$2:$D$501,d)))))))</f>
        <v/>
      </c>
      <c r="K120" s="6" t="str">
        <f t="shared" si="2"/>
        <v/>
      </c>
    </row>
    <row r="121" spans="1:11">
      <c r="A121" s="18" t="str">
        <f t="shared" si="3"/>
        <v/>
      </c>
      <c r="B121" s="13"/>
      <c r="C121" s="14"/>
      <c r="D121" s="3"/>
      <c r="E121" s="3"/>
      <c r="F121" s="14"/>
      <c r="G121" s="7">
        <f>RawObservationsTable[[#This Row],[Maturity Date]]-RawObservationsTable[[#This Row],[Timestamp]]</f>
        <v>0</v>
      </c>
      <c r="H121" s="2"/>
      <c r="I121" s="4"/>
      <c r="J121" s="5" t="str">
        <f>IF(OR(H121="",G121="",C121=""),"",LET(n,COUNTIFS(Bank_Rates!$A$2:$A$501,H121,Bank_Rates!$B$2:$B$501,"&lt;="&amp;C121),IF(n=0,"",LET(t,MAXIFS(Bank_Rates!$B$2:$B$501,Bank_Rates!$A$2:$A$501,H121,Bank_Rates!$B$2:$B$501,"&lt;="&amp;C121),m,COUNTIFS(Bank_Rates!$A$2:$A$501,H121,Bank_Rates!$B$2:$B$501,t,Bank_Rates!$D$2:$D$501,"&lt;="&amp;G121),IF(m=0,"",LET(d,MAXIFS(Bank_Rates!$D$2:$D$501,Bank_Rates!$A$2:$A$501,H121,Bank_Rates!$B$2:$B$501,t,Bank_Rates!$D$2:$D$501,"&lt;="&amp;G121),SUMIFS(Bank_Rates!$C$2:$C$501,Bank_Rates!$A$2:$A$501,H121,Bank_Rates!$B$2:$B$501,t,Bank_Rates!$D$2:$D$501,d)))))))</f>
        <v/>
      </c>
      <c r="K121" s="6" t="str">
        <f t="shared" si="2"/>
        <v/>
      </c>
    </row>
    <row r="122" spans="1:11">
      <c r="A122" s="18" t="str">
        <f t="shared" si="3"/>
        <v/>
      </c>
      <c r="B122" s="13"/>
      <c r="C122" s="14"/>
      <c r="D122" s="3"/>
      <c r="E122" s="3"/>
      <c r="F122" s="14"/>
      <c r="G122" s="7">
        <f>RawObservationsTable[[#This Row],[Maturity Date]]-RawObservationsTable[[#This Row],[Timestamp]]</f>
        <v>0</v>
      </c>
      <c r="H122" s="2"/>
      <c r="I122" s="4"/>
      <c r="J122" s="5" t="str">
        <f>IF(OR(H122="",G122="",C122=""),"",LET(n,COUNTIFS(Bank_Rates!$A$2:$A$501,H122,Bank_Rates!$B$2:$B$501,"&lt;="&amp;C122),IF(n=0,"",LET(t,MAXIFS(Bank_Rates!$B$2:$B$501,Bank_Rates!$A$2:$A$501,H122,Bank_Rates!$B$2:$B$501,"&lt;="&amp;C122),m,COUNTIFS(Bank_Rates!$A$2:$A$501,H122,Bank_Rates!$B$2:$B$501,t,Bank_Rates!$D$2:$D$501,"&lt;="&amp;G122),IF(m=0,"",LET(d,MAXIFS(Bank_Rates!$D$2:$D$501,Bank_Rates!$A$2:$A$501,H122,Bank_Rates!$B$2:$B$501,t,Bank_Rates!$D$2:$D$501,"&lt;="&amp;G122),SUMIFS(Bank_Rates!$C$2:$C$501,Bank_Rates!$A$2:$A$501,H122,Bank_Rates!$B$2:$B$501,t,Bank_Rates!$D$2:$D$501,d)))))))</f>
        <v/>
      </c>
      <c r="K122" s="6" t="str">
        <f t="shared" si="2"/>
        <v/>
      </c>
    </row>
    <row r="123" spans="1:11">
      <c r="A123" s="18" t="str">
        <f t="shared" si="3"/>
        <v/>
      </c>
      <c r="B123" s="13"/>
      <c r="C123" s="14"/>
      <c r="D123" s="3"/>
      <c r="E123" s="3"/>
      <c r="F123" s="14"/>
      <c r="G123" s="7">
        <f>RawObservationsTable[[#This Row],[Maturity Date]]-RawObservationsTable[[#This Row],[Timestamp]]</f>
        <v>0</v>
      </c>
      <c r="H123" s="2"/>
      <c r="I123" s="4"/>
      <c r="J123" s="5" t="str">
        <f>IF(OR(H123="",G123="",C123=""),"",LET(n,COUNTIFS(Bank_Rates!$A$2:$A$501,H123,Bank_Rates!$B$2:$B$501,"&lt;="&amp;C123),IF(n=0,"",LET(t,MAXIFS(Bank_Rates!$B$2:$B$501,Bank_Rates!$A$2:$A$501,H123,Bank_Rates!$B$2:$B$501,"&lt;="&amp;C123),m,COUNTIFS(Bank_Rates!$A$2:$A$501,H123,Bank_Rates!$B$2:$B$501,t,Bank_Rates!$D$2:$D$501,"&lt;="&amp;G123),IF(m=0,"",LET(d,MAXIFS(Bank_Rates!$D$2:$D$501,Bank_Rates!$A$2:$A$501,H123,Bank_Rates!$B$2:$B$501,t,Bank_Rates!$D$2:$D$501,"&lt;="&amp;G123),SUMIFS(Bank_Rates!$C$2:$C$501,Bank_Rates!$A$2:$A$501,H123,Bank_Rates!$B$2:$B$501,t,Bank_Rates!$D$2:$D$501,d)))))))</f>
        <v/>
      </c>
      <c r="K123" s="6" t="str">
        <f t="shared" si="2"/>
        <v/>
      </c>
    </row>
    <row r="124" spans="1:11">
      <c r="A124" s="18" t="str">
        <f t="shared" si="3"/>
        <v/>
      </c>
      <c r="B124" s="13"/>
      <c r="C124" s="14"/>
      <c r="D124" s="3"/>
      <c r="E124" s="3"/>
      <c r="F124" s="14"/>
      <c r="G124" s="7">
        <f>RawObservationsTable[[#This Row],[Maturity Date]]-RawObservationsTable[[#This Row],[Timestamp]]</f>
        <v>0</v>
      </c>
      <c r="H124" s="2"/>
      <c r="I124" s="4"/>
      <c r="J124" s="5" t="str">
        <f>IF(OR(H124="",G124="",C124=""),"",LET(n,COUNTIFS(Bank_Rates!$A$2:$A$501,H124,Bank_Rates!$B$2:$B$501,"&lt;="&amp;C124),IF(n=0,"",LET(t,MAXIFS(Bank_Rates!$B$2:$B$501,Bank_Rates!$A$2:$A$501,H124,Bank_Rates!$B$2:$B$501,"&lt;="&amp;C124),m,COUNTIFS(Bank_Rates!$A$2:$A$501,H124,Bank_Rates!$B$2:$B$501,t,Bank_Rates!$D$2:$D$501,"&lt;="&amp;G124),IF(m=0,"",LET(d,MAXIFS(Bank_Rates!$D$2:$D$501,Bank_Rates!$A$2:$A$501,H124,Bank_Rates!$B$2:$B$501,t,Bank_Rates!$D$2:$D$501,"&lt;="&amp;G124),SUMIFS(Bank_Rates!$C$2:$C$501,Bank_Rates!$A$2:$A$501,H124,Bank_Rates!$B$2:$B$501,t,Bank_Rates!$D$2:$D$501,d)))))))</f>
        <v/>
      </c>
      <c r="K124" s="6" t="str">
        <f t="shared" si="2"/>
        <v/>
      </c>
    </row>
    <row r="125" spans="1:11">
      <c r="A125" s="18" t="str">
        <f t="shared" si="3"/>
        <v/>
      </c>
      <c r="B125" s="13"/>
      <c r="C125" s="14"/>
      <c r="D125" s="3"/>
      <c r="E125" s="3"/>
      <c r="F125" s="14"/>
      <c r="G125" s="7">
        <f>RawObservationsTable[[#This Row],[Maturity Date]]-RawObservationsTable[[#This Row],[Timestamp]]</f>
        <v>0</v>
      </c>
      <c r="H125" s="2"/>
      <c r="I125" s="4"/>
      <c r="J125" s="5" t="str">
        <f>IF(OR(H125="",G125="",C125=""),"",LET(n,COUNTIFS(Bank_Rates!$A$2:$A$501,H125,Bank_Rates!$B$2:$B$501,"&lt;="&amp;C125),IF(n=0,"",LET(t,MAXIFS(Bank_Rates!$B$2:$B$501,Bank_Rates!$A$2:$A$501,H125,Bank_Rates!$B$2:$B$501,"&lt;="&amp;C125),m,COUNTIFS(Bank_Rates!$A$2:$A$501,H125,Bank_Rates!$B$2:$B$501,t,Bank_Rates!$D$2:$D$501,"&lt;="&amp;G125),IF(m=0,"",LET(d,MAXIFS(Bank_Rates!$D$2:$D$501,Bank_Rates!$A$2:$A$501,H125,Bank_Rates!$B$2:$B$501,t,Bank_Rates!$D$2:$D$501,"&lt;="&amp;G125),SUMIFS(Bank_Rates!$C$2:$C$501,Bank_Rates!$A$2:$A$501,H125,Bank_Rates!$B$2:$B$501,t,Bank_Rates!$D$2:$D$501,d)))))))</f>
        <v/>
      </c>
      <c r="K125" s="6" t="str">
        <f t="shared" si="2"/>
        <v/>
      </c>
    </row>
    <row r="126" spans="1:11">
      <c r="A126" s="18" t="str">
        <f t="shared" si="3"/>
        <v/>
      </c>
      <c r="B126" s="13"/>
      <c r="C126" s="14"/>
      <c r="D126" s="3"/>
      <c r="E126" s="3"/>
      <c r="F126" s="14"/>
      <c r="G126" s="7">
        <f>RawObservationsTable[[#This Row],[Maturity Date]]-RawObservationsTable[[#This Row],[Timestamp]]</f>
        <v>0</v>
      </c>
      <c r="H126" s="2"/>
      <c r="I126" s="4"/>
      <c r="J126" s="5" t="str">
        <f>IF(OR(H126="",G126="",C126=""),"",LET(n,COUNTIFS(Bank_Rates!$A$2:$A$501,H126,Bank_Rates!$B$2:$B$501,"&lt;="&amp;C126),IF(n=0,"",LET(t,MAXIFS(Bank_Rates!$B$2:$B$501,Bank_Rates!$A$2:$A$501,H126,Bank_Rates!$B$2:$B$501,"&lt;="&amp;C126),m,COUNTIFS(Bank_Rates!$A$2:$A$501,H126,Bank_Rates!$B$2:$B$501,t,Bank_Rates!$D$2:$D$501,"&lt;="&amp;G126),IF(m=0,"",LET(d,MAXIFS(Bank_Rates!$D$2:$D$501,Bank_Rates!$A$2:$A$501,H126,Bank_Rates!$B$2:$B$501,t,Bank_Rates!$D$2:$D$501,"&lt;="&amp;G126),SUMIFS(Bank_Rates!$C$2:$C$501,Bank_Rates!$A$2:$A$501,H126,Bank_Rates!$B$2:$B$501,t,Bank_Rates!$D$2:$D$501,d)))))))</f>
        <v/>
      </c>
      <c r="K126" s="6" t="str">
        <f t="shared" si="2"/>
        <v/>
      </c>
    </row>
    <row r="127" spans="1:11">
      <c r="A127" s="18" t="str">
        <f t="shared" si="3"/>
        <v/>
      </c>
      <c r="B127" s="13"/>
      <c r="C127" s="14"/>
      <c r="D127" s="3"/>
      <c r="E127" s="3"/>
      <c r="F127" s="14"/>
      <c r="G127" s="7">
        <f>RawObservationsTable[[#This Row],[Maturity Date]]-RawObservationsTable[[#This Row],[Timestamp]]</f>
        <v>0</v>
      </c>
      <c r="H127" s="2"/>
      <c r="I127" s="4"/>
      <c r="J127" s="5" t="str">
        <f>IF(OR(H127="",G127="",C127=""),"",LET(n,COUNTIFS(Bank_Rates!$A$2:$A$501,H127,Bank_Rates!$B$2:$B$501,"&lt;="&amp;C127),IF(n=0,"",LET(t,MAXIFS(Bank_Rates!$B$2:$B$501,Bank_Rates!$A$2:$A$501,H127,Bank_Rates!$B$2:$B$501,"&lt;="&amp;C127),m,COUNTIFS(Bank_Rates!$A$2:$A$501,H127,Bank_Rates!$B$2:$B$501,t,Bank_Rates!$D$2:$D$501,"&lt;="&amp;G127),IF(m=0,"",LET(d,MAXIFS(Bank_Rates!$D$2:$D$501,Bank_Rates!$A$2:$A$501,H127,Bank_Rates!$B$2:$B$501,t,Bank_Rates!$D$2:$D$501,"&lt;="&amp;G127),SUMIFS(Bank_Rates!$C$2:$C$501,Bank_Rates!$A$2:$A$501,H127,Bank_Rates!$B$2:$B$501,t,Bank_Rates!$D$2:$D$501,d)))))))</f>
        <v/>
      </c>
      <c r="K127" s="6" t="str">
        <f t="shared" si="2"/>
        <v/>
      </c>
    </row>
    <row r="128" spans="1:11">
      <c r="A128" s="18" t="str">
        <f t="shared" si="3"/>
        <v/>
      </c>
      <c r="B128" s="13"/>
      <c r="C128" s="14"/>
      <c r="D128" s="3"/>
      <c r="E128" s="3"/>
      <c r="F128" s="14"/>
      <c r="G128" s="7">
        <f>RawObservationsTable[[#This Row],[Maturity Date]]-RawObservationsTable[[#This Row],[Timestamp]]</f>
        <v>0</v>
      </c>
      <c r="H128" s="2"/>
      <c r="I128" s="4"/>
      <c r="J128" s="5" t="str">
        <f>IF(OR(H128="",G128="",C128=""),"",LET(n,COUNTIFS(Bank_Rates!$A$2:$A$501,H128,Bank_Rates!$B$2:$B$501,"&lt;="&amp;C128),IF(n=0,"",LET(t,MAXIFS(Bank_Rates!$B$2:$B$501,Bank_Rates!$A$2:$A$501,H128,Bank_Rates!$B$2:$B$501,"&lt;="&amp;C128),m,COUNTIFS(Bank_Rates!$A$2:$A$501,H128,Bank_Rates!$B$2:$B$501,t,Bank_Rates!$D$2:$D$501,"&lt;="&amp;G128),IF(m=0,"",LET(d,MAXIFS(Bank_Rates!$D$2:$D$501,Bank_Rates!$A$2:$A$501,H128,Bank_Rates!$B$2:$B$501,t,Bank_Rates!$D$2:$D$501,"&lt;="&amp;G128),SUMIFS(Bank_Rates!$C$2:$C$501,Bank_Rates!$A$2:$A$501,H128,Bank_Rates!$B$2:$B$501,t,Bank_Rates!$D$2:$D$501,d)))))))</f>
        <v/>
      </c>
      <c r="K128" s="6" t="str">
        <f t="shared" si="2"/>
        <v/>
      </c>
    </row>
    <row r="129" spans="1:11">
      <c r="A129" s="18" t="str">
        <f t="shared" si="3"/>
        <v/>
      </c>
      <c r="B129" s="13"/>
      <c r="C129" s="14"/>
      <c r="D129" s="3"/>
      <c r="E129" s="3"/>
      <c r="F129" s="14"/>
      <c r="G129" s="7">
        <f>RawObservationsTable[[#This Row],[Maturity Date]]-RawObservationsTable[[#This Row],[Timestamp]]</f>
        <v>0</v>
      </c>
      <c r="H129" s="2"/>
      <c r="I129" s="4"/>
      <c r="J129" s="5" t="str">
        <f>IF(OR(H129="",G129="",C129=""),"",LET(n,COUNTIFS(Bank_Rates!$A$2:$A$501,H129,Bank_Rates!$B$2:$B$501,"&lt;="&amp;C129),IF(n=0,"",LET(t,MAXIFS(Bank_Rates!$B$2:$B$501,Bank_Rates!$A$2:$A$501,H129,Bank_Rates!$B$2:$B$501,"&lt;="&amp;C129),m,COUNTIFS(Bank_Rates!$A$2:$A$501,H129,Bank_Rates!$B$2:$B$501,t,Bank_Rates!$D$2:$D$501,"&lt;="&amp;G129),IF(m=0,"",LET(d,MAXIFS(Bank_Rates!$D$2:$D$501,Bank_Rates!$A$2:$A$501,H129,Bank_Rates!$B$2:$B$501,t,Bank_Rates!$D$2:$D$501,"&lt;="&amp;G129),SUMIFS(Bank_Rates!$C$2:$C$501,Bank_Rates!$A$2:$A$501,H129,Bank_Rates!$B$2:$B$501,t,Bank_Rates!$D$2:$D$501,d)))))))</f>
        <v/>
      </c>
      <c r="K129" s="6" t="str">
        <f t="shared" si="2"/>
        <v/>
      </c>
    </row>
    <row r="130" spans="1:11">
      <c r="A130" s="18" t="str">
        <f t="shared" si="3"/>
        <v/>
      </c>
      <c r="B130" s="13"/>
      <c r="C130" s="14"/>
      <c r="D130" s="3"/>
      <c r="E130" s="3"/>
      <c r="F130" s="14"/>
      <c r="G130" s="7">
        <f>RawObservationsTable[[#This Row],[Maturity Date]]-RawObservationsTable[[#This Row],[Timestamp]]</f>
        <v>0</v>
      </c>
      <c r="H130" s="2"/>
      <c r="I130" s="4"/>
      <c r="J130" s="5" t="str">
        <f>IF(OR(H130="",G130="",C130=""),"",LET(n,COUNTIFS(Bank_Rates!$A$2:$A$501,H130,Bank_Rates!$B$2:$B$501,"&lt;="&amp;C130),IF(n=0,"",LET(t,MAXIFS(Bank_Rates!$B$2:$B$501,Bank_Rates!$A$2:$A$501,H130,Bank_Rates!$B$2:$B$501,"&lt;="&amp;C130),m,COUNTIFS(Bank_Rates!$A$2:$A$501,H130,Bank_Rates!$B$2:$B$501,t,Bank_Rates!$D$2:$D$501,"&lt;="&amp;G130),IF(m=0,"",LET(d,MAXIFS(Bank_Rates!$D$2:$D$501,Bank_Rates!$A$2:$A$501,H130,Bank_Rates!$B$2:$B$501,t,Bank_Rates!$D$2:$D$501,"&lt;="&amp;G130),SUMIFS(Bank_Rates!$C$2:$C$501,Bank_Rates!$A$2:$A$501,H130,Bank_Rates!$B$2:$B$501,t,Bank_Rates!$D$2:$D$501,d)))))))</f>
        <v/>
      </c>
      <c r="K130" s="6" t="str">
        <f t="shared" ref="K130:K193" si="4">IF(OR(I130="",J130=""),"",I130-J130)</f>
        <v/>
      </c>
    </row>
    <row r="131" spans="1:11">
      <c r="A131" s="18" t="str">
        <f t="shared" ref="A131:A194" si="5">IF(B131&lt;&gt;"","L-"&amp;TEXT(ROW()-1,"0000"),"")</f>
        <v/>
      </c>
      <c r="B131" s="13"/>
      <c r="C131" s="14"/>
      <c r="D131" s="3"/>
      <c r="E131" s="3"/>
      <c r="F131" s="14"/>
      <c r="G131" s="7">
        <f>RawObservationsTable[[#This Row],[Maturity Date]]-RawObservationsTable[[#This Row],[Timestamp]]</f>
        <v>0</v>
      </c>
      <c r="H131" s="2"/>
      <c r="I131" s="4"/>
      <c r="J131" s="5" t="str">
        <f>IF(OR(H131="",G131="",C131=""),"",LET(n,COUNTIFS(Bank_Rates!$A$2:$A$501,H131,Bank_Rates!$B$2:$B$501,"&lt;="&amp;C131),IF(n=0,"",LET(t,MAXIFS(Bank_Rates!$B$2:$B$501,Bank_Rates!$A$2:$A$501,H131,Bank_Rates!$B$2:$B$501,"&lt;="&amp;C131),m,COUNTIFS(Bank_Rates!$A$2:$A$501,H131,Bank_Rates!$B$2:$B$501,t,Bank_Rates!$D$2:$D$501,"&lt;="&amp;G131),IF(m=0,"",LET(d,MAXIFS(Bank_Rates!$D$2:$D$501,Bank_Rates!$A$2:$A$501,H131,Bank_Rates!$B$2:$B$501,t,Bank_Rates!$D$2:$D$501,"&lt;="&amp;G131),SUMIFS(Bank_Rates!$C$2:$C$501,Bank_Rates!$A$2:$A$501,H131,Bank_Rates!$B$2:$B$501,t,Bank_Rates!$D$2:$D$501,d)))))))</f>
        <v/>
      </c>
      <c r="K131" s="6" t="str">
        <f t="shared" si="4"/>
        <v/>
      </c>
    </row>
    <row r="132" spans="1:11">
      <c r="A132" s="18" t="str">
        <f t="shared" si="5"/>
        <v/>
      </c>
      <c r="B132" s="13"/>
      <c r="C132" s="14"/>
      <c r="D132" s="3"/>
      <c r="E132" s="3"/>
      <c r="F132" s="14"/>
      <c r="G132" s="7">
        <f>RawObservationsTable[[#This Row],[Maturity Date]]-RawObservationsTable[[#This Row],[Timestamp]]</f>
        <v>0</v>
      </c>
      <c r="H132" s="2"/>
      <c r="I132" s="4"/>
      <c r="J132" s="5" t="str">
        <f>IF(OR(H132="",G132="",C132=""),"",LET(n,COUNTIFS(Bank_Rates!$A$2:$A$501,H132,Bank_Rates!$B$2:$B$501,"&lt;="&amp;C132),IF(n=0,"",LET(t,MAXIFS(Bank_Rates!$B$2:$B$501,Bank_Rates!$A$2:$A$501,H132,Bank_Rates!$B$2:$B$501,"&lt;="&amp;C132),m,COUNTIFS(Bank_Rates!$A$2:$A$501,H132,Bank_Rates!$B$2:$B$501,t,Bank_Rates!$D$2:$D$501,"&lt;="&amp;G132),IF(m=0,"",LET(d,MAXIFS(Bank_Rates!$D$2:$D$501,Bank_Rates!$A$2:$A$501,H132,Bank_Rates!$B$2:$B$501,t,Bank_Rates!$D$2:$D$501,"&lt;="&amp;G132),SUMIFS(Bank_Rates!$C$2:$C$501,Bank_Rates!$A$2:$A$501,H132,Bank_Rates!$B$2:$B$501,t,Bank_Rates!$D$2:$D$501,d)))))))</f>
        <v/>
      </c>
      <c r="K132" s="6" t="str">
        <f t="shared" si="4"/>
        <v/>
      </c>
    </row>
    <row r="133" spans="1:11">
      <c r="A133" s="18" t="str">
        <f t="shared" si="5"/>
        <v/>
      </c>
      <c r="B133" s="13"/>
      <c r="C133" s="14"/>
      <c r="D133" s="3"/>
      <c r="E133" s="3"/>
      <c r="F133" s="14"/>
      <c r="G133" s="7">
        <f>RawObservationsTable[[#This Row],[Maturity Date]]-RawObservationsTable[[#This Row],[Timestamp]]</f>
        <v>0</v>
      </c>
      <c r="H133" s="2"/>
      <c r="I133" s="4"/>
      <c r="J133" s="5" t="str">
        <f>IF(OR(H133="",G133="",C133=""),"",LET(n,COUNTIFS(Bank_Rates!$A$2:$A$501,H133,Bank_Rates!$B$2:$B$501,"&lt;="&amp;C133),IF(n=0,"",LET(t,MAXIFS(Bank_Rates!$B$2:$B$501,Bank_Rates!$A$2:$A$501,H133,Bank_Rates!$B$2:$B$501,"&lt;="&amp;C133),m,COUNTIFS(Bank_Rates!$A$2:$A$501,H133,Bank_Rates!$B$2:$B$501,t,Bank_Rates!$D$2:$D$501,"&lt;="&amp;G133),IF(m=0,"",LET(d,MAXIFS(Bank_Rates!$D$2:$D$501,Bank_Rates!$A$2:$A$501,H133,Bank_Rates!$B$2:$B$501,t,Bank_Rates!$D$2:$D$501,"&lt;="&amp;G133),SUMIFS(Bank_Rates!$C$2:$C$501,Bank_Rates!$A$2:$A$501,H133,Bank_Rates!$B$2:$B$501,t,Bank_Rates!$D$2:$D$501,d)))))))</f>
        <v/>
      </c>
      <c r="K133" s="6" t="str">
        <f t="shared" si="4"/>
        <v/>
      </c>
    </row>
    <row r="134" spans="1:11">
      <c r="A134" s="18" t="str">
        <f t="shared" si="5"/>
        <v/>
      </c>
      <c r="B134" s="13"/>
      <c r="C134" s="14"/>
      <c r="D134" s="3"/>
      <c r="E134" s="3"/>
      <c r="F134" s="14"/>
      <c r="G134" s="7">
        <f>RawObservationsTable[[#This Row],[Maturity Date]]-RawObservationsTable[[#This Row],[Timestamp]]</f>
        <v>0</v>
      </c>
      <c r="H134" s="2"/>
      <c r="I134" s="4"/>
      <c r="J134" s="5" t="str">
        <f>IF(OR(H134="",G134="",C134=""),"",LET(n,COUNTIFS(Bank_Rates!$A$2:$A$501,H134,Bank_Rates!$B$2:$B$501,"&lt;="&amp;C134),IF(n=0,"",LET(t,MAXIFS(Bank_Rates!$B$2:$B$501,Bank_Rates!$A$2:$A$501,H134,Bank_Rates!$B$2:$B$501,"&lt;="&amp;C134),m,COUNTIFS(Bank_Rates!$A$2:$A$501,H134,Bank_Rates!$B$2:$B$501,t,Bank_Rates!$D$2:$D$501,"&lt;="&amp;G134),IF(m=0,"",LET(d,MAXIFS(Bank_Rates!$D$2:$D$501,Bank_Rates!$A$2:$A$501,H134,Bank_Rates!$B$2:$B$501,t,Bank_Rates!$D$2:$D$501,"&lt;="&amp;G134),SUMIFS(Bank_Rates!$C$2:$C$501,Bank_Rates!$A$2:$A$501,H134,Bank_Rates!$B$2:$B$501,t,Bank_Rates!$D$2:$D$501,d)))))))</f>
        <v/>
      </c>
      <c r="K134" s="6" t="str">
        <f t="shared" si="4"/>
        <v/>
      </c>
    </row>
    <row r="135" spans="1:11">
      <c r="A135" s="18" t="str">
        <f t="shared" si="5"/>
        <v/>
      </c>
      <c r="B135" s="13"/>
      <c r="C135" s="14"/>
      <c r="D135" s="3"/>
      <c r="E135" s="3"/>
      <c r="F135" s="14"/>
      <c r="G135" s="7">
        <f>RawObservationsTable[[#This Row],[Maturity Date]]-RawObservationsTable[[#This Row],[Timestamp]]</f>
        <v>0</v>
      </c>
      <c r="H135" s="2"/>
      <c r="I135" s="4"/>
      <c r="J135" s="5" t="str">
        <f>IF(OR(H135="",G135="",C135=""),"",LET(n,COUNTIFS(Bank_Rates!$A$2:$A$501,H135,Bank_Rates!$B$2:$B$501,"&lt;="&amp;C135),IF(n=0,"",LET(t,MAXIFS(Bank_Rates!$B$2:$B$501,Bank_Rates!$A$2:$A$501,H135,Bank_Rates!$B$2:$B$501,"&lt;="&amp;C135),m,COUNTIFS(Bank_Rates!$A$2:$A$501,H135,Bank_Rates!$B$2:$B$501,t,Bank_Rates!$D$2:$D$501,"&lt;="&amp;G135),IF(m=0,"",LET(d,MAXIFS(Bank_Rates!$D$2:$D$501,Bank_Rates!$A$2:$A$501,H135,Bank_Rates!$B$2:$B$501,t,Bank_Rates!$D$2:$D$501,"&lt;="&amp;G135),SUMIFS(Bank_Rates!$C$2:$C$501,Bank_Rates!$A$2:$A$501,H135,Bank_Rates!$B$2:$B$501,t,Bank_Rates!$D$2:$D$501,d)))))))</f>
        <v/>
      </c>
      <c r="K135" s="6" t="str">
        <f t="shared" si="4"/>
        <v/>
      </c>
    </row>
    <row r="136" spans="1:11">
      <c r="A136" s="18" t="str">
        <f t="shared" si="5"/>
        <v/>
      </c>
      <c r="B136" s="13"/>
      <c r="C136" s="14"/>
      <c r="D136" s="3"/>
      <c r="E136" s="3"/>
      <c r="F136" s="14"/>
      <c r="G136" s="7">
        <f>RawObservationsTable[[#This Row],[Maturity Date]]-RawObservationsTable[[#This Row],[Timestamp]]</f>
        <v>0</v>
      </c>
      <c r="H136" s="2"/>
      <c r="I136" s="4"/>
      <c r="J136" s="5" t="str">
        <f>IF(OR(H136="",G136="",C136=""),"",LET(n,COUNTIFS(Bank_Rates!$A$2:$A$501,H136,Bank_Rates!$B$2:$B$501,"&lt;="&amp;C136),IF(n=0,"",LET(t,MAXIFS(Bank_Rates!$B$2:$B$501,Bank_Rates!$A$2:$A$501,H136,Bank_Rates!$B$2:$B$501,"&lt;="&amp;C136),m,COUNTIFS(Bank_Rates!$A$2:$A$501,H136,Bank_Rates!$B$2:$B$501,t,Bank_Rates!$D$2:$D$501,"&lt;="&amp;G136),IF(m=0,"",LET(d,MAXIFS(Bank_Rates!$D$2:$D$501,Bank_Rates!$A$2:$A$501,H136,Bank_Rates!$B$2:$B$501,t,Bank_Rates!$D$2:$D$501,"&lt;="&amp;G136),SUMIFS(Bank_Rates!$C$2:$C$501,Bank_Rates!$A$2:$A$501,H136,Bank_Rates!$B$2:$B$501,t,Bank_Rates!$D$2:$D$501,d)))))))</f>
        <v/>
      </c>
      <c r="K136" s="6" t="str">
        <f t="shared" si="4"/>
        <v/>
      </c>
    </row>
    <row r="137" spans="1:11">
      <c r="A137" s="18" t="str">
        <f t="shared" si="5"/>
        <v/>
      </c>
      <c r="B137" s="13"/>
      <c r="C137" s="14"/>
      <c r="D137" s="3"/>
      <c r="E137" s="3"/>
      <c r="F137" s="14"/>
      <c r="G137" s="7">
        <f>RawObservationsTable[[#This Row],[Maturity Date]]-RawObservationsTable[[#This Row],[Timestamp]]</f>
        <v>0</v>
      </c>
      <c r="H137" s="2"/>
      <c r="I137" s="4"/>
      <c r="J137" s="5" t="str">
        <f>IF(OR(H137="",G137="",C137=""),"",LET(n,COUNTIFS(Bank_Rates!$A$2:$A$501,H137,Bank_Rates!$B$2:$B$501,"&lt;="&amp;C137),IF(n=0,"",LET(t,MAXIFS(Bank_Rates!$B$2:$B$501,Bank_Rates!$A$2:$A$501,H137,Bank_Rates!$B$2:$B$501,"&lt;="&amp;C137),m,COUNTIFS(Bank_Rates!$A$2:$A$501,H137,Bank_Rates!$B$2:$B$501,t,Bank_Rates!$D$2:$D$501,"&lt;="&amp;G137),IF(m=0,"",LET(d,MAXIFS(Bank_Rates!$D$2:$D$501,Bank_Rates!$A$2:$A$501,H137,Bank_Rates!$B$2:$B$501,t,Bank_Rates!$D$2:$D$501,"&lt;="&amp;G137),SUMIFS(Bank_Rates!$C$2:$C$501,Bank_Rates!$A$2:$A$501,H137,Bank_Rates!$B$2:$B$501,t,Bank_Rates!$D$2:$D$501,d)))))))</f>
        <v/>
      </c>
      <c r="K137" s="6" t="str">
        <f t="shared" si="4"/>
        <v/>
      </c>
    </row>
    <row r="138" spans="1:11">
      <c r="A138" s="18" t="str">
        <f t="shared" si="5"/>
        <v/>
      </c>
      <c r="B138" s="13"/>
      <c r="C138" s="14"/>
      <c r="D138" s="3"/>
      <c r="E138" s="3"/>
      <c r="F138" s="14"/>
      <c r="G138" s="7">
        <f>RawObservationsTable[[#This Row],[Maturity Date]]-RawObservationsTable[[#This Row],[Timestamp]]</f>
        <v>0</v>
      </c>
      <c r="H138" s="2"/>
      <c r="I138" s="4"/>
      <c r="J138" s="5" t="str">
        <f>IF(OR(H138="",G138="",C138=""),"",LET(n,COUNTIFS(Bank_Rates!$A$2:$A$501,H138,Bank_Rates!$B$2:$B$501,"&lt;="&amp;C138),IF(n=0,"",LET(t,MAXIFS(Bank_Rates!$B$2:$B$501,Bank_Rates!$A$2:$A$501,H138,Bank_Rates!$B$2:$B$501,"&lt;="&amp;C138),m,COUNTIFS(Bank_Rates!$A$2:$A$501,H138,Bank_Rates!$B$2:$B$501,t,Bank_Rates!$D$2:$D$501,"&lt;="&amp;G138),IF(m=0,"",LET(d,MAXIFS(Bank_Rates!$D$2:$D$501,Bank_Rates!$A$2:$A$501,H138,Bank_Rates!$B$2:$B$501,t,Bank_Rates!$D$2:$D$501,"&lt;="&amp;G138),SUMIFS(Bank_Rates!$C$2:$C$501,Bank_Rates!$A$2:$A$501,H138,Bank_Rates!$B$2:$B$501,t,Bank_Rates!$D$2:$D$501,d)))))))</f>
        <v/>
      </c>
      <c r="K138" s="6" t="str">
        <f t="shared" si="4"/>
        <v/>
      </c>
    </row>
    <row r="139" spans="1:11">
      <c r="A139" s="18" t="str">
        <f t="shared" si="5"/>
        <v/>
      </c>
      <c r="B139" s="13"/>
      <c r="C139" s="14"/>
      <c r="D139" s="3"/>
      <c r="E139" s="3"/>
      <c r="F139" s="14"/>
      <c r="G139" s="7">
        <f>RawObservationsTable[[#This Row],[Maturity Date]]-RawObservationsTable[[#This Row],[Timestamp]]</f>
        <v>0</v>
      </c>
      <c r="H139" s="2"/>
      <c r="I139" s="4"/>
      <c r="J139" s="5" t="str">
        <f>IF(OR(H139="",G139="",C139=""),"",LET(n,COUNTIFS(Bank_Rates!$A$2:$A$501,H139,Bank_Rates!$B$2:$B$501,"&lt;="&amp;C139),IF(n=0,"",LET(t,MAXIFS(Bank_Rates!$B$2:$B$501,Bank_Rates!$A$2:$A$501,H139,Bank_Rates!$B$2:$B$501,"&lt;="&amp;C139),m,COUNTIFS(Bank_Rates!$A$2:$A$501,H139,Bank_Rates!$B$2:$B$501,t,Bank_Rates!$D$2:$D$501,"&lt;="&amp;G139),IF(m=0,"",LET(d,MAXIFS(Bank_Rates!$D$2:$D$501,Bank_Rates!$A$2:$A$501,H139,Bank_Rates!$B$2:$B$501,t,Bank_Rates!$D$2:$D$501,"&lt;="&amp;G139),SUMIFS(Bank_Rates!$C$2:$C$501,Bank_Rates!$A$2:$A$501,H139,Bank_Rates!$B$2:$B$501,t,Bank_Rates!$D$2:$D$501,d)))))))</f>
        <v/>
      </c>
      <c r="K139" s="6" t="str">
        <f t="shared" si="4"/>
        <v/>
      </c>
    </row>
    <row r="140" spans="1:11">
      <c r="A140" s="18" t="str">
        <f t="shared" si="5"/>
        <v/>
      </c>
      <c r="B140" s="13"/>
      <c r="C140" s="14"/>
      <c r="D140" s="3"/>
      <c r="E140" s="3"/>
      <c r="F140" s="14"/>
      <c r="G140" s="7">
        <f>RawObservationsTable[[#This Row],[Maturity Date]]-RawObservationsTable[[#This Row],[Timestamp]]</f>
        <v>0</v>
      </c>
      <c r="H140" s="2"/>
      <c r="I140" s="4"/>
      <c r="J140" s="5" t="str">
        <f>IF(OR(H140="",G140="",C140=""),"",LET(n,COUNTIFS(Bank_Rates!$A$2:$A$501,H140,Bank_Rates!$B$2:$B$501,"&lt;="&amp;C140),IF(n=0,"",LET(t,MAXIFS(Bank_Rates!$B$2:$B$501,Bank_Rates!$A$2:$A$501,H140,Bank_Rates!$B$2:$B$501,"&lt;="&amp;C140),m,COUNTIFS(Bank_Rates!$A$2:$A$501,H140,Bank_Rates!$B$2:$B$501,t,Bank_Rates!$D$2:$D$501,"&lt;="&amp;G140),IF(m=0,"",LET(d,MAXIFS(Bank_Rates!$D$2:$D$501,Bank_Rates!$A$2:$A$501,H140,Bank_Rates!$B$2:$B$501,t,Bank_Rates!$D$2:$D$501,"&lt;="&amp;G140),SUMIFS(Bank_Rates!$C$2:$C$501,Bank_Rates!$A$2:$A$501,H140,Bank_Rates!$B$2:$B$501,t,Bank_Rates!$D$2:$D$501,d)))))))</f>
        <v/>
      </c>
      <c r="K140" s="6" t="str">
        <f t="shared" si="4"/>
        <v/>
      </c>
    </row>
    <row r="141" spans="1:11">
      <c r="A141" s="18" t="str">
        <f t="shared" si="5"/>
        <v/>
      </c>
      <c r="B141" s="13"/>
      <c r="C141" s="14"/>
      <c r="D141" s="3"/>
      <c r="E141" s="3"/>
      <c r="F141" s="14"/>
      <c r="G141" s="7">
        <f>RawObservationsTable[[#This Row],[Maturity Date]]-RawObservationsTable[[#This Row],[Timestamp]]</f>
        <v>0</v>
      </c>
      <c r="H141" s="2"/>
      <c r="I141" s="4"/>
      <c r="J141" s="5" t="str">
        <f>IF(OR(H141="",G141="",C141=""),"",LET(n,COUNTIFS(Bank_Rates!$A$2:$A$501,H141,Bank_Rates!$B$2:$B$501,"&lt;="&amp;C141),IF(n=0,"",LET(t,MAXIFS(Bank_Rates!$B$2:$B$501,Bank_Rates!$A$2:$A$501,H141,Bank_Rates!$B$2:$B$501,"&lt;="&amp;C141),m,COUNTIFS(Bank_Rates!$A$2:$A$501,H141,Bank_Rates!$B$2:$B$501,t,Bank_Rates!$D$2:$D$501,"&lt;="&amp;G141),IF(m=0,"",LET(d,MAXIFS(Bank_Rates!$D$2:$D$501,Bank_Rates!$A$2:$A$501,H141,Bank_Rates!$B$2:$B$501,t,Bank_Rates!$D$2:$D$501,"&lt;="&amp;G141),SUMIFS(Bank_Rates!$C$2:$C$501,Bank_Rates!$A$2:$A$501,H141,Bank_Rates!$B$2:$B$501,t,Bank_Rates!$D$2:$D$501,d)))))))</f>
        <v/>
      </c>
      <c r="K141" s="6" t="str">
        <f t="shared" si="4"/>
        <v/>
      </c>
    </row>
    <row r="142" spans="1:11">
      <c r="A142" s="18" t="str">
        <f t="shared" si="5"/>
        <v/>
      </c>
      <c r="B142" s="13"/>
      <c r="C142" s="14"/>
      <c r="D142" s="3"/>
      <c r="E142" s="3"/>
      <c r="F142" s="14"/>
      <c r="G142" s="7">
        <f>RawObservationsTable[[#This Row],[Maturity Date]]-RawObservationsTable[[#This Row],[Timestamp]]</f>
        <v>0</v>
      </c>
      <c r="H142" s="2"/>
      <c r="I142" s="4"/>
      <c r="J142" s="5" t="str">
        <f>IF(OR(H142="",G142="",C142=""),"",LET(n,COUNTIFS(Bank_Rates!$A$2:$A$501,H142,Bank_Rates!$B$2:$B$501,"&lt;="&amp;C142),IF(n=0,"",LET(t,MAXIFS(Bank_Rates!$B$2:$B$501,Bank_Rates!$A$2:$A$501,H142,Bank_Rates!$B$2:$B$501,"&lt;="&amp;C142),m,COUNTIFS(Bank_Rates!$A$2:$A$501,H142,Bank_Rates!$B$2:$B$501,t,Bank_Rates!$D$2:$D$501,"&lt;="&amp;G142),IF(m=0,"",LET(d,MAXIFS(Bank_Rates!$D$2:$D$501,Bank_Rates!$A$2:$A$501,H142,Bank_Rates!$B$2:$B$501,t,Bank_Rates!$D$2:$D$501,"&lt;="&amp;G142),SUMIFS(Bank_Rates!$C$2:$C$501,Bank_Rates!$A$2:$A$501,H142,Bank_Rates!$B$2:$B$501,t,Bank_Rates!$D$2:$D$501,d)))))))</f>
        <v/>
      </c>
      <c r="K142" s="6" t="str">
        <f t="shared" si="4"/>
        <v/>
      </c>
    </row>
    <row r="143" spans="1:11">
      <c r="A143" s="18" t="str">
        <f t="shared" si="5"/>
        <v/>
      </c>
      <c r="B143" s="13"/>
      <c r="C143" s="14"/>
      <c r="D143" s="3"/>
      <c r="E143" s="3"/>
      <c r="F143" s="14"/>
      <c r="G143" s="7">
        <f>RawObservationsTable[[#This Row],[Maturity Date]]-RawObservationsTable[[#This Row],[Timestamp]]</f>
        <v>0</v>
      </c>
      <c r="H143" s="2"/>
      <c r="I143" s="4"/>
      <c r="J143" s="5" t="str">
        <f>IF(OR(H143="",G143="",C143=""),"",LET(n,COUNTIFS(Bank_Rates!$A$2:$A$501,H143,Bank_Rates!$B$2:$B$501,"&lt;="&amp;C143),IF(n=0,"",LET(t,MAXIFS(Bank_Rates!$B$2:$B$501,Bank_Rates!$A$2:$A$501,H143,Bank_Rates!$B$2:$B$501,"&lt;="&amp;C143),m,COUNTIFS(Bank_Rates!$A$2:$A$501,H143,Bank_Rates!$B$2:$B$501,t,Bank_Rates!$D$2:$D$501,"&lt;="&amp;G143),IF(m=0,"",LET(d,MAXIFS(Bank_Rates!$D$2:$D$501,Bank_Rates!$A$2:$A$501,H143,Bank_Rates!$B$2:$B$501,t,Bank_Rates!$D$2:$D$501,"&lt;="&amp;G143),SUMIFS(Bank_Rates!$C$2:$C$501,Bank_Rates!$A$2:$A$501,H143,Bank_Rates!$B$2:$B$501,t,Bank_Rates!$D$2:$D$501,d)))))))</f>
        <v/>
      </c>
      <c r="K143" s="6" t="str">
        <f t="shared" si="4"/>
        <v/>
      </c>
    </row>
    <row r="144" spans="1:11">
      <c r="A144" s="18" t="str">
        <f t="shared" si="5"/>
        <v/>
      </c>
      <c r="B144" s="13"/>
      <c r="C144" s="14"/>
      <c r="D144" s="3"/>
      <c r="E144" s="3"/>
      <c r="F144" s="14"/>
      <c r="G144" s="7">
        <f>RawObservationsTable[[#This Row],[Maturity Date]]-RawObservationsTable[[#This Row],[Timestamp]]</f>
        <v>0</v>
      </c>
      <c r="H144" s="2"/>
      <c r="I144" s="4"/>
      <c r="J144" s="5" t="str">
        <f>IF(OR(H144="",G144="",C144=""),"",LET(n,COUNTIFS(Bank_Rates!$A$2:$A$501,H144,Bank_Rates!$B$2:$B$501,"&lt;="&amp;C144),IF(n=0,"",LET(t,MAXIFS(Bank_Rates!$B$2:$B$501,Bank_Rates!$A$2:$A$501,H144,Bank_Rates!$B$2:$B$501,"&lt;="&amp;C144),m,COUNTIFS(Bank_Rates!$A$2:$A$501,H144,Bank_Rates!$B$2:$B$501,t,Bank_Rates!$D$2:$D$501,"&lt;="&amp;G144),IF(m=0,"",LET(d,MAXIFS(Bank_Rates!$D$2:$D$501,Bank_Rates!$A$2:$A$501,H144,Bank_Rates!$B$2:$B$501,t,Bank_Rates!$D$2:$D$501,"&lt;="&amp;G144),SUMIFS(Bank_Rates!$C$2:$C$501,Bank_Rates!$A$2:$A$501,H144,Bank_Rates!$B$2:$B$501,t,Bank_Rates!$D$2:$D$501,d)))))))</f>
        <v/>
      </c>
      <c r="K144" s="6" t="str">
        <f t="shared" si="4"/>
        <v/>
      </c>
    </row>
    <row r="145" spans="1:11">
      <c r="A145" s="18" t="str">
        <f t="shared" si="5"/>
        <v/>
      </c>
      <c r="B145" s="13"/>
      <c r="C145" s="14"/>
      <c r="D145" s="3"/>
      <c r="E145" s="3"/>
      <c r="F145" s="14"/>
      <c r="G145" s="7">
        <f>RawObservationsTable[[#This Row],[Maturity Date]]-RawObservationsTable[[#This Row],[Timestamp]]</f>
        <v>0</v>
      </c>
      <c r="H145" s="2"/>
      <c r="I145" s="4"/>
      <c r="J145" s="5" t="str">
        <f>IF(OR(H145="",G145="",C145=""),"",LET(n,COUNTIFS(Bank_Rates!$A$2:$A$501,H145,Bank_Rates!$B$2:$B$501,"&lt;="&amp;C145),IF(n=0,"",LET(t,MAXIFS(Bank_Rates!$B$2:$B$501,Bank_Rates!$A$2:$A$501,H145,Bank_Rates!$B$2:$B$501,"&lt;="&amp;C145),m,COUNTIFS(Bank_Rates!$A$2:$A$501,H145,Bank_Rates!$B$2:$B$501,t,Bank_Rates!$D$2:$D$501,"&lt;="&amp;G145),IF(m=0,"",LET(d,MAXIFS(Bank_Rates!$D$2:$D$501,Bank_Rates!$A$2:$A$501,H145,Bank_Rates!$B$2:$B$501,t,Bank_Rates!$D$2:$D$501,"&lt;="&amp;G145),SUMIFS(Bank_Rates!$C$2:$C$501,Bank_Rates!$A$2:$A$501,H145,Bank_Rates!$B$2:$B$501,t,Bank_Rates!$D$2:$D$501,d)))))))</f>
        <v/>
      </c>
      <c r="K145" s="6" t="str">
        <f t="shared" si="4"/>
        <v/>
      </c>
    </row>
    <row r="146" spans="1:11">
      <c r="A146" s="18" t="str">
        <f t="shared" si="5"/>
        <v/>
      </c>
      <c r="B146" s="13"/>
      <c r="C146" s="14"/>
      <c r="D146" s="3"/>
      <c r="E146" s="3"/>
      <c r="F146" s="14"/>
      <c r="G146" s="7">
        <f>RawObservationsTable[[#This Row],[Maturity Date]]-RawObservationsTable[[#This Row],[Timestamp]]</f>
        <v>0</v>
      </c>
      <c r="H146" s="2"/>
      <c r="I146" s="4"/>
      <c r="J146" s="5" t="str">
        <f>IF(OR(H146="",G146="",C146=""),"",LET(n,COUNTIFS(Bank_Rates!$A$2:$A$501,H146,Bank_Rates!$B$2:$B$501,"&lt;="&amp;C146),IF(n=0,"",LET(t,MAXIFS(Bank_Rates!$B$2:$B$501,Bank_Rates!$A$2:$A$501,H146,Bank_Rates!$B$2:$B$501,"&lt;="&amp;C146),m,COUNTIFS(Bank_Rates!$A$2:$A$501,H146,Bank_Rates!$B$2:$B$501,t,Bank_Rates!$D$2:$D$501,"&lt;="&amp;G146),IF(m=0,"",LET(d,MAXIFS(Bank_Rates!$D$2:$D$501,Bank_Rates!$A$2:$A$501,H146,Bank_Rates!$B$2:$B$501,t,Bank_Rates!$D$2:$D$501,"&lt;="&amp;G146),SUMIFS(Bank_Rates!$C$2:$C$501,Bank_Rates!$A$2:$A$501,H146,Bank_Rates!$B$2:$B$501,t,Bank_Rates!$D$2:$D$501,d)))))))</f>
        <v/>
      </c>
      <c r="K146" s="6" t="str">
        <f t="shared" si="4"/>
        <v/>
      </c>
    </row>
    <row r="147" spans="1:11">
      <c r="A147" s="18" t="str">
        <f t="shared" si="5"/>
        <v/>
      </c>
      <c r="B147" s="13"/>
      <c r="C147" s="14"/>
      <c r="D147" s="3"/>
      <c r="E147" s="3"/>
      <c r="F147" s="14"/>
      <c r="G147" s="7">
        <f>RawObservationsTable[[#This Row],[Maturity Date]]-RawObservationsTable[[#This Row],[Timestamp]]</f>
        <v>0</v>
      </c>
      <c r="H147" s="2"/>
      <c r="I147" s="4"/>
      <c r="J147" s="5" t="str">
        <f>IF(OR(H147="",G147="",C147=""),"",LET(n,COUNTIFS(Bank_Rates!$A$2:$A$501,H147,Bank_Rates!$B$2:$B$501,"&lt;="&amp;C147),IF(n=0,"",LET(t,MAXIFS(Bank_Rates!$B$2:$B$501,Bank_Rates!$A$2:$A$501,H147,Bank_Rates!$B$2:$B$501,"&lt;="&amp;C147),m,COUNTIFS(Bank_Rates!$A$2:$A$501,H147,Bank_Rates!$B$2:$B$501,t,Bank_Rates!$D$2:$D$501,"&lt;="&amp;G147),IF(m=0,"",LET(d,MAXIFS(Bank_Rates!$D$2:$D$501,Bank_Rates!$A$2:$A$501,H147,Bank_Rates!$B$2:$B$501,t,Bank_Rates!$D$2:$D$501,"&lt;="&amp;G147),SUMIFS(Bank_Rates!$C$2:$C$501,Bank_Rates!$A$2:$A$501,H147,Bank_Rates!$B$2:$B$501,t,Bank_Rates!$D$2:$D$501,d)))))))</f>
        <v/>
      </c>
      <c r="K147" s="6" t="str">
        <f t="shared" si="4"/>
        <v/>
      </c>
    </row>
    <row r="148" spans="1:11">
      <c r="A148" s="18" t="str">
        <f t="shared" si="5"/>
        <v/>
      </c>
      <c r="B148" s="13"/>
      <c r="C148" s="14"/>
      <c r="D148" s="3"/>
      <c r="E148" s="3"/>
      <c r="F148" s="14"/>
      <c r="G148" s="7">
        <f>RawObservationsTable[[#This Row],[Maturity Date]]-RawObservationsTable[[#This Row],[Timestamp]]</f>
        <v>0</v>
      </c>
      <c r="H148" s="2"/>
      <c r="I148" s="4"/>
      <c r="J148" s="5" t="str">
        <f>IF(OR(H148="",G148="",C148=""),"",LET(n,COUNTIFS(Bank_Rates!$A$2:$A$501,H148,Bank_Rates!$B$2:$B$501,"&lt;="&amp;C148),IF(n=0,"",LET(t,MAXIFS(Bank_Rates!$B$2:$B$501,Bank_Rates!$A$2:$A$501,H148,Bank_Rates!$B$2:$B$501,"&lt;="&amp;C148),m,COUNTIFS(Bank_Rates!$A$2:$A$501,H148,Bank_Rates!$B$2:$B$501,t,Bank_Rates!$D$2:$D$501,"&lt;="&amp;G148),IF(m=0,"",LET(d,MAXIFS(Bank_Rates!$D$2:$D$501,Bank_Rates!$A$2:$A$501,H148,Bank_Rates!$B$2:$B$501,t,Bank_Rates!$D$2:$D$501,"&lt;="&amp;G148),SUMIFS(Bank_Rates!$C$2:$C$501,Bank_Rates!$A$2:$A$501,H148,Bank_Rates!$B$2:$B$501,t,Bank_Rates!$D$2:$D$501,d)))))))</f>
        <v/>
      </c>
      <c r="K148" s="6" t="str">
        <f t="shared" si="4"/>
        <v/>
      </c>
    </row>
    <row r="149" spans="1:11">
      <c r="A149" s="18" t="str">
        <f t="shared" si="5"/>
        <v/>
      </c>
      <c r="B149" s="13"/>
      <c r="C149" s="14"/>
      <c r="D149" s="3"/>
      <c r="E149" s="3"/>
      <c r="F149" s="14"/>
      <c r="G149" s="7">
        <f>RawObservationsTable[[#This Row],[Maturity Date]]-RawObservationsTable[[#This Row],[Timestamp]]</f>
        <v>0</v>
      </c>
      <c r="H149" s="2"/>
      <c r="I149" s="4"/>
      <c r="J149" s="5" t="str">
        <f>IF(OR(H149="",G149="",C149=""),"",LET(n,COUNTIFS(Bank_Rates!$A$2:$A$501,H149,Bank_Rates!$B$2:$B$501,"&lt;="&amp;C149),IF(n=0,"",LET(t,MAXIFS(Bank_Rates!$B$2:$B$501,Bank_Rates!$A$2:$A$501,H149,Bank_Rates!$B$2:$B$501,"&lt;="&amp;C149),m,COUNTIFS(Bank_Rates!$A$2:$A$501,H149,Bank_Rates!$B$2:$B$501,t,Bank_Rates!$D$2:$D$501,"&lt;="&amp;G149),IF(m=0,"",LET(d,MAXIFS(Bank_Rates!$D$2:$D$501,Bank_Rates!$A$2:$A$501,H149,Bank_Rates!$B$2:$B$501,t,Bank_Rates!$D$2:$D$501,"&lt;="&amp;G149),SUMIFS(Bank_Rates!$C$2:$C$501,Bank_Rates!$A$2:$A$501,H149,Bank_Rates!$B$2:$B$501,t,Bank_Rates!$D$2:$D$501,d)))))))</f>
        <v/>
      </c>
      <c r="K149" s="6" t="str">
        <f t="shared" si="4"/>
        <v/>
      </c>
    </row>
    <row r="150" spans="1:11">
      <c r="A150" s="18" t="str">
        <f t="shared" si="5"/>
        <v/>
      </c>
      <c r="B150" s="13"/>
      <c r="C150" s="14"/>
      <c r="D150" s="3"/>
      <c r="E150" s="3"/>
      <c r="F150" s="14"/>
      <c r="G150" s="7">
        <f>RawObservationsTable[[#This Row],[Maturity Date]]-RawObservationsTable[[#This Row],[Timestamp]]</f>
        <v>0</v>
      </c>
      <c r="H150" s="2"/>
      <c r="I150" s="4"/>
      <c r="J150" s="5" t="str">
        <f>IF(OR(H150="",G150="",C150=""),"",LET(n,COUNTIFS(Bank_Rates!$A$2:$A$501,H150,Bank_Rates!$B$2:$B$501,"&lt;="&amp;C150),IF(n=0,"",LET(t,MAXIFS(Bank_Rates!$B$2:$B$501,Bank_Rates!$A$2:$A$501,H150,Bank_Rates!$B$2:$B$501,"&lt;="&amp;C150),m,COUNTIFS(Bank_Rates!$A$2:$A$501,H150,Bank_Rates!$B$2:$B$501,t,Bank_Rates!$D$2:$D$501,"&lt;="&amp;G150),IF(m=0,"",LET(d,MAXIFS(Bank_Rates!$D$2:$D$501,Bank_Rates!$A$2:$A$501,H150,Bank_Rates!$B$2:$B$501,t,Bank_Rates!$D$2:$D$501,"&lt;="&amp;G150),SUMIFS(Bank_Rates!$C$2:$C$501,Bank_Rates!$A$2:$A$501,H150,Bank_Rates!$B$2:$B$501,t,Bank_Rates!$D$2:$D$501,d)))))))</f>
        <v/>
      </c>
      <c r="K150" s="6" t="str">
        <f t="shared" si="4"/>
        <v/>
      </c>
    </row>
    <row r="151" spans="1:11">
      <c r="A151" s="18" t="str">
        <f t="shared" si="5"/>
        <v/>
      </c>
      <c r="B151" s="13"/>
      <c r="C151" s="14"/>
      <c r="D151" s="3"/>
      <c r="E151" s="3"/>
      <c r="F151" s="14"/>
      <c r="G151" s="7">
        <f>RawObservationsTable[[#This Row],[Maturity Date]]-RawObservationsTable[[#This Row],[Timestamp]]</f>
        <v>0</v>
      </c>
      <c r="H151" s="2"/>
      <c r="I151" s="4"/>
      <c r="J151" s="5" t="str">
        <f>IF(OR(H151="",G151="",C151=""),"",LET(n,COUNTIFS(Bank_Rates!$A$2:$A$501,H151,Bank_Rates!$B$2:$B$501,"&lt;="&amp;C151),IF(n=0,"",LET(t,MAXIFS(Bank_Rates!$B$2:$B$501,Bank_Rates!$A$2:$A$501,H151,Bank_Rates!$B$2:$B$501,"&lt;="&amp;C151),m,COUNTIFS(Bank_Rates!$A$2:$A$501,H151,Bank_Rates!$B$2:$B$501,t,Bank_Rates!$D$2:$D$501,"&lt;="&amp;G151),IF(m=0,"",LET(d,MAXIFS(Bank_Rates!$D$2:$D$501,Bank_Rates!$A$2:$A$501,H151,Bank_Rates!$B$2:$B$501,t,Bank_Rates!$D$2:$D$501,"&lt;="&amp;G151),SUMIFS(Bank_Rates!$C$2:$C$501,Bank_Rates!$A$2:$A$501,H151,Bank_Rates!$B$2:$B$501,t,Bank_Rates!$D$2:$D$501,d)))))))</f>
        <v/>
      </c>
      <c r="K151" s="6" t="str">
        <f t="shared" si="4"/>
        <v/>
      </c>
    </row>
    <row r="152" spans="1:11">
      <c r="A152" s="18" t="str">
        <f t="shared" si="5"/>
        <v/>
      </c>
      <c r="B152" s="13"/>
      <c r="C152" s="14"/>
      <c r="D152" s="3"/>
      <c r="E152" s="3"/>
      <c r="F152" s="14"/>
      <c r="G152" s="7">
        <f>RawObservationsTable[[#This Row],[Maturity Date]]-RawObservationsTable[[#This Row],[Timestamp]]</f>
        <v>0</v>
      </c>
      <c r="H152" s="2"/>
      <c r="I152" s="4"/>
      <c r="J152" s="5" t="str">
        <f>IF(OR(H152="",G152="",C152=""),"",LET(n,COUNTIFS(Bank_Rates!$A$2:$A$501,H152,Bank_Rates!$B$2:$B$501,"&lt;="&amp;C152),IF(n=0,"",LET(t,MAXIFS(Bank_Rates!$B$2:$B$501,Bank_Rates!$A$2:$A$501,H152,Bank_Rates!$B$2:$B$501,"&lt;="&amp;C152),m,COUNTIFS(Bank_Rates!$A$2:$A$501,H152,Bank_Rates!$B$2:$B$501,t,Bank_Rates!$D$2:$D$501,"&lt;="&amp;G152),IF(m=0,"",LET(d,MAXIFS(Bank_Rates!$D$2:$D$501,Bank_Rates!$A$2:$A$501,H152,Bank_Rates!$B$2:$B$501,t,Bank_Rates!$D$2:$D$501,"&lt;="&amp;G152),SUMIFS(Bank_Rates!$C$2:$C$501,Bank_Rates!$A$2:$A$501,H152,Bank_Rates!$B$2:$B$501,t,Bank_Rates!$D$2:$D$501,d)))))))</f>
        <v/>
      </c>
      <c r="K152" s="6" t="str">
        <f t="shared" si="4"/>
        <v/>
      </c>
    </row>
    <row r="153" spans="1:11">
      <c r="A153" s="18" t="str">
        <f t="shared" si="5"/>
        <v/>
      </c>
      <c r="B153" s="13"/>
      <c r="C153" s="14"/>
      <c r="D153" s="3"/>
      <c r="E153" s="3"/>
      <c r="F153" s="14"/>
      <c r="G153" s="7">
        <f>RawObservationsTable[[#This Row],[Maturity Date]]-RawObservationsTable[[#This Row],[Timestamp]]</f>
        <v>0</v>
      </c>
      <c r="H153" s="2"/>
      <c r="I153" s="4"/>
      <c r="J153" s="5" t="str">
        <f>IF(OR(H153="",G153="",C153=""),"",LET(n,COUNTIFS(Bank_Rates!$A$2:$A$501,H153,Bank_Rates!$B$2:$B$501,"&lt;="&amp;C153),IF(n=0,"",LET(t,MAXIFS(Bank_Rates!$B$2:$B$501,Bank_Rates!$A$2:$A$501,H153,Bank_Rates!$B$2:$B$501,"&lt;="&amp;C153),m,COUNTIFS(Bank_Rates!$A$2:$A$501,H153,Bank_Rates!$B$2:$B$501,t,Bank_Rates!$D$2:$D$501,"&lt;="&amp;G153),IF(m=0,"",LET(d,MAXIFS(Bank_Rates!$D$2:$D$501,Bank_Rates!$A$2:$A$501,H153,Bank_Rates!$B$2:$B$501,t,Bank_Rates!$D$2:$D$501,"&lt;="&amp;G153),SUMIFS(Bank_Rates!$C$2:$C$501,Bank_Rates!$A$2:$A$501,H153,Bank_Rates!$B$2:$B$501,t,Bank_Rates!$D$2:$D$501,d)))))))</f>
        <v/>
      </c>
      <c r="K153" s="6" t="str">
        <f t="shared" si="4"/>
        <v/>
      </c>
    </row>
    <row r="154" spans="1:11">
      <c r="A154" s="18" t="str">
        <f t="shared" si="5"/>
        <v/>
      </c>
      <c r="B154" s="13"/>
      <c r="C154" s="14"/>
      <c r="D154" s="3"/>
      <c r="E154" s="3"/>
      <c r="F154" s="14"/>
      <c r="G154" s="7">
        <f>RawObservationsTable[[#This Row],[Maturity Date]]-RawObservationsTable[[#This Row],[Timestamp]]</f>
        <v>0</v>
      </c>
      <c r="H154" s="2"/>
      <c r="I154" s="4"/>
      <c r="J154" s="5" t="str">
        <f>IF(OR(H154="",G154="",C154=""),"",LET(n,COUNTIFS(Bank_Rates!$A$2:$A$501,H154,Bank_Rates!$B$2:$B$501,"&lt;="&amp;C154),IF(n=0,"",LET(t,MAXIFS(Bank_Rates!$B$2:$B$501,Bank_Rates!$A$2:$A$501,H154,Bank_Rates!$B$2:$B$501,"&lt;="&amp;C154),m,COUNTIFS(Bank_Rates!$A$2:$A$501,H154,Bank_Rates!$B$2:$B$501,t,Bank_Rates!$D$2:$D$501,"&lt;="&amp;G154),IF(m=0,"",LET(d,MAXIFS(Bank_Rates!$D$2:$D$501,Bank_Rates!$A$2:$A$501,H154,Bank_Rates!$B$2:$B$501,t,Bank_Rates!$D$2:$D$501,"&lt;="&amp;G154),SUMIFS(Bank_Rates!$C$2:$C$501,Bank_Rates!$A$2:$A$501,H154,Bank_Rates!$B$2:$B$501,t,Bank_Rates!$D$2:$D$501,d)))))))</f>
        <v/>
      </c>
      <c r="K154" s="6" t="str">
        <f t="shared" si="4"/>
        <v/>
      </c>
    </row>
    <row r="155" spans="1:11">
      <c r="A155" s="18" t="str">
        <f t="shared" si="5"/>
        <v/>
      </c>
      <c r="B155" s="13"/>
      <c r="C155" s="14"/>
      <c r="D155" s="3"/>
      <c r="E155" s="3"/>
      <c r="F155" s="14"/>
      <c r="G155" s="7">
        <f>RawObservationsTable[[#This Row],[Maturity Date]]-RawObservationsTable[[#This Row],[Timestamp]]</f>
        <v>0</v>
      </c>
      <c r="H155" s="2"/>
      <c r="I155" s="4"/>
      <c r="J155" s="5" t="str">
        <f>IF(OR(H155="",G155="",C155=""),"",LET(n,COUNTIFS(Bank_Rates!$A$2:$A$501,H155,Bank_Rates!$B$2:$B$501,"&lt;="&amp;C155),IF(n=0,"",LET(t,MAXIFS(Bank_Rates!$B$2:$B$501,Bank_Rates!$A$2:$A$501,H155,Bank_Rates!$B$2:$B$501,"&lt;="&amp;C155),m,COUNTIFS(Bank_Rates!$A$2:$A$501,H155,Bank_Rates!$B$2:$B$501,t,Bank_Rates!$D$2:$D$501,"&lt;="&amp;G155),IF(m=0,"",LET(d,MAXIFS(Bank_Rates!$D$2:$D$501,Bank_Rates!$A$2:$A$501,H155,Bank_Rates!$B$2:$B$501,t,Bank_Rates!$D$2:$D$501,"&lt;="&amp;G155),SUMIFS(Bank_Rates!$C$2:$C$501,Bank_Rates!$A$2:$A$501,H155,Bank_Rates!$B$2:$B$501,t,Bank_Rates!$D$2:$D$501,d)))))))</f>
        <v/>
      </c>
      <c r="K155" s="6" t="str">
        <f t="shared" si="4"/>
        <v/>
      </c>
    </row>
    <row r="156" spans="1:11">
      <c r="A156" s="18" t="str">
        <f t="shared" si="5"/>
        <v/>
      </c>
      <c r="B156" s="13"/>
      <c r="C156" s="14"/>
      <c r="D156" s="3"/>
      <c r="E156" s="3"/>
      <c r="F156" s="14"/>
      <c r="G156" s="7">
        <f>RawObservationsTable[[#This Row],[Maturity Date]]-RawObservationsTable[[#This Row],[Timestamp]]</f>
        <v>0</v>
      </c>
      <c r="H156" s="2"/>
      <c r="I156" s="4"/>
      <c r="J156" s="5" t="str">
        <f>IF(OR(H156="",G156="",C156=""),"",LET(n,COUNTIFS(Bank_Rates!$A$2:$A$501,H156,Bank_Rates!$B$2:$B$501,"&lt;="&amp;C156),IF(n=0,"",LET(t,MAXIFS(Bank_Rates!$B$2:$B$501,Bank_Rates!$A$2:$A$501,H156,Bank_Rates!$B$2:$B$501,"&lt;="&amp;C156),m,COUNTIFS(Bank_Rates!$A$2:$A$501,H156,Bank_Rates!$B$2:$B$501,t,Bank_Rates!$D$2:$D$501,"&lt;="&amp;G156),IF(m=0,"",LET(d,MAXIFS(Bank_Rates!$D$2:$D$501,Bank_Rates!$A$2:$A$501,H156,Bank_Rates!$B$2:$B$501,t,Bank_Rates!$D$2:$D$501,"&lt;="&amp;G156),SUMIFS(Bank_Rates!$C$2:$C$501,Bank_Rates!$A$2:$A$501,H156,Bank_Rates!$B$2:$B$501,t,Bank_Rates!$D$2:$D$501,d)))))))</f>
        <v/>
      </c>
      <c r="K156" s="6" t="str">
        <f t="shared" si="4"/>
        <v/>
      </c>
    </row>
    <row r="157" spans="1:11">
      <c r="A157" s="18" t="str">
        <f t="shared" si="5"/>
        <v/>
      </c>
      <c r="B157" s="13"/>
      <c r="C157" s="14"/>
      <c r="D157" s="3"/>
      <c r="E157" s="3"/>
      <c r="F157" s="14"/>
      <c r="G157" s="7">
        <f>RawObservationsTable[[#This Row],[Maturity Date]]-RawObservationsTable[[#This Row],[Timestamp]]</f>
        <v>0</v>
      </c>
      <c r="H157" s="2"/>
      <c r="I157" s="4"/>
      <c r="J157" s="5" t="str">
        <f>IF(OR(H157="",G157="",C157=""),"",LET(n,COUNTIFS(Bank_Rates!$A$2:$A$501,H157,Bank_Rates!$B$2:$B$501,"&lt;="&amp;C157),IF(n=0,"",LET(t,MAXIFS(Bank_Rates!$B$2:$B$501,Bank_Rates!$A$2:$A$501,H157,Bank_Rates!$B$2:$B$501,"&lt;="&amp;C157),m,COUNTIFS(Bank_Rates!$A$2:$A$501,H157,Bank_Rates!$B$2:$B$501,t,Bank_Rates!$D$2:$D$501,"&lt;="&amp;G157),IF(m=0,"",LET(d,MAXIFS(Bank_Rates!$D$2:$D$501,Bank_Rates!$A$2:$A$501,H157,Bank_Rates!$B$2:$B$501,t,Bank_Rates!$D$2:$D$501,"&lt;="&amp;G157),SUMIFS(Bank_Rates!$C$2:$C$501,Bank_Rates!$A$2:$A$501,H157,Bank_Rates!$B$2:$B$501,t,Bank_Rates!$D$2:$D$501,d)))))))</f>
        <v/>
      </c>
      <c r="K157" s="6" t="str">
        <f t="shared" si="4"/>
        <v/>
      </c>
    </row>
    <row r="158" spans="1:11">
      <c r="A158" s="18" t="str">
        <f t="shared" si="5"/>
        <v/>
      </c>
      <c r="B158" s="13"/>
      <c r="C158" s="14"/>
      <c r="D158" s="3"/>
      <c r="E158" s="3"/>
      <c r="F158" s="14"/>
      <c r="G158" s="7">
        <f>RawObservationsTable[[#This Row],[Maturity Date]]-RawObservationsTable[[#This Row],[Timestamp]]</f>
        <v>0</v>
      </c>
      <c r="H158" s="2"/>
      <c r="I158" s="4"/>
      <c r="J158" s="5" t="str">
        <f>IF(OR(H158="",G158="",C158=""),"",LET(n,COUNTIFS(Bank_Rates!$A$2:$A$501,H158,Bank_Rates!$B$2:$B$501,"&lt;="&amp;C158),IF(n=0,"",LET(t,MAXIFS(Bank_Rates!$B$2:$B$501,Bank_Rates!$A$2:$A$501,H158,Bank_Rates!$B$2:$B$501,"&lt;="&amp;C158),m,COUNTIFS(Bank_Rates!$A$2:$A$501,H158,Bank_Rates!$B$2:$B$501,t,Bank_Rates!$D$2:$D$501,"&lt;="&amp;G158),IF(m=0,"",LET(d,MAXIFS(Bank_Rates!$D$2:$D$501,Bank_Rates!$A$2:$A$501,H158,Bank_Rates!$B$2:$B$501,t,Bank_Rates!$D$2:$D$501,"&lt;="&amp;G158),SUMIFS(Bank_Rates!$C$2:$C$501,Bank_Rates!$A$2:$A$501,H158,Bank_Rates!$B$2:$B$501,t,Bank_Rates!$D$2:$D$501,d)))))))</f>
        <v/>
      </c>
      <c r="K158" s="6" t="str">
        <f t="shared" si="4"/>
        <v/>
      </c>
    </row>
    <row r="159" spans="1:11">
      <c r="A159" s="18" t="str">
        <f t="shared" si="5"/>
        <v/>
      </c>
      <c r="B159" s="13"/>
      <c r="C159" s="14"/>
      <c r="D159" s="3"/>
      <c r="E159" s="3"/>
      <c r="F159" s="14"/>
      <c r="G159" s="7">
        <f>RawObservationsTable[[#This Row],[Maturity Date]]-RawObservationsTable[[#This Row],[Timestamp]]</f>
        <v>0</v>
      </c>
      <c r="H159" s="2"/>
      <c r="I159" s="4"/>
      <c r="J159" s="5" t="str">
        <f>IF(OR(H159="",G159="",C159=""),"",LET(n,COUNTIFS(Bank_Rates!$A$2:$A$501,H159,Bank_Rates!$B$2:$B$501,"&lt;="&amp;C159),IF(n=0,"",LET(t,MAXIFS(Bank_Rates!$B$2:$B$501,Bank_Rates!$A$2:$A$501,H159,Bank_Rates!$B$2:$B$501,"&lt;="&amp;C159),m,COUNTIFS(Bank_Rates!$A$2:$A$501,H159,Bank_Rates!$B$2:$B$501,t,Bank_Rates!$D$2:$D$501,"&lt;="&amp;G159),IF(m=0,"",LET(d,MAXIFS(Bank_Rates!$D$2:$D$501,Bank_Rates!$A$2:$A$501,H159,Bank_Rates!$B$2:$B$501,t,Bank_Rates!$D$2:$D$501,"&lt;="&amp;G159),SUMIFS(Bank_Rates!$C$2:$C$501,Bank_Rates!$A$2:$A$501,H159,Bank_Rates!$B$2:$B$501,t,Bank_Rates!$D$2:$D$501,d)))))))</f>
        <v/>
      </c>
      <c r="K159" s="6" t="str">
        <f t="shared" si="4"/>
        <v/>
      </c>
    </row>
    <row r="160" spans="1:11">
      <c r="A160" s="18" t="str">
        <f t="shared" si="5"/>
        <v/>
      </c>
      <c r="B160" s="13"/>
      <c r="C160" s="14"/>
      <c r="D160" s="3"/>
      <c r="E160" s="3"/>
      <c r="F160" s="14"/>
      <c r="G160" s="7">
        <f>RawObservationsTable[[#This Row],[Maturity Date]]-RawObservationsTable[[#This Row],[Timestamp]]</f>
        <v>0</v>
      </c>
      <c r="H160" s="2"/>
      <c r="I160" s="4"/>
      <c r="J160" s="5" t="str">
        <f>IF(OR(H160="",G160="",C160=""),"",LET(n,COUNTIFS(Bank_Rates!$A$2:$A$501,H160,Bank_Rates!$B$2:$B$501,"&lt;="&amp;C160),IF(n=0,"",LET(t,MAXIFS(Bank_Rates!$B$2:$B$501,Bank_Rates!$A$2:$A$501,H160,Bank_Rates!$B$2:$B$501,"&lt;="&amp;C160),m,COUNTIFS(Bank_Rates!$A$2:$A$501,H160,Bank_Rates!$B$2:$B$501,t,Bank_Rates!$D$2:$D$501,"&lt;="&amp;G160),IF(m=0,"",LET(d,MAXIFS(Bank_Rates!$D$2:$D$501,Bank_Rates!$A$2:$A$501,H160,Bank_Rates!$B$2:$B$501,t,Bank_Rates!$D$2:$D$501,"&lt;="&amp;G160),SUMIFS(Bank_Rates!$C$2:$C$501,Bank_Rates!$A$2:$A$501,H160,Bank_Rates!$B$2:$B$501,t,Bank_Rates!$D$2:$D$501,d)))))))</f>
        <v/>
      </c>
      <c r="K160" s="6" t="str">
        <f t="shared" si="4"/>
        <v/>
      </c>
    </row>
    <row r="161" spans="1:11">
      <c r="A161" s="18" t="str">
        <f t="shared" si="5"/>
        <v/>
      </c>
      <c r="B161" s="13"/>
      <c r="C161" s="14"/>
      <c r="D161" s="3"/>
      <c r="E161" s="3"/>
      <c r="F161" s="14"/>
      <c r="G161" s="7">
        <f>RawObservationsTable[[#This Row],[Maturity Date]]-RawObservationsTable[[#This Row],[Timestamp]]</f>
        <v>0</v>
      </c>
      <c r="H161" s="2"/>
      <c r="I161" s="4"/>
      <c r="J161" s="5" t="str">
        <f>IF(OR(H161="",G161="",C161=""),"",LET(n,COUNTIFS(Bank_Rates!$A$2:$A$501,H161,Bank_Rates!$B$2:$B$501,"&lt;="&amp;C161),IF(n=0,"",LET(t,MAXIFS(Bank_Rates!$B$2:$B$501,Bank_Rates!$A$2:$A$501,H161,Bank_Rates!$B$2:$B$501,"&lt;="&amp;C161),m,COUNTIFS(Bank_Rates!$A$2:$A$501,H161,Bank_Rates!$B$2:$B$501,t,Bank_Rates!$D$2:$D$501,"&lt;="&amp;G161),IF(m=0,"",LET(d,MAXIFS(Bank_Rates!$D$2:$D$501,Bank_Rates!$A$2:$A$501,H161,Bank_Rates!$B$2:$B$501,t,Bank_Rates!$D$2:$D$501,"&lt;="&amp;G161),SUMIFS(Bank_Rates!$C$2:$C$501,Bank_Rates!$A$2:$A$501,H161,Bank_Rates!$B$2:$B$501,t,Bank_Rates!$D$2:$D$501,d)))))))</f>
        <v/>
      </c>
      <c r="K161" s="6" t="str">
        <f t="shared" si="4"/>
        <v/>
      </c>
    </row>
    <row r="162" spans="1:11">
      <c r="A162" s="18" t="str">
        <f t="shared" si="5"/>
        <v/>
      </c>
      <c r="B162" s="13"/>
      <c r="C162" s="14"/>
      <c r="D162" s="3"/>
      <c r="E162" s="3"/>
      <c r="F162" s="14"/>
      <c r="G162" s="7">
        <f>RawObservationsTable[[#This Row],[Maturity Date]]-RawObservationsTable[[#This Row],[Timestamp]]</f>
        <v>0</v>
      </c>
      <c r="H162" s="2"/>
      <c r="I162" s="4"/>
      <c r="J162" s="5" t="str">
        <f>IF(OR(H162="",G162="",C162=""),"",LET(n,COUNTIFS(Bank_Rates!$A$2:$A$501,H162,Bank_Rates!$B$2:$B$501,"&lt;="&amp;C162),IF(n=0,"",LET(t,MAXIFS(Bank_Rates!$B$2:$B$501,Bank_Rates!$A$2:$A$501,H162,Bank_Rates!$B$2:$B$501,"&lt;="&amp;C162),m,COUNTIFS(Bank_Rates!$A$2:$A$501,H162,Bank_Rates!$B$2:$B$501,t,Bank_Rates!$D$2:$D$501,"&lt;="&amp;G162),IF(m=0,"",LET(d,MAXIFS(Bank_Rates!$D$2:$D$501,Bank_Rates!$A$2:$A$501,H162,Bank_Rates!$B$2:$B$501,t,Bank_Rates!$D$2:$D$501,"&lt;="&amp;G162),SUMIFS(Bank_Rates!$C$2:$C$501,Bank_Rates!$A$2:$A$501,H162,Bank_Rates!$B$2:$B$501,t,Bank_Rates!$D$2:$D$501,d)))))))</f>
        <v/>
      </c>
      <c r="K162" s="6" t="str">
        <f t="shared" si="4"/>
        <v/>
      </c>
    </row>
    <row r="163" spans="1:11">
      <c r="A163" s="18" t="str">
        <f t="shared" si="5"/>
        <v/>
      </c>
      <c r="B163" s="13"/>
      <c r="C163" s="14"/>
      <c r="D163" s="3"/>
      <c r="E163" s="3"/>
      <c r="F163" s="14"/>
      <c r="G163" s="7">
        <f>RawObservationsTable[[#This Row],[Maturity Date]]-RawObservationsTable[[#This Row],[Timestamp]]</f>
        <v>0</v>
      </c>
      <c r="H163" s="2"/>
      <c r="I163" s="4"/>
      <c r="J163" s="5" t="str">
        <f>IF(OR(H163="",G163="",C163=""),"",LET(n,COUNTIFS(Bank_Rates!$A$2:$A$501,H163,Bank_Rates!$B$2:$B$501,"&lt;="&amp;C163),IF(n=0,"",LET(t,MAXIFS(Bank_Rates!$B$2:$B$501,Bank_Rates!$A$2:$A$501,H163,Bank_Rates!$B$2:$B$501,"&lt;="&amp;C163),m,COUNTIFS(Bank_Rates!$A$2:$A$501,H163,Bank_Rates!$B$2:$B$501,t,Bank_Rates!$D$2:$D$501,"&lt;="&amp;G163),IF(m=0,"",LET(d,MAXIFS(Bank_Rates!$D$2:$D$501,Bank_Rates!$A$2:$A$501,H163,Bank_Rates!$B$2:$B$501,t,Bank_Rates!$D$2:$D$501,"&lt;="&amp;G163),SUMIFS(Bank_Rates!$C$2:$C$501,Bank_Rates!$A$2:$A$501,H163,Bank_Rates!$B$2:$B$501,t,Bank_Rates!$D$2:$D$501,d)))))))</f>
        <v/>
      </c>
      <c r="K163" s="6" t="str">
        <f t="shared" si="4"/>
        <v/>
      </c>
    </row>
    <row r="164" spans="1:11">
      <c r="A164" s="18" t="str">
        <f t="shared" si="5"/>
        <v/>
      </c>
      <c r="B164" s="13"/>
      <c r="C164" s="14"/>
      <c r="D164" s="3"/>
      <c r="E164" s="3"/>
      <c r="F164" s="14"/>
      <c r="G164" s="7">
        <f>RawObservationsTable[[#This Row],[Maturity Date]]-RawObservationsTable[[#This Row],[Timestamp]]</f>
        <v>0</v>
      </c>
      <c r="H164" s="2"/>
      <c r="I164" s="4"/>
      <c r="J164" s="5" t="str">
        <f>IF(OR(H164="",G164="",C164=""),"",LET(n,COUNTIFS(Bank_Rates!$A$2:$A$501,H164,Bank_Rates!$B$2:$B$501,"&lt;="&amp;C164),IF(n=0,"",LET(t,MAXIFS(Bank_Rates!$B$2:$B$501,Bank_Rates!$A$2:$A$501,H164,Bank_Rates!$B$2:$B$501,"&lt;="&amp;C164),m,COUNTIFS(Bank_Rates!$A$2:$A$501,H164,Bank_Rates!$B$2:$B$501,t,Bank_Rates!$D$2:$D$501,"&lt;="&amp;G164),IF(m=0,"",LET(d,MAXIFS(Bank_Rates!$D$2:$D$501,Bank_Rates!$A$2:$A$501,H164,Bank_Rates!$B$2:$B$501,t,Bank_Rates!$D$2:$D$501,"&lt;="&amp;G164),SUMIFS(Bank_Rates!$C$2:$C$501,Bank_Rates!$A$2:$A$501,H164,Bank_Rates!$B$2:$B$501,t,Bank_Rates!$D$2:$D$501,d)))))))</f>
        <v/>
      </c>
      <c r="K164" s="6" t="str">
        <f t="shared" si="4"/>
        <v/>
      </c>
    </row>
    <row r="165" spans="1:11">
      <c r="A165" s="18" t="str">
        <f t="shared" si="5"/>
        <v/>
      </c>
      <c r="B165" s="13"/>
      <c r="C165" s="14"/>
      <c r="D165" s="3"/>
      <c r="E165" s="3"/>
      <c r="F165" s="14"/>
      <c r="G165" s="7">
        <f>RawObservationsTable[[#This Row],[Maturity Date]]-RawObservationsTable[[#This Row],[Timestamp]]</f>
        <v>0</v>
      </c>
      <c r="H165" s="2"/>
      <c r="I165" s="4"/>
      <c r="J165" s="5" t="str">
        <f>IF(OR(H165="",G165="",C165=""),"",LET(n,COUNTIFS(Bank_Rates!$A$2:$A$501,H165,Bank_Rates!$B$2:$B$501,"&lt;="&amp;C165),IF(n=0,"",LET(t,MAXIFS(Bank_Rates!$B$2:$B$501,Bank_Rates!$A$2:$A$501,H165,Bank_Rates!$B$2:$B$501,"&lt;="&amp;C165),m,COUNTIFS(Bank_Rates!$A$2:$A$501,H165,Bank_Rates!$B$2:$B$501,t,Bank_Rates!$D$2:$D$501,"&lt;="&amp;G165),IF(m=0,"",LET(d,MAXIFS(Bank_Rates!$D$2:$D$501,Bank_Rates!$A$2:$A$501,H165,Bank_Rates!$B$2:$B$501,t,Bank_Rates!$D$2:$D$501,"&lt;="&amp;G165),SUMIFS(Bank_Rates!$C$2:$C$501,Bank_Rates!$A$2:$A$501,H165,Bank_Rates!$B$2:$B$501,t,Bank_Rates!$D$2:$D$501,d)))))))</f>
        <v/>
      </c>
      <c r="K165" s="6" t="str">
        <f t="shared" si="4"/>
        <v/>
      </c>
    </row>
    <row r="166" spans="1:11">
      <c r="A166" s="18" t="str">
        <f t="shared" si="5"/>
        <v/>
      </c>
      <c r="B166" s="13"/>
      <c r="C166" s="14"/>
      <c r="D166" s="3"/>
      <c r="E166" s="3"/>
      <c r="F166" s="14"/>
      <c r="G166" s="7">
        <f>RawObservationsTable[[#This Row],[Maturity Date]]-RawObservationsTable[[#This Row],[Timestamp]]</f>
        <v>0</v>
      </c>
      <c r="H166" s="2"/>
      <c r="I166" s="4"/>
      <c r="J166" s="5" t="str">
        <f>IF(OR(H166="",G166="",C166=""),"",LET(n,COUNTIFS(Bank_Rates!$A$2:$A$501,H166,Bank_Rates!$B$2:$B$501,"&lt;="&amp;C166),IF(n=0,"",LET(t,MAXIFS(Bank_Rates!$B$2:$B$501,Bank_Rates!$A$2:$A$501,H166,Bank_Rates!$B$2:$B$501,"&lt;="&amp;C166),m,COUNTIFS(Bank_Rates!$A$2:$A$501,H166,Bank_Rates!$B$2:$B$501,t,Bank_Rates!$D$2:$D$501,"&lt;="&amp;G166),IF(m=0,"",LET(d,MAXIFS(Bank_Rates!$D$2:$D$501,Bank_Rates!$A$2:$A$501,H166,Bank_Rates!$B$2:$B$501,t,Bank_Rates!$D$2:$D$501,"&lt;="&amp;G166),SUMIFS(Bank_Rates!$C$2:$C$501,Bank_Rates!$A$2:$A$501,H166,Bank_Rates!$B$2:$B$501,t,Bank_Rates!$D$2:$D$501,d)))))))</f>
        <v/>
      </c>
      <c r="K166" s="6" t="str">
        <f t="shared" si="4"/>
        <v/>
      </c>
    </row>
    <row r="167" spans="1:11">
      <c r="A167" s="18" t="str">
        <f t="shared" si="5"/>
        <v/>
      </c>
      <c r="B167" s="13"/>
      <c r="C167" s="14"/>
      <c r="D167" s="3"/>
      <c r="E167" s="3"/>
      <c r="F167" s="14"/>
      <c r="G167" s="7">
        <f>RawObservationsTable[[#This Row],[Maturity Date]]-RawObservationsTable[[#This Row],[Timestamp]]</f>
        <v>0</v>
      </c>
      <c r="H167" s="2"/>
      <c r="I167" s="4"/>
      <c r="J167" s="5" t="str">
        <f>IF(OR(H167="",G167="",C167=""),"",LET(n,COUNTIFS(Bank_Rates!$A$2:$A$501,H167,Bank_Rates!$B$2:$B$501,"&lt;="&amp;C167),IF(n=0,"",LET(t,MAXIFS(Bank_Rates!$B$2:$B$501,Bank_Rates!$A$2:$A$501,H167,Bank_Rates!$B$2:$B$501,"&lt;="&amp;C167),m,COUNTIFS(Bank_Rates!$A$2:$A$501,H167,Bank_Rates!$B$2:$B$501,t,Bank_Rates!$D$2:$D$501,"&lt;="&amp;G167),IF(m=0,"",LET(d,MAXIFS(Bank_Rates!$D$2:$D$501,Bank_Rates!$A$2:$A$501,H167,Bank_Rates!$B$2:$B$501,t,Bank_Rates!$D$2:$D$501,"&lt;="&amp;G167),SUMIFS(Bank_Rates!$C$2:$C$501,Bank_Rates!$A$2:$A$501,H167,Bank_Rates!$B$2:$B$501,t,Bank_Rates!$D$2:$D$501,d)))))))</f>
        <v/>
      </c>
      <c r="K167" s="6" t="str">
        <f t="shared" si="4"/>
        <v/>
      </c>
    </row>
    <row r="168" spans="1:11">
      <c r="A168" s="18" t="str">
        <f t="shared" si="5"/>
        <v/>
      </c>
      <c r="B168" s="13"/>
      <c r="C168" s="14"/>
      <c r="D168" s="3"/>
      <c r="E168" s="3"/>
      <c r="F168" s="14"/>
      <c r="G168" s="7">
        <f>RawObservationsTable[[#This Row],[Maturity Date]]-RawObservationsTable[[#This Row],[Timestamp]]</f>
        <v>0</v>
      </c>
      <c r="H168" s="2"/>
      <c r="I168" s="4"/>
      <c r="J168" s="5" t="str">
        <f>IF(OR(H168="",G168="",C168=""),"",LET(n,COUNTIFS(Bank_Rates!$A$2:$A$501,H168,Bank_Rates!$B$2:$B$501,"&lt;="&amp;C168),IF(n=0,"",LET(t,MAXIFS(Bank_Rates!$B$2:$B$501,Bank_Rates!$A$2:$A$501,H168,Bank_Rates!$B$2:$B$501,"&lt;="&amp;C168),m,COUNTIFS(Bank_Rates!$A$2:$A$501,H168,Bank_Rates!$B$2:$B$501,t,Bank_Rates!$D$2:$D$501,"&lt;="&amp;G168),IF(m=0,"",LET(d,MAXIFS(Bank_Rates!$D$2:$D$501,Bank_Rates!$A$2:$A$501,H168,Bank_Rates!$B$2:$B$501,t,Bank_Rates!$D$2:$D$501,"&lt;="&amp;G168),SUMIFS(Bank_Rates!$C$2:$C$501,Bank_Rates!$A$2:$A$501,H168,Bank_Rates!$B$2:$B$501,t,Bank_Rates!$D$2:$D$501,d)))))))</f>
        <v/>
      </c>
      <c r="K168" s="6" t="str">
        <f t="shared" si="4"/>
        <v/>
      </c>
    </row>
    <row r="169" spans="1:11">
      <c r="A169" s="18" t="str">
        <f t="shared" si="5"/>
        <v/>
      </c>
      <c r="B169" s="13"/>
      <c r="C169" s="14"/>
      <c r="D169" s="3"/>
      <c r="E169" s="3"/>
      <c r="F169" s="14"/>
      <c r="G169" s="7">
        <f>RawObservationsTable[[#This Row],[Maturity Date]]-RawObservationsTable[[#This Row],[Timestamp]]</f>
        <v>0</v>
      </c>
      <c r="H169" s="2"/>
      <c r="I169" s="4"/>
      <c r="J169" s="5" t="str">
        <f>IF(OR(H169="",G169="",C169=""),"",LET(n,COUNTIFS(Bank_Rates!$A$2:$A$501,H169,Bank_Rates!$B$2:$B$501,"&lt;="&amp;C169),IF(n=0,"",LET(t,MAXIFS(Bank_Rates!$B$2:$B$501,Bank_Rates!$A$2:$A$501,H169,Bank_Rates!$B$2:$B$501,"&lt;="&amp;C169),m,COUNTIFS(Bank_Rates!$A$2:$A$501,H169,Bank_Rates!$B$2:$B$501,t,Bank_Rates!$D$2:$D$501,"&lt;="&amp;G169),IF(m=0,"",LET(d,MAXIFS(Bank_Rates!$D$2:$D$501,Bank_Rates!$A$2:$A$501,H169,Bank_Rates!$B$2:$B$501,t,Bank_Rates!$D$2:$D$501,"&lt;="&amp;G169),SUMIFS(Bank_Rates!$C$2:$C$501,Bank_Rates!$A$2:$A$501,H169,Bank_Rates!$B$2:$B$501,t,Bank_Rates!$D$2:$D$501,d)))))))</f>
        <v/>
      </c>
      <c r="K169" s="6" t="str">
        <f t="shared" si="4"/>
        <v/>
      </c>
    </row>
    <row r="170" spans="1:11">
      <c r="A170" s="18" t="str">
        <f t="shared" si="5"/>
        <v/>
      </c>
      <c r="B170" s="13"/>
      <c r="C170" s="14"/>
      <c r="D170" s="3"/>
      <c r="E170" s="3"/>
      <c r="F170" s="14"/>
      <c r="G170" s="7">
        <f>RawObservationsTable[[#This Row],[Maturity Date]]-RawObservationsTable[[#This Row],[Timestamp]]</f>
        <v>0</v>
      </c>
      <c r="H170" s="2"/>
      <c r="I170" s="4"/>
      <c r="J170" s="5" t="str">
        <f>IF(OR(H170="",G170="",C170=""),"",LET(n,COUNTIFS(Bank_Rates!$A$2:$A$501,H170,Bank_Rates!$B$2:$B$501,"&lt;="&amp;C170),IF(n=0,"",LET(t,MAXIFS(Bank_Rates!$B$2:$B$501,Bank_Rates!$A$2:$A$501,H170,Bank_Rates!$B$2:$B$501,"&lt;="&amp;C170),m,COUNTIFS(Bank_Rates!$A$2:$A$501,H170,Bank_Rates!$B$2:$B$501,t,Bank_Rates!$D$2:$D$501,"&lt;="&amp;G170),IF(m=0,"",LET(d,MAXIFS(Bank_Rates!$D$2:$D$501,Bank_Rates!$A$2:$A$501,H170,Bank_Rates!$B$2:$B$501,t,Bank_Rates!$D$2:$D$501,"&lt;="&amp;G170),SUMIFS(Bank_Rates!$C$2:$C$501,Bank_Rates!$A$2:$A$501,H170,Bank_Rates!$B$2:$B$501,t,Bank_Rates!$D$2:$D$501,d)))))))</f>
        <v/>
      </c>
      <c r="K170" s="6" t="str">
        <f t="shared" si="4"/>
        <v/>
      </c>
    </row>
    <row r="171" spans="1:11">
      <c r="A171" s="18" t="str">
        <f t="shared" si="5"/>
        <v/>
      </c>
      <c r="B171" s="13"/>
      <c r="C171" s="14"/>
      <c r="D171" s="3"/>
      <c r="E171" s="3"/>
      <c r="F171" s="14"/>
      <c r="G171" s="7">
        <f>RawObservationsTable[[#This Row],[Maturity Date]]-RawObservationsTable[[#This Row],[Timestamp]]</f>
        <v>0</v>
      </c>
      <c r="H171" s="2"/>
      <c r="I171" s="4"/>
      <c r="J171" s="5" t="str">
        <f>IF(OR(H171="",G171="",C171=""),"",LET(n,COUNTIFS(Bank_Rates!$A$2:$A$501,H171,Bank_Rates!$B$2:$B$501,"&lt;="&amp;C171),IF(n=0,"",LET(t,MAXIFS(Bank_Rates!$B$2:$B$501,Bank_Rates!$A$2:$A$501,H171,Bank_Rates!$B$2:$B$501,"&lt;="&amp;C171),m,COUNTIFS(Bank_Rates!$A$2:$A$501,H171,Bank_Rates!$B$2:$B$501,t,Bank_Rates!$D$2:$D$501,"&lt;="&amp;G171),IF(m=0,"",LET(d,MAXIFS(Bank_Rates!$D$2:$D$501,Bank_Rates!$A$2:$A$501,H171,Bank_Rates!$B$2:$B$501,t,Bank_Rates!$D$2:$D$501,"&lt;="&amp;G171),SUMIFS(Bank_Rates!$C$2:$C$501,Bank_Rates!$A$2:$A$501,H171,Bank_Rates!$B$2:$B$501,t,Bank_Rates!$D$2:$D$501,d)))))))</f>
        <v/>
      </c>
      <c r="K171" s="6" t="str">
        <f t="shared" si="4"/>
        <v/>
      </c>
    </row>
    <row r="172" spans="1:11">
      <c r="A172" s="18" t="str">
        <f t="shared" si="5"/>
        <v/>
      </c>
      <c r="B172" s="13"/>
      <c r="C172" s="14"/>
      <c r="D172" s="3"/>
      <c r="E172" s="3"/>
      <c r="F172" s="14"/>
      <c r="G172" s="7">
        <f>RawObservationsTable[[#This Row],[Maturity Date]]-RawObservationsTable[[#This Row],[Timestamp]]</f>
        <v>0</v>
      </c>
      <c r="H172" s="2"/>
      <c r="I172" s="4"/>
      <c r="J172" s="5" t="str">
        <f>IF(OR(H172="",G172="",C172=""),"",LET(n,COUNTIFS(Bank_Rates!$A$2:$A$501,H172,Bank_Rates!$B$2:$B$501,"&lt;="&amp;C172),IF(n=0,"",LET(t,MAXIFS(Bank_Rates!$B$2:$B$501,Bank_Rates!$A$2:$A$501,H172,Bank_Rates!$B$2:$B$501,"&lt;="&amp;C172),m,COUNTIFS(Bank_Rates!$A$2:$A$501,H172,Bank_Rates!$B$2:$B$501,t,Bank_Rates!$D$2:$D$501,"&lt;="&amp;G172),IF(m=0,"",LET(d,MAXIFS(Bank_Rates!$D$2:$D$501,Bank_Rates!$A$2:$A$501,H172,Bank_Rates!$B$2:$B$501,t,Bank_Rates!$D$2:$D$501,"&lt;="&amp;G172),SUMIFS(Bank_Rates!$C$2:$C$501,Bank_Rates!$A$2:$A$501,H172,Bank_Rates!$B$2:$B$501,t,Bank_Rates!$D$2:$D$501,d)))))))</f>
        <v/>
      </c>
      <c r="K172" s="6" t="str">
        <f t="shared" si="4"/>
        <v/>
      </c>
    </row>
    <row r="173" spans="1:11">
      <c r="A173" s="18" t="str">
        <f t="shared" si="5"/>
        <v/>
      </c>
      <c r="B173" s="13"/>
      <c r="C173" s="14"/>
      <c r="D173" s="3"/>
      <c r="E173" s="3"/>
      <c r="F173" s="14"/>
      <c r="G173" s="7">
        <f>RawObservationsTable[[#This Row],[Maturity Date]]-RawObservationsTable[[#This Row],[Timestamp]]</f>
        <v>0</v>
      </c>
      <c r="H173" s="2"/>
      <c r="I173" s="4"/>
      <c r="J173" s="5" t="str">
        <f>IF(OR(H173="",G173="",C173=""),"",LET(n,COUNTIFS(Bank_Rates!$A$2:$A$501,H173,Bank_Rates!$B$2:$B$501,"&lt;="&amp;C173),IF(n=0,"",LET(t,MAXIFS(Bank_Rates!$B$2:$B$501,Bank_Rates!$A$2:$A$501,H173,Bank_Rates!$B$2:$B$501,"&lt;="&amp;C173),m,COUNTIFS(Bank_Rates!$A$2:$A$501,H173,Bank_Rates!$B$2:$B$501,t,Bank_Rates!$D$2:$D$501,"&lt;="&amp;G173),IF(m=0,"",LET(d,MAXIFS(Bank_Rates!$D$2:$D$501,Bank_Rates!$A$2:$A$501,H173,Bank_Rates!$B$2:$B$501,t,Bank_Rates!$D$2:$D$501,"&lt;="&amp;G173),SUMIFS(Bank_Rates!$C$2:$C$501,Bank_Rates!$A$2:$A$501,H173,Bank_Rates!$B$2:$B$501,t,Bank_Rates!$D$2:$D$501,d)))))))</f>
        <v/>
      </c>
      <c r="K173" s="6" t="str">
        <f t="shared" si="4"/>
        <v/>
      </c>
    </row>
    <row r="174" spans="1:11">
      <c r="A174" s="18" t="str">
        <f t="shared" si="5"/>
        <v/>
      </c>
      <c r="B174" s="13"/>
      <c r="C174" s="14"/>
      <c r="D174" s="3"/>
      <c r="E174" s="3"/>
      <c r="F174" s="14"/>
      <c r="G174" s="7">
        <f>RawObservationsTable[[#This Row],[Maturity Date]]-RawObservationsTable[[#This Row],[Timestamp]]</f>
        <v>0</v>
      </c>
      <c r="H174" s="2"/>
      <c r="I174" s="4"/>
      <c r="J174" s="5" t="str">
        <f>IF(OR(H174="",G174="",C174=""),"",LET(n,COUNTIFS(Bank_Rates!$A$2:$A$501,H174,Bank_Rates!$B$2:$B$501,"&lt;="&amp;C174),IF(n=0,"",LET(t,MAXIFS(Bank_Rates!$B$2:$B$501,Bank_Rates!$A$2:$A$501,H174,Bank_Rates!$B$2:$B$501,"&lt;="&amp;C174),m,COUNTIFS(Bank_Rates!$A$2:$A$501,H174,Bank_Rates!$B$2:$B$501,t,Bank_Rates!$D$2:$D$501,"&lt;="&amp;G174),IF(m=0,"",LET(d,MAXIFS(Bank_Rates!$D$2:$D$501,Bank_Rates!$A$2:$A$501,H174,Bank_Rates!$B$2:$B$501,t,Bank_Rates!$D$2:$D$501,"&lt;="&amp;G174),SUMIFS(Bank_Rates!$C$2:$C$501,Bank_Rates!$A$2:$A$501,H174,Bank_Rates!$B$2:$B$501,t,Bank_Rates!$D$2:$D$501,d)))))))</f>
        <v/>
      </c>
      <c r="K174" s="6" t="str">
        <f t="shared" si="4"/>
        <v/>
      </c>
    </row>
    <row r="175" spans="1:11">
      <c r="A175" s="18" t="str">
        <f t="shared" si="5"/>
        <v/>
      </c>
      <c r="B175" s="13"/>
      <c r="C175" s="14"/>
      <c r="D175" s="3"/>
      <c r="E175" s="3"/>
      <c r="F175" s="14"/>
      <c r="G175" s="7">
        <f>RawObservationsTable[[#This Row],[Maturity Date]]-RawObservationsTable[[#This Row],[Timestamp]]</f>
        <v>0</v>
      </c>
      <c r="H175" s="2"/>
      <c r="I175" s="4"/>
      <c r="J175" s="5" t="str">
        <f>IF(OR(H175="",G175="",C175=""),"",LET(n,COUNTIFS(Bank_Rates!$A$2:$A$501,H175,Bank_Rates!$B$2:$B$501,"&lt;="&amp;C175),IF(n=0,"",LET(t,MAXIFS(Bank_Rates!$B$2:$B$501,Bank_Rates!$A$2:$A$501,H175,Bank_Rates!$B$2:$B$501,"&lt;="&amp;C175),m,COUNTIFS(Bank_Rates!$A$2:$A$501,H175,Bank_Rates!$B$2:$B$501,t,Bank_Rates!$D$2:$D$501,"&lt;="&amp;G175),IF(m=0,"",LET(d,MAXIFS(Bank_Rates!$D$2:$D$501,Bank_Rates!$A$2:$A$501,H175,Bank_Rates!$B$2:$B$501,t,Bank_Rates!$D$2:$D$501,"&lt;="&amp;G175),SUMIFS(Bank_Rates!$C$2:$C$501,Bank_Rates!$A$2:$A$501,H175,Bank_Rates!$B$2:$B$501,t,Bank_Rates!$D$2:$D$501,d)))))))</f>
        <v/>
      </c>
      <c r="K175" s="6" t="str">
        <f t="shared" si="4"/>
        <v/>
      </c>
    </row>
    <row r="176" spans="1:11">
      <c r="A176" s="18" t="str">
        <f t="shared" si="5"/>
        <v/>
      </c>
      <c r="B176" s="13"/>
      <c r="C176" s="14"/>
      <c r="D176" s="3"/>
      <c r="E176" s="3"/>
      <c r="F176" s="14"/>
      <c r="G176" s="7">
        <f>RawObservationsTable[[#This Row],[Maturity Date]]-RawObservationsTable[[#This Row],[Timestamp]]</f>
        <v>0</v>
      </c>
      <c r="H176" s="2"/>
      <c r="I176" s="4"/>
      <c r="J176" s="5" t="str">
        <f>IF(OR(H176="",G176="",C176=""),"",LET(n,COUNTIFS(Bank_Rates!$A$2:$A$501,H176,Bank_Rates!$B$2:$B$501,"&lt;="&amp;C176),IF(n=0,"",LET(t,MAXIFS(Bank_Rates!$B$2:$B$501,Bank_Rates!$A$2:$A$501,H176,Bank_Rates!$B$2:$B$501,"&lt;="&amp;C176),m,COUNTIFS(Bank_Rates!$A$2:$A$501,H176,Bank_Rates!$B$2:$B$501,t,Bank_Rates!$D$2:$D$501,"&lt;="&amp;G176),IF(m=0,"",LET(d,MAXIFS(Bank_Rates!$D$2:$D$501,Bank_Rates!$A$2:$A$501,H176,Bank_Rates!$B$2:$B$501,t,Bank_Rates!$D$2:$D$501,"&lt;="&amp;G176),SUMIFS(Bank_Rates!$C$2:$C$501,Bank_Rates!$A$2:$A$501,H176,Bank_Rates!$B$2:$B$501,t,Bank_Rates!$D$2:$D$501,d)))))))</f>
        <v/>
      </c>
      <c r="K176" s="6" t="str">
        <f t="shared" si="4"/>
        <v/>
      </c>
    </row>
    <row r="177" spans="1:11">
      <c r="A177" s="18" t="str">
        <f t="shared" si="5"/>
        <v/>
      </c>
      <c r="B177" s="13"/>
      <c r="C177" s="14"/>
      <c r="D177" s="3"/>
      <c r="E177" s="3"/>
      <c r="F177" s="14"/>
      <c r="G177" s="7">
        <f>RawObservationsTable[[#This Row],[Maturity Date]]-RawObservationsTable[[#This Row],[Timestamp]]</f>
        <v>0</v>
      </c>
      <c r="H177" s="2"/>
      <c r="I177" s="4"/>
      <c r="J177" s="5" t="str">
        <f>IF(OR(H177="",G177="",C177=""),"",LET(n,COUNTIFS(Bank_Rates!$A$2:$A$501,H177,Bank_Rates!$B$2:$B$501,"&lt;="&amp;C177),IF(n=0,"",LET(t,MAXIFS(Bank_Rates!$B$2:$B$501,Bank_Rates!$A$2:$A$501,H177,Bank_Rates!$B$2:$B$501,"&lt;="&amp;C177),m,COUNTIFS(Bank_Rates!$A$2:$A$501,H177,Bank_Rates!$B$2:$B$501,t,Bank_Rates!$D$2:$D$501,"&lt;="&amp;G177),IF(m=0,"",LET(d,MAXIFS(Bank_Rates!$D$2:$D$501,Bank_Rates!$A$2:$A$501,H177,Bank_Rates!$B$2:$B$501,t,Bank_Rates!$D$2:$D$501,"&lt;="&amp;G177),SUMIFS(Bank_Rates!$C$2:$C$501,Bank_Rates!$A$2:$A$501,H177,Bank_Rates!$B$2:$B$501,t,Bank_Rates!$D$2:$D$501,d)))))))</f>
        <v/>
      </c>
      <c r="K177" s="6" t="str">
        <f t="shared" si="4"/>
        <v/>
      </c>
    </row>
    <row r="178" spans="1:11">
      <c r="A178" s="18" t="str">
        <f t="shared" si="5"/>
        <v/>
      </c>
      <c r="B178" s="13"/>
      <c r="C178" s="14"/>
      <c r="D178" s="3"/>
      <c r="E178" s="3"/>
      <c r="F178" s="14"/>
      <c r="G178" s="7">
        <f>RawObservationsTable[[#This Row],[Maturity Date]]-RawObservationsTable[[#This Row],[Timestamp]]</f>
        <v>0</v>
      </c>
      <c r="H178" s="2"/>
      <c r="I178" s="4"/>
      <c r="J178" s="5" t="str">
        <f>IF(OR(H178="",G178="",C178=""),"",LET(n,COUNTIFS(Bank_Rates!$A$2:$A$501,H178,Bank_Rates!$B$2:$B$501,"&lt;="&amp;C178),IF(n=0,"",LET(t,MAXIFS(Bank_Rates!$B$2:$B$501,Bank_Rates!$A$2:$A$501,H178,Bank_Rates!$B$2:$B$501,"&lt;="&amp;C178),m,COUNTIFS(Bank_Rates!$A$2:$A$501,H178,Bank_Rates!$B$2:$B$501,t,Bank_Rates!$D$2:$D$501,"&lt;="&amp;G178),IF(m=0,"",LET(d,MAXIFS(Bank_Rates!$D$2:$D$501,Bank_Rates!$A$2:$A$501,H178,Bank_Rates!$B$2:$B$501,t,Bank_Rates!$D$2:$D$501,"&lt;="&amp;G178),SUMIFS(Bank_Rates!$C$2:$C$501,Bank_Rates!$A$2:$A$501,H178,Bank_Rates!$B$2:$B$501,t,Bank_Rates!$D$2:$D$501,d)))))))</f>
        <v/>
      </c>
      <c r="K178" s="6" t="str">
        <f t="shared" si="4"/>
        <v/>
      </c>
    </row>
    <row r="179" spans="1:11">
      <c r="A179" s="18" t="str">
        <f t="shared" si="5"/>
        <v/>
      </c>
      <c r="B179" s="13"/>
      <c r="C179" s="14"/>
      <c r="D179" s="3"/>
      <c r="E179" s="3"/>
      <c r="F179" s="14"/>
      <c r="G179" s="7">
        <f>RawObservationsTable[[#This Row],[Maturity Date]]-RawObservationsTable[[#This Row],[Timestamp]]</f>
        <v>0</v>
      </c>
      <c r="H179" s="2"/>
      <c r="I179" s="4"/>
      <c r="J179" s="5" t="str">
        <f>IF(OR(H179="",G179="",C179=""),"",LET(n,COUNTIFS(Bank_Rates!$A$2:$A$501,H179,Bank_Rates!$B$2:$B$501,"&lt;="&amp;C179),IF(n=0,"",LET(t,MAXIFS(Bank_Rates!$B$2:$B$501,Bank_Rates!$A$2:$A$501,H179,Bank_Rates!$B$2:$B$501,"&lt;="&amp;C179),m,COUNTIFS(Bank_Rates!$A$2:$A$501,H179,Bank_Rates!$B$2:$B$501,t,Bank_Rates!$D$2:$D$501,"&lt;="&amp;G179),IF(m=0,"",LET(d,MAXIFS(Bank_Rates!$D$2:$D$501,Bank_Rates!$A$2:$A$501,H179,Bank_Rates!$B$2:$B$501,t,Bank_Rates!$D$2:$D$501,"&lt;="&amp;G179),SUMIFS(Bank_Rates!$C$2:$C$501,Bank_Rates!$A$2:$A$501,H179,Bank_Rates!$B$2:$B$501,t,Bank_Rates!$D$2:$D$501,d)))))))</f>
        <v/>
      </c>
      <c r="K179" s="6" t="str">
        <f t="shared" si="4"/>
        <v/>
      </c>
    </row>
    <row r="180" spans="1:11">
      <c r="A180" s="18" t="str">
        <f t="shared" si="5"/>
        <v/>
      </c>
      <c r="B180" s="13"/>
      <c r="C180" s="14"/>
      <c r="D180" s="3"/>
      <c r="E180" s="3"/>
      <c r="F180" s="14"/>
      <c r="G180" s="7">
        <f>RawObservationsTable[[#This Row],[Maturity Date]]-RawObservationsTable[[#This Row],[Timestamp]]</f>
        <v>0</v>
      </c>
      <c r="H180" s="2"/>
      <c r="I180" s="4"/>
      <c r="J180" s="5" t="str">
        <f>IF(OR(H180="",G180="",C180=""),"",LET(n,COUNTIFS(Bank_Rates!$A$2:$A$501,H180,Bank_Rates!$B$2:$B$501,"&lt;="&amp;C180),IF(n=0,"",LET(t,MAXIFS(Bank_Rates!$B$2:$B$501,Bank_Rates!$A$2:$A$501,H180,Bank_Rates!$B$2:$B$501,"&lt;="&amp;C180),m,COUNTIFS(Bank_Rates!$A$2:$A$501,H180,Bank_Rates!$B$2:$B$501,t,Bank_Rates!$D$2:$D$501,"&lt;="&amp;G180),IF(m=0,"",LET(d,MAXIFS(Bank_Rates!$D$2:$D$501,Bank_Rates!$A$2:$A$501,H180,Bank_Rates!$B$2:$B$501,t,Bank_Rates!$D$2:$D$501,"&lt;="&amp;G180),SUMIFS(Bank_Rates!$C$2:$C$501,Bank_Rates!$A$2:$A$501,H180,Bank_Rates!$B$2:$B$501,t,Bank_Rates!$D$2:$D$501,d)))))))</f>
        <v/>
      </c>
      <c r="K180" s="6" t="str">
        <f t="shared" si="4"/>
        <v/>
      </c>
    </row>
    <row r="181" spans="1:11">
      <c r="A181" s="18" t="str">
        <f t="shared" si="5"/>
        <v/>
      </c>
      <c r="B181" s="13"/>
      <c r="C181" s="14"/>
      <c r="D181" s="3"/>
      <c r="E181" s="3"/>
      <c r="F181" s="14"/>
      <c r="G181" s="7">
        <f>RawObservationsTable[[#This Row],[Maturity Date]]-RawObservationsTable[[#This Row],[Timestamp]]</f>
        <v>0</v>
      </c>
      <c r="H181" s="2"/>
      <c r="I181" s="4"/>
      <c r="J181" s="5" t="str">
        <f>IF(OR(H181="",G181="",C181=""),"",LET(n,COUNTIFS(Bank_Rates!$A$2:$A$501,H181,Bank_Rates!$B$2:$B$501,"&lt;="&amp;C181),IF(n=0,"",LET(t,MAXIFS(Bank_Rates!$B$2:$B$501,Bank_Rates!$A$2:$A$501,H181,Bank_Rates!$B$2:$B$501,"&lt;="&amp;C181),m,COUNTIFS(Bank_Rates!$A$2:$A$501,H181,Bank_Rates!$B$2:$B$501,t,Bank_Rates!$D$2:$D$501,"&lt;="&amp;G181),IF(m=0,"",LET(d,MAXIFS(Bank_Rates!$D$2:$D$501,Bank_Rates!$A$2:$A$501,H181,Bank_Rates!$B$2:$B$501,t,Bank_Rates!$D$2:$D$501,"&lt;="&amp;G181),SUMIFS(Bank_Rates!$C$2:$C$501,Bank_Rates!$A$2:$A$501,H181,Bank_Rates!$B$2:$B$501,t,Bank_Rates!$D$2:$D$501,d)))))))</f>
        <v/>
      </c>
      <c r="K181" s="6" t="str">
        <f t="shared" si="4"/>
        <v/>
      </c>
    </row>
    <row r="182" spans="1:11">
      <c r="A182" s="18" t="str">
        <f t="shared" si="5"/>
        <v/>
      </c>
      <c r="B182" s="13"/>
      <c r="C182" s="14"/>
      <c r="D182" s="3"/>
      <c r="E182" s="3"/>
      <c r="F182" s="14"/>
      <c r="G182" s="7">
        <f>RawObservationsTable[[#This Row],[Maturity Date]]-RawObservationsTable[[#This Row],[Timestamp]]</f>
        <v>0</v>
      </c>
      <c r="H182" s="2"/>
      <c r="I182" s="4"/>
      <c r="J182" s="5" t="str">
        <f>IF(OR(H182="",G182="",C182=""),"",LET(n,COUNTIFS(Bank_Rates!$A$2:$A$501,H182,Bank_Rates!$B$2:$B$501,"&lt;="&amp;C182),IF(n=0,"",LET(t,MAXIFS(Bank_Rates!$B$2:$B$501,Bank_Rates!$A$2:$A$501,H182,Bank_Rates!$B$2:$B$501,"&lt;="&amp;C182),m,COUNTIFS(Bank_Rates!$A$2:$A$501,H182,Bank_Rates!$B$2:$B$501,t,Bank_Rates!$D$2:$D$501,"&lt;="&amp;G182),IF(m=0,"",LET(d,MAXIFS(Bank_Rates!$D$2:$D$501,Bank_Rates!$A$2:$A$501,H182,Bank_Rates!$B$2:$B$501,t,Bank_Rates!$D$2:$D$501,"&lt;="&amp;G182),SUMIFS(Bank_Rates!$C$2:$C$501,Bank_Rates!$A$2:$A$501,H182,Bank_Rates!$B$2:$B$501,t,Bank_Rates!$D$2:$D$501,d)))))))</f>
        <v/>
      </c>
      <c r="K182" s="6" t="str">
        <f t="shared" si="4"/>
        <v/>
      </c>
    </row>
    <row r="183" spans="1:11">
      <c r="A183" s="18" t="str">
        <f t="shared" si="5"/>
        <v/>
      </c>
      <c r="B183" s="13"/>
      <c r="C183" s="14"/>
      <c r="D183" s="3"/>
      <c r="E183" s="3"/>
      <c r="F183" s="14"/>
      <c r="G183" s="7">
        <f>RawObservationsTable[[#This Row],[Maturity Date]]-RawObservationsTable[[#This Row],[Timestamp]]</f>
        <v>0</v>
      </c>
      <c r="H183" s="2"/>
      <c r="I183" s="4"/>
      <c r="J183" s="5" t="str">
        <f>IF(OR(H183="",G183="",C183=""),"",LET(n,COUNTIFS(Bank_Rates!$A$2:$A$501,H183,Bank_Rates!$B$2:$B$501,"&lt;="&amp;C183),IF(n=0,"",LET(t,MAXIFS(Bank_Rates!$B$2:$B$501,Bank_Rates!$A$2:$A$501,H183,Bank_Rates!$B$2:$B$501,"&lt;="&amp;C183),m,COUNTIFS(Bank_Rates!$A$2:$A$501,H183,Bank_Rates!$B$2:$B$501,t,Bank_Rates!$D$2:$D$501,"&lt;="&amp;G183),IF(m=0,"",LET(d,MAXIFS(Bank_Rates!$D$2:$D$501,Bank_Rates!$A$2:$A$501,H183,Bank_Rates!$B$2:$B$501,t,Bank_Rates!$D$2:$D$501,"&lt;="&amp;G183),SUMIFS(Bank_Rates!$C$2:$C$501,Bank_Rates!$A$2:$A$501,H183,Bank_Rates!$B$2:$B$501,t,Bank_Rates!$D$2:$D$501,d)))))))</f>
        <v/>
      </c>
      <c r="K183" s="6" t="str">
        <f t="shared" si="4"/>
        <v/>
      </c>
    </row>
    <row r="184" spans="1:11">
      <c r="A184" s="18" t="str">
        <f t="shared" si="5"/>
        <v/>
      </c>
      <c r="B184" s="13"/>
      <c r="C184" s="14"/>
      <c r="D184" s="3"/>
      <c r="E184" s="3"/>
      <c r="F184" s="14"/>
      <c r="G184" s="7">
        <f>RawObservationsTable[[#This Row],[Maturity Date]]-RawObservationsTable[[#This Row],[Timestamp]]</f>
        <v>0</v>
      </c>
      <c r="H184" s="2"/>
      <c r="I184" s="4"/>
      <c r="J184" s="5" t="str">
        <f>IF(OR(H184="",G184="",C184=""),"",LET(n,COUNTIFS(Bank_Rates!$A$2:$A$501,H184,Bank_Rates!$B$2:$B$501,"&lt;="&amp;C184),IF(n=0,"",LET(t,MAXIFS(Bank_Rates!$B$2:$B$501,Bank_Rates!$A$2:$A$501,H184,Bank_Rates!$B$2:$B$501,"&lt;="&amp;C184),m,COUNTIFS(Bank_Rates!$A$2:$A$501,H184,Bank_Rates!$B$2:$B$501,t,Bank_Rates!$D$2:$D$501,"&lt;="&amp;G184),IF(m=0,"",LET(d,MAXIFS(Bank_Rates!$D$2:$D$501,Bank_Rates!$A$2:$A$501,H184,Bank_Rates!$B$2:$B$501,t,Bank_Rates!$D$2:$D$501,"&lt;="&amp;G184),SUMIFS(Bank_Rates!$C$2:$C$501,Bank_Rates!$A$2:$A$501,H184,Bank_Rates!$B$2:$B$501,t,Bank_Rates!$D$2:$D$501,d)))))))</f>
        <v/>
      </c>
      <c r="K184" s="6" t="str">
        <f t="shared" si="4"/>
        <v/>
      </c>
    </row>
    <row r="185" spans="1:11">
      <c r="A185" s="18" t="str">
        <f t="shared" si="5"/>
        <v/>
      </c>
      <c r="B185" s="13"/>
      <c r="C185" s="14"/>
      <c r="D185" s="3"/>
      <c r="E185" s="3"/>
      <c r="F185" s="14"/>
      <c r="G185" s="7">
        <f>RawObservationsTable[[#This Row],[Maturity Date]]-RawObservationsTable[[#This Row],[Timestamp]]</f>
        <v>0</v>
      </c>
      <c r="H185" s="2"/>
      <c r="I185" s="4"/>
      <c r="J185" s="5" t="str">
        <f>IF(OR(H185="",G185="",C185=""),"",LET(n,COUNTIFS(Bank_Rates!$A$2:$A$501,H185,Bank_Rates!$B$2:$B$501,"&lt;="&amp;C185),IF(n=0,"",LET(t,MAXIFS(Bank_Rates!$B$2:$B$501,Bank_Rates!$A$2:$A$501,H185,Bank_Rates!$B$2:$B$501,"&lt;="&amp;C185),m,COUNTIFS(Bank_Rates!$A$2:$A$501,H185,Bank_Rates!$B$2:$B$501,t,Bank_Rates!$D$2:$D$501,"&lt;="&amp;G185),IF(m=0,"",LET(d,MAXIFS(Bank_Rates!$D$2:$D$501,Bank_Rates!$A$2:$A$501,H185,Bank_Rates!$B$2:$B$501,t,Bank_Rates!$D$2:$D$501,"&lt;="&amp;G185),SUMIFS(Bank_Rates!$C$2:$C$501,Bank_Rates!$A$2:$A$501,H185,Bank_Rates!$B$2:$B$501,t,Bank_Rates!$D$2:$D$501,d)))))))</f>
        <v/>
      </c>
      <c r="K185" s="6" t="str">
        <f t="shared" si="4"/>
        <v/>
      </c>
    </row>
    <row r="186" spans="1:11">
      <c r="A186" s="18" t="str">
        <f t="shared" si="5"/>
        <v/>
      </c>
      <c r="B186" s="13"/>
      <c r="C186" s="14"/>
      <c r="D186" s="3"/>
      <c r="E186" s="3"/>
      <c r="F186" s="14"/>
      <c r="G186" s="7">
        <f>RawObservationsTable[[#This Row],[Maturity Date]]-RawObservationsTable[[#This Row],[Timestamp]]</f>
        <v>0</v>
      </c>
      <c r="H186" s="2"/>
      <c r="I186" s="4"/>
      <c r="J186" s="5" t="str">
        <f>IF(OR(H186="",G186="",C186=""),"",LET(n,COUNTIFS(Bank_Rates!$A$2:$A$501,H186,Bank_Rates!$B$2:$B$501,"&lt;="&amp;C186),IF(n=0,"",LET(t,MAXIFS(Bank_Rates!$B$2:$B$501,Bank_Rates!$A$2:$A$501,H186,Bank_Rates!$B$2:$B$501,"&lt;="&amp;C186),m,COUNTIFS(Bank_Rates!$A$2:$A$501,H186,Bank_Rates!$B$2:$B$501,t,Bank_Rates!$D$2:$D$501,"&lt;="&amp;G186),IF(m=0,"",LET(d,MAXIFS(Bank_Rates!$D$2:$D$501,Bank_Rates!$A$2:$A$501,H186,Bank_Rates!$B$2:$B$501,t,Bank_Rates!$D$2:$D$501,"&lt;="&amp;G186),SUMIFS(Bank_Rates!$C$2:$C$501,Bank_Rates!$A$2:$A$501,H186,Bank_Rates!$B$2:$B$501,t,Bank_Rates!$D$2:$D$501,d)))))))</f>
        <v/>
      </c>
      <c r="K186" s="6" t="str">
        <f t="shared" si="4"/>
        <v/>
      </c>
    </row>
    <row r="187" spans="1:11">
      <c r="A187" s="18" t="str">
        <f t="shared" si="5"/>
        <v/>
      </c>
      <c r="B187" s="13"/>
      <c r="C187" s="14"/>
      <c r="D187" s="3"/>
      <c r="E187" s="3"/>
      <c r="F187" s="14"/>
      <c r="G187" s="7">
        <f>RawObservationsTable[[#This Row],[Maturity Date]]-RawObservationsTable[[#This Row],[Timestamp]]</f>
        <v>0</v>
      </c>
      <c r="H187" s="2"/>
      <c r="I187" s="4"/>
      <c r="J187" s="5" t="str">
        <f>IF(OR(H187="",G187="",C187=""),"",LET(n,COUNTIFS(Bank_Rates!$A$2:$A$501,H187,Bank_Rates!$B$2:$B$501,"&lt;="&amp;C187),IF(n=0,"",LET(t,MAXIFS(Bank_Rates!$B$2:$B$501,Bank_Rates!$A$2:$A$501,H187,Bank_Rates!$B$2:$B$501,"&lt;="&amp;C187),m,COUNTIFS(Bank_Rates!$A$2:$A$501,H187,Bank_Rates!$B$2:$B$501,t,Bank_Rates!$D$2:$D$501,"&lt;="&amp;G187),IF(m=0,"",LET(d,MAXIFS(Bank_Rates!$D$2:$D$501,Bank_Rates!$A$2:$A$501,H187,Bank_Rates!$B$2:$B$501,t,Bank_Rates!$D$2:$D$501,"&lt;="&amp;G187),SUMIFS(Bank_Rates!$C$2:$C$501,Bank_Rates!$A$2:$A$501,H187,Bank_Rates!$B$2:$B$501,t,Bank_Rates!$D$2:$D$501,d)))))))</f>
        <v/>
      </c>
      <c r="K187" s="6" t="str">
        <f t="shared" si="4"/>
        <v/>
      </c>
    </row>
    <row r="188" spans="1:11">
      <c r="A188" s="18" t="str">
        <f t="shared" si="5"/>
        <v/>
      </c>
      <c r="B188" s="13"/>
      <c r="C188" s="14"/>
      <c r="D188" s="3"/>
      <c r="E188" s="3"/>
      <c r="F188" s="14"/>
      <c r="G188" s="7">
        <f>RawObservationsTable[[#This Row],[Maturity Date]]-RawObservationsTable[[#This Row],[Timestamp]]</f>
        <v>0</v>
      </c>
      <c r="H188" s="2"/>
      <c r="I188" s="4"/>
      <c r="J188" s="5" t="str">
        <f>IF(OR(H188="",G188="",C188=""),"",LET(n,COUNTIFS(Bank_Rates!$A$2:$A$501,H188,Bank_Rates!$B$2:$B$501,"&lt;="&amp;C188),IF(n=0,"",LET(t,MAXIFS(Bank_Rates!$B$2:$B$501,Bank_Rates!$A$2:$A$501,H188,Bank_Rates!$B$2:$B$501,"&lt;="&amp;C188),m,COUNTIFS(Bank_Rates!$A$2:$A$501,H188,Bank_Rates!$B$2:$B$501,t,Bank_Rates!$D$2:$D$501,"&lt;="&amp;G188),IF(m=0,"",LET(d,MAXIFS(Bank_Rates!$D$2:$D$501,Bank_Rates!$A$2:$A$501,H188,Bank_Rates!$B$2:$B$501,t,Bank_Rates!$D$2:$D$501,"&lt;="&amp;G188),SUMIFS(Bank_Rates!$C$2:$C$501,Bank_Rates!$A$2:$A$501,H188,Bank_Rates!$B$2:$B$501,t,Bank_Rates!$D$2:$D$501,d)))))))</f>
        <v/>
      </c>
      <c r="K188" s="6" t="str">
        <f t="shared" si="4"/>
        <v/>
      </c>
    </row>
    <row r="189" spans="1:11">
      <c r="A189" s="18" t="str">
        <f t="shared" si="5"/>
        <v/>
      </c>
      <c r="B189" s="13"/>
      <c r="C189" s="14"/>
      <c r="D189" s="3"/>
      <c r="E189" s="3"/>
      <c r="F189" s="14"/>
      <c r="G189" s="7">
        <f>RawObservationsTable[[#This Row],[Maturity Date]]-RawObservationsTable[[#This Row],[Timestamp]]</f>
        <v>0</v>
      </c>
      <c r="H189" s="2"/>
      <c r="I189" s="4"/>
      <c r="J189" s="5" t="str">
        <f>IF(OR(H189="",G189="",C189=""),"",LET(n,COUNTIFS(Bank_Rates!$A$2:$A$501,H189,Bank_Rates!$B$2:$B$501,"&lt;="&amp;C189),IF(n=0,"",LET(t,MAXIFS(Bank_Rates!$B$2:$B$501,Bank_Rates!$A$2:$A$501,H189,Bank_Rates!$B$2:$B$501,"&lt;="&amp;C189),m,COUNTIFS(Bank_Rates!$A$2:$A$501,H189,Bank_Rates!$B$2:$B$501,t,Bank_Rates!$D$2:$D$501,"&lt;="&amp;G189),IF(m=0,"",LET(d,MAXIFS(Bank_Rates!$D$2:$D$501,Bank_Rates!$A$2:$A$501,H189,Bank_Rates!$B$2:$B$501,t,Bank_Rates!$D$2:$D$501,"&lt;="&amp;G189),SUMIFS(Bank_Rates!$C$2:$C$501,Bank_Rates!$A$2:$A$501,H189,Bank_Rates!$B$2:$B$501,t,Bank_Rates!$D$2:$D$501,d)))))))</f>
        <v/>
      </c>
      <c r="K189" s="6" t="str">
        <f t="shared" si="4"/>
        <v/>
      </c>
    </row>
    <row r="190" spans="1:11">
      <c r="A190" s="18" t="str">
        <f t="shared" si="5"/>
        <v/>
      </c>
      <c r="B190" s="13"/>
      <c r="C190" s="14"/>
      <c r="D190" s="3"/>
      <c r="E190" s="3"/>
      <c r="F190" s="14"/>
      <c r="G190" s="7">
        <f>RawObservationsTable[[#This Row],[Maturity Date]]-RawObservationsTable[[#This Row],[Timestamp]]</f>
        <v>0</v>
      </c>
      <c r="H190" s="2"/>
      <c r="I190" s="4"/>
      <c r="J190" s="5" t="str">
        <f>IF(OR(H190="",G190="",C190=""),"",LET(n,COUNTIFS(Bank_Rates!$A$2:$A$501,H190,Bank_Rates!$B$2:$B$501,"&lt;="&amp;C190),IF(n=0,"",LET(t,MAXIFS(Bank_Rates!$B$2:$B$501,Bank_Rates!$A$2:$A$501,H190,Bank_Rates!$B$2:$B$501,"&lt;="&amp;C190),m,COUNTIFS(Bank_Rates!$A$2:$A$501,H190,Bank_Rates!$B$2:$B$501,t,Bank_Rates!$D$2:$D$501,"&lt;="&amp;G190),IF(m=0,"",LET(d,MAXIFS(Bank_Rates!$D$2:$D$501,Bank_Rates!$A$2:$A$501,H190,Bank_Rates!$B$2:$B$501,t,Bank_Rates!$D$2:$D$501,"&lt;="&amp;G190),SUMIFS(Bank_Rates!$C$2:$C$501,Bank_Rates!$A$2:$A$501,H190,Bank_Rates!$B$2:$B$501,t,Bank_Rates!$D$2:$D$501,d)))))))</f>
        <v/>
      </c>
      <c r="K190" s="6" t="str">
        <f t="shared" si="4"/>
        <v/>
      </c>
    </row>
    <row r="191" spans="1:11">
      <c r="A191" s="18" t="str">
        <f t="shared" si="5"/>
        <v/>
      </c>
      <c r="B191" s="13"/>
      <c r="C191" s="14"/>
      <c r="D191" s="3"/>
      <c r="E191" s="3"/>
      <c r="F191" s="14"/>
      <c r="G191" s="7">
        <f>RawObservationsTable[[#This Row],[Maturity Date]]-RawObservationsTable[[#This Row],[Timestamp]]</f>
        <v>0</v>
      </c>
      <c r="H191" s="2"/>
      <c r="I191" s="4"/>
      <c r="J191" s="5" t="str">
        <f>IF(OR(H191="",G191="",C191=""),"",LET(n,COUNTIFS(Bank_Rates!$A$2:$A$501,H191,Bank_Rates!$B$2:$B$501,"&lt;="&amp;C191),IF(n=0,"",LET(t,MAXIFS(Bank_Rates!$B$2:$B$501,Bank_Rates!$A$2:$A$501,H191,Bank_Rates!$B$2:$B$501,"&lt;="&amp;C191),m,COUNTIFS(Bank_Rates!$A$2:$A$501,H191,Bank_Rates!$B$2:$B$501,t,Bank_Rates!$D$2:$D$501,"&lt;="&amp;G191),IF(m=0,"",LET(d,MAXIFS(Bank_Rates!$D$2:$D$501,Bank_Rates!$A$2:$A$501,H191,Bank_Rates!$B$2:$B$501,t,Bank_Rates!$D$2:$D$501,"&lt;="&amp;G191),SUMIFS(Bank_Rates!$C$2:$C$501,Bank_Rates!$A$2:$A$501,H191,Bank_Rates!$B$2:$B$501,t,Bank_Rates!$D$2:$D$501,d)))))))</f>
        <v/>
      </c>
      <c r="K191" s="6" t="str">
        <f t="shared" si="4"/>
        <v/>
      </c>
    </row>
    <row r="192" spans="1:11">
      <c r="A192" s="18" t="str">
        <f t="shared" si="5"/>
        <v/>
      </c>
      <c r="B192" s="13"/>
      <c r="C192" s="14"/>
      <c r="D192" s="3"/>
      <c r="E192" s="3"/>
      <c r="F192" s="14"/>
      <c r="G192" s="7">
        <f>RawObservationsTable[[#This Row],[Maturity Date]]-RawObservationsTable[[#This Row],[Timestamp]]</f>
        <v>0</v>
      </c>
      <c r="H192" s="2"/>
      <c r="I192" s="4"/>
      <c r="J192" s="5" t="str">
        <f>IF(OR(H192="",G192="",C192=""),"",LET(n,COUNTIFS(Bank_Rates!$A$2:$A$501,H192,Bank_Rates!$B$2:$B$501,"&lt;="&amp;C192),IF(n=0,"",LET(t,MAXIFS(Bank_Rates!$B$2:$B$501,Bank_Rates!$A$2:$A$501,H192,Bank_Rates!$B$2:$B$501,"&lt;="&amp;C192),m,COUNTIFS(Bank_Rates!$A$2:$A$501,H192,Bank_Rates!$B$2:$B$501,t,Bank_Rates!$D$2:$D$501,"&lt;="&amp;G192),IF(m=0,"",LET(d,MAXIFS(Bank_Rates!$D$2:$D$501,Bank_Rates!$A$2:$A$501,H192,Bank_Rates!$B$2:$B$501,t,Bank_Rates!$D$2:$D$501,"&lt;="&amp;G192),SUMIFS(Bank_Rates!$C$2:$C$501,Bank_Rates!$A$2:$A$501,H192,Bank_Rates!$B$2:$B$501,t,Bank_Rates!$D$2:$D$501,d)))))))</f>
        <v/>
      </c>
      <c r="K192" s="6" t="str">
        <f t="shared" si="4"/>
        <v/>
      </c>
    </row>
    <row r="193" spans="1:11">
      <c r="A193" s="18" t="str">
        <f t="shared" si="5"/>
        <v/>
      </c>
      <c r="B193" s="13"/>
      <c r="C193" s="14"/>
      <c r="D193" s="3"/>
      <c r="E193" s="3"/>
      <c r="F193" s="14"/>
      <c r="G193" s="7">
        <f>RawObservationsTable[[#This Row],[Maturity Date]]-RawObservationsTable[[#This Row],[Timestamp]]</f>
        <v>0</v>
      </c>
      <c r="H193" s="2"/>
      <c r="I193" s="4"/>
      <c r="J193" s="5" t="str">
        <f>IF(OR(H193="",G193="",C193=""),"",LET(n,COUNTIFS(Bank_Rates!$A$2:$A$501,H193,Bank_Rates!$B$2:$B$501,"&lt;="&amp;C193),IF(n=0,"",LET(t,MAXIFS(Bank_Rates!$B$2:$B$501,Bank_Rates!$A$2:$A$501,H193,Bank_Rates!$B$2:$B$501,"&lt;="&amp;C193),m,COUNTIFS(Bank_Rates!$A$2:$A$501,H193,Bank_Rates!$B$2:$B$501,t,Bank_Rates!$D$2:$D$501,"&lt;="&amp;G193),IF(m=0,"",LET(d,MAXIFS(Bank_Rates!$D$2:$D$501,Bank_Rates!$A$2:$A$501,H193,Bank_Rates!$B$2:$B$501,t,Bank_Rates!$D$2:$D$501,"&lt;="&amp;G193),SUMIFS(Bank_Rates!$C$2:$C$501,Bank_Rates!$A$2:$A$501,H193,Bank_Rates!$B$2:$B$501,t,Bank_Rates!$D$2:$D$501,d)))))))</f>
        <v/>
      </c>
      <c r="K193" s="6" t="str">
        <f t="shared" si="4"/>
        <v/>
      </c>
    </row>
    <row r="194" spans="1:11">
      <c r="A194" s="18" t="str">
        <f t="shared" si="5"/>
        <v/>
      </c>
      <c r="B194" s="13"/>
      <c r="C194" s="14"/>
      <c r="D194" s="3"/>
      <c r="E194" s="3"/>
      <c r="F194" s="14"/>
      <c r="G194" s="7">
        <f>RawObservationsTable[[#This Row],[Maturity Date]]-RawObservationsTable[[#This Row],[Timestamp]]</f>
        <v>0</v>
      </c>
      <c r="H194" s="2"/>
      <c r="I194" s="4"/>
      <c r="J194" s="5" t="str">
        <f>IF(OR(H194="",G194="",C194=""),"",LET(n,COUNTIFS(Bank_Rates!$A$2:$A$501,H194,Bank_Rates!$B$2:$B$501,"&lt;="&amp;C194),IF(n=0,"",LET(t,MAXIFS(Bank_Rates!$B$2:$B$501,Bank_Rates!$A$2:$A$501,H194,Bank_Rates!$B$2:$B$501,"&lt;="&amp;C194),m,COUNTIFS(Bank_Rates!$A$2:$A$501,H194,Bank_Rates!$B$2:$B$501,t,Bank_Rates!$D$2:$D$501,"&lt;="&amp;G194),IF(m=0,"",LET(d,MAXIFS(Bank_Rates!$D$2:$D$501,Bank_Rates!$A$2:$A$501,H194,Bank_Rates!$B$2:$B$501,t,Bank_Rates!$D$2:$D$501,"&lt;="&amp;G194),SUMIFS(Bank_Rates!$C$2:$C$501,Bank_Rates!$A$2:$A$501,H194,Bank_Rates!$B$2:$B$501,t,Bank_Rates!$D$2:$D$501,d)))))))</f>
        <v/>
      </c>
      <c r="K194" s="6" t="str">
        <f t="shared" ref="K194:K257" si="6">IF(OR(I194="",J194=""),"",I194-J194)</f>
        <v/>
      </c>
    </row>
    <row r="195" spans="1:11">
      <c r="A195" s="18" t="str">
        <f t="shared" ref="A195:A258" si="7">IF(B195&lt;&gt;"","L-"&amp;TEXT(ROW()-1,"0000"),"")</f>
        <v/>
      </c>
      <c r="B195" s="13"/>
      <c r="C195" s="14"/>
      <c r="D195" s="3"/>
      <c r="E195" s="3"/>
      <c r="F195" s="14"/>
      <c r="G195" s="7">
        <f>RawObservationsTable[[#This Row],[Maturity Date]]-RawObservationsTable[[#This Row],[Timestamp]]</f>
        <v>0</v>
      </c>
      <c r="H195" s="2"/>
      <c r="I195" s="4"/>
      <c r="J195" s="5" t="str">
        <f>IF(OR(H195="",G195="",C195=""),"",LET(n,COUNTIFS(Bank_Rates!$A$2:$A$501,H195,Bank_Rates!$B$2:$B$501,"&lt;="&amp;C195),IF(n=0,"",LET(t,MAXIFS(Bank_Rates!$B$2:$B$501,Bank_Rates!$A$2:$A$501,H195,Bank_Rates!$B$2:$B$501,"&lt;="&amp;C195),m,COUNTIFS(Bank_Rates!$A$2:$A$501,H195,Bank_Rates!$B$2:$B$501,t,Bank_Rates!$D$2:$D$501,"&lt;="&amp;G195),IF(m=0,"",LET(d,MAXIFS(Bank_Rates!$D$2:$D$501,Bank_Rates!$A$2:$A$501,H195,Bank_Rates!$B$2:$B$501,t,Bank_Rates!$D$2:$D$501,"&lt;="&amp;G195),SUMIFS(Bank_Rates!$C$2:$C$501,Bank_Rates!$A$2:$A$501,H195,Bank_Rates!$B$2:$B$501,t,Bank_Rates!$D$2:$D$501,d)))))))</f>
        <v/>
      </c>
      <c r="K195" s="6" t="str">
        <f t="shared" si="6"/>
        <v/>
      </c>
    </row>
    <row r="196" spans="1:11">
      <c r="A196" s="18" t="str">
        <f t="shared" si="7"/>
        <v/>
      </c>
      <c r="B196" s="13"/>
      <c r="C196" s="14"/>
      <c r="D196" s="3"/>
      <c r="E196" s="3"/>
      <c r="F196" s="14"/>
      <c r="G196" s="7">
        <f>RawObservationsTable[[#This Row],[Maturity Date]]-RawObservationsTable[[#This Row],[Timestamp]]</f>
        <v>0</v>
      </c>
      <c r="H196" s="2"/>
      <c r="I196" s="4"/>
      <c r="J196" s="5" t="str">
        <f>IF(OR(H196="",G196="",C196=""),"",LET(n,COUNTIFS(Bank_Rates!$A$2:$A$501,H196,Bank_Rates!$B$2:$B$501,"&lt;="&amp;C196),IF(n=0,"",LET(t,MAXIFS(Bank_Rates!$B$2:$B$501,Bank_Rates!$A$2:$A$501,H196,Bank_Rates!$B$2:$B$501,"&lt;="&amp;C196),m,COUNTIFS(Bank_Rates!$A$2:$A$501,H196,Bank_Rates!$B$2:$B$501,t,Bank_Rates!$D$2:$D$501,"&lt;="&amp;G196),IF(m=0,"",LET(d,MAXIFS(Bank_Rates!$D$2:$D$501,Bank_Rates!$A$2:$A$501,H196,Bank_Rates!$B$2:$B$501,t,Bank_Rates!$D$2:$D$501,"&lt;="&amp;G196),SUMIFS(Bank_Rates!$C$2:$C$501,Bank_Rates!$A$2:$A$501,H196,Bank_Rates!$B$2:$B$501,t,Bank_Rates!$D$2:$D$501,d)))))))</f>
        <v/>
      </c>
      <c r="K196" s="6" t="str">
        <f t="shared" si="6"/>
        <v/>
      </c>
    </row>
    <row r="197" spans="1:11">
      <c r="A197" s="18" t="str">
        <f t="shared" si="7"/>
        <v/>
      </c>
      <c r="B197" s="13"/>
      <c r="C197" s="14"/>
      <c r="D197" s="3"/>
      <c r="E197" s="3"/>
      <c r="F197" s="14"/>
      <c r="G197" s="7">
        <f>RawObservationsTable[[#This Row],[Maturity Date]]-RawObservationsTable[[#This Row],[Timestamp]]</f>
        <v>0</v>
      </c>
      <c r="H197" s="2"/>
      <c r="I197" s="4"/>
      <c r="J197" s="5" t="str">
        <f>IF(OR(H197="",G197="",C197=""),"",LET(n,COUNTIFS(Bank_Rates!$A$2:$A$501,H197,Bank_Rates!$B$2:$B$501,"&lt;="&amp;C197),IF(n=0,"",LET(t,MAXIFS(Bank_Rates!$B$2:$B$501,Bank_Rates!$A$2:$A$501,H197,Bank_Rates!$B$2:$B$501,"&lt;="&amp;C197),m,COUNTIFS(Bank_Rates!$A$2:$A$501,H197,Bank_Rates!$B$2:$B$501,t,Bank_Rates!$D$2:$D$501,"&lt;="&amp;G197),IF(m=0,"",LET(d,MAXIFS(Bank_Rates!$D$2:$D$501,Bank_Rates!$A$2:$A$501,H197,Bank_Rates!$B$2:$B$501,t,Bank_Rates!$D$2:$D$501,"&lt;="&amp;G197),SUMIFS(Bank_Rates!$C$2:$C$501,Bank_Rates!$A$2:$A$501,H197,Bank_Rates!$B$2:$B$501,t,Bank_Rates!$D$2:$D$501,d)))))))</f>
        <v/>
      </c>
      <c r="K197" s="6" t="str">
        <f t="shared" si="6"/>
        <v/>
      </c>
    </row>
    <row r="198" spans="1:11">
      <c r="A198" s="18" t="str">
        <f t="shared" si="7"/>
        <v/>
      </c>
      <c r="B198" s="13"/>
      <c r="C198" s="14"/>
      <c r="D198" s="3"/>
      <c r="E198" s="3"/>
      <c r="F198" s="14"/>
      <c r="G198" s="7">
        <f>RawObservationsTable[[#This Row],[Maturity Date]]-RawObservationsTable[[#This Row],[Timestamp]]</f>
        <v>0</v>
      </c>
      <c r="H198" s="2"/>
      <c r="I198" s="4"/>
      <c r="J198" s="5" t="str">
        <f>IF(OR(H198="",G198="",C198=""),"",LET(n,COUNTIFS(Bank_Rates!$A$2:$A$501,H198,Bank_Rates!$B$2:$B$501,"&lt;="&amp;C198),IF(n=0,"",LET(t,MAXIFS(Bank_Rates!$B$2:$B$501,Bank_Rates!$A$2:$A$501,H198,Bank_Rates!$B$2:$B$501,"&lt;="&amp;C198),m,COUNTIFS(Bank_Rates!$A$2:$A$501,H198,Bank_Rates!$B$2:$B$501,t,Bank_Rates!$D$2:$D$501,"&lt;="&amp;G198),IF(m=0,"",LET(d,MAXIFS(Bank_Rates!$D$2:$D$501,Bank_Rates!$A$2:$A$501,H198,Bank_Rates!$B$2:$B$501,t,Bank_Rates!$D$2:$D$501,"&lt;="&amp;G198),SUMIFS(Bank_Rates!$C$2:$C$501,Bank_Rates!$A$2:$A$501,H198,Bank_Rates!$B$2:$B$501,t,Bank_Rates!$D$2:$D$501,d)))))))</f>
        <v/>
      </c>
      <c r="K198" s="6" t="str">
        <f t="shared" si="6"/>
        <v/>
      </c>
    </row>
    <row r="199" spans="1:11">
      <c r="A199" s="18" t="str">
        <f t="shared" si="7"/>
        <v/>
      </c>
      <c r="B199" s="13"/>
      <c r="C199" s="14"/>
      <c r="D199" s="3"/>
      <c r="E199" s="3"/>
      <c r="F199" s="14"/>
      <c r="G199" s="7">
        <f>RawObservationsTable[[#This Row],[Maturity Date]]-RawObservationsTable[[#This Row],[Timestamp]]</f>
        <v>0</v>
      </c>
      <c r="H199" s="2"/>
      <c r="I199" s="4"/>
      <c r="J199" s="5" t="str">
        <f>IF(OR(H199="",G199="",C199=""),"",LET(n,COUNTIFS(Bank_Rates!$A$2:$A$501,H199,Bank_Rates!$B$2:$B$501,"&lt;="&amp;C199),IF(n=0,"",LET(t,MAXIFS(Bank_Rates!$B$2:$B$501,Bank_Rates!$A$2:$A$501,H199,Bank_Rates!$B$2:$B$501,"&lt;="&amp;C199),m,COUNTIFS(Bank_Rates!$A$2:$A$501,H199,Bank_Rates!$B$2:$B$501,t,Bank_Rates!$D$2:$D$501,"&lt;="&amp;G199),IF(m=0,"",LET(d,MAXIFS(Bank_Rates!$D$2:$D$501,Bank_Rates!$A$2:$A$501,H199,Bank_Rates!$B$2:$B$501,t,Bank_Rates!$D$2:$D$501,"&lt;="&amp;G199),SUMIFS(Bank_Rates!$C$2:$C$501,Bank_Rates!$A$2:$A$501,H199,Bank_Rates!$B$2:$B$501,t,Bank_Rates!$D$2:$D$501,d)))))))</f>
        <v/>
      </c>
      <c r="K199" s="6" t="str">
        <f t="shared" si="6"/>
        <v/>
      </c>
    </row>
    <row r="200" spans="1:11">
      <c r="A200" s="18" t="str">
        <f t="shared" si="7"/>
        <v/>
      </c>
      <c r="B200" s="13"/>
      <c r="C200" s="14"/>
      <c r="D200" s="3"/>
      <c r="E200" s="3"/>
      <c r="F200" s="14"/>
      <c r="G200" s="7">
        <f>RawObservationsTable[[#This Row],[Maturity Date]]-RawObservationsTable[[#This Row],[Timestamp]]</f>
        <v>0</v>
      </c>
      <c r="H200" s="2"/>
      <c r="I200" s="4"/>
      <c r="J200" s="5" t="str">
        <f>IF(OR(H200="",G200="",C200=""),"",LET(n,COUNTIFS(Bank_Rates!$A$2:$A$501,H200,Bank_Rates!$B$2:$B$501,"&lt;="&amp;C200),IF(n=0,"",LET(t,MAXIFS(Bank_Rates!$B$2:$B$501,Bank_Rates!$A$2:$A$501,H200,Bank_Rates!$B$2:$B$501,"&lt;="&amp;C200),m,COUNTIFS(Bank_Rates!$A$2:$A$501,H200,Bank_Rates!$B$2:$B$501,t,Bank_Rates!$D$2:$D$501,"&lt;="&amp;G200),IF(m=0,"",LET(d,MAXIFS(Bank_Rates!$D$2:$D$501,Bank_Rates!$A$2:$A$501,H200,Bank_Rates!$B$2:$B$501,t,Bank_Rates!$D$2:$D$501,"&lt;="&amp;G200),SUMIFS(Bank_Rates!$C$2:$C$501,Bank_Rates!$A$2:$A$501,H200,Bank_Rates!$B$2:$B$501,t,Bank_Rates!$D$2:$D$501,d)))))))</f>
        <v/>
      </c>
      <c r="K200" s="6" t="str">
        <f t="shared" si="6"/>
        <v/>
      </c>
    </row>
    <row r="201" spans="1:11">
      <c r="A201" s="18" t="str">
        <f t="shared" si="7"/>
        <v/>
      </c>
      <c r="B201" s="13"/>
      <c r="C201" s="14"/>
      <c r="D201" s="3"/>
      <c r="E201" s="3"/>
      <c r="F201" s="14"/>
      <c r="G201" s="7">
        <f>RawObservationsTable[[#This Row],[Maturity Date]]-RawObservationsTable[[#This Row],[Timestamp]]</f>
        <v>0</v>
      </c>
      <c r="H201" s="2"/>
      <c r="I201" s="4"/>
      <c r="J201" s="5" t="str">
        <f>IF(OR(H201="",G201="",C201=""),"",LET(n,COUNTIFS(Bank_Rates!$A$2:$A$501,H201,Bank_Rates!$B$2:$B$501,"&lt;="&amp;C201),IF(n=0,"",LET(t,MAXIFS(Bank_Rates!$B$2:$B$501,Bank_Rates!$A$2:$A$501,H201,Bank_Rates!$B$2:$B$501,"&lt;="&amp;C201),m,COUNTIFS(Bank_Rates!$A$2:$A$501,H201,Bank_Rates!$B$2:$B$501,t,Bank_Rates!$D$2:$D$501,"&lt;="&amp;G201),IF(m=0,"",LET(d,MAXIFS(Bank_Rates!$D$2:$D$501,Bank_Rates!$A$2:$A$501,H201,Bank_Rates!$B$2:$B$501,t,Bank_Rates!$D$2:$D$501,"&lt;="&amp;G201),SUMIFS(Bank_Rates!$C$2:$C$501,Bank_Rates!$A$2:$A$501,H201,Bank_Rates!$B$2:$B$501,t,Bank_Rates!$D$2:$D$501,d)))))))</f>
        <v/>
      </c>
      <c r="K201" s="6" t="str">
        <f t="shared" si="6"/>
        <v/>
      </c>
    </row>
    <row r="202" spans="1:11">
      <c r="A202" s="18" t="str">
        <f t="shared" si="7"/>
        <v/>
      </c>
      <c r="B202" s="13"/>
      <c r="C202" s="14"/>
      <c r="D202" s="3"/>
      <c r="E202" s="3"/>
      <c r="F202" s="14"/>
      <c r="G202" s="7">
        <f>RawObservationsTable[[#This Row],[Maturity Date]]-RawObservationsTable[[#This Row],[Timestamp]]</f>
        <v>0</v>
      </c>
      <c r="H202" s="2"/>
      <c r="I202" s="4"/>
      <c r="J202" s="5" t="str">
        <f>IF(OR(H202="",G202="",C202=""),"",LET(n,COUNTIFS(Bank_Rates!$A$2:$A$501,H202,Bank_Rates!$B$2:$B$501,"&lt;="&amp;C202),IF(n=0,"",LET(t,MAXIFS(Bank_Rates!$B$2:$B$501,Bank_Rates!$A$2:$A$501,H202,Bank_Rates!$B$2:$B$501,"&lt;="&amp;C202),m,COUNTIFS(Bank_Rates!$A$2:$A$501,H202,Bank_Rates!$B$2:$B$501,t,Bank_Rates!$D$2:$D$501,"&lt;="&amp;G202),IF(m=0,"",LET(d,MAXIFS(Bank_Rates!$D$2:$D$501,Bank_Rates!$A$2:$A$501,H202,Bank_Rates!$B$2:$B$501,t,Bank_Rates!$D$2:$D$501,"&lt;="&amp;G202),SUMIFS(Bank_Rates!$C$2:$C$501,Bank_Rates!$A$2:$A$501,H202,Bank_Rates!$B$2:$B$501,t,Bank_Rates!$D$2:$D$501,d)))))))</f>
        <v/>
      </c>
      <c r="K202" s="6" t="str">
        <f t="shared" si="6"/>
        <v/>
      </c>
    </row>
    <row r="203" spans="1:11">
      <c r="A203" s="18" t="str">
        <f t="shared" si="7"/>
        <v/>
      </c>
      <c r="B203" s="13"/>
      <c r="C203" s="14"/>
      <c r="D203" s="3"/>
      <c r="E203" s="3"/>
      <c r="F203" s="14"/>
      <c r="G203" s="7">
        <f>RawObservationsTable[[#This Row],[Maturity Date]]-RawObservationsTable[[#This Row],[Timestamp]]</f>
        <v>0</v>
      </c>
      <c r="H203" s="2"/>
      <c r="I203" s="4"/>
      <c r="J203" s="5" t="str">
        <f>IF(OR(H203="",G203="",C203=""),"",LET(n,COUNTIFS(Bank_Rates!$A$2:$A$501,H203,Bank_Rates!$B$2:$B$501,"&lt;="&amp;C203),IF(n=0,"",LET(t,MAXIFS(Bank_Rates!$B$2:$B$501,Bank_Rates!$A$2:$A$501,H203,Bank_Rates!$B$2:$B$501,"&lt;="&amp;C203),m,COUNTIFS(Bank_Rates!$A$2:$A$501,H203,Bank_Rates!$B$2:$B$501,t,Bank_Rates!$D$2:$D$501,"&lt;="&amp;G203),IF(m=0,"",LET(d,MAXIFS(Bank_Rates!$D$2:$D$501,Bank_Rates!$A$2:$A$501,H203,Bank_Rates!$B$2:$B$501,t,Bank_Rates!$D$2:$D$501,"&lt;="&amp;G203),SUMIFS(Bank_Rates!$C$2:$C$501,Bank_Rates!$A$2:$A$501,H203,Bank_Rates!$B$2:$B$501,t,Bank_Rates!$D$2:$D$501,d)))))))</f>
        <v/>
      </c>
      <c r="K203" s="6" t="str">
        <f t="shared" si="6"/>
        <v/>
      </c>
    </row>
    <row r="204" spans="1:11">
      <c r="A204" s="18" t="str">
        <f t="shared" si="7"/>
        <v/>
      </c>
      <c r="B204" s="13"/>
      <c r="C204" s="14"/>
      <c r="D204" s="3"/>
      <c r="E204" s="3"/>
      <c r="F204" s="14"/>
      <c r="G204" s="7">
        <f>RawObservationsTable[[#This Row],[Maturity Date]]-RawObservationsTable[[#This Row],[Timestamp]]</f>
        <v>0</v>
      </c>
      <c r="H204" s="2"/>
      <c r="I204" s="4"/>
      <c r="J204" s="5" t="str">
        <f>IF(OR(H204="",G204="",C204=""),"",LET(n,COUNTIFS(Bank_Rates!$A$2:$A$501,H204,Bank_Rates!$B$2:$B$501,"&lt;="&amp;C204),IF(n=0,"",LET(t,MAXIFS(Bank_Rates!$B$2:$B$501,Bank_Rates!$A$2:$A$501,H204,Bank_Rates!$B$2:$B$501,"&lt;="&amp;C204),m,COUNTIFS(Bank_Rates!$A$2:$A$501,H204,Bank_Rates!$B$2:$B$501,t,Bank_Rates!$D$2:$D$501,"&lt;="&amp;G204),IF(m=0,"",LET(d,MAXIFS(Bank_Rates!$D$2:$D$501,Bank_Rates!$A$2:$A$501,H204,Bank_Rates!$B$2:$B$501,t,Bank_Rates!$D$2:$D$501,"&lt;="&amp;G204),SUMIFS(Bank_Rates!$C$2:$C$501,Bank_Rates!$A$2:$A$501,H204,Bank_Rates!$B$2:$B$501,t,Bank_Rates!$D$2:$D$501,d)))))))</f>
        <v/>
      </c>
      <c r="K204" s="6" t="str">
        <f t="shared" si="6"/>
        <v/>
      </c>
    </row>
    <row r="205" spans="1:11">
      <c r="A205" s="18" t="str">
        <f t="shared" si="7"/>
        <v/>
      </c>
      <c r="B205" s="13"/>
      <c r="C205" s="14"/>
      <c r="D205" s="3"/>
      <c r="E205" s="3"/>
      <c r="F205" s="14"/>
      <c r="G205" s="7">
        <f>RawObservationsTable[[#This Row],[Maturity Date]]-RawObservationsTable[[#This Row],[Timestamp]]</f>
        <v>0</v>
      </c>
      <c r="H205" s="2"/>
      <c r="I205" s="4"/>
      <c r="J205" s="5" t="str">
        <f>IF(OR(H205="",G205="",C205=""),"",LET(n,COUNTIFS(Bank_Rates!$A$2:$A$501,H205,Bank_Rates!$B$2:$B$501,"&lt;="&amp;C205),IF(n=0,"",LET(t,MAXIFS(Bank_Rates!$B$2:$B$501,Bank_Rates!$A$2:$A$501,H205,Bank_Rates!$B$2:$B$501,"&lt;="&amp;C205),m,COUNTIFS(Bank_Rates!$A$2:$A$501,H205,Bank_Rates!$B$2:$B$501,t,Bank_Rates!$D$2:$D$501,"&lt;="&amp;G205),IF(m=0,"",LET(d,MAXIFS(Bank_Rates!$D$2:$D$501,Bank_Rates!$A$2:$A$501,H205,Bank_Rates!$B$2:$B$501,t,Bank_Rates!$D$2:$D$501,"&lt;="&amp;G205),SUMIFS(Bank_Rates!$C$2:$C$501,Bank_Rates!$A$2:$A$501,H205,Bank_Rates!$B$2:$B$501,t,Bank_Rates!$D$2:$D$501,d)))))))</f>
        <v/>
      </c>
      <c r="K205" s="6" t="str">
        <f t="shared" si="6"/>
        <v/>
      </c>
    </row>
    <row r="206" spans="1:11">
      <c r="A206" s="18" t="str">
        <f t="shared" si="7"/>
        <v/>
      </c>
      <c r="B206" s="13"/>
      <c r="C206" s="14"/>
      <c r="D206" s="3"/>
      <c r="E206" s="3"/>
      <c r="F206" s="14"/>
      <c r="G206" s="7">
        <f>RawObservationsTable[[#This Row],[Maturity Date]]-RawObservationsTable[[#This Row],[Timestamp]]</f>
        <v>0</v>
      </c>
      <c r="H206" s="2"/>
      <c r="I206" s="4"/>
      <c r="J206" s="5" t="str">
        <f>IF(OR(H206="",G206="",C206=""),"",LET(n,COUNTIFS(Bank_Rates!$A$2:$A$501,H206,Bank_Rates!$B$2:$B$501,"&lt;="&amp;C206),IF(n=0,"",LET(t,MAXIFS(Bank_Rates!$B$2:$B$501,Bank_Rates!$A$2:$A$501,H206,Bank_Rates!$B$2:$B$501,"&lt;="&amp;C206),m,COUNTIFS(Bank_Rates!$A$2:$A$501,H206,Bank_Rates!$B$2:$B$501,t,Bank_Rates!$D$2:$D$501,"&lt;="&amp;G206),IF(m=0,"",LET(d,MAXIFS(Bank_Rates!$D$2:$D$501,Bank_Rates!$A$2:$A$501,H206,Bank_Rates!$B$2:$B$501,t,Bank_Rates!$D$2:$D$501,"&lt;="&amp;G206),SUMIFS(Bank_Rates!$C$2:$C$501,Bank_Rates!$A$2:$A$501,H206,Bank_Rates!$B$2:$B$501,t,Bank_Rates!$D$2:$D$501,d)))))))</f>
        <v/>
      </c>
      <c r="K206" s="6" t="str">
        <f t="shared" si="6"/>
        <v/>
      </c>
    </row>
    <row r="207" spans="1:11">
      <c r="A207" s="18" t="str">
        <f t="shared" si="7"/>
        <v/>
      </c>
      <c r="B207" s="13"/>
      <c r="C207" s="14"/>
      <c r="D207" s="3"/>
      <c r="E207" s="3"/>
      <c r="F207" s="14"/>
      <c r="G207" s="7">
        <f>RawObservationsTable[[#This Row],[Maturity Date]]-RawObservationsTable[[#This Row],[Timestamp]]</f>
        <v>0</v>
      </c>
      <c r="H207" s="2"/>
      <c r="I207" s="4"/>
      <c r="J207" s="5" t="str">
        <f>IF(OR(H207="",G207="",C207=""),"",LET(n,COUNTIFS(Bank_Rates!$A$2:$A$501,H207,Bank_Rates!$B$2:$B$501,"&lt;="&amp;C207),IF(n=0,"",LET(t,MAXIFS(Bank_Rates!$B$2:$B$501,Bank_Rates!$A$2:$A$501,H207,Bank_Rates!$B$2:$B$501,"&lt;="&amp;C207),m,COUNTIFS(Bank_Rates!$A$2:$A$501,H207,Bank_Rates!$B$2:$B$501,t,Bank_Rates!$D$2:$D$501,"&lt;="&amp;G207),IF(m=0,"",LET(d,MAXIFS(Bank_Rates!$D$2:$D$501,Bank_Rates!$A$2:$A$501,H207,Bank_Rates!$B$2:$B$501,t,Bank_Rates!$D$2:$D$501,"&lt;="&amp;G207),SUMIFS(Bank_Rates!$C$2:$C$501,Bank_Rates!$A$2:$A$501,H207,Bank_Rates!$B$2:$B$501,t,Bank_Rates!$D$2:$D$501,d)))))))</f>
        <v/>
      </c>
      <c r="K207" s="6" t="str">
        <f t="shared" si="6"/>
        <v/>
      </c>
    </row>
    <row r="208" spans="1:11">
      <c r="A208" s="18" t="str">
        <f t="shared" si="7"/>
        <v/>
      </c>
      <c r="B208" s="13"/>
      <c r="C208" s="14"/>
      <c r="D208" s="3"/>
      <c r="E208" s="3"/>
      <c r="F208" s="14"/>
      <c r="G208" s="7">
        <f>RawObservationsTable[[#This Row],[Maturity Date]]-RawObservationsTable[[#This Row],[Timestamp]]</f>
        <v>0</v>
      </c>
      <c r="H208" s="2"/>
      <c r="I208" s="4"/>
      <c r="J208" s="5" t="str">
        <f>IF(OR(H208="",G208="",C208=""),"",LET(n,COUNTIFS(Bank_Rates!$A$2:$A$501,H208,Bank_Rates!$B$2:$B$501,"&lt;="&amp;C208),IF(n=0,"",LET(t,MAXIFS(Bank_Rates!$B$2:$B$501,Bank_Rates!$A$2:$A$501,H208,Bank_Rates!$B$2:$B$501,"&lt;="&amp;C208),m,COUNTIFS(Bank_Rates!$A$2:$A$501,H208,Bank_Rates!$B$2:$B$501,t,Bank_Rates!$D$2:$D$501,"&lt;="&amp;G208),IF(m=0,"",LET(d,MAXIFS(Bank_Rates!$D$2:$D$501,Bank_Rates!$A$2:$A$501,H208,Bank_Rates!$B$2:$B$501,t,Bank_Rates!$D$2:$D$501,"&lt;="&amp;G208),SUMIFS(Bank_Rates!$C$2:$C$501,Bank_Rates!$A$2:$A$501,H208,Bank_Rates!$B$2:$B$501,t,Bank_Rates!$D$2:$D$501,d)))))))</f>
        <v/>
      </c>
      <c r="K208" s="6" t="str">
        <f t="shared" si="6"/>
        <v/>
      </c>
    </row>
    <row r="209" spans="1:11">
      <c r="A209" s="18" t="str">
        <f t="shared" si="7"/>
        <v/>
      </c>
      <c r="B209" s="13"/>
      <c r="C209" s="14"/>
      <c r="D209" s="3"/>
      <c r="E209" s="3"/>
      <c r="F209" s="14"/>
      <c r="G209" s="7">
        <f>RawObservationsTable[[#This Row],[Maturity Date]]-RawObservationsTable[[#This Row],[Timestamp]]</f>
        <v>0</v>
      </c>
      <c r="H209" s="2"/>
      <c r="I209" s="4"/>
      <c r="J209" s="5" t="str">
        <f>IF(OR(H209="",G209="",C209=""),"",LET(n,COUNTIFS(Bank_Rates!$A$2:$A$501,H209,Bank_Rates!$B$2:$B$501,"&lt;="&amp;C209),IF(n=0,"",LET(t,MAXIFS(Bank_Rates!$B$2:$B$501,Bank_Rates!$A$2:$A$501,H209,Bank_Rates!$B$2:$B$501,"&lt;="&amp;C209),m,COUNTIFS(Bank_Rates!$A$2:$A$501,H209,Bank_Rates!$B$2:$B$501,t,Bank_Rates!$D$2:$D$501,"&lt;="&amp;G209),IF(m=0,"",LET(d,MAXIFS(Bank_Rates!$D$2:$D$501,Bank_Rates!$A$2:$A$501,H209,Bank_Rates!$B$2:$B$501,t,Bank_Rates!$D$2:$D$501,"&lt;="&amp;G209),SUMIFS(Bank_Rates!$C$2:$C$501,Bank_Rates!$A$2:$A$501,H209,Bank_Rates!$B$2:$B$501,t,Bank_Rates!$D$2:$D$501,d)))))))</f>
        <v/>
      </c>
      <c r="K209" s="6" t="str">
        <f t="shared" si="6"/>
        <v/>
      </c>
    </row>
    <row r="210" spans="1:11">
      <c r="A210" s="18" t="str">
        <f t="shared" si="7"/>
        <v/>
      </c>
      <c r="B210" s="13"/>
      <c r="C210" s="14"/>
      <c r="D210" s="3"/>
      <c r="E210" s="3"/>
      <c r="F210" s="14"/>
      <c r="G210" s="7">
        <f>RawObservationsTable[[#This Row],[Maturity Date]]-RawObservationsTable[[#This Row],[Timestamp]]</f>
        <v>0</v>
      </c>
      <c r="H210" s="2"/>
      <c r="I210" s="4"/>
      <c r="J210" s="5" t="str">
        <f>IF(OR(H210="",G210="",C210=""),"",LET(n,COUNTIFS(Bank_Rates!$A$2:$A$501,H210,Bank_Rates!$B$2:$B$501,"&lt;="&amp;C210),IF(n=0,"",LET(t,MAXIFS(Bank_Rates!$B$2:$B$501,Bank_Rates!$A$2:$A$501,H210,Bank_Rates!$B$2:$B$501,"&lt;="&amp;C210),m,COUNTIFS(Bank_Rates!$A$2:$A$501,H210,Bank_Rates!$B$2:$B$501,t,Bank_Rates!$D$2:$D$501,"&lt;="&amp;G210),IF(m=0,"",LET(d,MAXIFS(Bank_Rates!$D$2:$D$501,Bank_Rates!$A$2:$A$501,H210,Bank_Rates!$B$2:$B$501,t,Bank_Rates!$D$2:$D$501,"&lt;="&amp;G210),SUMIFS(Bank_Rates!$C$2:$C$501,Bank_Rates!$A$2:$A$501,H210,Bank_Rates!$B$2:$B$501,t,Bank_Rates!$D$2:$D$501,d)))))))</f>
        <v/>
      </c>
      <c r="K210" s="6" t="str">
        <f t="shared" si="6"/>
        <v/>
      </c>
    </row>
    <row r="211" spans="1:11">
      <c r="A211" s="18" t="str">
        <f t="shared" si="7"/>
        <v/>
      </c>
      <c r="B211" s="13"/>
      <c r="C211" s="14"/>
      <c r="D211" s="3"/>
      <c r="E211" s="3"/>
      <c r="F211" s="14"/>
      <c r="G211" s="7">
        <f>RawObservationsTable[[#This Row],[Maturity Date]]-RawObservationsTable[[#This Row],[Timestamp]]</f>
        <v>0</v>
      </c>
      <c r="H211" s="2"/>
      <c r="I211" s="4"/>
      <c r="J211" s="5" t="str">
        <f>IF(OR(H211="",G211="",C211=""),"",LET(n,COUNTIFS(Bank_Rates!$A$2:$A$501,H211,Bank_Rates!$B$2:$B$501,"&lt;="&amp;C211),IF(n=0,"",LET(t,MAXIFS(Bank_Rates!$B$2:$B$501,Bank_Rates!$A$2:$A$501,H211,Bank_Rates!$B$2:$B$501,"&lt;="&amp;C211),m,COUNTIFS(Bank_Rates!$A$2:$A$501,H211,Bank_Rates!$B$2:$B$501,t,Bank_Rates!$D$2:$D$501,"&lt;="&amp;G211),IF(m=0,"",LET(d,MAXIFS(Bank_Rates!$D$2:$D$501,Bank_Rates!$A$2:$A$501,H211,Bank_Rates!$B$2:$B$501,t,Bank_Rates!$D$2:$D$501,"&lt;="&amp;G211),SUMIFS(Bank_Rates!$C$2:$C$501,Bank_Rates!$A$2:$A$501,H211,Bank_Rates!$B$2:$B$501,t,Bank_Rates!$D$2:$D$501,d)))))))</f>
        <v/>
      </c>
      <c r="K211" s="6" t="str">
        <f t="shared" si="6"/>
        <v/>
      </c>
    </row>
    <row r="212" spans="1:11">
      <c r="A212" s="18" t="str">
        <f t="shared" si="7"/>
        <v/>
      </c>
      <c r="B212" s="13"/>
      <c r="C212" s="14"/>
      <c r="D212" s="3"/>
      <c r="E212" s="3"/>
      <c r="F212" s="14"/>
      <c r="G212" s="7">
        <f>RawObservationsTable[[#This Row],[Maturity Date]]-RawObservationsTable[[#This Row],[Timestamp]]</f>
        <v>0</v>
      </c>
      <c r="H212" s="2"/>
      <c r="I212" s="4"/>
      <c r="J212" s="5" t="str">
        <f>IF(OR(H212="",G212="",C212=""),"",LET(n,COUNTIFS(Bank_Rates!$A$2:$A$501,H212,Bank_Rates!$B$2:$B$501,"&lt;="&amp;C212),IF(n=0,"",LET(t,MAXIFS(Bank_Rates!$B$2:$B$501,Bank_Rates!$A$2:$A$501,H212,Bank_Rates!$B$2:$B$501,"&lt;="&amp;C212),m,COUNTIFS(Bank_Rates!$A$2:$A$501,H212,Bank_Rates!$B$2:$B$501,t,Bank_Rates!$D$2:$D$501,"&lt;="&amp;G212),IF(m=0,"",LET(d,MAXIFS(Bank_Rates!$D$2:$D$501,Bank_Rates!$A$2:$A$501,H212,Bank_Rates!$B$2:$B$501,t,Bank_Rates!$D$2:$D$501,"&lt;="&amp;G212),SUMIFS(Bank_Rates!$C$2:$C$501,Bank_Rates!$A$2:$A$501,H212,Bank_Rates!$B$2:$B$501,t,Bank_Rates!$D$2:$D$501,d)))))))</f>
        <v/>
      </c>
      <c r="K212" s="6" t="str">
        <f t="shared" si="6"/>
        <v/>
      </c>
    </row>
    <row r="213" spans="1:11">
      <c r="A213" s="18" t="str">
        <f t="shared" si="7"/>
        <v/>
      </c>
      <c r="B213" s="13"/>
      <c r="C213" s="14"/>
      <c r="D213" s="3"/>
      <c r="E213" s="3"/>
      <c r="F213" s="14"/>
      <c r="G213" s="7">
        <f>RawObservationsTable[[#This Row],[Maturity Date]]-RawObservationsTable[[#This Row],[Timestamp]]</f>
        <v>0</v>
      </c>
      <c r="H213" s="2"/>
      <c r="I213" s="4"/>
      <c r="J213" s="5" t="str">
        <f>IF(OR(H213="",G213="",C213=""),"",LET(n,COUNTIFS(Bank_Rates!$A$2:$A$501,H213,Bank_Rates!$B$2:$B$501,"&lt;="&amp;C213),IF(n=0,"",LET(t,MAXIFS(Bank_Rates!$B$2:$B$501,Bank_Rates!$A$2:$A$501,H213,Bank_Rates!$B$2:$B$501,"&lt;="&amp;C213),m,COUNTIFS(Bank_Rates!$A$2:$A$501,H213,Bank_Rates!$B$2:$B$501,t,Bank_Rates!$D$2:$D$501,"&lt;="&amp;G213),IF(m=0,"",LET(d,MAXIFS(Bank_Rates!$D$2:$D$501,Bank_Rates!$A$2:$A$501,H213,Bank_Rates!$B$2:$B$501,t,Bank_Rates!$D$2:$D$501,"&lt;="&amp;G213),SUMIFS(Bank_Rates!$C$2:$C$501,Bank_Rates!$A$2:$A$501,H213,Bank_Rates!$B$2:$B$501,t,Bank_Rates!$D$2:$D$501,d)))))))</f>
        <v/>
      </c>
      <c r="K213" s="6" t="str">
        <f t="shared" si="6"/>
        <v/>
      </c>
    </row>
    <row r="214" spans="1:11">
      <c r="A214" s="18" t="str">
        <f t="shared" si="7"/>
        <v/>
      </c>
      <c r="B214" s="13"/>
      <c r="C214" s="14"/>
      <c r="D214" s="3"/>
      <c r="E214" s="3"/>
      <c r="F214" s="14"/>
      <c r="G214" s="7">
        <f>RawObservationsTable[[#This Row],[Maturity Date]]-RawObservationsTable[[#This Row],[Timestamp]]</f>
        <v>0</v>
      </c>
      <c r="H214" s="2"/>
      <c r="I214" s="4"/>
      <c r="J214" s="5" t="str">
        <f>IF(OR(H214="",G214="",C214=""),"",LET(n,COUNTIFS(Bank_Rates!$A$2:$A$501,H214,Bank_Rates!$B$2:$B$501,"&lt;="&amp;C214),IF(n=0,"",LET(t,MAXIFS(Bank_Rates!$B$2:$B$501,Bank_Rates!$A$2:$A$501,H214,Bank_Rates!$B$2:$B$501,"&lt;="&amp;C214),m,COUNTIFS(Bank_Rates!$A$2:$A$501,H214,Bank_Rates!$B$2:$B$501,t,Bank_Rates!$D$2:$D$501,"&lt;="&amp;G214),IF(m=0,"",LET(d,MAXIFS(Bank_Rates!$D$2:$D$501,Bank_Rates!$A$2:$A$501,H214,Bank_Rates!$B$2:$B$501,t,Bank_Rates!$D$2:$D$501,"&lt;="&amp;G214),SUMIFS(Bank_Rates!$C$2:$C$501,Bank_Rates!$A$2:$A$501,H214,Bank_Rates!$B$2:$B$501,t,Bank_Rates!$D$2:$D$501,d)))))))</f>
        <v/>
      </c>
      <c r="K214" s="6" t="str">
        <f t="shared" si="6"/>
        <v/>
      </c>
    </row>
    <row r="215" spans="1:11">
      <c r="A215" s="18" t="str">
        <f t="shared" si="7"/>
        <v/>
      </c>
      <c r="B215" s="13"/>
      <c r="C215" s="14"/>
      <c r="D215" s="3"/>
      <c r="E215" s="3"/>
      <c r="F215" s="14"/>
      <c r="G215" s="7">
        <f>RawObservationsTable[[#This Row],[Maturity Date]]-RawObservationsTable[[#This Row],[Timestamp]]</f>
        <v>0</v>
      </c>
      <c r="H215" s="2"/>
      <c r="I215" s="4"/>
      <c r="J215" s="5" t="str">
        <f>IF(OR(H215="",G215="",C215=""),"",LET(n,COUNTIFS(Bank_Rates!$A$2:$A$501,H215,Bank_Rates!$B$2:$B$501,"&lt;="&amp;C215),IF(n=0,"",LET(t,MAXIFS(Bank_Rates!$B$2:$B$501,Bank_Rates!$A$2:$A$501,H215,Bank_Rates!$B$2:$B$501,"&lt;="&amp;C215),m,COUNTIFS(Bank_Rates!$A$2:$A$501,H215,Bank_Rates!$B$2:$B$501,t,Bank_Rates!$D$2:$D$501,"&lt;="&amp;G215),IF(m=0,"",LET(d,MAXIFS(Bank_Rates!$D$2:$D$501,Bank_Rates!$A$2:$A$501,H215,Bank_Rates!$B$2:$B$501,t,Bank_Rates!$D$2:$D$501,"&lt;="&amp;G215),SUMIFS(Bank_Rates!$C$2:$C$501,Bank_Rates!$A$2:$A$501,H215,Bank_Rates!$B$2:$B$501,t,Bank_Rates!$D$2:$D$501,d)))))))</f>
        <v/>
      </c>
      <c r="K215" s="6" t="str">
        <f t="shared" si="6"/>
        <v/>
      </c>
    </row>
    <row r="216" spans="1:11">
      <c r="A216" s="18" t="str">
        <f t="shared" si="7"/>
        <v/>
      </c>
      <c r="B216" s="13"/>
      <c r="C216" s="14"/>
      <c r="D216" s="3"/>
      <c r="E216" s="3"/>
      <c r="F216" s="14"/>
      <c r="G216" s="7">
        <f>RawObservationsTable[[#This Row],[Maturity Date]]-RawObservationsTable[[#This Row],[Timestamp]]</f>
        <v>0</v>
      </c>
      <c r="H216" s="2"/>
      <c r="I216" s="4"/>
      <c r="J216" s="5" t="str">
        <f>IF(OR(H216="",G216="",C216=""),"",LET(n,COUNTIFS(Bank_Rates!$A$2:$A$501,H216,Bank_Rates!$B$2:$B$501,"&lt;="&amp;C216),IF(n=0,"",LET(t,MAXIFS(Bank_Rates!$B$2:$B$501,Bank_Rates!$A$2:$A$501,H216,Bank_Rates!$B$2:$B$501,"&lt;="&amp;C216),m,COUNTIFS(Bank_Rates!$A$2:$A$501,H216,Bank_Rates!$B$2:$B$501,t,Bank_Rates!$D$2:$D$501,"&lt;="&amp;G216),IF(m=0,"",LET(d,MAXIFS(Bank_Rates!$D$2:$D$501,Bank_Rates!$A$2:$A$501,H216,Bank_Rates!$B$2:$B$501,t,Bank_Rates!$D$2:$D$501,"&lt;="&amp;G216),SUMIFS(Bank_Rates!$C$2:$C$501,Bank_Rates!$A$2:$A$501,H216,Bank_Rates!$B$2:$B$501,t,Bank_Rates!$D$2:$D$501,d)))))))</f>
        <v/>
      </c>
      <c r="K216" s="6" t="str">
        <f t="shared" si="6"/>
        <v/>
      </c>
    </row>
    <row r="217" spans="1:11">
      <c r="A217" s="18" t="str">
        <f t="shared" si="7"/>
        <v/>
      </c>
      <c r="B217" s="13"/>
      <c r="C217" s="14"/>
      <c r="D217" s="3"/>
      <c r="E217" s="3"/>
      <c r="F217" s="14"/>
      <c r="G217" s="7">
        <f>RawObservationsTable[[#This Row],[Maturity Date]]-RawObservationsTable[[#This Row],[Timestamp]]</f>
        <v>0</v>
      </c>
      <c r="H217" s="2"/>
      <c r="I217" s="4"/>
      <c r="J217" s="5" t="str">
        <f>IF(OR(H217="",G217="",C217=""),"",LET(n,COUNTIFS(Bank_Rates!$A$2:$A$501,H217,Bank_Rates!$B$2:$B$501,"&lt;="&amp;C217),IF(n=0,"",LET(t,MAXIFS(Bank_Rates!$B$2:$B$501,Bank_Rates!$A$2:$A$501,H217,Bank_Rates!$B$2:$B$501,"&lt;="&amp;C217),m,COUNTIFS(Bank_Rates!$A$2:$A$501,H217,Bank_Rates!$B$2:$B$501,t,Bank_Rates!$D$2:$D$501,"&lt;="&amp;G217),IF(m=0,"",LET(d,MAXIFS(Bank_Rates!$D$2:$D$501,Bank_Rates!$A$2:$A$501,H217,Bank_Rates!$B$2:$B$501,t,Bank_Rates!$D$2:$D$501,"&lt;="&amp;G217),SUMIFS(Bank_Rates!$C$2:$C$501,Bank_Rates!$A$2:$A$501,H217,Bank_Rates!$B$2:$B$501,t,Bank_Rates!$D$2:$D$501,d)))))))</f>
        <v/>
      </c>
      <c r="K217" s="6" t="str">
        <f t="shared" si="6"/>
        <v/>
      </c>
    </row>
    <row r="218" spans="1:11">
      <c r="A218" s="18" t="str">
        <f t="shared" si="7"/>
        <v/>
      </c>
      <c r="B218" s="13"/>
      <c r="C218" s="14"/>
      <c r="D218" s="3"/>
      <c r="E218" s="3"/>
      <c r="F218" s="14"/>
      <c r="G218" s="7">
        <f>RawObservationsTable[[#This Row],[Maturity Date]]-RawObservationsTable[[#This Row],[Timestamp]]</f>
        <v>0</v>
      </c>
      <c r="H218" s="2"/>
      <c r="I218" s="4"/>
      <c r="J218" s="5" t="str">
        <f>IF(OR(H218="",G218="",C218=""),"",LET(n,COUNTIFS(Bank_Rates!$A$2:$A$501,H218,Bank_Rates!$B$2:$B$501,"&lt;="&amp;C218),IF(n=0,"",LET(t,MAXIFS(Bank_Rates!$B$2:$B$501,Bank_Rates!$A$2:$A$501,H218,Bank_Rates!$B$2:$B$501,"&lt;="&amp;C218),m,COUNTIFS(Bank_Rates!$A$2:$A$501,H218,Bank_Rates!$B$2:$B$501,t,Bank_Rates!$D$2:$D$501,"&lt;="&amp;G218),IF(m=0,"",LET(d,MAXIFS(Bank_Rates!$D$2:$D$501,Bank_Rates!$A$2:$A$501,H218,Bank_Rates!$B$2:$B$501,t,Bank_Rates!$D$2:$D$501,"&lt;="&amp;G218),SUMIFS(Bank_Rates!$C$2:$C$501,Bank_Rates!$A$2:$A$501,H218,Bank_Rates!$B$2:$B$501,t,Bank_Rates!$D$2:$D$501,d)))))))</f>
        <v/>
      </c>
      <c r="K218" s="6" t="str">
        <f t="shared" si="6"/>
        <v/>
      </c>
    </row>
    <row r="219" spans="1:11">
      <c r="A219" s="18" t="str">
        <f t="shared" si="7"/>
        <v/>
      </c>
      <c r="B219" s="13"/>
      <c r="C219" s="14"/>
      <c r="D219" s="3"/>
      <c r="E219" s="3"/>
      <c r="F219" s="14"/>
      <c r="G219" s="7">
        <f>RawObservationsTable[[#This Row],[Maturity Date]]-RawObservationsTable[[#This Row],[Timestamp]]</f>
        <v>0</v>
      </c>
      <c r="H219" s="2"/>
      <c r="I219" s="4"/>
      <c r="J219" s="5" t="str">
        <f>IF(OR(H219="",G219="",C219=""),"",LET(n,COUNTIFS(Bank_Rates!$A$2:$A$501,H219,Bank_Rates!$B$2:$B$501,"&lt;="&amp;C219),IF(n=0,"",LET(t,MAXIFS(Bank_Rates!$B$2:$B$501,Bank_Rates!$A$2:$A$501,H219,Bank_Rates!$B$2:$B$501,"&lt;="&amp;C219),m,COUNTIFS(Bank_Rates!$A$2:$A$501,H219,Bank_Rates!$B$2:$B$501,t,Bank_Rates!$D$2:$D$501,"&lt;="&amp;G219),IF(m=0,"",LET(d,MAXIFS(Bank_Rates!$D$2:$D$501,Bank_Rates!$A$2:$A$501,H219,Bank_Rates!$B$2:$B$501,t,Bank_Rates!$D$2:$D$501,"&lt;="&amp;G219),SUMIFS(Bank_Rates!$C$2:$C$501,Bank_Rates!$A$2:$A$501,H219,Bank_Rates!$B$2:$B$501,t,Bank_Rates!$D$2:$D$501,d)))))))</f>
        <v/>
      </c>
      <c r="K219" s="6" t="str">
        <f t="shared" si="6"/>
        <v/>
      </c>
    </row>
    <row r="220" spans="1:11">
      <c r="A220" s="18" t="str">
        <f t="shared" si="7"/>
        <v/>
      </c>
      <c r="B220" s="13"/>
      <c r="C220" s="14"/>
      <c r="D220" s="3"/>
      <c r="E220" s="3"/>
      <c r="F220" s="14"/>
      <c r="G220" s="7">
        <f>RawObservationsTable[[#This Row],[Maturity Date]]-RawObservationsTable[[#This Row],[Timestamp]]</f>
        <v>0</v>
      </c>
      <c r="H220" s="2"/>
      <c r="I220" s="4"/>
      <c r="J220" s="5" t="str">
        <f>IF(OR(H220="",G220="",C220=""),"",LET(n,COUNTIFS(Bank_Rates!$A$2:$A$501,H220,Bank_Rates!$B$2:$B$501,"&lt;="&amp;C220),IF(n=0,"",LET(t,MAXIFS(Bank_Rates!$B$2:$B$501,Bank_Rates!$A$2:$A$501,H220,Bank_Rates!$B$2:$B$501,"&lt;="&amp;C220),m,COUNTIFS(Bank_Rates!$A$2:$A$501,H220,Bank_Rates!$B$2:$B$501,t,Bank_Rates!$D$2:$D$501,"&lt;="&amp;G220),IF(m=0,"",LET(d,MAXIFS(Bank_Rates!$D$2:$D$501,Bank_Rates!$A$2:$A$501,H220,Bank_Rates!$B$2:$B$501,t,Bank_Rates!$D$2:$D$501,"&lt;="&amp;G220),SUMIFS(Bank_Rates!$C$2:$C$501,Bank_Rates!$A$2:$A$501,H220,Bank_Rates!$B$2:$B$501,t,Bank_Rates!$D$2:$D$501,d)))))))</f>
        <v/>
      </c>
      <c r="K220" s="6" t="str">
        <f t="shared" si="6"/>
        <v/>
      </c>
    </row>
    <row r="221" spans="1:11">
      <c r="A221" s="18" t="str">
        <f t="shared" si="7"/>
        <v/>
      </c>
      <c r="B221" s="13"/>
      <c r="C221" s="14"/>
      <c r="D221" s="3"/>
      <c r="E221" s="3"/>
      <c r="F221" s="14"/>
      <c r="G221" s="7">
        <f>RawObservationsTable[[#This Row],[Maturity Date]]-RawObservationsTable[[#This Row],[Timestamp]]</f>
        <v>0</v>
      </c>
      <c r="H221" s="2"/>
      <c r="I221" s="4"/>
      <c r="J221" s="5" t="str">
        <f>IF(OR(H221="",G221="",C221=""),"",LET(n,COUNTIFS(Bank_Rates!$A$2:$A$501,H221,Bank_Rates!$B$2:$B$501,"&lt;="&amp;C221),IF(n=0,"",LET(t,MAXIFS(Bank_Rates!$B$2:$B$501,Bank_Rates!$A$2:$A$501,H221,Bank_Rates!$B$2:$B$501,"&lt;="&amp;C221),m,COUNTIFS(Bank_Rates!$A$2:$A$501,H221,Bank_Rates!$B$2:$B$501,t,Bank_Rates!$D$2:$D$501,"&lt;="&amp;G221),IF(m=0,"",LET(d,MAXIFS(Bank_Rates!$D$2:$D$501,Bank_Rates!$A$2:$A$501,H221,Bank_Rates!$B$2:$B$501,t,Bank_Rates!$D$2:$D$501,"&lt;="&amp;G221),SUMIFS(Bank_Rates!$C$2:$C$501,Bank_Rates!$A$2:$A$501,H221,Bank_Rates!$B$2:$B$501,t,Bank_Rates!$D$2:$D$501,d)))))))</f>
        <v/>
      </c>
      <c r="K221" s="6" t="str">
        <f t="shared" si="6"/>
        <v/>
      </c>
    </row>
    <row r="222" spans="1:11">
      <c r="A222" s="18" t="str">
        <f t="shared" si="7"/>
        <v/>
      </c>
      <c r="B222" s="13"/>
      <c r="C222" s="14"/>
      <c r="D222" s="3"/>
      <c r="E222" s="3"/>
      <c r="F222" s="14"/>
      <c r="G222" s="7">
        <f>RawObservationsTable[[#This Row],[Maturity Date]]-RawObservationsTable[[#This Row],[Timestamp]]</f>
        <v>0</v>
      </c>
      <c r="H222" s="2"/>
      <c r="I222" s="4"/>
      <c r="J222" s="5" t="str">
        <f>IF(OR(H222="",G222="",C222=""),"",LET(n,COUNTIFS(Bank_Rates!$A$2:$A$501,H222,Bank_Rates!$B$2:$B$501,"&lt;="&amp;C222),IF(n=0,"",LET(t,MAXIFS(Bank_Rates!$B$2:$B$501,Bank_Rates!$A$2:$A$501,H222,Bank_Rates!$B$2:$B$501,"&lt;="&amp;C222),m,COUNTIFS(Bank_Rates!$A$2:$A$501,H222,Bank_Rates!$B$2:$B$501,t,Bank_Rates!$D$2:$D$501,"&lt;="&amp;G222),IF(m=0,"",LET(d,MAXIFS(Bank_Rates!$D$2:$D$501,Bank_Rates!$A$2:$A$501,H222,Bank_Rates!$B$2:$B$501,t,Bank_Rates!$D$2:$D$501,"&lt;="&amp;G222),SUMIFS(Bank_Rates!$C$2:$C$501,Bank_Rates!$A$2:$A$501,H222,Bank_Rates!$B$2:$B$501,t,Bank_Rates!$D$2:$D$501,d)))))))</f>
        <v/>
      </c>
      <c r="K222" s="6" t="str">
        <f t="shared" si="6"/>
        <v/>
      </c>
    </row>
    <row r="223" spans="1:11">
      <c r="A223" s="18" t="str">
        <f t="shared" si="7"/>
        <v/>
      </c>
      <c r="B223" s="13"/>
      <c r="C223" s="14"/>
      <c r="D223" s="3"/>
      <c r="E223" s="3"/>
      <c r="F223" s="14"/>
      <c r="G223" s="7">
        <f>RawObservationsTable[[#This Row],[Maturity Date]]-RawObservationsTable[[#This Row],[Timestamp]]</f>
        <v>0</v>
      </c>
      <c r="H223" s="2"/>
      <c r="I223" s="4"/>
      <c r="J223" s="5" t="str">
        <f>IF(OR(H223="",G223="",C223=""),"",LET(n,COUNTIFS(Bank_Rates!$A$2:$A$501,H223,Bank_Rates!$B$2:$B$501,"&lt;="&amp;C223),IF(n=0,"",LET(t,MAXIFS(Bank_Rates!$B$2:$B$501,Bank_Rates!$A$2:$A$501,H223,Bank_Rates!$B$2:$B$501,"&lt;="&amp;C223),m,COUNTIFS(Bank_Rates!$A$2:$A$501,H223,Bank_Rates!$B$2:$B$501,t,Bank_Rates!$D$2:$D$501,"&lt;="&amp;G223),IF(m=0,"",LET(d,MAXIFS(Bank_Rates!$D$2:$D$501,Bank_Rates!$A$2:$A$501,H223,Bank_Rates!$B$2:$B$501,t,Bank_Rates!$D$2:$D$501,"&lt;="&amp;G223),SUMIFS(Bank_Rates!$C$2:$C$501,Bank_Rates!$A$2:$A$501,H223,Bank_Rates!$B$2:$B$501,t,Bank_Rates!$D$2:$D$501,d)))))))</f>
        <v/>
      </c>
      <c r="K223" s="6" t="str">
        <f t="shared" si="6"/>
        <v/>
      </c>
    </row>
    <row r="224" spans="1:11">
      <c r="A224" s="18" t="str">
        <f t="shared" si="7"/>
        <v/>
      </c>
      <c r="B224" s="13"/>
      <c r="C224" s="14"/>
      <c r="D224" s="3"/>
      <c r="E224" s="3"/>
      <c r="F224" s="14"/>
      <c r="G224" s="7">
        <f>RawObservationsTable[[#This Row],[Maturity Date]]-RawObservationsTable[[#This Row],[Timestamp]]</f>
        <v>0</v>
      </c>
      <c r="H224" s="2"/>
      <c r="I224" s="4"/>
      <c r="J224" s="5" t="str">
        <f>IF(OR(H224="",G224="",C224=""),"",LET(n,COUNTIFS(Bank_Rates!$A$2:$A$501,H224,Bank_Rates!$B$2:$B$501,"&lt;="&amp;C224),IF(n=0,"",LET(t,MAXIFS(Bank_Rates!$B$2:$B$501,Bank_Rates!$A$2:$A$501,H224,Bank_Rates!$B$2:$B$501,"&lt;="&amp;C224),m,COUNTIFS(Bank_Rates!$A$2:$A$501,H224,Bank_Rates!$B$2:$B$501,t,Bank_Rates!$D$2:$D$501,"&lt;="&amp;G224),IF(m=0,"",LET(d,MAXIFS(Bank_Rates!$D$2:$D$501,Bank_Rates!$A$2:$A$501,H224,Bank_Rates!$B$2:$B$501,t,Bank_Rates!$D$2:$D$501,"&lt;="&amp;G224),SUMIFS(Bank_Rates!$C$2:$C$501,Bank_Rates!$A$2:$A$501,H224,Bank_Rates!$B$2:$B$501,t,Bank_Rates!$D$2:$D$501,d)))))))</f>
        <v/>
      </c>
      <c r="K224" s="6" t="str">
        <f t="shared" si="6"/>
        <v/>
      </c>
    </row>
    <row r="225" spans="1:11">
      <c r="A225" s="18" t="str">
        <f t="shared" si="7"/>
        <v/>
      </c>
      <c r="B225" s="13"/>
      <c r="C225" s="14"/>
      <c r="D225" s="3"/>
      <c r="E225" s="3"/>
      <c r="F225" s="14"/>
      <c r="G225" s="7">
        <f>RawObservationsTable[[#This Row],[Maturity Date]]-RawObservationsTable[[#This Row],[Timestamp]]</f>
        <v>0</v>
      </c>
      <c r="H225" s="2"/>
      <c r="I225" s="4"/>
      <c r="J225" s="5" t="str">
        <f>IF(OR(H225="",G225="",C225=""),"",LET(n,COUNTIFS(Bank_Rates!$A$2:$A$501,H225,Bank_Rates!$B$2:$B$501,"&lt;="&amp;C225),IF(n=0,"",LET(t,MAXIFS(Bank_Rates!$B$2:$B$501,Bank_Rates!$A$2:$A$501,H225,Bank_Rates!$B$2:$B$501,"&lt;="&amp;C225),m,COUNTIFS(Bank_Rates!$A$2:$A$501,H225,Bank_Rates!$B$2:$B$501,t,Bank_Rates!$D$2:$D$501,"&lt;="&amp;G225),IF(m=0,"",LET(d,MAXIFS(Bank_Rates!$D$2:$D$501,Bank_Rates!$A$2:$A$501,H225,Bank_Rates!$B$2:$B$501,t,Bank_Rates!$D$2:$D$501,"&lt;="&amp;G225),SUMIFS(Bank_Rates!$C$2:$C$501,Bank_Rates!$A$2:$A$501,H225,Bank_Rates!$B$2:$B$501,t,Bank_Rates!$D$2:$D$501,d)))))))</f>
        <v/>
      </c>
      <c r="K225" s="6" t="str">
        <f t="shared" si="6"/>
        <v/>
      </c>
    </row>
    <row r="226" spans="1:11">
      <c r="A226" s="18" t="str">
        <f t="shared" si="7"/>
        <v/>
      </c>
      <c r="B226" s="13"/>
      <c r="C226" s="14"/>
      <c r="D226" s="3"/>
      <c r="E226" s="3"/>
      <c r="F226" s="14"/>
      <c r="G226" s="7">
        <f>RawObservationsTable[[#This Row],[Maturity Date]]-RawObservationsTable[[#This Row],[Timestamp]]</f>
        <v>0</v>
      </c>
      <c r="H226" s="2"/>
      <c r="I226" s="4"/>
      <c r="J226" s="5" t="str">
        <f>IF(OR(H226="",G226="",C226=""),"",LET(n,COUNTIFS(Bank_Rates!$A$2:$A$501,H226,Bank_Rates!$B$2:$B$501,"&lt;="&amp;C226),IF(n=0,"",LET(t,MAXIFS(Bank_Rates!$B$2:$B$501,Bank_Rates!$A$2:$A$501,H226,Bank_Rates!$B$2:$B$501,"&lt;="&amp;C226),m,COUNTIFS(Bank_Rates!$A$2:$A$501,H226,Bank_Rates!$B$2:$B$501,t,Bank_Rates!$D$2:$D$501,"&lt;="&amp;G226),IF(m=0,"",LET(d,MAXIFS(Bank_Rates!$D$2:$D$501,Bank_Rates!$A$2:$A$501,H226,Bank_Rates!$B$2:$B$501,t,Bank_Rates!$D$2:$D$501,"&lt;="&amp;G226),SUMIFS(Bank_Rates!$C$2:$C$501,Bank_Rates!$A$2:$A$501,H226,Bank_Rates!$B$2:$B$501,t,Bank_Rates!$D$2:$D$501,d)))))))</f>
        <v/>
      </c>
      <c r="K226" s="6" t="str">
        <f t="shared" si="6"/>
        <v/>
      </c>
    </row>
    <row r="227" spans="1:11">
      <c r="A227" s="18" t="str">
        <f t="shared" si="7"/>
        <v/>
      </c>
      <c r="B227" s="13"/>
      <c r="C227" s="14"/>
      <c r="D227" s="3"/>
      <c r="E227" s="3"/>
      <c r="F227" s="14"/>
      <c r="G227" s="7">
        <f>RawObservationsTable[[#This Row],[Maturity Date]]-RawObservationsTable[[#This Row],[Timestamp]]</f>
        <v>0</v>
      </c>
      <c r="H227" s="2"/>
      <c r="I227" s="4"/>
      <c r="J227" s="5" t="str">
        <f>IF(OR(H227="",G227="",C227=""),"",LET(n,COUNTIFS(Bank_Rates!$A$2:$A$501,H227,Bank_Rates!$B$2:$B$501,"&lt;="&amp;C227),IF(n=0,"",LET(t,MAXIFS(Bank_Rates!$B$2:$B$501,Bank_Rates!$A$2:$A$501,H227,Bank_Rates!$B$2:$B$501,"&lt;="&amp;C227),m,COUNTIFS(Bank_Rates!$A$2:$A$501,H227,Bank_Rates!$B$2:$B$501,t,Bank_Rates!$D$2:$D$501,"&lt;="&amp;G227),IF(m=0,"",LET(d,MAXIFS(Bank_Rates!$D$2:$D$501,Bank_Rates!$A$2:$A$501,H227,Bank_Rates!$B$2:$B$501,t,Bank_Rates!$D$2:$D$501,"&lt;="&amp;G227),SUMIFS(Bank_Rates!$C$2:$C$501,Bank_Rates!$A$2:$A$501,H227,Bank_Rates!$B$2:$B$501,t,Bank_Rates!$D$2:$D$501,d)))))))</f>
        <v/>
      </c>
      <c r="K227" s="6" t="str">
        <f t="shared" si="6"/>
        <v/>
      </c>
    </row>
    <row r="228" spans="1:11">
      <c r="A228" s="18" t="str">
        <f t="shared" si="7"/>
        <v/>
      </c>
      <c r="B228" s="13"/>
      <c r="C228" s="14"/>
      <c r="D228" s="3"/>
      <c r="E228" s="3"/>
      <c r="F228" s="14"/>
      <c r="G228" s="7">
        <f>RawObservationsTable[[#This Row],[Maturity Date]]-RawObservationsTable[[#This Row],[Timestamp]]</f>
        <v>0</v>
      </c>
      <c r="H228" s="2"/>
      <c r="I228" s="4"/>
      <c r="J228" s="5" t="str">
        <f>IF(OR(H228="",G228="",C228=""),"",LET(n,COUNTIFS(Bank_Rates!$A$2:$A$501,H228,Bank_Rates!$B$2:$B$501,"&lt;="&amp;C228),IF(n=0,"",LET(t,MAXIFS(Bank_Rates!$B$2:$B$501,Bank_Rates!$A$2:$A$501,H228,Bank_Rates!$B$2:$B$501,"&lt;="&amp;C228),m,COUNTIFS(Bank_Rates!$A$2:$A$501,H228,Bank_Rates!$B$2:$B$501,t,Bank_Rates!$D$2:$D$501,"&lt;="&amp;G228),IF(m=0,"",LET(d,MAXIFS(Bank_Rates!$D$2:$D$501,Bank_Rates!$A$2:$A$501,H228,Bank_Rates!$B$2:$B$501,t,Bank_Rates!$D$2:$D$501,"&lt;="&amp;G228),SUMIFS(Bank_Rates!$C$2:$C$501,Bank_Rates!$A$2:$A$501,H228,Bank_Rates!$B$2:$B$501,t,Bank_Rates!$D$2:$D$501,d)))))))</f>
        <v/>
      </c>
      <c r="K228" s="6" t="str">
        <f t="shared" si="6"/>
        <v/>
      </c>
    </row>
    <row r="229" spans="1:11">
      <c r="A229" s="18" t="str">
        <f t="shared" si="7"/>
        <v/>
      </c>
      <c r="B229" s="13"/>
      <c r="C229" s="14"/>
      <c r="D229" s="3"/>
      <c r="E229" s="3"/>
      <c r="F229" s="14"/>
      <c r="G229" s="7">
        <f>RawObservationsTable[[#This Row],[Maturity Date]]-RawObservationsTable[[#This Row],[Timestamp]]</f>
        <v>0</v>
      </c>
      <c r="H229" s="2"/>
      <c r="I229" s="4"/>
      <c r="J229" s="5" t="str">
        <f>IF(OR(H229="",G229="",C229=""),"",LET(n,COUNTIFS(Bank_Rates!$A$2:$A$501,H229,Bank_Rates!$B$2:$B$501,"&lt;="&amp;C229),IF(n=0,"",LET(t,MAXIFS(Bank_Rates!$B$2:$B$501,Bank_Rates!$A$2:$A$501,H229,Bank_Rates!$B$2:$B$501,"&lt;="&amp;C229),m,COUNTIFS(Bank_Rates!$A$2:$A$501,H229,Bank_Rates!$B$2:$B$501,t,Bank_Rates!$D$2:$D$501,"&lt;="&amp;G229),IF(m=0,"",LET(d,MAXIFS(Bank_Rates!$D$2:$D$501,Bank_Rates!$A$2:$A$501,H229,Bank_Rates!$B$2:$B$501,t,Bank_Rates!$D$2:$D$501,"&lt;="&amp;G229),SUMIFS(Bank_Rates!$C$2:$C$501,Bank_Rates!$A$2:$A$501,H229,Bank_Rates!$B$2:$B$501,t,Bank_Rates!$D$2:$D$501,d)))))))</f>
        <v/>
      </c>
      <c r="K229" s="6" t="str">
        <f t="shared" si="6"/>
        <v/>
      </c>
    </row>
    <row r="230" spans="1:11">
      <c r="A230" s="18" t="str">
        <f t="shared" si="7"/>
        <v/>
      </c>
      <c r="B230" s="13"/>
      <c r="C230" s="14"/>
      <c r="D230" s="3"/>
      <c r="E230" s="3"/>
      <c r="F230" s="14"/>
      <c r="G230" s="7">
        <f>RawObservationsTable[[#This Row],[Maturity Date]]-RawObservationsTable[[#This Row],[Timestamp]]</f>
        <v>0</v>
      </c>
      <c r="H230" s="2"/>
      <c r="I230" s="4"/>
      <c r="J230" s="5" t="str">
        <f>IF(OR(H230="",G230="",C230=""),"",LET(n,COUNTIFS(Bank_Rates!$A$2:$A$501,H230,Bank_Rates!$B$2:$B$501,"&lt;="&amp;C230),IF(n=0,"",LET(t,MAXIFS(Bank_Rates!$B$2:$B$501,Bank_Rates!$A$2:$A$501,H230,Bank_Rates!$B$2:$B$501,"&lt;="&amp;C230),m,COUNTIFS(Bank_Rates!$A$2:$A$501,H230,Bank_Rates!$B$2:$B$501,t,Bank_Rates!$D$2:$D$501,"&lt;="&amp;G230),IF(m=0,"",LET(d,MAXIFS(Bank_Rates!$D$2:$D$501,Bank_Rates!$A$2:$A$501,H230,Bank_Rates!$B$2:$B$501,t,Bank_Rates!$D$2:$D$501,"&lt;="&amp;G230),SUMIFS(Bank_Rates!$C$2:$C$501,Bank_Rates!$A$2:$A$501,H230,Bank_Rates!$B$2:$B$501,t,Bank_Rates!$D$2:$D$501,d)))))))</f>
        <v/>
      </c>
      <c r="K230" s="6" t="str">
        <f t="shared" si="6"/>
        <v/>
      </c>
    </row>
    <row r="231" spans="1:11">
      <c r="A231" s="18" t="str">
        <f t="shared" si="7"/>
        <v/>
      </c>
      <c r="B231" s="13"/>
      <c r="C231" s="14"/>
      <c r="D231" s="3"/>
      <c r="E231" s="3"/>
      <c r="F231" s="14"/>
      <c r="G231" s="7">
        <f>RawObservationsTable[[#This Row],[Maturity Date]]-RawObservationsTable[[#This Row],[Timestamp]]</f>
        <v>0</v>
      </c>
      <c r="H231" s="2"/>
      <c r="I231" s="4"/>
      <c r="J231" s="5" t="str">
        <f>IF(OR(H231="",G231="",C231=""),"",LET(n,COUNTIFS(Bank_Rates!$A$2:$A$501,H231,Bank_Rates!$B$2:$B$501,"&lt;="&amp;C231),IF(n=0,"",LET(t,MAXIFS(Bank_Rates!$B$2:$B$501,Bank_Rates!$A$2:$A$501,H231,Bank_Rates!$B$2:$B$501,"&lt;="&amp;C231),m,COUNTIFS(Bank_Rates!$A$2:$A$501,H231,Bank_Rates!$B$2:$B$501,t,Bank_Rates!$D$2:$D$501,"&lt;="&amp;G231),IF(m=0,"",LET(d,MAXIFS(Bank_Rates!$D$2:$D$501,Bank_Rates!$A$2:$A$501,H231,Bank_Rates!$B$2:$B$501,t,Bank_Rates!$D$2:$D$501,"&lt;="&amp;G231),SUMIFS(Bank_Rates!$C$2:$C$501,Bank_Rates!$A$2:$A$501,H231,Bank_Rates!$B$2:$B$501,t,Bank_Rates!$D$2:$D$501,d)))))))</f>
        <v/>
      </c>
      <c r="K231" s="6" t="str">
        <f t="shared" si="6"/>
        <v/>
      </c>
    </row>
    <row r="232" spans="1:11">
      <c r="A232" s="18" t="str">
        <f t="shared" si="7"/>
        <v/>
      </c>
      <c r="B232" s="13"/>
      <c r="C232" s="14"/>
      <c r="D232" s="3"/>
      <c r="E232" s="3"/>
      <c r="F232" s="14"/>
      <c r="G232" s="7">
        <f>RawObservationsTable[[#This Row],[Maturity Date]]-RawObservationsTable[[#This Row],[Timestamp]]</f>
        <v>0</v>
      </c>
      <c r="H232" s="2"/>
      <c r="I232" s="4"/>
      <c r="J232" s="5" t="str">
        <f>IF(OR(H232="",G232="",C232=""),"",LET(n,COUNTIFS(Bank_Rates!$A$2:$A$501,H232,Bank_Rates!$B$2:$B$501,"&lt;="&amp;C232),IF(n=0,"",LET(t,MAXIFS(Bank_Rates!$B$2:$B$501,Bank_Rates!$A$2:$A$501,H232,Bank_Rates!$B$2:$B$501,"&lt;="&amp;C232),m,COUNTIFS(Bank_Rates!$A$2:$A$501,H232,Bank_Rates!$B$2:$B$501,t,Bank_Rates!$D$2:$D$501,"&lt;="&amp;G232),IF(m=0,"",LET(d,MAXIFS(Bank_Rates!$D$2:$D$501,Bank_Rates!$A$2:$A$501,H232,Bank_Rates!$B$2:$B$501,t,Bank_Rates!$D$2:$D$501,"&lt;="&amp;G232),SUMIFS(Bank_Rates!$C$2:$C$501,Bank_Rates!$A$2:$A$501,H232,Bank_Rates!$B$2:$B$501,t,Bank_Rates!$D$2:$D$501,d)))))))</f>
        <v/>
      </c>
      <c r="K232" s="6" t="str">
        <f t="shared" si="6"/>
        <v/>
      </c>
    </row>
    <row r="233" spans="1:11">
      <c r="A233" s="18" t="str">
        <f t="shared" si="7"/>
        <v/>
      </c>
      <c r="B233" s="13"/>
      <c r="C233" s="14"/>
      <c r="D233" s="3"/>
      <c r="E233" s="3"/>
      <c r="F233" s="14"/>
      <c r="G233" s="7">
        <f>RawObservationsTable[[#This Row],[Maturity Date]]-RawObservationsTable[[#This Row],[Timestamp]]</f>
        <v>0</v>
      </c>
      <c r="H233" s="2"/>
      <c r="I233" s="4"/>
      <c r="J233" s="5" t="str">
        <f>IF(OR(H233="",G233="",C233=""),"",LET(n,COUNTIFS(Bank_Rates!$A$2:$A$501,H233,Bank_Rates!$B$2:$B$501,"&lt;="&amp;C233),IF(n=0,"",LET(t,MAXIFS(Bank_Rates!$B$2:$B$501,Bank_Rates!$A$2:$A$501,H233,Bank_Rates!$B$2:$B$501,"&lt;="&amp;C233),m,COUNTIFS(Bank_Rates!$A$2:$A$501,H233,Bank_Rates!$B$2:$B$501,t,Bank_Rates!$D$2:$D$501,"&lt;="&amp;G233),IF(m=0,"",LET(d,MAXIFS(Bank_Rates!$D$2:$D$501,Bank_Rates!$A$2:$A$501,H233,Bank_Rates!$B$2:$B$501,t,Bank_Rates!$D$2:$D$501,"&lt;="&amp;G233),SUMIFS(Bank_Rates!$C$2:$C$501,Bank_Rates!$A$2:$A$501,H233,Bank_Rates!$B$2:$B$501,t,Bank_Rates!$D$2:$D$501,d)))))))</f>
        <v/>
      </c>
      <c r="K233" s="6" t="str">
        <f t="shared" si="6"/>
        <v/>
      </c>
    </row>
    <row r="234" spans="1:11">
      <c r="A234" s="18" t="str">
        <f t="shared" si="7"/>
        <v/>
      </c>
      <c r="B234" s="13"/>
      <c r="C234" s="14"/>
      <c r="D234" s="3"/>
      <c r="E234" s="3"/>
      <c r="F234" s="14"/>
      <c r="G234" s="7">
        <f>RawObservationsTable[[#This Row],[Maturity Date]]-RawObservationsTable[[#This Row],[Timestamp]]</f>
        <v>0</v>
      </c>
      <c r="H234" s="2"/>
      <c r="I234" s="4"/>
      <c r="J234" s="5" t="str">
        <f>IF(OR(H234="",G234="",C234=""),"",LET(n,COUNTIFS(Bank_Rates!$A$2:$A$501,H234,Bank_Rates!$B$2:$B$501,"&lt;="&amp;C234),IF(n=0,"",LET(t,MAXIFS(Bank_Rates!$B$2:$B$501,Bank_Rates!$A$2:$A$501,H234,Bank_Rates!$B$2:$B$501,"&lt;="&amp;C234),m,COUNTIFS(Bank_Rates!$A$2:$A$501,H234,Bank_Rates!$B$2:$B$501,t,Bank_Rates!$D$2:$D$501,"&lt;="&amp;G234),IF(m=0,"",LET(d,MAXIFS(Bank_Rates!$D$2:$D$501,Bank_Rates!$A$2:$A$501,H234,Bank_Rates!$B$2:$B$501,t,Bank_Rates!$D$2:$D$501,"&lt;="&amp;G234),SUMIFS(Bank_Rates!$C$2:$C$501,Bank_Rates!$A$2:$A$501,H234,Bank_Rates!$B$2:$B$501,t,Bank_Rates!$D$2:$D$501,d)))))))</f>
        <v/>
      </c>
      <c r="K234" s="6" t="str">
        <f t="shared" si="6"/>
        <v/>
      </c>
    </row>
    <row r="235" spans="1:11">
      <c r="A235" s="18" t="str">
        <f t="shared" si="7"/>
        <v/>
      </c>
      <c r="B235" s="13"/>
      <c r="C235" s="14"/>
      <c r="D235" s="3"/>
      <c r="E235" s="3"/>
      <c r="F235" s="14"/>
      <c r="G235" s="7">
        <f>RawObservationsTable[[#This Row],[Maturity Date]]-RawObservationsTable[[#This Row],[Timestamp]]</f>
        <v>0</v>
      </c>
      <c r="H235" s="2"/>
      <c r="I235" s="4"/>
      <c r="J235" s="5" t="str">
        <f>IF(OR(H235="",G235="",C235=""),"",LET(n,COUNTIFS(Bank_Rates!$A$2:$A$501,H235,Bank_Rates!$B$2:$B$501,"&lt;="&amp;C235),IF(n=0,"",LET(t,MAXIFS(Bank_Rates!$B$2:$B$501,Bank_Rates!$A$2:$A$501,H235,Bank_Rates!$B$2:$B$501,"&lt;="&amp;C235),m,COUNTIFS(Bank_Rates!$A$2:$A$501,H235,Bank_Rates!$B$2:$B$501,t,Bank_Rates!$D$2:$D$501,"&lt;="&amp;G235),IF(m=0,"",LET(d,MAXIFS(Bank_Rates!$D$2:$D$501,Bank_Rates!$A$2:$A$501,H235,Bank_Rates!$B$2:$B$501,t,Bank_Rates!$D$2:$D$501,"&lt;="&amp;G235),SUMIFS(Bank_Rates!$C$2:$C$501,Bank_Rates!$A$2:$A$501,H235,Bank_Rates!$B$2:$B$501,t,Bank_Rates!$D$2:$D$501,d)))))))</f>
        <v/>
      </c>
      <c r="K235" s="6" t="str">
        <f t="shared" si="6"/>
        <v/>
      </c>
    </row>
    <row r="236" spans="1:11">
      <c r="A236" s="18" t="str">
        <f t="shared" si="7"/>
        <v/>
      </c>
      <c r="B236" s="13"/>
      <c r="C236" s="14"/>
      <c r="D236" s="3"/>
      <c r="E236" s="3"/>
      <c r="F236" s="14"/>
      <c r="G236" s="7">
        <f>RawObservationsTable[[#This Row],[Maturity Date]]-RawObservationsTable[[#This Row],[Timestamp]]</f>
        <v>0</v>
      </c>
      <c r="H236" s="2"/>
      <c r="I236" s="4"/>
      <c r="J236" s="5" t="str">
        <f>IF(OR(H236="",G236="",C236=""),"",LET(n,COUNTIFS(Bank_Rates!$A$2:$A$501,H236,Bank_Rates!$B$2:$B$501,"&lt;="&amp;C236),IF(n=0,"",LET(t,MAXIFS(Bank_Rates!$B$2:$B$501,Bank_Rates!$A$2:$A$501,H236,Bank_Rates!$B$2:$B$501,"&lt;="&amp;C236),m,COUNTIFS(Bank_Rates!$A$2:$A$501,H236,Bank_Rates!$B$2:$B$501,t,Bank_Rates!$D$2:$D$501,"&lt;="&amp;G236),IF(m=0,"",LET(d,MAXIFS(Bank_Rates!$D$2:$D$501,Bank_Rates!$A$2:$A$501,H236,Bank_Rates!$B$2:$B$501,t,Bank_Rates!$D$2:$D$501,"&lt;="&amp;G236),SUMIFS(Bank_Rates!$C$2:$C$501,Bank_Rates!$A$2:$A$501,H236,Bank_Rates!$B$2:$B$501,t,Bank_Rates!$D$2:$D$501,d)))))))</f>
        <v/>
      </c>
      <c r="K236" s="6" t="str">
        <f t="shared" si="6"/>
        <v/>
      </c>
    </row>
    <row r="237" spans="1:11">
      <c r="A237" s="18" t="str">
        <f t="shared" si="7"/>
        <v/>
      </c>
      <c r="B237" s="13"/>
      <c r="C237" s="14"/>
      <c r="D237" s="3"/>
      <c r="E237" s="3"/>
      <c r="F237" s="14"/>
      <c r="G237" s="7">
        <f>RawObservationsTable[[#This Row],[Maturity Date]]-RawObservationsTable[[#This Row],[Timestamp]]</f>
        <v>0</v>
      </c>
      <c r="H237" s="2"/>
      <c r="I237" s="4"/>
      <c r="J237" s="5" t="str">
        <f>IF(OR(H237="",G237="",C237=""),"",LET(n,COUNTIFS(Bank_Rates!$A$2:$A$501,H237,Bank_Rates!$B$2:$B$501,"&lt;="&amp;C237),IF(n=0,"",LET(t,MAXIFS(Bank_Rates!$B$2:$B$501,Bank_Rates!$A$2:$A$501,H237,Bank_Rates!$B$2:$B$501,"&lt;="&amp;C237),m,COUNTIFS(Bank_Rates!$A$2:$A$501,H237,Bank_Rates!$B$2:$B$501,t,Bank_Rates!$D$2:$D$501,"&lt;="&amp;G237),IF(m=0,"",LET(d,MAXIFS(Bank_Rates!$D$2:$D$501,Bank_Rates!$A$2:$A$501,H237,Bank_Rates!$B$2:$B$501,t,Bank_Rates!$D$2:$D$501,"&lt;="&amp;G237),SUMIFS(Bank_Rates!$C$2:$C$501,Bank_Rates!$A$2:$A$501,H237,Bank_Rates!$B$2:$B$501,t,Bank_Rates!$D$2:$D$501,d)))))))</f>
        <v/>
      </c>
      <c r="K237" s="6" t="str">
        <f t="shared" si="6"/>
        <v/>
      </c>
    </row>
    <row r="238" spans="1:11">
      <c r="A238" s="18" t="str">
        <f t="shared" si="7"/>
        <v/>
      </c>
      <c r="B238" s="13"/>
      <c r="C238" s="14"/>
      <c r="D238" s="3"/>
      <c r="E238" s="3"/>
      <c r="F238" s="14"/>
      <c r="G238" s="7">
        <f>RawObservationsTable[[#This Row],[Maturity Date]]-RawObservationsTable[[#This Row],[Timestamp]]</f>
        <v>0</v>
      </c>
      <c r="H238" s="2"/>
      <c r="I238" s="4"/>
      <c r="J238" s="5" t="str">
        <f>IF(OR(H238="",G238="",C238=""),"",LET(n,COUNTIFS(Bank_Rates!$A$2:$A$501,H238,Bank_Rates!$B$2:$B$501,"&lt;="&amp;C238),IF(n=0,"",LET(t,MAXIFS(Bank_Rates!$B$2:$B$501,Bank_Rates!$A$2:$A$501,H238,Bank_Rates!$B$2:$B$501,"&lt;="&amp;C238),m,COUNTIFS(Bank_Rates!$A$2:$A$501,H238,Bank_Rates!$B$2:$B$501,t,Bank_Rates!$D$2:$D$501,"&lt;="&amp;G238),IF(m=0,"",LET(d,MAXIFS(Bank_Rates!$D$2:$D$501,Bank_Rates!$A$2:$A$501,H238,Bank_Rates!$B$2:$B$501,t,Bank_Rates!$D$2:$D$501,"&lt;="&amp;G238),SUMIFS(Bank_Rates!$C$2:$C$501,Bank_Rates!$A$2:$A$501,H238,Bank_Rates!$B$2:$B$501,t,Bank_Rates!$D$2:$D$501,d)))))))</f>
        <v/>
      </c>
      <c r="K238" s="6" t="str">
        <f t="shared" si="6"/>
        <v/>
      </c>
    </row>
    <row r="239" spans="1:11">
      <c r="A239" s="18" t="str">
        <f t="shared" si="7"/>
        <v/>
      </c>
      <c r="B239" s="13"/>
      <c r="C239" s="14"/>
      <c r="D239" s="3"/>
      <c r="E239" s="3"/>
      <c r="F239" s="14"/>
      <c r="G239" s="7">
        <f>RawObservationsTable[[#This Row],[Maturity Date]]-RawObservationsTable[[#This Row],[Timestamp]]</f>
        <v>0</v>
      </c>
      <c r="H239" s="2"/>
      <c r="I239" s="4"/>
      <c r="J239" s="5" t="str">
        <f>IF(OR(H239="",G239="",C239=""),"",LET(n,COUNTIFS(Bank_Rates!$A$2:$A$501,H239,Bank_Rates!$B$2:$B$501,"&lt;="&amp;C239),IF(n=0,"",LET(t,MAXIFS(Bank_Rates!$B$2:$B$501,Bank_Rates!$A$2:$A$501,H239,Bank_Rates!$B$2:$B$501,"&lt;="&amp;C239),m,COUNTIFS(Bank_Rates!$A$2:$A$501,H239,Bank_Rates!$B$2:$B$501,t,Bank_Rates!$D$2:$D$501,"&lt;="&amp;G239),IF(m=0,"",LET(d,MAXIFS(Bank_Rates!$D$2:$D$501,Bank_Rates!$A$2:$A$501,H239,Bank_Rates!$B$2:$B$501,t,Bank_Rates!$D$2:$D$501,"&lt;="&amp;G239),SUMIFS(Bank_Rates!$C$2:$C$501,Bank_Rates!$A$2:$A$501,H239,Bank_Rates!$B$2:$B$501,t,Bank_Rates!$D$2:$D$501,d)))))))</f>
        <v/>
      </c>
      <c r="K239" s="6" t="str">
        <f t="shared" si="6"/>
        <v/>
      </c>
    </row>
    <row r="240" spans="1:11">
      <c r="A240" s="18" t="str">
        <f t="shared" si="7"/>
        <v/>
      </c>
      <c r="B240" s="13"/>
      <c r="C240" s="14"/>
      <c r="D240" s="3"/>
      <c r="E240" s="3"/>
      <c r="F240" s="14"/>
      <c r="G240" s="7">
        <f>RawObservationsTable[[#This Row],[Maturity Date]]-RawObservationsTable[[#This Row],[Timestamp]]</f>
        <v>0</v>
      </c>
      <c r="H240" s="2"/>
      <c r="I240" s="4"/>
      <c r="J240" s="5" t="str">
        <f>IF(OR(H240="",G240="",C240=""),"",LET(n,COUNTIFS(Bank_Rates!$A$2:$A$501,H240,Bank_Rates!$B$2:$B$501,"&lt;="&amp;C240),IF(n=0,"",LET(t,MAXIFS(Bank_Rates!$B$2:$B$501,Bank_Rates!$A$2:$A$501,H240,Bank_Rates!$B$2:$B$501,"&lt;="&amp;C240),m,COUNTIFS(Bank_Rates!$A$2:$A$501,H240,Bank_Rates!$B$2:$B$501,t,Bank_Rates!$D$2:$D$501,"&lt;="&amp;G240),IF(m=0,"",LET(d,MAXIFS(Bank_Rates!$D$2:$D$501,Bank_Rates!$A$2:$A$501,H240,Bank_Rates!$B$2:$B$501,t,Bank_Rates!$D$2:$D$501,"&lt;="&amp;G240),SUMIFS(Bank_Rates!$C$2:$C$501,Bank_Rates!$A$2:$A$501,H240,Bank_Rates!$B$2:$B$501,t,Bank_Rates!$D$2:$D$501,d)))))))</f>
        <v/>
      </c>
      <c r="K240" s="6" t="str">
        <f t="shared" si="6"/>
        <v/>
      </c>
    </row>
    <row r="241" spans="1:11">
      <c r="A241" s="18" t="str">
        <f t="shared" si="7"/>
        <v/>
      </c>
      <c r="B241" s="13"/>
      <c r="C241" s="14"/>
      <c r="D241" s="3"/>
      <c r="E241" s="3"/>
      <c r="F241" s="14"/>
      <c r="G241" s="7">
        <f>RawObservationsTable[[#This Row],[Maturity Date]]-RawObservationsTable[[#This Row],[Timestamp]]</f>
        <v>0</v>
      </c>
      <c r="H241" s="2"/>
      <c r="I241" s="4"/>
      <c r="J241" s="5" t="str">
        <f>IF(OR(H241="",G241="",C241=""),"",LET(n,COUNTIFS(Bank_Rates!$A$2:$A$501,H241,Bank_Rates!$B$2:$B$501,"&lt;="&amp;C241),IF(n=0,"",LET(t,MAXIFS(Bank_Rates!$B$2:$B$501,Bank_Rates!$A$2:$A$501,H241,Bank_Rates!$B$2:$B$501,"&lt;="&amp;C241),m,COUNTIFS(Bank_Rates!$A$2:$A$501,H241,Bank_Rates!$B$2:$B$501,t,Bank_Rates!$D$2:$D$501,"&lt;="&amp;G241),IF(m=0,"",LET(d,MAXIFS(Bank_Rates!$D$2:$D$501,Bank_Rates!$A$2:$A$501,H241,Bank_Rates!$B$2:$B$501,t,Bank_Rates!$D$2:$D$501,"&lt;="&amp;G241),SUMIFS(Bank_Rates!$C$2:$C$501,Bank_Rates!$A$2:$A$501,H241,Bank_Rates!$B$2:$B$501,t,Bank_Rates!$D$2:$D$501,d)))))))</f>
        <v/>
      </c>
      <c r="K241" s="6" t="str">
        <f t="shared" si="6"/>
        <v/>
      </c>
    </row>
    <row r="242" spans="1:11">
      <c r="A242" s="18" t="str">
        <f t="shared" si="7"/>
        <v/>
      </c>
      <c r="B242" s="13"/>
      <c r="C242" s="14"/>
      <c r="D242" s="3"/>
      <c r="E242" s="3"/>
      <c r="F242" s="14"/>
      <c r="G242" s="7">
        <f>RawObservationsTable[[#This Row],[Maturity Date]]-RawObservationsTable[[#This Row],[Timestamp]]</f>
        <v>0</v>
      </c>
      <c r="H242" s="2"/>
      <c r="I242" s="4"/>
      <c r="J242" s="5" t="str">
        <f>IF(OR(H242="",G242="",C242=""),"",LET(n,COUNTIFS(Bank_Rates!$A$2:$A$501,H242,Bank_Rates!$B$2:$B$501,"&lt;="&amp;C242),IF(n=0,"",LET(t,MAXIFS(Bank_Rates!$B$2:$B$501,Bank_Rates!$A$2:$A$501,H242,Bank_Rates!$B$2:$B$501,"&lt;="&amp;C242),m,COUNTIFS(Bank_Rates!$A$2:$A$501,H242,Bank_Rates!$B$2:$B$501,t,Bank_Rates!$D$2:$D$501,"&lt;="&amp;G242),IF(m=0,"",LET(d,MAXIFS(Bank_Rates!$D$2:$D$501,Bank_Rates!$A$2:$A$501,H242,Bank_Rates!$B$2:$B$501,t,Bank_Rates!$D$2:$D$501,"&lt;="&amp;G242),SUMIFS(Bank_Rates!$C$2:$C$501,Bank_Rates!$A$2:$A$501,H242,Bank_Rates!$B$2:$B$501,t,Bank_Rates!$D$2:$D$501,d)))))))</f>
        <v/>
      </c>
      <c r="K242" s="6" t="str">
        <f t="shared" si="6"/>
        <v/>
      </c>
    </row>
    <row r="243" spans="1:11">
      <c r="A243" s="18" t="str">
        <f t="shared" si="7"/>
        <v/>
      </c>
      <c r="B243" s="13"/>
      <c r="C243" s="14"/>
      <c r="D243" s="3"/>
      <c r="E243" s="3"/>
      <c r="F243" s="14"/>
      <c r="G243" s="7">
        <f>RawObservationsTable[[#This Row],[Maturity Date]]-RawObservationsTable[[#This Row],[Timestamp]]</f>
        <v>0</v>
      </c>
      <c r="H243" s="2"/>
      <c r="I243" s="4"/>
      <c r="J243" s="5" t="str">
        <f>IF(OR(H243="",G243="",C243=""),"",LET(n,COUNTIFS(Bank_Rates!$A$2:$A$501,H243,Bank_Rates!$B$2:$B$501,"&lt;="&amp;C243),IF(n=0,"",LET(t,MAXIFS(Bank_Rates!$B$2:$B$501,Bank_Rates!$A$2:$A$501,H243,Bank_Rates!$B$2:$B$501,"&lt;="&amp;C243),m,COUNTIFS(Bank_Rates!$A$2:$A$501,H243,Bank_Rates!$B$2:$B$501,t,Bank_Rates!$D$2:$D$501,"&lt;="&amp;G243),IF(m=0,"",LET(d,MAXIFS(Bank_Rates!$D$2:$D$501,Bank_Rates!$A$2:$A$501,H243,Bank_Rates!$B$2:$B$501,t,Bank_Rates!$D$2:$D$501,"&lt;="&amp;G243),SUMIFS(Bank_Rates!$C$2:$C$501,Bank_Rates!$A$2:$A$501,H243,Bank_Rates!$B$2:$B$501,t,Bank_Rates!$D$2:$D$501,d)))))))</f>
        <v/>
      </c>
      <c r="K243" s="6" t="str">
        <f t="shared" si="6"/>
        <v/>
      </c>
    </row>
    <row r="244" spans="1:11">
      <c r="A244" s="18" t="str">
        <f t="shared" si="7"/>
        <v/>
      </c>
      <c r="B244" s="13"/>
      <c r="C244" s="14"/>
      <c r="D244" s="3"/>
      <c r="E244" s="3"/>
      <c r="F244" s="14"/>
      <c r="G244" s="7">
        <f>RawObservationsTable[[#This Row],[Maturity Date]]-RawObservationsTable[[#This Row],[Timestamp]]</f>
        <v>0</v>
      </c>
      <c r="H244" s="2"/>
      <c r="I244" s="4"/>
      <c r="J244" s="5" t="str">
        <f>IF(OR(H244="",G244="",C244=""),"",LET(n,COUNTIFS(Bank_Rates!$A$2:$A$501,H244,Bank_Rates!$B$2:$B$501,"&lt;="&amp;C244),IF(n=0,"",LET(t,MAXIFS(Bank_Rates!$B$2:$B$501,Bank_Rates!$A$2:$A$501,H244,Bank_Rates!$B$2:$B$501,"&lt;="&amp;C244),m,COUNTIFS(Bank_Rates!$A$2:$A$501,H244,Bank_Rates!$B$2:$B$501,t,Bank_Rates!$D$2:$D$501,"&lt;="&amp;G244),IF(m=0,"",LET(d,MAXIFS(Bank_Rates!$D$2:$D$501,Bank_Rates!$A$2:$A$501,H244,Bank_Rates!$B$2:$B$501,t,Bank_Rates!$D$2:$D$501,"&lt;="&amp;G244),SUMIFS(Bank_Rates!$C$2:$C$501,Bank_Rates!$A$2:$A$501,H244,Bank_Rates!$B$2:$B$501,t,Bank_Rates!$D$2:$D$501,d)))))))</f>
        <v/>
      </c>
      <c r="K244" s="6" t="str">
        <f t="shared" si="6"/>
        <v/>
      </c>
    </row>
    <row r="245" spans="1:11">
      <c r="A245" s="18" t="str">
        <f t="shared" si="7"/>
        <v/>
      </c>
      <c r="B245" s="13"/>
      <c r="C245" s="14"/>
      <c r="D245" s="3"/>
      <c r="E245" s="3"/>
      <c r="F245" s="14"/>
      <c r="G245" s="7">
        <f>RawObservationsTable[[#This Row],[Maturity Date]]-RawObservationsTable[[#This Row],[Timestamp]]</f>
        <v>0</v>
      </c>
      <c r="H245" s="2"/>
      <c r="I245" s="4"/>
      <c r="J245" s="5" t="str">
        <f>IF(OR(H245="",G245="",C245=""),"",LET(n,COUNTIFS(Bank_Rates!$A$2:$A$501,H245,Bank_Rates!$B$2:$B$501,"&lt;="&amp;C245),IF(n=0,"",LET(t,MAXIFS(Bank_Rates!$B$2:$B$501,Bank_Rates!$A$2:$A$501,H245,Bank_Rates!$B$2:$B$501,"&lt;="&amp;C245),m,COUNTIFS(Bank_Rates!$A$2:$A$501,H245,Bank_Rates!$B$2:$B$501,t,Bank_Rates!$D$2:$D$501,"&lt;="&amp;G245),IF(m=0,"",LET(d,MAXIFS(Bank_Rates!$D$2:$D$501,Bank_Rates!$A$2:$A$501,H245,Bank_Rates!$B$2:$B$501,t,Bank_Rates!$D$2:$D$501,"&lt;="&amp;G245),SUMIFS(Bank_Rates!$C$2:$C$501,Bank_Rates!$A$2:$A$501,H245,Bank_Rates!$B$2:$B$501,t,Bank_Rates!$D$2:$D$501,d)))))))</f>
        <v/>
      </c>
      <c r="K245" s="6" t="str">
        <f t="shared" si="6"/>
        <v/>
      </c>
    </row>
    <row r="246" spans="1:11">
      <c r="A246" s="18" t="str">
        <f t="shared" si="7"/>
        <v/>
      </c>
      <c r="B246" s="13"/>
      <c r="C246" s="14"/>
      <c r="D246" s="3"/>
      <c r="E246" s="3"/>
      <c r="F246" s="14"/>
      <c r="G246" s="7">
        <f>RawObservationsTable[[#This Row],[Maturity Date]]-RawObservationsTable[[#This Row],[Timestamp]]</f>
        <v>0</v>
      </c>
      <c r="H246" s="2"/>
      <c r="I246" s="4"/>
      <c r="J246" s="5" t="str">
        <f>IF(OR(H246="",G246="",C246=""),"",LET(n,COUNTIFS(Bank_Rates!$A$2:$A$501,H246,Bank_Rates!$B$2:$B$501,"&lt;="&amp;C246),IF(n=0,"",LET(t,MAXIFS(Bank_Rates!$B$2:$B$501,Bank_Rates!$A$2:$A$501,H246,Bank_Rates!$B$2:$B$501,"&lt;="&amp;C246),m,COUNTIFS(Bank_Rates!$A$2:$A$501,H246,Bank_Rates!$B$2:$B$501,t,Bank_Rates!$D$2:$D$501,"&lt;="&amp;G246),IF(m=0,"",LET(d,MAXIFS(Bank_Rates!$D$2:$D$501,Bank_Rates!$A$2:$A$501,H246,Bank_Rates!$B$2:$B$501,t,Bank_Rates!$D$2:$D$501,"&lt;="&amp;G246),SUMIFS(Bank_Rates!$C$2:$C$501,Bank_Rates!$A$2:$A$501,H246,Bank_Rates!$B$2:$B$501,t,Bank_Rates!$D$2:$D$501,d)))))))</f>
        <v/>
      </c>
      <c r="K246" s="6" t="str">
        <f t="shared" si="6"/>
        <v/>
      </c>
    </row>
    <row r="247" spans="1:11">
      <c r="A247" s="18" t="str">
        <f t="shared" si="7"/>
        <v/>
      </c>
      <c r="B247" s="13"/>
      <c r="C247" s="14"/>
      <c r="D247" s="3"/>
      <c r="E247" s="3"/>
      <c r="F247" s="14"/>
      <c r="G247" s="7">
        <f>RawObservationsTable[[#This Row],[Maturity Date]]-RawObservationsTable[[#This Row],[Timestamp]]</f>
        <v>0</v>
      </c>
      <c r="H247" s="2"/>
      <c r="I247" s="4"/>
      <c r="J247" s="5" t="str">
        <f>IF(OR(H247="",G247="",C247=""),"",LET(n,COUNTIFS(Bank_Rates!$A$2:$A$501,H247,Bank_Rates!$B$2:$B$501,"&lt;="&amp;C247),IF(n=0,"",LET(t,MAXIFS(Bank_Rates!$B$2:$B$501,Bank_Rates!$A$2:$A$501,H247,Bank_Rates!$B$2:$B$501,"&lt;="&amp;C247),m,COUNTIFS(Bank_Rates!$A$2:$A$501,H247,Bank_Rates!$B$2:$B$501,t,Bank_Rates!$D$2:$D$501,"&lt;="&amp;G247),IF(m=0,"",LET(d,MAXIFS(Bank_Rates!$D$2:$D$501,Bank_Rates!$A$2:$A$501,H247,Bank_Rates!$B$2:$B$501,t,Bank_Rates!$D$2:$D$501,"&lt;="&amp;G247),SUMIFS(Bank_Rates!$C$2:$C$501,Bank_Rates!$A$2:$A$501,H247,Bank_Rates!$B$2:$B$501,t,Bank_Rates!$D$2:$D$501,d)))))))</f>
        <v/>
      </c>
      <c r="K247" s="6" t="str">
        <f t="shared" si="6"/>
        <v/>
      </c>
    </row>
    <row r="248" spans="1:11">
      <c r="A248" s="18" t="str">
        <f t="shared" si="7"/>
        <v/>
      </c>
      <c r="B248" s="13"/>
      <c r="C248" s="14"/>
      <c r="D248" s="3"/>
      <c r="E248" s="3"/>
      <c r="F248" s="14"/>
      <c r="G248" s="7">
        <f>RawObservationsTable[[#This Row],[Maturity Date]]-RawObservationsTable[[#This Row],[Timestamp]]</f>
        <v>0</v>
      </c>
      <c r="H248" s="2"/>
      <c r="I248" s="4"/>
      <c r="J248" s="5" t="str">
        <f>IF(OR(H248="",G248="",C248=""),"",LET(n,COUNTIFS(Bank_Rates!$A$2:$A$501,H248,Bank_Rates!$B$2:$B$501,"&lt;="&amp;C248),IF(n=0,"",LET(t,MAXIFS(Bank_Rates!$B$2:$B$501,Bank_Rates!$A$2:$A$501,H248,Bank_Rates!$B$2:$B$501,"&lt;="&amp;C248),m,COUNTIFS(Bank_Rates!$A$2:$A$501,H248,Bank_Rates!$B$2:$B$501,t,Bank_Rates!$D$2:$D$501,"&lt;="&amp;G248),IF(m=0,"",LET(d,MAXIFS(Bank_Rates!$D$2:$D$501,Bank_Rates!$A$2:$A$501,H248,Bank_Rates!$B$2:$B$501,t,Bank_Rates!$D$2:$D$501,"&lt;="&amp;G248),SUMIFS(Bank_Rates!$C$2:$C$501,Bank_Rates!$A$2:$A$501,H248,Bank_Rates!$B$2:$B$501,t,Bank_Rates!$D$2:$D$501,d)))))))</f>
        <v/>
      </c>
      <c r="K248" s="6" t="str">
        <f t="shared" si="6"/>
        <v/>
      </c>
    </row>
    <row r="249" spans="1:11">
      <c r="A249" s="18" t="str">
        <f t="shared" si="7"/>
        <v/>
      </c>
      <c r="B249" s="13"/>
      <c r="C249" s="14"/>
      <c r="D249" s="3"/>
      <c r="E249" s="3"/>
      <c r="F249" s="14"/>
      <c r="G249" s="7">
        <f>RawObservationsTable[[#This Row],[Maturity Date]]-RawObservationsTable[[#This Row],[Timestamp]]</f>
        <v>0</v>
      </c>
      <c r="H249" s="2"/>
      <c r="I249" s="4"/>
      <c r="J249" s="5" t="str">
        <f>IF(OR(H249="",G249="",C249=""),"",LET(n,COUNTIFS(Bank_Rates!$A$2:$A$501,H249,Bank_Rates!$B$2:$B$501,"&lt;="&amp;C249),IF(n=0,"",LET(t,MAXIFS(Bank_Rates!$B$2:$B$501,Bank_Rates!$A$2:$A$501,H249,Bank_Rates!$B$2:$B$501,"&lt;="&amp;C249),m,COUNTIFS(Bank_Rates!$A$2:$A$501,H249,Bank_Rates!$B$2:$B$501,t,Bank_Rates!$D$2:$D$501,"&lt;="&amp;G249),IF(m=0,"",LET(d,MAXIFS(Bank_Rates!$D$2:$D$501,Bank_Rates!$A$2:$A$501,H249,Bank_Rates!$B$2:$B$501,t,Bank_Rates!$D$2:$D$501,"&lt;="&amp;G249),SUMIFS(Bank_Rates!$C$2:$C$501,Bank_Rates!$A$2:$A$501,H249,Bank_Rates!$B$2:$B$501,t,Bank_Rates!$D$2:$D$501,d)))))))</f>
        <v/>
      </c>
      <c r="K249" s="6" t="str">
        <f t="shared" si="6"/>
        <v/>
      </c>
    </row>
    <row r="250" spans="1:11">
      <c r="A250" s="18" t="str">
        <f t="shared" si="7"/>
        <v/>
      </c>
      <c r="B250" s="13"/>
      <c r="C250" s="14"/>
      <c r="D250" s="3"/>
      <c r="E250" s="3"/>
      <c r="F250" s="14"/>
      <c r="G250" s="7">
        <f>RawObservationsTable[[#This Row],[Maturity Date]]-RawObservationsTable[[#This Row],[Timestamp]]</f>
        <v>0</v>
      </c>
      <c r="H250" s="2"/>
      <c r="I250" s="4"/>
      <c r="J250" s="5" t="str">
        <f>IF(OR(H250="",G250="",C250=""),"",LET(n,COUNTIFS(Bank_Rates!$A$2:$A$501,H250,Bank_Rates!$B$2:$B$501,"&lt;="&amp;C250),IF(n=0,"",LET(t,MAXIFS(Bank_Rates!$B$2:$B$501,Bank_Rates!$A$2:$A$501,H250,Bank_Rates!$B$2:$B$501,"&lt;="&amp;C250),m,COUNTIFS(Bank_Rates!$A$2:$A$501,H250,Bank_Rates!$B$2:$B$501,t,Bank_Rates!$D$2:$D$501,"&lt;="&amp;G250),IF(m=0,"",LET(d,MAXIFS(Bank_Rates!$D$2:$D$501,Bank_Rates!$A$2:$A$501,H250,Bank_Rates!$B$2:$B$501,t,Bank_Rates!$D$2:$D$501,"&lt;="&amp;G250),SUMIFS(Bank_Rates!$C$2:$C$501,Bank_Rates!$A$2:$A$501,H250,Bank_Rates!$B$2:$B$501,t,Bank_Rates!$D$2:$D$501,d)))))))</f>
        <v/>
      </c>
      <c r="K250" s="6" t="str">
        <f t="shared" si="6"/>
        <v/>
      </c>
    </row>
    <row r="251" spans="1:11">
      <c r="A251" s="18" t="str">
        <f t="shared" si="7"/>
        <v/>
      </c>
      <c r="B251" s="13"/>
      <c r="C251" s="14"/>
      <c r="D251" s="3"/>
      <c r="E251" s="3"/>
      <c r="F251" s="14"/>
      <c r="G251" s="7">
        <f>RawObservationsTable[[#This Row],[Maturity Date]]-RawObservationsTable[[#This Row],[Timestamp]]</f>
        <v>0</v>
      </c>
      <c r="H251" s="2"/>
      <c r="I251" s="4"/>
      <c r="J251" s="5" t="str">
        <f>IF(OR(H251="",G251="",C251=""),"",LET(n,COUNTIFS(Bank_Rates!$A$2:$A$501,H251,Bank_Rates!$B$2:$B$501,"&lt;="&amp;C251),IF(n=0,"",LET(t,MAXIFS(Bank_Rates!$B$2:$B$501,Bank_Rates!$A$2:$A$501,H251,Bank_Rates!$B$2:$B$501,"&lt;="&amp;C251),m,COUNTIFS(Bank_Rates!$A$2:$A$501,H251,Bank_Rates!$B$2:$B$501,t,Bank_Rates!$D$2:$D$501,"&lt;="&amp;G251),IF(m=0,"",LET(d,MAXIFS(Bank_Rates!$D$2:$D$501,Bank_Rates!$A$2:$A$501,H251,Bank_Rates!$B$2:$B$501,t,Bank_Rates!$D$2:$D$501,"&lt;="&amp;G251),SUMIFS(Bank_Rates!$C$2:$C$501,Bank_Rates!$A$2:$A$501,H251,Bank_Rates!$B$2:$B$501,t,Bank_Rates!$D$2:$D$501,d)))))))</f>
        <v/>
      </c>
      <c r="K251" s="6" t="str">
        <f t="shared" si="6"/>
        <v/>
      </c>
    </row>
    <row r="252" spans="1:11">
      <c r="A252" s="18" t="str">
        <f t="shared" si="7"/>
        <v/>
      </c>
      <c r="B252" s="13"/>
      <c r="C252" s="14"/>
      <c r="D252" s="3"/>
      <c r="E252" s="3"/>
      <c r="F252" s="14"/>
      <c r="G252" s="7">
        <f>RawObservationsTable[[#This Row],[Maturity Date]]-RawObservationsTable[[#This Row],[Timestamp]]</f>
        <v>0</v>
      </c>
      <c r="H252" s="2"/>
      <c r="I252" s="4"/>
      <c r="J252" s="5" t="str">
        <f>IF(OR(H252="",G252="",C252=""),"",LET(n,COUNTIFS(Bank_Rates!$A$2:$A$501,H252,Bank_Rates!$B$2:$B$501,"&lt;="&amp;C252),IF(n=0,"",LET(t,MAXIFS(Bank_Rates!$B$2:$B$501,Bank_Rates!$A$2:$A$501,H252,Bank_Rates!$B$2:$B$501,"&lt;="&amp;C252),m,COUNTIFS(Bank_Rates!$A$2:$A$501,H252,Bank_Rates!$B$2:$B$501,t,Bank_Rates!$D$2:$D$501,"&lt;="&amp;G252),IF(m=0,"",LET(d,MAXIFS(Bank_Rates!$D$2:$D$501,Bank_Rates!$A$2:$A$501,H252,Bank_Rates!$B$2:$B$501,t,Bank_Rates!$D$2:$D$501,"&lt;="&amp;G252),SUMIFS(Bank_Rates!$C$2:$C$501,Bank_Rates!$A$2:$A$501,H252,Bank_Rates!$B$2:$B$501,t,Bank_Rates!$D$2:$D$501,d)))))))</f>
        <v/>
      </c>
      <c r="K252" s="6" t="str">
        <f t="shared" si="6"/>
        <v/>
      </c>
    </row>
    <row r="253" spans="1:11">
      <c r="A253" s="18" t="str">
        <f t="shared" si="7"/>
        <v/>
      </c>
      <c r="B253" s="13"/>
      <c r="C253" s="14"/>
      <c r="D253" s="3"/>
      <c r="E253" s="3"/>
      <c r="F253" s="14"/>
      <c r="G253" s="7">
        <f>RawObservationsTable[[#This Row],[Maturity Date]]-RawObservationsTable[[#This Row],[Timestamp]]</f>
        <v>0</v>
      </c>
      <c r="H253" s="2"/>
      <c r="I253" s="4"/>
      <c r="J253" s="5" t="str">
        <f>IF(OR(H253="",G253="",C253=""),"",LET(n,COUNTIFS(Bank_Rates!$A$2:$A$501,H253,Bank_Rates!$B$2:$B$501,"&lt;="&amp;C253),IF(n=0,"",LET(t,MAXIFS(Bank_Rates!$B$2:$B$501,Bank_Rates!$A$2:$A$501,H253,Bank_Rates!$B$2:$B$501,"&lt;="&amp;C253),m,COUNTIFS(Bank_Rates!$A$2:$A$501,H253,Bank_Rates!$B$2:$B$501,t,Bank_Rates!$D$2:$D$501,"&lt;="&amp;G253),IF(m=0,"",LET(d,MAXIFS(Bank_Rates!$D$2:$D$501,Bank_Rates!$A$2:$A$501,H253,Bank_Rates!$B$2:$B$501,t,Bank_Rates!$D$2:$D$501,"&lt;="&amp;G253),SUMIFS(Bank_Rates!$C$2:$C$501,Bank_Rates!$A$2:$A$501,H253,Bank_Rates!$B$2:$B$501,t,Bank_Rates!$D$2:$D$501,d)))))))</f>
        <v/>
      </c>
      <c r="K253" s="6" t="str">
        <f t="shared" si="6"/>
        <v/>
      </c>
    </row>
    <row r="254" spans="1:11">
      <c r="A254" s="18" t="str">
        <f t="shared" si="7"/>
        <v/>
      </c>
      <c r="B254" s="13"/>
      <c r="C254" s="14"/>
      <c r="D254" s="3"/>
      <c r="E254" s="3"/>
      <c r="F254" s="14"/>
      <c r="G254" s="7">
        <f>RawObservationsTable[[#This Row],[Maturity Date]]-RawObservationsTable[[#This Row],[Timestamp]]</f>
        <v>0</v>
      </c>
      <c r="H254" s="2"/>
      <c r="I254" s="4"/>
      <c r="J254" s="5" t="str">
        <f>IF(OR(H254="",G254="",C254=""),"",LET(n,COUNTIFS(Bank_Rates!$A$2:$A$501,H254,Bank_Rates!$B$2:$B$501,"&lt;="&amp;C254),IF(n=0,"",LET(t,MAXIFS(Bank_Rates!$B$2:$B$501,Bank_Rates!$A$2:$A$501,H254,Bank_Rates!$B$2:$B$501,"&lt;="&amp;C254),m,COUNTIFS(Bank_Rates!$A$2:$A$501,H254,Bank_Rates!$B$2:$B$501,t,Bank_Rates!$D$2:$D$501,"&lt;="&amp;G254),IF(m=0,"",LET(d,MAXIFS(Bank_Rates!$D$2:$D$501,Bank_Rates!$A$2:$A$501,H254,Bank_Rates!$B$2:$B$501,t,Bank_Rates!$D$2:$D$501,"&lt;="&amp;G254),SUMIFS(Bank_Rates!$C$2:$C$501,Bank_Rates!$A$2:$A$501,H254,Bank_Rates!$B$2:$B$501,t,Bank_Rates!$D$2:$D$501,d)))))))</f>
        <v/>
      </c>
      <c r="K254" s="6" t="str">
        <f t="shared" si="6"/>
        <v/>
      </c>
    </row>
    <row r="255" spans="1:11">
      <c r="A255" s="18" t="str">
        <f t="shared" si="7"/>
        <v/>
      </c>
      <c r="B255" s="13"/>
      <c r="C255" s="14"/>
      <c r="D255" s="3"/>
      <c r="E255" s="3"/>
      <c r="F255" s="14"/>
      <c r="G255" s="7">
        <f>RawObservationsTable[[#This Row],[Maturity Date]]-RawObservationsTable[[#This Row],[Timestamp]]</f>
        <v>0</v>
      </c>
      <c r="H255" s="2"/>
      <c r="I255" s="4"/>
      <c r="J255" s="5" t="str">
        <f>IF(OR(H255="",G255="",C255=""),"",LET(n,COUNTIFS(Bank_Rates!$A$2:$A$501,H255,Bank_Rates!$B$2:$B$501,"&lt;="&amp;C255),IF(n=0,"",LET(t,MAXIFS(Bank_Rates!$B$2:$B$501,Bank_Rates!$A$2:$A$501,H255,Bank_Rates!$B$2:$B$501,"&lt;="&amp;C255),m,COUNTIFS(Bank_Rates!$A$2:$A$501,H255,Bank_Rates!$B$2:$B$501,t,Bank_Rates!$D$2:$D$501,"&lt;="&amp;G255),IF(m=0,"",LET(d,MAXIFS(Bank_Rates!$D$2:$D$501,Bank_Rates!$A$2:$A$501,H255,Bank_Rates!$B$2:$B$501,t,Bank_Rates!$D$2:$D$501,"&lt;="&amp;G255),SUMIFS(Bank_Rates!$C$2:$C$501,Bank_Rates!$A$2:$A$501,H255,Bank_Rates!$B$2:$B$501,t,Bank_Rates!$D$2:$D$501,d)))))))</f>
        <v/>
      </c>
      <c r="K255" s="6" t="str">
        <f t="shared" si="6"/>
        <v/>
      </c>
    </row>
    <row r="256" spans="1:11">
      <c r="A256" s="18" t="str">
        <f t="shared" si="7"/>
        <v/>
      </c>
      <c r="B256" s="13"/>
      <c r="C256" s="14"/>
      <c r="D256" s="3"/>
      <c r="E256" s="3"/>
      <c r="F256" s="14"/>
      <c r="G256" s="7">
        <f>RawObservationsTable[[#This Row],[Maturity Date]]-RawObservationsTable[[#This Row],[Timestamp]]</f>
        <v>0</v>
      </c>
      <c r="H256" s="2"/>
      <c r="I256" s="4"/>
      <c r="J256" s="5" t="str">
        <f>IF(OR(H256="",G256="",C256=""),"",LET(n,COUNTIFS(Bank_Rates!$A$2:$A$501,H256,Bank_Rates!$B$2:$B$501,"&lt;="&amp;C256),IF(n=0,"",LET(t,MAXIFS(Bank_Rates!$B$2:$B$501,Bank_Rates!$A$2:$A$501,H256,Bank_Rates!$B$2:$B$501,"&lt;="&amp;C256),m,COUNTIFS(Bank_Rates!$A$2:$A$501,H256,Bank_Rates!$B$2:$B$501,t,Bank_Rates!$D$2:$D$501,"&lt;="&amp;G256),IF(m=0,"",LET(d,MAXIFS(Bank_Rates!$D$2:$D$501,Bank_Rates!$A$2:$A$501,H256,Bank_Rates!$B$2:$B$501,t,Bank_Rates!$D$2:$D$501,"&lt;="&amp;G256),SUMIFS(Bank_Rates!$C$2:$C$501,Bank_Rates!$A$2:$A$501,H256,Bank_Rates!$B$2:$B$501,t,Bank_Rates!$D$2:$D$501,d)))))))</f>
        <v/>
      </c>
      <c r="K256" s="6" t="str">
        <f t="shared" si="6"/>
        <v/>
      </c>
    </row>
    <row r="257" spans="1:11">
      <c r="A257" s="18" t="str">
        <f t="shared" si="7"/>
        <v/>
      </c>
      <c r="B257" s="13"/>
      <c r="C257" s="14"/>
      <c r="D257" s="3"/>
      <c r="E257" s="3"/>
      <c r="F257" s="14"/>
      <c r="G257" s="7">
        <f>RawObservationsTable[[#This Row],[Maturity Date]]-RawObservationsTable[[#This Row],[Timestamp]]</f>
        <v>0</v>
      </c>
      <c r="H257" s="2"/>
      <c r="I257" s="4"/>
      <c r="J257" s="5" t="str">
        <f>IF(OR(H257="",G257="",C257=""),"",LET(n,COUNTIFS(Bank_Rates!$A$2:$A$501,H257,Bank_Rates!$B$2:$B$501,"&lt;="&amp;C257),IF(n=0,"",LET(t,MAXIFS(Bank_Rates!$B$2:$B$501,Bank_Rates!$A$2:$A$501,H257,Bank_Rates!$B$2:$B$501,"&lt;="&amp;C257),m,COUNTIFS(Bank_Rates!$A$2:$A$501,H257,Bank_Rates!$B$2:$B$501,t,Bank_Rates!$D$2:$D$501,"&lt;="&amp;G257),IF(m=0,"",LET(d,MAXIFS(Bank_Rates!$D$2:$D$501,Bank_Rates!$A$2:$A$501,H257,Bank_Rates!$B$2:$B$501,t,Bank_Rates!$D$2:$D$501,"&lt;="&amp;G257),SUMIFS(Bank_Rates!$C$2:$C$501,Bank_Rates!$A$2:$A$501,H257,Bank_Rates!$B$2:$B$501,t,Bank_Rates!$D$2:$D$501,d)))))))</f>
        <v/>
      </c>
      <c r="K257" s="6" t="str">
        <f t="shared" si="6"/>
        <v/>
      </c>
    </row>
    <row r="258" spans="1:11">
      <c r="A258" s="18" t="str">
        <f t="shared" si="7"/>
        <v/>
      </c>
      <c r="B258" s="13"/>
      <c r="C258" s="14"/>
      <c r="D258" s="3"/>
      <c r="E258" s="3"/>
      <c r="F258" s="14"/>
      <c r="G258" s="7">
        <f>RawObservationsTable[[#This Row],[Maturity Date]]-RawObservationsTable[[#This Row],[Timestamp]]</f>
        <v>0</v>
      </c>
      <c r="H258" s="2"/>
      <c r="I258" s="4"/>
      <c r="J258" s="5" t="str">
        <f>IF(OR(H258="",G258="",C258=""),"",LET(n,COUNTIFS(Bank_Rates!$A$2:$A$501,H258,Bank_Rates!$B$2:$B$501,"&lt;="&amp;C258),IF(n=0,"",LET(t,MAXIFS(Bank_Rates!$B$2:$B$501,Bank_Rates!$A$2:$A$501,H258,Bank_Rates!$B$2:$B$501,"&lt;="&amp;C258),m,COUNTIFS(Bank_Rates!$A$2:$A$501,H258,Bank_Rates!$B$2:$B$501,t,Bank_Rates!$D$2:$D$501,"&lt;="&amp;G258),IF(m=0,"",LET(d,MAXIFS(Bank_Rates!$D$2:$D$501,Bank_Rates!$A$2:$A$501,H258,Bank_Rates!$B$2:$B$501,t,Bank_Rates!$D$2:$D$501,"&lt;="&amp;G258),SUMIFS(Bank_Rates!$C$2:$C$501,Bank_Rates!$A$2:$A$501,H258,Bank_Rates!$B$2:$B$501,t,Bank_Rates!$D$2:$D$501,d)))))))</f>
        <v/>
      </c>
      <c r="K258" s="6" t="str">
        <f t="shared" ref="K258:K321" si="8">IF(OR(I258="",J258=""),"",I258-J258)</f>
        <v/>
      </c>
    </row>
    <row r="259" spans="1:11">
      <c r="A259" s="18" t="str">
        <f t="shared" ref="A259:A322" si="9">IF(B259&lt;&gt;"","L-"&amp;TEXT(ROW()-1,"0000"),"")</f>
        <v/>
      </c>
      <c r="B259" s="13"/>
      <c r="C259" s="14"/>
      <c r="D259" s="3"/>
      <c r="E259" s="3"/>
      <c r="F259" s="14"/>
      <c r="G259" s="7">
        <f>RawObservationsTable[[#This Row],[Maturity Date]]-RawObservationsTable[[#This Row],[Timestamp]]</f>
        <v>0</v>
      </c>
      <c r="H259" s="2"/>
      <c r="I259" s="4"/>
      <c r="J259" s="5" t="str">
        <f>IF(OR(H259="",G259="",C259=""),"",LET(n,COUNTIFS(Bank_Rates!$A$2:$A$501,H259,Bank_Rates!$B$2:$B$501,"&lt;="&amp;C259),IF(n=0,"",LET(t,MAXIFS(Bank_Rates!$B$2:$B$501,Bank_Rates!$A$2:$A$501,H259,Bank_Rates!$B$2:$B$501,"&lt;="&amp;C259),m,COUNTIFS(Bank_Rates!$A$2:$A$501,H259,Bank_Rates!$B$2:$B$501,t,Bank_Rates!$D$2:$D$501,"&lt;="&amp;G259),IF(m=0,"",LET(d,MAXIFS(Bank_Rates!$D$2:$D$501,Bank_Rates!$A$2:$A$501,H259,Bank_Rates!$B$2:$B$501,t,Bank_Rates!$D$2:$D$501,"&lt;="&amp;G259),SUMIFS(Bank_Rates!$C$2:$C$501,Bank_Rates!$A$2:$A$501,H259,Bank_Rates!$B$2:$B$501,t,Bank_Rates!$D$2:$D$501,d)))))))</f>
        <v/>
      </c>
      <c r="K259" s="6" t="str">
        <f t="shared" si="8"/>
        <v/>
      </c>
    </row>
    <row r="260" spans="1:11">
      <c r="A260" s="18" t="str">
        <f t="shared" si="9"/>
        <v/>
      </c>
      <c r="B260" s="13"/>
      <c r="C260" s="14"/>
      <c r="D260" s="3"/>
      <c r="E260" s="3"/>
      <c r="F260" s="14"/>
      <c r="G260" s="7">
        <f>RawObservationsTable[[#This Row],[Maturity Date]]-RawObservationsTable[[#This Row],[Timestamp]]</f>
        <v>0</v>
      </c>
      <c r="H260" s="2"/>
      <c r="I260" s="4"/>
      <c r="J260" s="5" t="str">
        <f>IF(OR(H260="",G260="",C260=""),"",LET(n,COUNTIFS(Bank_Rates!$A$2:$A$501,H260,Bank_Rates!$B$2:$B$501,"&lt;="&amp;C260),IF(n=0,"",LET(t,MAXIFS(Bank_Rates!$B$2:$B$501,Bank_Rates!$A$2:$A$501,H260,Bank_Rates!$B$2:$B$501,"&lt;="&amp;C260),m,COUNTIFS(Bank_Rates!$A$2:$A$501,H260,Bank_Rates!$B$2:$B$501,t,Bank_Rates!$D$2:$D$501,"&lt;="&amp;G260),IF(m=0,"",LET(d,MAXIFS(Bank_Rates!$D$2:$D$501,Bank_Rates!$A$2:$A$501,H260,Bank_Rates!$B$2:$B$501,t,Bank_Rates!$D$2:$D$501,"&lt;="&amp;G260),SUMIFS(Bank_Rates!$C$2:$C$501,Bank_Rates!$A$2:$A$501,H260,Bank_Rates!$B$2:$B$501,t,Bank_Rates!$D$2:$D$501,d)))))))</f>
        <v/>
      </c>
      <c r="K260" s="6" t="str">
        <f t="shared" si="8"/>
        <v/>
      </c>
    </row>
    <row r="261" spans="1:11">
      <c r="A261" s="18" t="str">
        <f t="shared" si="9"/>
        <v/>
      </c>
      <c r="B261" s="13"/>
      <c r="C261" s="14"/>
      <c r="D261" s="3"/>
      <c r="E261" s="3"/>
      <c r="F261" s="14"/>
      <c r="G261" s="7">
        <f>RawObservationsTable[[#This Row],[Maturity Date]]-RawObservationsTable[[#This Row],[Timestamp]]</f>
        <v>0</v>
      </c>
      <c r="H261" s="2"/>
      <c r="I261" s="4"/>
      <c r="J261" s="5" t="str">
        <f>IF(OR(H261="",G261="",C261=""),"",LET(n,COUNTIFS(Bank_Rates!$A$2:$A$501,H261,Bank_Rates!$B$2:$B$501,"&lt;="&amp;C261),IF(n=0,"",LET(t,MAXIFS(Bank_Rates!$B$2:$B$501,Bank_Rates!$A$2:$A$501,H261,Bank_Rates!$B$2:$B$501,"&lt;="&amp;C261),m,COUNTIFS(Bank_Rates!$A$2:$A$501,H261,Bank_Rates!$B$2:$B$501,t,Bank_Rates!$D$2:$D$501,"&lt;="&amp;G261),IF(m=0,"",LET(d,MAXIFS(Bank_Rates!$D$2:$D$501,Bank_Rates!$A$2:$A$501,H261,Bank_Rates!$B$2:$B$501,t,Bank_Rates!$D$2:$D$501,"&lt;="&amp;G261),SUMIFS(Bank_Rates!$C$2:$C$501,Bank_Rates!$A$2:$A$501,H261,Bank_Rates!$B$2:$B$501,t,Bank_Rates!$D$2:$D$501,d)))))))</f>
        <v/>
      </c>
      <c r="K261" s="6" t="str">
        <f t="shared" si="8"/>
        <v/>
      </c>
    </row>
    <row r="262" spans="1:11">
      <c r="A262" s="18" t="str">
        <f t="shared" si="9"/>
        <v/>
      </c>
      <c r="B262" s="13"/>
      <c r="C262" s="14"/>
      <c r="D262" s="3"/>
      <c r="E262" s="3"/>
      <c r="F262" s="14"/>
      <c r="G262" s="7">
        <f>RawObservationsTable[[#This Row],[Maturity Date]]-RawObservationsTable[[#This Row],[Timestamp]]</f>
        <v>0</v>
      </c>
      <c r="H262" s="2"/>
      <c r="I262" s="4"/>
      <c r="J262" s="5" t="str">
        <f>IF(OR(H262="",G262="",C262=""),"",LET(n,COUNTIFS(Bank_Rates!$A$2:$A$501,H262,Bank_Rates!$B$2:$B$501,"&lt;="&amp;C262),IF(n=0,"",LET(t,MAXIFS(Bank_Rates!$B$2:$B$501,Bank_Rates!$A$2:$A$501,H262,Bank_Rates!$B$2:$B$501,"&lt;="&amp;C262),m,COUNTIFS(Bank_Rates!$A$2:$A$501,H262,Bank_Rates!$B$2:$B$501,t,Bank_Rates!$D$2:$D$501,"&lt;="&amp;G262),IF(m=0,"",LET(d,MAXIFS(Bank_Rates!$D$2:$D$501,Bank_Rates!$A$2:$A$501,H262,Bank_Rates!$B$2:$B$501,t,Bank_Rates!$D$2:$D$501,"&lt;="&amp;G262),SUMIFS(Bank_Rates!$C$2:$C$501,Bank_Rates!$A$2:$A$501,H262,Bank_Rates!$B$2:$B$501,t,Bank_Rates!$D$2:$D$501,d)))))))</f>
        <v/>
      </c>
      <c r="K262" s="6" t="str">
        <f t="shared" si="8"/>
        <v/>
      </c>
    </row>
    <row r="263" spans="1:11">
      <c r="A263" s="18" t="str">
        <f t="shared" si="9"/>
        <v/>
      </c>
      <c r="B263" s="13"/>
      <c r="C263" s="14"/>
      <c r="D263" s="3"/>
      <c r="E263" s="3"/>
      <c r="F263" s="14"/>
      <c r="G263" s="7">
        <f>RawObservationsTable[[#This Row],[Maturity Date]]-RawObservationsTable[[#This Row],[Timestamp]]</f>
        <v>0</v>
      </c>
      <c r="H263" s="2"/>
      <c r="I263" s="4"/>
      <c r="J263" s="5" t="str">
        <f>IF(OR(H263="",G263="",C263=""),"",LET(n,COUNTIFS(Bank_Rates!$A$2:$A$501,H263,Bank_Rates!$B$2:$B$501,"&lt;="&amp;C263),IF(n=0,"",LET(t,MAXIFS(Bank_Rates!$B$2:$B$501,Bank_Rates!$A$2:$A$501,H263,Bank_Rates!$B$2:$B$501,"&lt;="&amp;C263),m,COUNTIFS(Bank_Rates!$A$2:$A$501,H263,Bank_Rates!$B$2:$B$501,t,Bank_Rates!$D$2:$D$501,"&lt;="&amp;G263),IF(m=0,"",LET(d,MAXIFS(Bank_Rates!$D$2:$D$501,Bank_Rates!$A$2:$A$501,H263,Bank_Rates!$B$2:$B$501,t,Bank_Rates!$D$2:$D$501,"&lt;="&amp;G263),SUMIFS(Bank_Rates!$C$2:$C$501,Bank_Rates!$A$2:$A$501,H263,Bank_Rates!$B$2:$B$501,t,Bank_Rates!$D$2:$D$501,d)))))))</f>
        <v/>
      </c>
      <c r="K263" s="6" t="str">
        <f t="shared" si="8"/>
        <v/>
      </c>
    </row>
    <row r="264" spans="1:11">
      <c r="A264" s="18" t="str">
        <f t="shared" si="9"/>
        <v/>
      </c>
      <c r="B264" s="13"/>
      <c r="C264" s="14"/>
      <c r="D264" s="3"/>
      <c r="E264" s="3"/>
      <c r="F264" s="14"/>
      <c r="G264" s="7">
        <f>RawObservationsTable[[#This Row],[Maturity Date]]-RawObservationsTable[[#This Row],[Timestamp]]</f>
        <v>0</v>
      </c>
      <c r="H264" s="2"/>
      <c r="I264" s="4"/>
      <c r="J264" s="5" t="str">
        <f>IF(OR(H264="",G264="",C264=""),"",LET(n,COUNTIFS(Bank_Rates!$A$2:$A$501,H264,Bank_Rates!$B$2:$B$501,"&lt;="&amp;C264),IF(n=0,"",LET(t,MAXIFS(Bank_Rates!$B$2:$B$501,Bank_Rates!$A$2:$A$501,H264,Bank_Rates!$B$2:$B$501,"&lt;="&amp;C264),m,COUNTIFS(Bank_Rates!$A$2:$A$501,H264,Bank_Rates!$B$2:$B$501,t,Bank_Rates!$D$2:$D$501,"&lt;="&amp;G264),IF(m=0,"",LET(d,MAXIFS(Bank_Rates!$D$2:$D$501,Bank_Rates!$A$2:$A$501,H264,Bank_Rates!$B$2:$B$501,t,Bank_Rates!$D$2:$D$501,"&lt;="&amp;G264),SUMIFS(Bank_Rates!$C$2:$C$501,Bank_Rates!$A$2:$A$501,H264,Bank_Rates!$B$2:$B$501,t,Bank_Rates!$D$2:$D$501,d)))))))</f>
        <v/>
      </c>
      <c r="K264" s="6" t="str">
        <f t="shared" si="8"/>
        <v/>
      </c>
    </row>
    <row r="265" spans="1:11">
      <c r="A265" s="18" t="str">
        <f t="shared" si="9"/>
        <v/>
      </c>
      <c r="B265" s="13"/>
      <c r="C265" s="14"/>
      <c r="D265" s="3"/>
      <c r="E265" s="3"/>
      <c r="F265" s="14"/>
      <c r="G265" s="7">
        <f>RawObservationsTable[[#This Row],[Maturity Date]]-RawObservationsTable[[#This Row],[Timestamp]]</f>
        <v>0</v>
      </c>
      <c r="H265" s="2"/>
      <c r="I265" s="4"/>
      <c r="J265" s="5" t="str">
        <f>IF(OR(H265="",G265="",C265=""),"",LET(n,COUNTIFS(Bank_Rates!$A$2:$A$501,H265,Bank_Rates!$B$2:$B$501,"&lt;="&amp;C265),IF(n=0,"",LET(t,MAXIFS(Bank_Rates!$B$2:$B$501,Bank_Rates!$A$2:$A$501,H265,Bank_Rates!$B$2:$B$501,"&lt;="&amp;C265),m,COUNTIFS(Bank_Rates!$A$2:$A$501,H265,Bank_Rates!$B$2:$B$501,t,Bank_Rates!$D$2:$D$501,"&lt;="&amp;G265),IF(m=0,"",LET(d,MAXIFS(Bank_Rates!$D$2:$D$501,Bank_Rates!$A$2:$A$501,H265,Bank_Rates!$B$2:$B$501,t,Bank_Rates!$D$2:$D$501,"&lt;="&amp;G265),SUMIFS(Bank_Rates!$C$2:$C$501,Bank_Rates!$A$2:$A$501,H265,Bank_Rates!$B$2:$B$501,t,Bank_Rates!$D$2:$D$501,d)))))))</f>
        <v/>
      </c>
      <c r="K265" s="6" t="str">
        <f t="shared" si="8"/>
        <v/>
      </c>
    </row>
    <row r="266" spans="1:11">
      <c r="A266" s="18" t="str">
        <f t="shared" si="9"/>
        <v/>
      </c>
      <c r="B266" s="13"/>
      <c r="C266" s="14"/>
      <c r="D266" s="3"/>
      <c r="E266" s="3"/>
      <c r="F266" s="14"/>
      <c r="G266" s="7">
        <f>RawObservationsTable[[#This Row],[Maturity Date]]-RawObservationsTable[[#This Row],[Timestamp]]</f>
        <v>0</v>
      </c>
      <c r="H266" s="2"/>
      <c r="I266" s="4"/>
      <c r="J266" s="5" t="str">
        <f>IF(OR(H266="",G266="",C266=""),"",LET(n,COUNTIFS(Bank_Rates!$A$2:$A$501,H266,Bank_Rates!$B$2:$B$501,"&lt;="&amp;C266),IF(n=0,"",LET(t,MAXIFS(Bank_Rates!$B$2:$B$501,Bank_Rates!$A$2:$A$501,H266,Bank_Rates!$B$2:$B$501,"&lt;="&amp;C266),m,COUNTIFS(Bank_Rates!$A$2:$A$501,H266,Bank_Rates!$B$2:$B$501,t,Bank_Rates!$D$2:$D$501,"&lt;="&amp;G266),IF(m=0,"",LET(d,MAXIFS(Bank_Rates!$D$2:$D$501,Bank_Rates!$A$2:$A$501,H266,Bank_Rates!$B$2:$B$501,t,Bank_Rates!$D$2:$D$501,"&lt;="&amp;G266),SUMIFS(Bank_Rates!$C$2:$C$501,Bank_Rates!$A$2:$A$501,H266,Bank_Rates!$B$2:$B$501,t,Bank_Rates!$D$2:$D$501,d)))))))</f>
        <v/>
      </c>
      <c r="K266" s="6" t="str">
        <f t="shared" si="8"/>
        <v/>
      </c>
    </row>
    <row r="267" spans="1:11">
      <c r="A267" s="18" t="str">
        <f t="shared" si="9"/>
        <v/>
      </c>
      <c r="B267" s="13"/>
      <c r="C267" s="14"/>
      <c r="D267" s="3"/>
      <c r="E267" s="3"/>
      <c r="F267" s="14"/>
      <c r="G267" s="7">
        <f>RawObservationsTable[[#This Row],[Maturity Date]]-RawObservationsTable[[#This Row],[Timestamp]]</f>
        <v>0</v>
      </c>
      <c r="H267" s="2"/>
      <c r="I267" s="4"/>
      <c r="J267" s="5" t="str">
        <f>IF(OR(H267="",G267="",C267=""),"",LET(n,COUNTIFS(Bank_Rates!$A$2:$A$501,H267,Bank_Rates!$B$2:$B$501,"&lt;="&amp;C267),IF(n=0,"",LET(t,MAXIFS(Bank_Rates!$B$2:$B$501,Bank_Rates!$A$2:$A$501,H267,Bank_Rates!$B$2:$B$501,"&lt;="&amp;C267),m,COUNTIFS(Bank_Rates!$A$2:$A$501,H267,Bank_Rates!$B$2:$B$501,t,Bank_Rates!$D$2:$D$501,"&lt;="&amp;G267),IF(m=0,"",LET(d,MAXIFS(Bank_Rates!$D$2:$D$501,Bank_Rates!$A$2:$A$501,H267,Bank_Rates!$B$2:$B$501,t,Bank_Rates!$D$2:$D$501,"&lt;="&amp;G267),SUMIFS(Bank_Rates!$C$2:$C$501,Bank_Rates!$A$2:$A$501,H267,Bank_Rates!$B$2:$B$501,t,Bank_Rates!$D$2:$D$501,d)))))))</f>
        <v/>
      </c>
      <c r="K267" s="6" t="str">
        <f t="shared" si="8"/>
        <v/>
      </c>
    </row>
    <row r="268" spans="1:11">
      <c r="A268" s="18" t="str">
        <f t="shared" si="9"/>
        <v/>
      </c>
      <c r="B268" s="13"/>
      <c r="C268" s="14"/>
      <c r="D268" s="3"/>
      <c r="E268" s="3"/>
      <c r="F268" s="14"/>
      <c r="G268" s="7">
        <f>RawObservationsTable[[#This Row],[Maturity Date]]-RawObservationsTable[[#This Row],[Timestamp]]</f>
        <v>0</v>
      </c>
      <c r="H268" s="2"/>
      <c r="I268" s="4"/>
      <c r="J268" s="5" t="str">
        <f>IF(OR(H268="",G268="",C268=""),"",LET(n,COUNTIFS(Bank_Rates!$A$2:$A$501,H268,Bank_Rates!$B$2:$B$501,"&lt;="&amp;C268),IF(n=0,"",LET(t,MAXIFS(Bank_Rates!$B$2:$B$501,Bank_Rates!$A$2:$A$501,H268,Bank_Rates!$B$2:$B$501,"&lt;="&amp;C268),m,COUNTIFS(Bank_Rates!$A$2:$A$501,H268,Bank_Rates!$B$2:$B$501,t,Bank_Rates!$D$2:$D$501,"&lt;="&amp;G268),IF(m=0,"",LET(d,MAXIFS(Bank_Rates!$D$2:$D$501,Bank_Rates!$A$2:$A$501,H268,Bank_Rates!$B$2:$B$501,t,Bank_Rates!$D$2:$D$501,"&lt;="&amp;G268),SUMIFS(Bank_Rates!$C$2:$C$501,Bank_Rates!$A$2:$A$501,H268,Bank_Rates!$B$2:$B$501,t,Bank_Rates!$D$2:$D$501,d)))))))</f>
        <v/>
      </c>
      <c r="K268" s="6" t="str">
        <f t="shared" si="8"/>
        <v/>
      </c>
    </row>
    <row r="269" spans="1:11">
      <c r="A269" s="18" t="str">
        <f t="shared" si="9"/>
        <v/>
      </c>
      <c r="B269" s="13"/>
      <c r="C269" s="14"/>
      <c r="D269" s="3"/>
      <c r="E269" s="3"/>
      <c r="F269" s="14"/>
      <c r="G269" s="7">
        <f>RawObservationsTable[[#This Row],[Maturity Date]]-RawObservationsTable[[#This Row],[Timestamp]]</f>
        <v>0</v>
      </c>
      <c r="H269" s="2"/>
      <c r="I269" s="4"/>
      <c r="J269" s="5" t="str">
        <f>IF(OR(H269="",G269="",C269=""),"",LET(n,COUNTIFS(Bank_Rates!$A$2:$A$501,H269,Bank_Rates!$B$2:$B$501,"&lt;="&amp;C269),IF(n=0,"",LET(t,MAXIFS(Bank_Rates!$B$2:$B$501,Bank_Rates!$A$2:$A$501,H269,Bank_Rates!$B$2:$B$501,"&lt;="&amp;C269),m,COUNTIFS(Bank_Rates!$A$2:$A$501,H269,Bank_Rates!$B$2:$B$501,t,Bank_Rates!$D$2:$D$501,"&lt;="&amp;G269),IF(m=0,"",LET(d,MAXIFS(Bank_Rates!$D$2:$D$501,Bank_Rates!$A$2:$A$501,H269,Bank_Rates!$B$2:$B$501,t,Bank_Rates!$D$2:$D$501,"&lt;="&amp;G269),SUMIFS(Bank_Rates!$C$2:$C$501,Bank_Rates!$A$2:$A$501,H269,Bank_Rates!$B$2:$B$501,t,Bank_Rates!$D$2:$D$501,d)))))))</f>
        <v/>
      </c>
      <c r="K269" s="6" t="str">
        <f t="shared" si="8"/>
        <v/>
      </c>
    </row>
    <row r="270" spans="1:11">
      <c r="A270" s="18" t="str">
        <f t="shared" si="9"/>
        <v/>
      </c>
      <c r="B270" s="13"/>
      <c r="C270" s="14"/>
      <c r="D270" s="3"/>
      <c r="E270" s="3"/>
      <c r="F270" s="14"/>
      <c r="G270" s="7">
        <f>RawObservationsTable[[#This Row],[Maturity Date]]-RawObservationsTable[[#This Row],[Timestamp]]</f>
        <v>0</v>
      </c>
      <c r="H270" s="2"/>
      <c r="I270" s="4"/>
      <c r="J270" s="5" t="str">
        <f>IF(OR(H270="",G270="",C270=""),"",LET(n,COUNTIFS(Bank_Rates!$A$2:$A$501,H270,Bank_Rates!$B$2:$B$501,"&lt;="&amp;C270),IF(n=0,"",LET(t,MAXIFS(Bank_Rates!$B$2:$B$501,Bank_Rates!$A$2:$A$501,H270,Bank_Rates!$B$2:$B$501,"&lt;="&amp;C270),m,COUNTIFS(Bank_Rates!$A$2:$A$501,H270,Bank_Rates!$B$2:$B$501,t,Bank_Rates!$D$2:$D$501,"&lt;="&amp;G270),IF(m=0,"",LET(d,MAXIFS(Bank_Rates!$D$2:$D$501,Bank_Rates!$A$2:$A$501,H270,Bank_Rates!$B$2:$B$501,t,Bank_Rates!$D$2:$D$501,"&lt;="&amp;G270),SUMIFS(Bank_Rates!$C$2:$C$501,Bank_Rates!$A$2:$A$501,H270,Bank_Rates!$B$2:$B$501,t,Bank_Rates!$D$2:$D$501,d)))))))</f>
        <v/>
      </c>
      <c r="K270" s="6" t="str">
        <f t="shared" si="8"/>
        <v/>
      </c>
    </row>
    <row r="271" spans="1:11">
      <c r="A271" s="18" t="str">
        <f t="shared" si="9"/>
        <v/>
      </c>
      <c r="B271" s="13"/>
      <c r="C271" s="14"/>
      <c r="D271" s="3"/>
      <c r="E271" s="3"/>
      <c r="F271" s="14"/>
      <c r="G271" s="7">
        <f>RawObservationsTable[[#This Row],[Maturity Date]]-RawObservationsTable[[#This Row],[Timestamp]]</f>
        <v>0</v>
      </c>
      <c r="H271" s="2"/>
      <c r="I271" s="4"/>
      <c r="J271" s="5" t="str">
        <f>IF(OR(H271="",G271="",C271=""),"",LET(n,COUNTIFS(Bank_Rates!$A$2:$A$501,H271,Bank_Rates!$B$2:$B$501,"&lt;="&amp;C271),IF(n=0,"",LET(t,MAXIFS(Bank_Rates!$B$2:$B$501,Bank_Rates!$A$2:$A$501,H271,Bank_Rates!$B$2:$B$501,"&lt;="&amp;C271),m,COUNTIFS(Bank_Rates!$A$2:$A$501,H271,Bank_Rates!$B$2:$B$501,t,Bank_Rates!$D$2:$D$501,"&lt;="&amp;G271),IF(m=0,"",LET(d,MAXIFS(Bank_Rates!$D$2:$D$501,Bank_Rates!$A$2:$A$501,H271,Bank_Rates!$B$2:$B$501,t,Bank_Rates!$D$2:$D$501,"&lt;="&amp;G271),SUMIFS(Bank_Rates!$C$2:$C$501,Bank_Rates!$A$2:$A$501,H271,Bank_Rates!$B$2:$B$501,t,Bank_Rates!$D$2:$D$501,d)))))))</f>
        <v/>
      </c>
      <c r="K271" s="6" t="str">
        <f t="shared" si="8"/>
        <v/>
      </c>
    </row>
    <row r="272" spans="1:11">
      <c r="A272" s="18" t="str">
        <f t="shared" si="9"/>
        <v/>
      </c>
      <c r="B272" s="13"/>
      <c r="C272" s="14"/>
      <c r="D272" s="3"/>
      <c r="E272" s="3"/>
      <c r="F272" s="14"/>
      <c r="G272" s="7">
        <f>RawObservationsTable[[#This Row],[Maturity Date]]-RawObservationsTable[[#This Row],[Timestamp]]</f>
        <v>0</v>
      </c>
      <c r="H272" s="2"/>
      <c r="I272" s="4"/>
      <c r="J272" s="5" t="str">
        <f>IF(OR(H272="",G272="",C272=""),"",LET(n,COUNTIFS(Bank_Rates!$A$2:$A$501,H272,Bank_Rates!$B$2:$B$501,"&lt;="&amp;C272),IF(n=0,"",LET(t,MAXIFS(Bank_Rates!$B$2:$B$501,Bank_Rates!$A$2:$A$501,H272,Bank_Rates!$B$2:$B$501,"&lt;="&amp;C272),m,COUNTIFS(Bank_Rates!$A$2:$A$501,H272,Bank_Rates!$B$2:$B$501,t,Bank_Rates!$D$2:$D$501,"&lt;="&amp;G272),IF(m=0,"",LET(d,MAXIFS(Bank_Rates!$D$2:$D$501,Bank_Rates!$A$2:$A$501,H272,Bank_Rates!$B$2:$B$501,t,Bank_Rates!$D$2:$D$501,"&lt;="&amp;G272),SUMIFS(Bank_Rates!$C$2:$C$501,Bank_Rates!$A$2:$A$501,H272,Bank_Rates!$B$2:$B$501,t,Bank_Rates!$D$2:$D$501,d)))))))</f>
        <v/>
      </c>
      <c r="K272" s="6" t="str">
        <f t="shared" si="8"/>
        <v/>
      </c>
    </row>
    <row r="273" spans="1:11">
      <c r="A273" s="18" t="str">
        <f t="shared" si="9"/>
        <v/>
      </c>
      <c r="B273" s="13"/>
      <c r="C273" s="14"/>
      <c r="D273" s="3"/>
      <c r="E273" s="3"/>
      <c r="F273" s="14"/>
      <c r="G273" s="7">
        <f>RawObservationsTable[[#This Row],[Maturity Date]]-RawObservationsTable[[#This Row],[Timestamp]]</f>
        <v>0</v>
      </c>
      <c r="H273" s="2"/>
      <c r="I273" s="4"/>
      <c r="J273" s="5" t="str">
        <f>IF(OR(H273="",G273="",C273=""),"",LET(n,COUNTIFS(Bank_Rates!$A$2:$A$501,H273,Bank_Rates!$B$2:$B$501,"&lt;="&amp;C273),IF(n=0,"",LET(t,MAXIFS(Bank_Rates!$B$2:$B$501,Bank_Rates!$A$2:$A$501,H273,Bank_Rates!$B$2:$B$501,"&lt;="&amp;C273),m,COUNTIFS(Bank_Rates!$A$2:$A$501,H273,Bank_Rates!$B$2:$B$501,t,Bank_Rates!$D$2:$D$501,"&lt;="&amp;G273),IF(m=0,"",LET(d,MAXIFS(Bank_Rates!$D$2:$D$501,Bank_Rates!$A$2:$A$501,H273,Bank_Rates!$B$2:$B$501,t,Bank_Rates!$D$2:$D$501,"&lt;="&amp;G273),SUMIFS(Bank_Rates!$C$2:$C$501,Bank_Rates!$A$2:$A$501,H273,Bank_Rates!$B$2:$B$501,t,Bank_Rates!$D$2:$D$501,d)))))))</f>
        <v/>
      </c>
      <c r="K273" s="6" t="str">
        <f t="shared" si="8"/>
        <v/>
      </c>
    </row>
    <row r="274" spans="1:11">
      <c r="A274" s="18" t="str">
        <f t="shared" si="9"/>
        <v/>
      </c>
      <c r="B274" s="13"/>
      <c r="C274" s="14"/>
      <c r="D274" s="3"/>
      <c r="E274" s="3"/>
      <c r="F274" s="14"/>
      <c r="G274" s="7">
        <f>RawObservationsTable[[#This Row],[Maturity Date]]-RawObservationsTable[[#This Row],[Timestamp]]</f>
        <v>0</v>
      </c>
      <c r="H274" s="2"/>
      <c r="I274" s="4"/>
      <c r="J274" s="5" t="str">
        <f>IF(OR(H274="",G274="",C274=""),"",LET(n,COUNTIFS(Bank_Rates!$A$2:$A$501,H274,Bank_Rates!$B$2:$B$501,"&lt;="&amp;C274),IF(n=0,"",LET(t,MAXIFS(Bank_Rates!$B$2:$B$501,Bank_Rates!$A$2:$A$501,H274,Bank_Rates!$B$2:$B$501,"&lt;="&amp;C274),m,COUNTIFS(Bank_Rates!$A$2:$A$501,H274,Bank_Rates!$B$2:$B$501,t,Bank_Rates!$D$2:$D$501,"&lt;="&amp;G274),IF(m=0,"",LET(d,MAXIFS(Bank_Rates!$D$2:$D$501,Bank_Rates!$A$2:$A$501,H274,Bank_Rates!$B$2:$B$501,t,Bank_Rates!$D$2:$D$501,"&lt;="&amp;G274),SUMIFS(Bank_Rates!$C$2:$C$501,Bank_Rates!$A$2:$A$501,H274,Bank_Rates!$B$2:$B$501,t,Bank_Rates!$D$2:$D$501,d)))))))</f>
        <v/>
      </c>
      <c r="K274" s="6" t="str">
        <f t="shared" si="8"/>
        <v/>
      </c>
    </row>
    <row r="275" spans="1:11">
      <c r="A275" s="18" t="str">
        <f t="shared" si="9"/>
        <v/>
      </c>
      <c r="B275" s="13"/>
      <c r="C275" s="14"/>
      <c r="D275" s="3"/>
      <c r="E275" s="3"/>
      <c r="F275" s="14"/>
      <c r="G275" s="7">
        <f>RawObservationsTable[[#This Row],[Maturity Date]]-RawObservationsTable[[#This Row],[Timestamp]]</f>
        <v>0</v>
      </c>
      <c r="H275" s="2"/>
      <c r="I275" s="4"/>
      <c r="J275" s="5" t="str">
        <f>IF(OR(H275="",G275="",C275=""),"",LET(n,COUNTIFS(Bank_Rates!$A$2:$A$501,H275,Bank_Rates!$B$2:$B$501,"&lt;="&amp;C275),IF(n=0,"",LET(t,MAXIFS(Bank_Rates!$B$2:$B$501,Bank_Rates!$A$2:$A$501,H275,Bank_Rates!$B$2:$B$501,"&lt;="&amp;C275),m,COUNTIFS(Bank_Rates!$A$2:$A$501,H275,Bank_Rates!$B$2:$B$501,t,Bank_Rates!$D$2:$D$501,"&lt;="&amp;G275),IF(m=0,"",LET(d,MAXIFS(Bank_Rates!$D$2:$D$501,Bank_Rates!$A$2:$A$501,H275,Bank_Rates!$B$2:$B$501,t,Bank_Rates!$D$2:$D$501,"&lt;="&amp;G275),SUMIFS(Bank_Rates!$C$2:$C$501,Bank_Rates!$A$2:$A$501,H275,Bank_Rates!$B$2:$B$501,t,Bank_Rates!$D$2:$D$501,d)))))))</f>
        <v/>
      </c>
      <c r="K275" s="6" t="str">
        <f t="shared" si="8"/>
        <v/>
      </c>
    </row>
    <row r="276" spans="1:11">
      <c r="A276" s="18" t="str">
        <f t="shared" si="9"/>
        <v/>
      </c>
      <c r="B276" s="13"/>
      <c r="C276" s="14"/>
      <c r="D276" s="3"/>
      <c r="E276" s="3"/>
      <c r="F276" s="14"/>
      <c r="G276" s="7">
        <f>RawObservationsTable[[#This Row],[Maturity Date]]-RawObservationsTable[[#This Row],[Timestamp]]</f>
        <v>0</v>
      </c>
      <c r="H276" s="2"/>
      <c r="I276" s="4"/>
      <c r="J276" s="5" t="str">
        <f>IF(OR(H276="",G276="",C276=""),"",LET(n,COUNTIFS(Bank_Rates!$A$2:$A$501,H276,Bank_Rates!$B$2:$B$501,"&lt;="&amp;C276),IF(n=0,"",LET(t,MAXIFS(Bank_Rates!$B$2:$B$501,Bank_Rates!$A$2:$A$501,H276,Bank_Rates!$B$2:$B$501,"&lt;="&amp;C276),m,COUNTIFS(Bank_Rates!$A$2:$A$501,H276,Bank_Rates!$B$2:$B$501,t,Bank_Rates!$D$2:$D$501,"&lt;="&amp;G276),IF(m=0,"",LET(d,MAXIFS(Bank_Rates!$D$2:$D$501,Bank_Rates!$A$2:$A$501,H276,Bank_Rates!$B$2:$B$501,t,Bank_Rates!$D$2:$D$501,"&lt;="&amp;G276),SUMIFS(Bank_Rates!$C$2:$C$501,Bank_Rates!$A$2:$A$501,H276,Bank_Rates!$B$2:$B$501,t,Bank_Rates!$D$2:$D$501,d)))))))</f>
        <v/>
      </c>
      <c r="K276" s="6" t="str">
        <f t="shared" si="8"/>
        <v/>
      </c>
    </row>
    <row r="277" spans="1:11">
      <c r="A277" s="18" t="str">
        <f t="shared" si="9"/>
        <v/>
      </c>
      <c r="B277" s="13"/>
      <c r="C277" s="14"/>
      <c r="D277" s="3"/>
      <c r="E277" s="3"/>
      <c r="F277" s="14"/>
      <c r="G277" s="7">
        <f>RawObservationsTable[[#This Row],[Maturity Date]]-RawObservationsTable[[#This Row],[Timestamp]]</f>
        <v>0</v>
      </c>
      <c r="H277" s="2"/>
      <c r="I277" s="4"/>
      <c r="J277" s="5" t="str">
        <f>IF(OR(H277="",G277="",C277=""),"",LET(n,COUNTIFS(Bank_Rates!$A$2:$A$501,H277,Bank_Rates!$B$2:$B$501,"&lt;="&amp;C277),IF(n=0,"",LET(t,MAXIFS(Bank_Rates!$B$2:$B$501,Bank_Rates!$A$2:$A$501,H277,Bank_Rates!$B$2:$B$501,"&lt;="&amp;C277),m,COUNTIFS(Bank_Rates!$A$2:$A$501,H277,Bank_Rates!$B$2:$B$501,t,Bank_Rates!$D$2:$D$501,"&lt;="&amp;G277),IF(m=0,"",LET(d,MAXIFS(Bank_Rates!$D$2:$D$501,Bank_Rates!$A$2:$A$501,H277,Bank_Rates!$B$2:$B$501,t,Bank_Rates!$D$2:$D$501,"&lt;="&amp;G277),SUMIFS(Bank_Rates!$C$2:$C$501,Bank_Rates!$A$2:$A$501,H277,Bank_Rates!$B$2:$B$501,t,Bank_Rates!$D$2:$D$501,d)))))))</f>
        <v/>
      </c>
      <c r="K277" s="6" t="str">
        <f t="shared" si="8"/>
        <v/>
      </c>
    </row>
    <row r="278" spans="1:11">
      <c r="A278" s="18" t="str">
        <f t="shared" si="9"/>
        <v/>
      </c>
      <c r="B278" s="13"/>
      <c r="C278" s="14"/>
      <c r="D278" s="3"/>
      <c r="E278" s="3"/>
      <c r="F278" s="14"/>
      <c r="G278" s="7">
        <f>RawObservationsTable[[#This Row],[Maturity Date]]-RawObservationsTable[[#This Row],[Timestamp]]</f>
        <v>0</v>
      </c>
      <c r="H278" s="2"/>
      <c r="I278" s="4"/>
      <c r="J278" s="5" t="str">
        <f>IF(OR(H278="",G278="",C278=""),"",LET(n,COUNTIFS(Bank_Rates!$A$2:$A$501,H278,Bank_Rates!$B$2:$B$501,"&lt;="&amp;C278),IF(n=0,"",LET(t,MAXIFS(Bank_Rates!$B$2:$B$501,Bank_Rates!$A$2:$A$501,H278,Bank_Rates!$B$2:$B$501,"&lt;="&amp;C278),m,COUNTIFS(Bank_Rates!$A$2:$A$501,H278,Bank_Rates!$B$2:$B$501,t,Bank_Rates!$D$2:$D$501,"&lt;="&amp;G278),IF(m=0,"",LET(d,MAXIFS(Bank_Rates!$D$2:$D$501,Bank_Rates!$A$2:$A$501,H278,Bank_Rates!$B$2:$B$501,t,Bank_Rates!$D$2:$D$501,"&lt;="&amp;G278),SUMIFS(Bank_Rates!$C$2:$C$501,Bank_Rates!$A$2:$A$501,H278,Bank_Rates!$B$2:$B$501,t,Bank_Rates!$D$2:$D$501,d)))))))</f>
        <v/>
      </c>
      <c r="K278" s="6" t="str">
        <f t="shared" si="8"/>
        <v/>
      </c>
    </row>
    <row r="279" spans="1:11">
      <c r="A279" s="18" t="str">
        <f t="shared" si="9"/>
        <v/>
      </c>
      <c r="B279" s="13"/>
      <c r="C279" s="14"/>
      <c r="D279" s="3"/>
      <c r="E279" s="3"/>
      <c r="F279" s="14"/>
      <c r="G279" s="7">
        <f>RawObservationsTable[[#This Row],[Maturity Date]]-RawObservationsTable[[#This Row],[Timestamp]]</f>
        <v>0</v>
      </c>
      <c r="H279" s="2"/>
      <c r="I279" s="4"/>
      <c r="J279" s="5" t="str">
        <f>IF(OR(H279="",G279="",C279=""),"",LET(n,COUNTIFS(Bank_Rates!$A$2:$A$501,H279,Bank_Rates!$B$2:$B$501,"&lt;="&amp;C279),IF(n=0,"",LET(t,MAXIFS(Bank_Rates!$B$2:$B$501,Bank_Rates!$A$2:$A$501,H279,Bank_Rates!$B$2:$B$501,"&lt;="&amp;C279),m,COUNTIFS(Bank_Rates!$A$2:$A$501,H279,Bank_Rates!$B$2:$B$501,t,Bank_Rates!$D$2:$D$501,"&lt;="&amp;G279),IF(m=0,"",LET(d,MAXIFS(Bank_Rates!$D$2:$D$501,Bank_Rates!$A$2:$A$501,H279,Bank_Rates!$B$2:$B$501,t,Bank_Rates!$D$2:$D$501,"&lt;="&amp;G279),SUMIFS(Bank_Rates!$C$2:$C$501,Bank_Rates!$A$2:$A$501,H279,Bank_Rates!$B$2:$B$501,t,Bank_Rates!$D$2:$D$501,d)))))))</f>
        <v/>
      </c>
      <c r="K279" s="6" t="str">
        <f t="shared" si="8"/>
        <v/>
      </c>
    </row>
    <row r="280" spans="1:11">
      <c r="A280" s="18" t="str">
        <f t="shared" si="9"/>
        <v/>
      </c>
      <c r="B280" s="13"/>
      <c r="C280" s="14"/>
      <c r="D280" s="3"/>
      <c r="E280" s="3"/>
      <c r="F280" s="14"/>
      <c r="G280" s="7">
        <f>RawObservationsTable[[#This Row],[Maturity Date]]-RawObservationsTable[[#This Row],[Timestamp]]</f>
        <v>0</v>
      </c>
      <c r="H280" s="2"/>
      <c r="I280" s="4"/>
      <c r="J280" s="5" t="str">
        <f>IF(OR(H280="",G280="",C280=""),"",LET(n,COUNTIFS(Bank_Rates!$A$2:$A$501,H280,Bank_Rates!$B$2:$B$501,"&lt;="&amp;C280),IF(n=0,"",LET(t,MAXIFS(Bank_Rates!$B$2:$B$501,Bank_Rates!$A$2:$A$501,H280,Bank_Rates!$B$2:$B$501,"&lt;="&amp;C280),m,COUNTIFS(Bank_Rates!$A$2:$A$501,H280,Bank_Rates!$B$2:$B$501,t,Bank_Rates!$D$2:$D$501,"&lt;="&amp;G280),IF(m=0,"",LET(d,MAXIFS(Bank_Rates!$D$2:$D$501,Bank_Rates!$A$2:$A$501,H280,Bank_Rates!$B$2:$B$501,t,Bank_Rates!$D$2:$D$501,"&lt;="&amp;G280),SUMIFS(Bank_Rates!$C$2:$C$501,Bank_Rates!$A$2:$A$501,H280,Bank_Rates!$B$2:$B$501,t,Bank_Rates!$D$2:$D$501,d)))))))</f>
        <v/>
      </c>
      <c r="K280" s="6" t="str">
        <f t="shared" si="8"/>
        <v/>
      </c>
    </row>
    <row r="281" spans="1:11">
      <c r="A281" s="18" t="str">
        <f t="shared" si="9"/>
        <v/>
      </c>
      <c r="B281" s="13"/>
      <c r="C281" s="14"/>
      <c r="D281" s="3"/>
      <c r="E281" s="3"/>
      <c r="F281" s="14"/>
      <c r="G281" s="7">
        <f>RawObservationsTable[[#This Row],[Maturity Date]]-RawObservationsTable[[#This Row],[Timestamp]]</f>
        <v>0</v>
      </c>
      <c r="H281" s="2"/>
      <c r="I281" s="4"/>
      <c r="J281" s="5" t="str">
        <f>IF(OR(H281="",G281="",C281=""),"",LET(n,COUNTIFS(Bank_Rates!$A$2:$A$501,H281,Bank_Rates!$B$2:$B$501,"&lt;="&amp;C281),IF(n=0,"",LET(t,MAXIFS(Bank_Rates!$B$2:$B$501,Bank_Rates!$A$2:$A$501,H281,Bank_Rates!$B$2:$B$501,"&lt;="&amp;C281),m,COUNTIFS(Bank_Rates!$A$2:$A$501,H281,Bank_Rates!$B$2:$B$501,t,Bank_Rates!$D$2:$D$501,"&lt;="&amp;G281),IF(m=0,"",LET(d,MAXIFS(Bank_Rates!$D$2:$D$501,Bank_Rates!$A$2:$A$501,H281,Bank_Rates!$B$2:$B$501,t,Bank_Rates!$D$2:$D$501,"&lt;="&amp;G281),SUMIFS(Bank_Rates!$C$2:$C$501,Bank_Rates!$A$2:$A$501,H281,Bank_Rates!$B$2:$B$501,t,Bank_Rates!$D$2:$D$501,d)))))))</f>
        <v/>
      </c>
      <c r="K281" s="6" t="str">
        <f t="shared" si="8"/>
        <v/>
      </c>
    </row>
    <row r="282" spans="1:11">
      <c r="A282" s="18" t="str">
        <f t="shared" si="9"/>
        <v/>
      </c>
      <c r="B282" s="13"/>
      <c r="C282" s="14"/>
      <c r="D282" s="3"/>
      <c r="E282" s="3"/>
      <c r="F282" s="14"/>
      <c r="G282" s="7">
        <f>RawObservationsTable[[#This Row],[Maturity Date]]-RawObservationsTable[[#This Row],[Timestamp]]</f>
        <v>0</v>
      </c>
      <c r="H282" s="2"/>
      <c r="I282" s="4"/>
      <c r="J282" s="5" t="str">
        <f>IF(OR(H282="",G282="",C282=""),"",LET(n,COUNTIFS(Bank_Rates!$A$2:$A$501,H282,Bank_Rates!$B$2:$B$501,"&lt;="&amp;C282),IF(n=0,"",LET(t,MAXIFS(Bank_Rates!$B$2:$B$501,Bank_Rates!$A$2:$A$501,H282,Bank_Rates!$B$2:$B$501,"&lt;="&amp;C282),m,COUNTIFS(Bank_Rates!$A$2:$A$501,H282,Bank_Rates!$B$2:$B$501,t,Bank_Rates!$D$2:$D$501,"&lt;="&amp;G282),IF(m=0,"",LET(d,MAXIFS(Bank_Rates!$D$2:$D$501,Bank_Rates!$A$2:$A$501,H282,Bank_Rates!$B$2:$B$501,t,Bank_Rates!$D$2:$D$501,"&lt;="&amp;G282),SUMIFS(Bank_Rates!$C$2:$C$501,Bank_Rates!$A$2:$A$501,H282,Bank_Rates!$B$2:$B$501,t,Bank_Rates!$D$2:$D$501,d)))))))</f>
        <v/>
      </c>
      <c r="K282" s="6" t="str">
        <f t="shared" si="8"/>
        <v/>
      </c>
    </row>
    <row r="283" spans="1:11">
      <c r="A283" s="18" t="str">
        <f t="shared" si="9"/>
        <v/>
      </c>
      <c r="B283" s="13"/>
      <c r="C283" s="14"/>
      <c r="D283" s="3"/>
      <c r="E283" s="3"/>
      <c r="F283" s="14"/>
      <c r="G283" s="7">
        <f>RawObservationsTable[[#This Row],[Maturity Date]]-RawObservationsTable[[#This Row],[Timestamp]]</f>
        <v>0</v>
      </c>
      <c r="H283" s="2"/>
      <c r="I283" s="4"/>
      <c r="J283" s="5" t="str">
        <f>IF(OR(H283="",G283="",C283=""),"",LET(n,COUNTIFS(Bank_Rates!$A$2:$A$501,H283,Bank_Rates!$B$2:$B$501,"&lt;="&amp;C283),IF(n=0,"",LET(t,MAXIFS(Bank_Rates!$B$2:$B$501,Bank_Rates!$A$2:$A$501,H283,Bank_Rates!$B$2:$B$501,"&lt;="&amp;C283),m,COUNTIFS(Bank_Rates!$A$2:$A$501,H283,Bank_Rates!$B$2:$B$501,t,Bank_Rates!$D$2:$D$501,"&lt;="&amp;G283),IF(m=0,"",LET(d,MAXIFS(Bank_Rates!$D$2:$D$501,Bank_Rates!$A$2:$A$501,H283,Bank_Rates!$B$2:$B$501,t,Bank_Rates!$D$2:$D$501,"&lt;="&amp;G283),SUMIFS(Bank_Rates!$C$2:$C$501,Bank_Rates!$A$2:$A$501,H283,Bank_Rates!$B$2:$B$501,t,Bank_Rates!$D$2:$D$501,d)))))))</f>
        <v/>
      </c>
      <c r="K283" s="6" t="str">
        <f t="shared" si="8"/>
        <v/>
      </c>
    </row>
    <row r="284" spans="1:11">
      <c r="A284" s="18" t="str">
        <f t="shared" si="9"/>
        <v/>
      </c>
      <c r="B284" s="13"/>
      <c r="C284" s="14"/>
      <c r="D284" s="3"/>
      <c r="E284" s="3"/>
      <c r="F284" s="14"/>
      <c r="G284" s="7">
        <f>RawObservationsTable[[#This Row],[Maturity Date]]-RawObservationsTable[[#This Row],[Timestamp]]</f>
        <v>0</v>
      </c>
      <c r="H284" s="2"/>
      <c r="I284" s="4"/>
      <c r="J284" s="5" t="str">
        <f>IF(OR(H284="",G284="",C284=""),"",LET(n,COUNTIFS(Bank_Rates!$A$2:$A$501,H284,Bank_Rates!$B$2:$B$501,"&lt;="&amp;C284),IF(n=0,"",LET(t,MAXIFS(Bank_Rates!$B$2:$B$501,Bank_Rates!$A$2:$A$501,H284,Bank_Rates!$B$2:$B$501,"&lt;="&amp;C284),m,COUNTIFS(Bank_Rates!$A$2:$A$501,H284,Bank_Rates!$B$2:$B$501,t,Bank_Rates!$D$2:$D$501,"&lt;="&amp;G284),IF(m=0,"",LET(d,MAXIFS(Bank_Rates!$D$2:$D$501,Bank_Rates!$A$2:$A$501,H284,Bank_Rates!$B$2:$B$501,t,Bank_Rates!$D$2:$D$501,"&lt;="&amp;G284),SUMIFS(Bank_Rates!$C$2:$C$501,Bank_Rates!$A$2:$A$501,H284,Bank_Rates!$B$2:$B$501,t,Bank_Rates!$D$2:$D$501,d)))))))</f>
        <v/>
      </c>
      <c r="K284" s="6" t="str">
        <f t="shared" si="8"/>
        <v/>
      </c>
    </row>
    <row r="285" spans="1:11">
      <c r="A285" s="18" t="str">
        <f t="shared" si="9"/>
        <v/>
      </c>
      <c r="B285" s="13"/>
      <c r="C285" s="14"/>
      <c r="D285" s="3"/>
      <c r="E285" s="3"/>
      <c r="F285" s="14"/>
      <c r="G285" s="7">
        <f>RawObservationsTable[[#This Row],[Maturity Date]]-RawObservationsTable[[#This Row],[Timestamp]]</f>
        <v>0</v>
      </c>
      <c r="H285" s="2"/>
      <c r="I285" s="4"/>
      <c r="J285" s="5" t="str">
        <f>IF(OR(H285="",G285="",C285=""),"",LET(n,COUNTIFS(Bank_Rates!$A$2:$A$501,H285,Bank_Rates!$B$2:$B$501,"&lt;="&amp;C285),IF(n=0,"",LET(t,MAXIFS(Bank_Rates!$B$2:$B$501,Bank_Rates!$A$2:$A$501,H285,Bank_Rates!$B$2:$B$501,"&lt;="&amp;C285),m,COUNTIFS(Bank_Rates!$A$2:$A$501,H285,Bank_Rates!$B$2:$B$501,t,Bank_Rates!$D$2:$D$501,"&lt;="&amp;G285),IF(m=0,"",LET(d,MAXIFS(Bank_Rates!$D$2:$D$501,Bank_Rates!$A$2:$A$501,H285,Bank_Rates!$B$2:$B$501,t,Bank_Rates!$D$2:$D$501,"&lt;="&amp;G285),SUMIFS(Bank_Rates!$C$2:$C$501,Bank_Rates!$A$2:$A$501,H285,Bank_Rates!$B$2:$B$501,t,Bank_Rates!$D$2:$D$501,d)))))))</f>
        <v/>
      </c>
      <c r="K285" s="6" t="str">
        <f t="shared" si="8"/>
        <v/>
      </c>
    </row>
    <row r="286" spans="1:11">
      <c r="A286" s="18" t="str">
        <f t="shared" si="9"/>
        <v/>
      </c>
      <c r="B286" s="13"/>
      <c r="C286" s="14"/>
      <c r="D286" s="3"/>
      <c r="E286" s="3"/>
      <c r="F286" s="14"/>
      <c r="G286" s="7">
        <f>RawObservationsTable[[#This Row],[Maturity Date]]-RawObservationsTable[[#This Row],[Timestamp]]</f>
        <v>0</v>
      </c>
      <c r="H286" s="2"/>
      <c r="I286" s="4"/>
      <c r="J286" s="5" t="str">
        <f>IF(OR(H286="",G286="",C286=""),"",LET(n,COUNTIFS(Bank_Rates!$A$2:$A$501,H286,Bank_Rates!$B$2:$B$501,"&lt;="&amp;C286),IF(n=0,"",LET(t,MAXIFS(Bank_Rates!$B$2:$B$501,Bank_Rates!$A$2:$A$501,H286,Bank_Rates!$B$2:$B$501,"&lt;="&amp;C286),m,COUNTIFS(Bank_Rates!$A$2:$A$501,H286,Bank_Rates!$B$2:$B$501,t,Bank_Rates!$D$2:$D$501,"&lt;="&amp;G286),IF(m=0,"",LET(d,MAXIFS(Bank_Rates!$D$2:$D$501,Bank_Rates!$A$2:$A$501,H286,Bank_Rates!$B$2:$B$501,t,Bank_Rates!$D$2:$D$501,"&lt;="&amp;G286),SUMIFS(Bank_Rates!$C$2:$C$501,Bank_Rates!$A$2:$A$501,H286,Bank_Rates!$B$2:$B$501,t,Bank_Rates!$D$2:$D$501,d)))))))</f>
        <v/>
      </c>
      <c r="K286" s="6" t="str">
        <f t="shared" si="8"/>
        <v/>
      </c>
    </row>
    <row r="287" spans="1:11">
      <c r="A287" s="18" t="str">
        <f t="shared" si="9"/>
        <v/>
      </c>
      <c r="B287" s="13"/>
      <c r="C287" s="14"/>
      <c r="D287" s="3"/>
      <c r="E287" s="3"/>
      <c r="F287" s="14"/>
      <c r="G287" s="7">
        <f>RawObservationsTable[[#This Row],[Maturity Date]]-RawObservationsTable[[#This Row],[Timestamp]]</f>
        <v>0</v>
      </c>
      <c r="H287" s="2"/>
      <c r="I287" s="4"/>
      <c r="J287" s="5" t="str">
        <f>IF(OR(H287="",G287="",C287=""),"",LET(n,COUNTIFS(Bank_Rates!$A$2:$A$501,H287,Bank_Rates!$B$2:$B$501,"&lt;="&amp;C287),IF(n=0,"",LET(t,MAXIFS(Bank_Rates!$B$2:$B$501,Bank_Rates!$A$2:$A$501,H287,Bank_Rates!$B$2:$B$501,"&lt;="&amp;C287),m,COUNTIFS(Bank_Rates!$A$2:$A$501,H287,Bank_Rates!$B$2:$B$501,t,Bank_Rates!$D$2:$D$501,"&lt;="&amp;G287),IF(m=0,"",LET(d,MAXIFS(Bank_Rates!$D$2:$D$501,Bank_Rates!$A$2:$A$501,H287,Bank_Rates!$B$2:$B$501,t,Bank_Rates!$D$2:$D$501,"&lt;="&amp;G287),SUMIFS(Bank_Rates!$C$2:$C$501,Bank_Rates!$A$2:$A$501,H287,Bank_Rates!$B$2:$B$501,t,Bank_Rates!$D$2:$D$501,d)))))))</f>
        <v/>
      </c>
      <c r="K287" s="6" t="str">
        <f t="shared" si="8"/>
        <v/>
      </c>
    </row>
    <row r="288" spans="1:11">
      <c r="A288" s="18" t="str">
        <f t="shared" si="9"/>
        <v/>
      </c>
      <c r="B288" s="13"/>
      <c r="C288" s="14"/>
      <c r="D288" s="3"/>
      <c r="E288" s="3"/>
      <c r="F288" s="14"/>
      <c r="G288" s="7">
        <f>RawObservationsTable[[#This Row],[Maturity Date]]-RawObservationsTable[[#This Row],[Timestamp]]</f>
        <v>0</v>
      </c>
      <c r="H288" s="2"/>
      <c r="I288" s="4"/>
      <c r="J288" s="5" t="str">
        <f>IF(OR(H288="",G288="",C288=""),"",LET(n,COUNTIFS(Bank_Rates!$A$2:$A$501,H288,Bank_Rates!$B$2:$B$501,"&lt;="&amp;C288),IF(n=0,"",LET(t,MAXIFS(Bank_Rates!$B$2:$B$501,Bank_Rates!$A$2:$A$501,H288,Bank_Rates!$B$2:$B$501,"&lt;="&amp;C288),m,COUNTIFS(Bank_Rates!$A$2:$A$501,H288,Bank_Rates!$B$2:$B$501,t,Bank_Rates!$D$2:$D$501,"&lt;="&amp;G288),IF(m=0,"",LET(d,MAXIFS(Bank_Rates!$D$2:$D$501,Bank_Rates!$A$2:$A$501,H288,Bank_Rates!$B$2:$B$501,t,Bank_Rates!$D$2:$D$501,"&lt;="&amp;G288),SUMIFS(Bank_Rates!$C$2:$C$501,Bank_Rates!$A$2:$A$501,H288,Bank_Rates!$B$2:$B$501,t,Bank_Rates!$D$2:$D$501,d)))))))</f>
        <v/>
      </c>
      <c r="K288" s="6" t="str">
        <f t="shared" si="8"/>
        <v/>
      </c>
    </row>
    <row r="289" spans="1:11">
      <c r="A289" s="18" t="str">
        <f t="shared" si="9"/>
        <v/>
      </c>
      <c r="B289" s="13"/>
      <c r="C289" s="14"/>
      <c r="D289" s="3"/>
      <c r="E289" s="3"/>
      <c r="F289" s="14"/>
      <c r="G289" s="7">
        <f>RawObservationsTable[[#This Row],[Maturity Date]]-RawObservationsTable[[#This Row],[Timestamp]]</f>
        <v>0</v>
      </c>
      <c r="H289" s="2"/>
      <c r="I289" s="4"/>
      <c r="J289" s="5" t="str">
        <f>IF(OR(H289="",G289="",C289=""),"",LET(n,COUNTIFS(Bank_Rates!$A$2:$A$501,H289,Bank_Rates!$B$2:$B$501,"&lt;="&amp;C289),IF(n=0,"",LET(t,MAXIFS(Bank_Rates!$B$2:$B$501,Bank_Rates!$A$2:$A$501,H289,Bank_Rates!$B$2:$B$501,"&lt;="&amp;C289),m,COUNTIFS(Bank_Rates!$A$2:$A$501,H289,Bank_Rates!$B$2:$B$501,t,Bank_Rates!$D$2:$D$501,"&lt;="&amp;G289),IF(m=0,"",LET(d,MAXIFS(Bank_Rates!$D$2:$D$501,Bank_Rates!$A$2:$A$501,H289,Bank_Rates!$B$2:$B$501,t,Bank_Rates!$D$2:$D$501,"&lt;="&amp;G289),SUMIFS(Bank_Rates!$C$2:$C$501,Bank_Rates!$A$2:$A$501,H289,Bank_Rates!$B$2:$B$501,t,Bank_Rates!$D$2:$D$501,d)))))))</f>
        <v/>
      </c>
      <c r="K289" s="6" t="str">
        <f t="shared" si="8"/>
        <v/>
      </c>
    </row>
    <row r="290" spans="1:11">
      <c r="A290" s="18" t="str">
        <f t="shared" si="9"/>
        <v/>
      </c>
      <c r="B290" s="13"/>
      <c r="C290" s="14"/>
      <c r="D290" s="3"/>
      <c r="E290" s="3"/>
      <c r="F290" s="14"/>
      <c r="G290" s="7">
        <f>RawObservationsTable[[#This Row],[Maturity Date]]-RawObservationsTable[[#This Row],[Timestamp]]</f>
        <v>0</v>
      </c>
      <c r="H290" s="2"/>
      <c r="I290" s="4"/>
      <c r="J290" s="5" t="str">
        <f>IF(OR(H290="",G290="",C290=""),"",LET(n,COUNTIFS(Bank_Rates!$A$2:$A$501,H290,Bank_Rates!$B$2:$B$501,"&lt;="&amp;C290),IF(n=0,"",LET(t,MAXIFS(Bank_Rates!$B$2:$B$501,Bank_Rates!$A$2:$A$501,H290,Bank_Rates!$B$2:$B$501,"&lt;="&amp;C290),m,COUNTIFS(Bank_Rates!$A$2:$A$501,H290,Bank_Rates!$B$2:$B$501,t,Bank_Rates!$D$2:$D$501,"&lt;="&amp;G290),IF(m=0,"",LET(d,MAXIFS(Bank_Rates!$D$2:$D$501,Bank_Rates!$A$2:$A$501,H290,Bank_Rates!$B$2:$B$501,t,Bank_Rates!$D$2:$D$501,"&lt;="&amp;G290),SUMIFS(Bank_Rates!$C$2:$C$501,Bank_Rates!$A$2:$A$501,H290,Bank_Rates!$B$2:$B$501,t,Bank_Rates!$D$2:$D$501,d)))))))</f>
        <v/>
      </c>
      <c r="K290" s="6" t="str">
        <f t="shared" si="8"/>
        <v/>
      </c>
    </row>
    <row r="291" spans="1:11">
      <c r="A291" s="18" t="str">
        <f t="shared" si="9"/>
        <v/>
      </c>
      <c r="B291" s="13"/>
      <c r="C291" s="14"/>
      <c r="D291" s="3"/>
      <c r="E291" s="3"/>
      <c r="F291" s="14"/>
      <c r="G291" s="7">
        <f>RawObservationsTable[[#This Row],[Maturity Date]]-RawObservationsTable[[#This Row],[Timestamp]]</f>
        <v>0</v>
      </c>
      <c r="H291" s="2"/>
      <c r="I291" s="4"/>
      <c r="J291" s="5" t="str">
        <f>IF(OR(H291="",G291="",C291=""),"",LET(n,COUNTIFS(Bank_Rates!$A$2:$A$501,H291,Bank_Rates!$B$2:$B$501,"&lt;="&amp;C291),IF(n=0,"",LET(t,MAXIFS(Bank_Rates!$B$2:$B$501,Bank_Rates!$A$2:$A$501,H291,Bank_Rates!$B$2:$B$501,"&lt;="&amp;C291),m,COUNTIFS(Bank_Rates!$A$2:$A$501,H291,Bank_Rates!$B$2:$B$501,t,Bank_Rates!$D$2:$D$501,"&lt;="&amp;G291),IF(m=0,"",LET(d,MAXIFS(Bank_Rates!$D$2:$D$501,Bank_Rates!$A$2:$A$501,H291,Bank_Rates!$B$2:$B$501,t,Bank_Rates!$D$2:$D$501,"&lt;="&amp;G291),SUMIFS(Bank_Rates!$C$2:$C$501,Bank_Rates!$A$2:$A$501,H291,Bank_Rates!$B$2:$B$501,t,Bank_Rates!$D$2:$D$501,d)))))))</f>
        <v/>
      </c>
      <c r="K291" s="6" t="str">
        <f t="shared" si="8"/>
        <v/>
      </c>
    </row>
    <row r="292" spans="1:11">
      <c r="A292" s="18" t="str">
        <f t="shared" si="9"/>
        <v/>
      </c>
      <c r="B292" s="13"/>
      <c r="C292" s="14"/>
      <c r="D292" s="3"/>
      <c r="E292" s="3"/>
      <c r="F292" s="14"/>
      <c r="G292" s="7">
        <f>RawObservationsTable[[#This Row],[Maturity Date]]-RawObservationsTable[[#This Row],[Timestamp]]</f>
        <v>0</v>
      </c>
      <c r="H292" s="2"/>
      <c r="I292" s="4"/>
      <c r="J292" s="5" t="str">
        <f>IF(OR(H292="",G292="",C292=""),"",LET(n,COUNTIFS(Bank_Rates!$A$2:$A$501,H292,Bank_Rates!$B$2:$B$501,"&lt;="&amp;C292),IF(n=0,"",LET(t,MAXIFS(Bank_Rates!$B$2:$B$501,Bank_Rates!$A$2:$A$501,H292,Bank_Rates!$B$2:$B$501,"&lt;="&amp;C292),m,COUNTIFS(Bank_Rates!$A$2:$A$501,H292,Bank_Rates!$B$2:$B$501,t,Bank_Rates!$D$2:$D$501,"&lt;="&amp;G292),IF(m=0,"",LET(d,MAXIFS(Bank_Rates!$D$2:$D$501,Bank_Rates!$A$2:$A$501,H292,Bank_Rates!$B$2:$B$501,t,Bank_Rates!$D$2:$D$501,"&lt;="&amp;G292),SUMIFS(Bank_Rates!$C$2:$C$501,Bank_Rates!$A$2:$A$501,H292,Bank_Rates!$B$2:$B$501,t,Bank_Rates!$D$2:$D$501,d)))))))</f>
        <v/>
      </c>
      <c r="K292" s="6" t="str">
        <f t="shared" si="8"/>
        <v/>
      </c>
    </row>
    <row r="293" spans="1:11">
      <c r="A293" s="18" t="str">
        <f t="shared" si="9"/>
        <v/>
      </c>
      <c r="B293" s="13"/>
      <c r="C293" s="14"/>
      <c r="D293" s="3"/>
      <c r="E293" s="3"/>
      <c r="F293" s="14"/>
      <c r="G293" s="7">
        <f>RawObservationsTable[[#This Row],[Maturity Date]]-RawObservationsTable[[#This Row],[Timestamp]]</f>
        <v>0</v>
      </c>
      <c r="H293" s="2"/>
      <c r="I293" s="4"/>
      <c r="J293" s="5" t="str">
        <f>IF(OR(H293="",G293="",C293=""),"",LET(n,COUNTIFS(Bank_Rates!$A$2:$A$501,H293,Bank_Rates!$B$2:$B$501,"&lt;="&amp;C293),IF(n=0,"",LET(t,MAXIFS(Bank_Rates!$B$2:$B$501,Bank_Rates!$A$2:$A$501,H293,Bank_Rates!$B$2:$B$501,"&lt;="&amp;C293),m,COUNTIFS(Bank_Rates!$A$2:$A$501,H293,Bank_Rates!$B$2:$B$501,t,Bank_Rates!$D$2:$D$501,"&lt;="&amp;G293),IF(m=0,"",LET(d,MAXIFS(Bank_Rates!$D$2:$D$501,Bank_Rates!$A$2:$A$501,H293,Bank_Rates!$B$2:$B$501,t,Bank_Rates!$D$2:$D$501,"&lt;="&amp;G293),SUMIFS(Bank_Rates!$C$2:$C$501,Bank_Rates!$A$2:$A$501,H293,Bank_Rates!$B$2:$B$501,t,Bank_Rates!$D$2:$D$501,d)))))))</f>
        <v/>
      </c>
      <c r="K293" s="6" t="str">
        <f t="shared" si="8"/>
        <v/>
      </c>
    </row>
    <row r="294" spans="1:11">
      <c r="A294" s="18" t="str">
        <f t="shared" si="9"/>
        <v/>
      </c>
      <c r="B294" s="13"/>
      <c r="C294" s="14"/>
      <c r="D294" s="3"/>
      <c r="E294" s="3"/>
      <c r="F294" s="14"/>
      <c r="G294" s="7">
        <f>RawObservationsTable[[#This Row],[Maturity Date]]-RawObservationsTable[[#This Row],[Timestamp]]</f>
        <v>0</v>
      </c>
      <c r="H294" s="2"/>
      <c r="I294" s="4"/>
      <c r="J294" s="5" t="str">
        <f>IF(OR(H294="",G294="",C294=""),"",LET(n,COUNTIFS(Bank_Rates!$A$2:$A$501,H294,Bank_Rates!$B$2:$B$501,"&lt;="&amp;C294),IF(n=0,"",LET(t,MAXIFS(Bank_Rates!$B$2:$B$501,Bank_Rates!$A$2:$A$501,H294,Bank_Rates!$B$2:$B$501,"&lt;="&amp;C294),m,COUNTIFS(Bank_Rates!$A$2:$A$501,H294,Bank_Rates!$B$2:$B$501,t,Bank_Rates!$D$2:$D$501,"&lt;="&amp;G294),IF(m=0,"",LET(d,MAXIFS(Bank_Rates!$D$2:$D$501,Bank_Rates!$A$2:$A$501,H294,Bank_Rates!$B$2:$B$501,t,Bank_Rates!$D$2:$D$501,"&lt;="&amp;G294),SUMIFS(Bank_Rates!$C$2:$C$501,Bank_Rates!$A$2:$A$501,H294,Bank_Rates!$B$2:$B$501,t,Bank_Rates!$D$2:$D$501,d)))))))</f>
        <v/>
      </c>
      <c r="K294" s="6" t="str">
        <f t="shared" si="8"/>
        <v/>
      </c>
    </row>
    <row r="295" spans="1:11">
      <c r="A295" s="18" t="str">
        <f t="shared" si="9"/>
        <v/>
      </c>
      <c r="B295" s="13"/>
      <c r="C295" s="14"/>
      <c r="D295" s="3"/>
      <c r="E295" s="3"/>
      <c r="F295" s="14"/>
      <c r="G295" s="7">
        <f>RawObservationsTable[[#This Row],[Maturity Date]]-RawObservationsTable[[#This Row],[Timestamp]]</f>
        <v>0</v>
      </c>
      <c r="H295" s="2"/>
      <c r="I295" s="4"/>
      <c r="J295" s="5" t="str">
        <f>IF(OR(H295="",G295="",C295=""),"",LET(n,COUNTIFS(Bank_Rates!$A$2:$A$501,H295,Bank_Rates!$B$2:$B$501,"&lt;="&amp;C295),IF(n=0,"",LET(t,MAXIFS(Bank_Rates!$B$2:$B$501,Bank_Rates!$A$2:$A$501,H295,Bank_Rates!$B$2:$B$501,"&lt;="&amp;C295),m,COUNTIFS(Bank_Rates!$A$2:$A$501,H295,Bank_Rates!$B$2:$B$501,t,Bank_Rates!$D$2:$D$501,"&lt;="&amp;G295),IF(m=0,"",LET(d,MAXIFS(Bank_Rates!$D$2:$D$501,Bank_Rates!$A$2:$A$501,H295,Bank_Rates!$B$2:$B$501,t,Bank_Rates!$D$2:$D$501,"&lt;="&amp;G295),SUMIFS(Bank_Rates!$C$2:$C$501,Bank_Rates!$A$2:$A$501,H295,Bank_Rates!$B$2:$B$501,t,Bank_Rates!$D$2:$D$501,d)))))))</f>
        <v/>
      </c>
      <c r="K295" s="6" t="str">
        <f t="shared" si="8"/>
        <v/>
      </c>
    </row>
    <row r="296" spans="1:11">
      <c r="A296" s="18" t="str">
        <f t="shared" si="9"/>
        <v/>
      </c>
      <c r="B296" s="13"/>
      <c r="C296" s="14"/>
      <c r="D296" s="3"/>
      <c r="E296" s="3"/>
      <c r="F296" s="14"/>
      <c r="G296" s="7">
        <f>RawObservationsTable[[#This Row],[Maturity Date]]-RawObservationsTable[[#This Row],[Timestamp]]</f>
        <v>0</v>
      </c>
      <c r="H296" s="2"/>
      <c r="I296" s="4"/>
      <c r="J296" s="5" t="str">
        <f>IF(OR(H296="",G296="",C296=""),"",LET(n,COUNTIFS(Bank_Rates!$A$2:$A$501,H296,Bank_Rates!$B$2:$B$501,"&lt;="&amp;C296),IF(n=0,"",LET(t,MAXIFS(Bank_Rates!$B$2:$B$501,Bank_Rates!$A$2:$A$501,H296,Bank_Rates!$B$2:$B$501,"&lt;="&amp;C296),m,COUNTIFS(Bank_Rates!$A$2:$A$501,H296,Bank_Rates!$B$2:$B$501,t,Bank_Rates!$D$2:$D$501,"&lt;="&amp;G296),IF(m=0,"",LET(d,MAXIFS(Bank_Rates!$D$2:$D$501,Bank_Rates!$A$2:$A$501,H296,Bank_Rates!$B$2:$B$501,t,Bank_Rates!$D$2:$D$501,"&lt;="&amp;G296),SUMIFS(Bank_Rates!$C$2:$C$501,Bank_Rates!$A$2:$A$501,H296,Bank_Rates!$B$2:$B$501,t,Bank_Rates!$D$2:$D$501,d)))))))</f>
        <v/>
      </c>
      <c r="K296" s="6" t="str">
        <f t="shared" si="8"/>
        <v/>
      </c>
    </row>
    <row r="297" spans="1:11">
      <c r="A297" s="18" t="str">
        <f t="shared" si="9"/>
        <v/>
      </c>
      <c r="B297" s="13"/>
      <c r="C297" s="14"/>
      <c r="D297" s="3"/>
      <c r="E297" s="3"/>
      <c r="F297" s="14"/>
      <c r="G297" s="7">
        <f>RawObservationsTable[[#This Row],[Maturity Date]]-RawObservationsTable[[#This Row],[Timestamp]]</f>
        <v>0</v>
      </c>
      <c r="H297" s="2"/>
      <c r="I297" s="4"/>
      <c r="J297" s="5" t="str">
        <f>IF(OR(H297="",G297="",C297=""),"",LET(n,COUNTIFS(Bank_Rates!$A$2:$A$501,H297,Bank_Rates!$B$2:$B$501,"&lt;="&amp;C297),IF(n=0,"",LET(t,MAXIFS(Bank_Rates!$B$2:$B$501,Bank_Rates!$A$2:$A$501,H297,Bank_Rates!$B$2:$B$501,"&lt;="&amp;C297),m,COUNTIFS(Bank_Rates!$A$2:$A$501,H297,Bank_Rates!$B$2:$B$501,t,Bank_Rates!$D$2:$D$501,"&lt;="&amp;G297),IF(m=0,"",LET(d,MAXIFS(Bank_Rates!$D$2:$D$501,Bank_Rates!$A$2:$A$501,H297,Bank_Rates!$B$2:$B$501,t,Bank_Rates!$D$2:$D$501,"&lt;="&amp;G297),SUMIFS(Bank_Rates!$C$2:$C$501,Bank_Rates!$A$2:$A$501,H297,Bank_Rates!$B$2:$B$501,t,Bank_Rates!$D$2:$D$501,d)))))))</f>
        <v/>
      </c>
      <c r="K297" s="6" t="str">
        <f t="shared" si="8"/>
        <v/>
      </c>
    </row>
    <row r="298" spans="1:11">
      <c r="A298" s="18" t="str">
        <f t="shared" si="9"/>
        <v/>
      </c>
      <c r="B298" s="13"/>
      <c r="C298" s="14"/>
      <c r="D298" s="3"/>
      <c r="E298" s="3"/>
      <c r="F298" s="14"/>
      <c r="G298" s="7">
        <f>RawObservationsTable[[#This Row],[Maturity Date]]-RawObservationsTable[[#This Row],[Timestamp]]</f>
        <v>0</v>
      </c>
      <c r="H298" s="2"/>
      <c r="I298" s="4"/>
      <c r="J298" s="5" t="str">
        <f>IF(OR(H298="",G298="",C298=""),"",LET(n,COUNTIFS(Bank_Rates!$A$2:$A$501,H298,Bank_Rates!$B$2:$B$501,"&lt;="&amp;C298),IF(n=0,"",LET(t,MAXIFS(Bank_Rates!$B$2:$B$501,Bank_Rates!$A$2:$A$501,H298,Bank_Rates!$B$2:$B$501,"&lt;="&amp;C298),m,COUNTIFS(Bank_Rates!$A$2:$A$501,H298,Bank_Rates!$B$2:$B$501,t,Bank_Rates!$D$2:$D$501,"&lt;="&amp;G298),IF(m=0,"",LET(d,MAXIFS(Bank_Rates!$D$2:$D$501,Bank_Rates!$A$2:$A$501,H298,Bank_Rates!$B$2:$B$501,t,Bank_Rates!$D$2:$D$501,"&lt;="&amp;G298),SUMIFS(Bank_Rates!$C$2:$C$501,Bank_Rates!$A$2:$A$501,H298,Bank_Rates!$B$2:$B$501,t,Bank_Rates!$D$2:$D$501,d)))))))</f>
        <v/>
      </c>
      <c r="K298" s="6" t="str">
        <f t="shared" si="8"/>
        <v/>
      </c>
    </row>
    <row r="299" spans="1:11">
      <c r="A299" s="18" t="str">
        <f t="shared" si="9"/>
        <v/>
      </c>
      <c r="B299" s="13"/>
      <c r="C299" s="14"/>
      <c r="D299" s="3"/>
      <c r="E299" s="3"/>
      <c r="F299" s="14"/>
      <c r="G299" s="7">
        <f>RawObservationsTable[[#This Row],[Maturity Date]]-RawObservationsTable[[#This Row],[Timestamp]]</f>
        <v>0</v>
      </c>
      <c r="H299" s="2"/>
      <c r="I299" s="4"/>
      <c r="J299" s="5" t="str">
        <f>IF(OR(H299="",G299="",C299=""),"",LET(n,COUNTIFS(Bank_Rates!$A$2:$A$501,H299,Bank_Rates!$B$2:$B$501,"&lt;="&amp;C299),IF(n=0,"",LET(t,MAXIFS(Bank_Rates!$B$2:$B$501,Bank_Rates!$A$2:$A$501,H299,Bank_Rates!$B$2:$B$501,"&lt;="&amp;C299),m,COUNTIFS(Bank_Rates!$A$2:$A$501,H299,Bank_Rates!$B$2:$B$501,t,Bank_Rates!$D$2:$D$501,"&lt;="&amp;G299),IF(m=0,"",LET(d,MAXIFS(Bank_Rates!$D$2:$D$501,Bank_Rates!$A$2:$A$501,H299,Bank_Rates!$B$2:$B$501,t,Bank_Rates!$D$2:$D$501,"&lt;="&amp;G299),SUMIFS(Bank_Rates!$C$2:$C$501,Bank_Rates!$A$2:$A$501,H299,Bank_Rates!$B$2:$B$501,t,Bank_Rates!$D$2:$D$501,d)))))))</f>
        <v/>
      </c>
      <c r="K299" s="6" t="str">
        <f t="shared" si="8"/>
        <v/>
      </c>
    </row>
    <row r="300" spans="1:11">
      <c r="A300" s="18" t="str">
        <f t="shared" si="9"/>
        <v/>
      </c>
      <c r="B300" s="13"/>
      <c r="C300" s="14"/>
      <c r="D300" s="3"/>
      <c r="E300" s="3"/>
      <c r="F300" s="14"/>
      <c r="G300" s="7">
        <f>RawObservationsTable[[#This Row],[Maturity Date]]-RawObservationsTable[[#This Row],[Timestamp]]</f>
        <v>0</v>
      </c>
      <c r="H300" s="2"/>
      <c r="I300" s="4"/>
      <c r="J300" s="5" t="str">
        <f>IF(OR(H300="",G300="",C300=""),"",LET(n,COUNTIFS(Bank_Rates!$A$2:$A$501,H300,Bank_Rates!$B$2:$B$501,"&lt;="&amp;C300),IF(n=0,"",LET(t,MAXIFS(Bank_Rates!$B$2:$B$501,Bank_Rates!$A$2:$A$501,H300,Bank_Rates!$B$2:$B$501,"&lt;="&amp;C300),m,COUNTIFS(Bank_Rates!$A$2:$A$501,H300,Bank_Rates!$B$2:$B$501,t,Bank_Rates!$D$2:$D$501,"&lt;="&amp;G300),IF(m=0,"",LET(d,MAXIFS(Bank_Rates!$D$2:$D$501,Bank_Rates!$A$2:$A$501,H300,Bank_Rates!$B$2:$B$501,t,Bank_Rates!$D$2:$D$501,"&lt;="&amp;G300),SUMIFS(Bank_Rates!$C$2:$C$501,Bank_Rates!$A$2:$A$501,H300,Bank_Rates!$B$2:$B$501,t,Bank_Rates!$D$2:$D$501,d)))))))</f>
        <v/>
      </c>
      <c r="K300" s="6" t="str">
        <f t="shared" si="8"/>
        <v/>
      </c>
    </row>
    <row r="301" spans="1:11">
      <c r="A301" s="18" t="str">
        <f t="shared" si="9"/>
        <v/>
      </c>
      <c r="B301" s="13"/>
      <c r="C301" s="14"/>
      <c r="D301" s="3"/>
      <c r="E301" s="3"/>
      <c r="F301" s="14"/>
      <c r="G301" s="7">
        <f>RawObservationsTable[[#This Row],[Maturity Date]]-RawObservationsTable[[#This Row],[Timestamp]]</f>
        <v>0</v>
      </c>
      <c r="H301" s="2"/>
      <c r="I301" s="4"/>
      <c r="J301" s="5" t="str">
        <f>IF(OR(H301="",G301="",C301=""),"",LET(n,COUNTIFS(Bank_Rates!$A$2:$A$501,H301,Bank_Rates!$B$2:$B$501,"&lt;="&amp;C301),IF(n=0,"",LET(t,MAXIFS(Bank_Rates!$B$2:$B$501,Bank_Rates!$A$2:$A$501,H301,Bank_Rates!$B$2:$B$501,"&lt;="&amp;C301),m,COUNTIFS(Bank_Rates!$A$2:$A$501,H301,Bank_Rates!$B$2:$B$501,t,Bank_Rates!$D$2:$D$501,"&lt;="&amp;G301),IF(m=0,"",LET(d,MAXIFS(Bank_Rates!$D$2:$D$501,Bank_Rates!$A$2:$A$501,H301,Bank_Rates!$B$2:$B$501,t,Bank_Rates!$D$2:$D$501,"&lt;="&amp;G301),SUMIFS(Bank_Rates!$C$2:$C$501,Bank_Rates!$A$2:$A$501,H301,Bank_Rates!$B$2:$B$501,t,Bank_Rates!$D$2:$D$501,d)))))))</f>
        <v/>
      </c>
      <c r="K301" s="6" t="str">
        <f t="shared" si="8"/>
        <v/>
      </c>
    </row>
    <row r="302" spans="1:11">
      <c r="A302" s="18" t="str">
        <f t="shared" si="9"/>
        <v/>
      </c>
      <c r="B302" s="13"/>
      <c r="C302" s="14"/>
      <c r="D302" s="3"/>
      <c r="E302" s="3"/>
      <c r="F302" s="14"/>
      <c r="G302" s="7">
        <f>RawObservationsTable[[#This Row],[Maturity Date]]-RawObservationsTable[[#This Row],[Timestamp]]</f>
        <v>0</v>
      </c>
      <c r="H302" s="2"/>
      <c r="I302" s="4"/>
      <c r="J302" s="5" t="str">
        <f>IF(OR(H302="",G302="",C302=""),"",LET(n,COUNTIFS(Bank_Rates!$A$2:$A$501,H302,Bank_Rates!$B$2:$B$501,"&lt;="&amp;C302),IF(n=0,"",LET(t,MAXIFS(Bank_Rates!$B$2:$B$501,Bank_Rates!$A$2:$A$501,H302,Bank_Rates!$B$2:$B$501,"&lt;="&amp;C302),m,COUNTIFS(Bank_Rates!$A$2:$A$501,H302,Bank_Rates!$B$2:$B$501,t,Bank_Rates!$D$2:$D$501,"&lt;="&amp;G302),IF(m=0,"",LET(d,MAXIFS(Bank_Rates!$D$2:$D$501,Bank_Rates!$A$2:$A$501,H302,Bank_Rates!$B$2:$B$501,t,Bank_Rates!$D$2:$D$501,"&lt;="&amp;G302),SUMIFS(Bank_Rates!$C$2:$C$501,Bank_Rates!$A$2:$A$501,H302,Bank_Rates!$B$2:$B$501,t,Bank_Rates!$D$2:$D$501,d)))))))</f>
        <v/>
      </c>
      <c r="K302" s="6" t="str">
        <f t="shared" si="8"/>
        <v/>
      </c>
    </row>
    <row r="303" spans="1:11">
      <c r="A303" s="18" t="str">
        <f t="shared" si="9"/>
        <v/>
      </c>
      <c r="B303" s="13"/>
      <c r="C303" s="14"/>
      <c r="D303" s="3"/>
      <c r="E303" s="3"/>
      <c r="F303" s="14"/>
      <c r="G303" s="7">
        <f>RawObservationsTable[[#This Row],[Maturity Date]]-RawObservationsTable[[#This Row],[Timestamp]]</f>
        <v>0</v>
      </c>
      <c r="H303" s="2"/>
      <c r="I303" s="4"/>
      <c r="J303" s="5" t="str">
        <f>IF(OR(H303="",G303="",C303=""),"",LET(n,COUNTIFS(Bank_Rates!$A$2:$A$501,H303,Bank_Rates!$B$2:$B$501,"&lt;="&amp;C303),IF(n=0,"",LET(t,MAXIFS(Bank_Rates!$B$2:$B$501,Bank_Rates!$A$2:$A$501,H303,Bank_Rates!$B$2:$B$501,"&lt;="&amp;C303),m,COUNTIFS(Bank_Rates!$A$2:$A$501,H303,Bank_Rates!$B$2:$B$501,t,Bank_Rates!$D$2:$D$501,"&lt;="&amp;G303),IF(m=0,"",LET(d,MAXIFS(Bank_Rates!$D$2:$D$501,Bank_Rates!$A$2:$A$501,H303,Bank_Rates!$B$2:$B$501,t,Bank_Rates!$D$2:$D$501,"&lt;="&amp;G303),SUMIFS(Bank_Rates!$C$2:$C$501,Bank_Rates!$A$2:$A$501,H303,Bank_Rates!$B$2:$B$501,t,Bank_Rates!$D$2:$D$501,d)))))))</f>
        <v/>
      </c>
      <c r="K303" s="6" t="str">
        <f t="shared" si="8"/>
        <v/>
      </c>
    </row>
    <row r="304" spans="1:11">
      <c r="A304" s="18" t="str">
        <f t="shared" si="9"/>
        <v/>
      </c>
      <c r="B304" s="13"/>
      <c r="C304" s="14"/>
      <c r="D304" s="3"/>
      <c r="E304" s="3"/>
      <c r="F304" s="14"/>
      <c r="G304" s="7">
        <f>RawObservationsTable[[#This Row],[Maturity Date]]-RawObservationsTable[[#This Row],[Timestamp]]</f>
        <v>0</v>
      </c>
      <c r="H304" s="2"/>
      <c r="I304" s="4"/>
      <c r="J304" s="5" t="str">
        <f>IF(OR(H304="",G304="",C304=""),"",LET(n,COUNTIFS(Bank_Rates!$A$2:$A$501,H304,Bank_Rates!$B$2:$B$501,"&lt;="&amp;C304),IF(n=0,"",LET(t,MAXIFS(Bank_Rates!$B$2:$B$501,Bank_Rates!$A$2:$A$501,H304,Bank_Rates!$B$2:$B$501,"&lt;="&amp;C304),m,COUNTIFS(Bank_Rates!$A$2:$A$501,H304,Bank_Rates!$B$2:$B$501,t,Bank_Rates!$D$2:$D$501,"&lt;="&amp;G304),IF(m=0,"",LET(d,MAXIFS(Bank_Rates!$D$2:$D$501,Bank_Rates!$A$2:$A$501,H304,Bank_Rates!$B$2:$B$501,t,Bank_Rates!$D$2:$D$501,"&lt;="&amp;G304),SUMIFS(Bank_Rates!$C$2:$C$501,Bank_Rates!$A$2:$A$501,H304,Bank_Rates!$B$2:$B$501,t,Bank_Rates!$D$2:$D$501,d)))))))</f>
        <v/>
      </c>
      <c r="K304" s="6" t="str">
        <f t="shared" si="8"/>
        <v/>
      </c>
    </row>
    <row r="305" spans="1:11">
      <c r="A305" s="18" t="str">
        <f t="shared" si="9"/>
        <v/>
      </c>
      <c r="B305" s="13"/>
      <c r="C305" s="14"/>
      <c r="D305" s="3"/>
      <c r="E305" s="3"/>
      <c r="F305" s="14"/>
      <c r="G305" s="7">
        <f>RawObservationsTable[[#This Row],[Maturity Date]]-RawObservationsTable[[#This Row],[Timestamp]]</f>
        <v>0</v>
      </c>
      <c r="H305" s="2"/>
      <c r="I305" s="4"/>
      <c r="J305" s="5" t="str">
        <f>IF(OR(H305="",G305="",C305=""),"",LET(n,COUNTIFS(Bank_Rates!$A$2:$A$501,H305,Bank_Rates!$B$2:$B$501,"&lt;="&amp;C305),IF(n=0,"",LET(t,MAXIFS(Bank_Rates!$B$2:$B$501,Bank_Rates!$A$2:$A$501,H305,Bank_Rates!$B$2:$B$501,"&lt;="&amp;C305),m,COUNTIFS(Bank_Rates!$A$2:$A$501,H305,Bank_Rates!$B$2:$B$501,t,Bank_Rates!$D$2:$D$501,"&lt;="&amp;G305),IF(m=0,"",LET(d,MAXIFS(Bank_Rates!$D$2:$D$501,Bank_Rates!$A$2:$A$501,H305,Bank_Rates!$B$2:$B$501,t,Bank_Rates!$D$2:$D$501,"&lt;="&amp;G305),SUMIFS(Bank_Rates!$C$2:$C$501,Bank_Rates!$A$2:$A$501,H305,Bank_Rates!$B$2:$B$501,t,Bank_Rates!$D$2:$D$501,d)))))))</f>
        <v/>
      </c>
      <c r="K305" s="6" t="str">
        <f t="shared" si="8"/>
        <v/>
      </c>
    </row>
    <row r="306" spans="1:11">
      <c r="A306" s="18" t="str">
        <f t="shared" si="9"/>
        <v/>
      </c>
      <c r="B306" s="13"/>
      <c r="C306" s="14"/>
      <c r="D306" s="3"/>
      <c r="E306" s="3"/>
      <c r="F306" s="14"/>
      <c r="G306" s="7">
        <f>RawObservationsTable[[#This Row],[Maturity Date]]-RawObservationsTable[[#This Row],[Timestamp]]</f>
        <v>0</v>
      </c>
      <c r="H306" s="2"/>
      <c r="I306" s="4"/>
      <c r="J306" s="5" t="str">
        <f>IF(OR(H306="",G306="",C306=""),"",LET(n,COUNTIFS(Bank_Rates!$A$2:$A$501,H306,Bank_Rates!$B$2:$B$501,"&lt;="&amp;C306),IF(n=0,"",LET(t,MAXIFS(Bank_Rates!$B$2:$B$501,Bank_Rates!$A$2:$A$501,H306,Bank_Rates!$B$2:$B$501,"&lt;="&amp;C306),m,COUNTIFS(Bank_Rates!$A$2:$A$501,H306,Bank_Rates!$B$2:$B$501,t,Bank_Rates!$D$2:$D$501,"&lt;="&amp;G306),IF(m=0,"",LET(d,MAXIFS(Bank_Rates!$D$2:$D$501,Bank_Rates!$A$2:$A$501,H306,Bank_Rates!$B$2:$B$501,t,Bank_Rates!$D$2:$D$501,"&lt;="&amp;G306),SUMIFS(Bank_Rates!$C$2:$C$501,Bank_Rates!$A$2:$A$501,H306,Bank_Rates!$B$2:$B$501,t,Bank_Rates!$D$2:$D$501,d)))))))</f>
        <v/>
      </c>
      <c r="K306" s="6" t="str">
        <f t="shared" si="8"/>
        <v/>
      </c>
    </row>
    <row r="307" spans="1:11">
      <c r="A307" s="18" t="str">
        <f t="shared" si="9"/>
        <v/>
      </c>
      <c r="B307" s="13"/>
      <c r="C307" s="14"/>
      <c r="D307" s="3"/>
      <c r="E307" s="3"/>
      <c r="F307" s="14"/>
      <c r="G307" s="7">
        <f>RawObservationsTable[[#This Row],[Maturity Date]]-RawObservationsTable[[#This Row],[Timestamp]]</f>
        <v>0</v>
      </c>
      <c r="H307" s="2"/>
      <c r="I307" s="4"/>
      <c r="J307" s="5" t="str">
        <f>IF(OR(H307="",G307="",C307=""),"",LET(n,COUNTIFS(Bank_Rates!$A$2:$A$501,H307,Bank_Rates!$B$2:$B$501,"&lt;="&amp;C307),IF(n=0,"",LET(t,MAXIFS(Bank_Rates!$B$2:$B$501,Bank_Rates!$A$2:$A$501,H307,Bank_Rates!$B$2:$B$501,"&lt;="&amp;C307),m,COUNTIFS(Bank_Rates!$A$2:$A$501,H307,Bank_Rates!$B$2:$B$501,t,Bank_Rates!$D$2:$D$501,"&lt;="&amp;G307),IF(m=0,"",LET(d,MAXIFS(Bank_Rates!$D$2:$D$501,Bank_Rates!$A$2:$A$501,H307,Bank_Rates!$B$2:$B$501,t,Bank_Rates!$D$2:$D$501,"&lt;="&amp;G307),SUMIFS(Bank_Rates!$C$2:$C$501,Bank_Rates!$A$2:$A$501,H307,Bank_Rates!$B$2:$B$501,t,Bank_Rates!$D$2:$D$501,d)))))))</f>
        <v/>
      </c>
      <c r="K307" s="6" t="str">
        <f t="shared" si="8"/>
        <v/>
      </c>
    </row>
    <row r="308" spans="1:11">
      <c r="A308" s="18" t="str">
        <f t="shared" si="9"/>
        <v/>
      </c>
      <c r="B308" s="13"/>
      <c r="C308" s="14"/>
      <c r="D308" s="3"/>
      <c r="E308" s="3"/>
      <c r="F308" s="14"/>
      <c r="G308" s="7">
        <f>RawObservationsTable[[#This Row],[Maturity Date]]-RawObservationsTable[[#This Row],[Timestamp]]</f>
        <v>0</v>
      </c>
      <c r="H308" s="2"/>
      <c r="I308" s="4"/>
      <c r="J308" s="5" t="str">
        <f>IF(OR(H308="",G308="",C308=""),"",LET(n,COUNTIFS(Bank_Rates!$A$2:$A$501,H308,Bank_Rates!$B$2:$B$501,"&lt;="&amp;C308),IF(n=0,"",LET(t,MAXIFS(Bank_Rates!$B$2:$B$501,Bank_Rates!$A$2:$A$501,H308,Bank_Rates!$B$2:$B$501,"&lt;="&amp;C308),m,COUNTIFS(Bank_Rates!$A$2:$A$501,H308,Bank_Rates!$B$2:$B$501,t,Bank_Rates!$D$2:$D$501,"&lt;="&amp;G308),IF(m=0,"",LET(d,MAXIFS(Bank_Rates!$D$2:$D$501,Bank_Rates!$A$2:$A$501,H308,Bank_Rates!$B$2:$B$501,t,Bank_Rates!$D$2:$D$501,"&lt;="&amp;G308),SUMIFS(Bank_Rates!$C$2:$C$501,Bank_Rates!$A$2:$A$501,H308,Bank_Rates!$B$2:$B$501,t,Bank_Rates!$D$2:$D$501,d)))))))</f>
        <v/>
      </c>
      <c r="K308" s="6" t="str">
        <f t="shared" si="8"/>
        <v/>
      </c>
    </row>
    <row r="309" spans="1:11">
      <c r="A309" s="18" t="str">
        <f t="shared" si="9"/>
        <v/>
      </c>
      <c r="B309" s="13"/>
      <c r="C309" s="14"/>
      <c r="D309" s="3"/>
      <c r="E309" s="3"/>
      <c r="F309" s="14"/>
      <c r="G309" s="7">
        <f>RawObservationsTable[[#This Row],[Maturity Date]]-RawObservationsTable[[#This Row],[Timestamp]]</f>
        <v>0</v>
      </c>
      <c r="H309" s="2"/>
      <c r="I309" s="4"/>
      <c r="J309" s="5" t="str">
        <f>IF(OR(H309="",G309="",C309=""),"",LET(n,COUNTIFS(Bank_Rates!$A$2:$A$501,H309,Bank_Rates!$B$2:$B$501,"&lt;="&amp;C309),IF(n=0,"",LET(t,MAXIFS(Bank_Rates!$B$2:$B$501,Bank_Rates!$A$2:$A$501,H309,Bank_Rates!$B$2:$B$501,"&lt;="&amp;C309),m,COUNTIFS(Bank_Rates!$A$2:$A$501,H309,Bank_Rates!$B$2:$B$501,t,Bank_Rates!$D$2:$D$501,"&lt;="&amp;G309),IF(m=0,"",LET(d,MAXIFS(Bank_Rates!$D$2:$D$501,Bank_Rates!$A$2:$A$501,H309,Bank_Rates!$B$2:$B$501,t,Bank_Rates!$D$2:$D$501,"&lt;="&amp;G309),SUMIFS(Bank_Rates!$C$2:$C$501,Bank_Rates!$A$2:$A$501,H309,Bank_Rates!$B$2:$B$501,t,Bank_Rates!$D$2:$D$501,d)))))))</f>
        <v/>
      </c>
      <c r="K309" s="6" t="str">
        <f t="shared" si="8"/>
        <v/>
      </c>
    </row>
    <row r="310" spans="1:11">
      <c r="A310" s="18" t="str">
        <f t="shared" si="9"/>
        <v/>
      </c>
      <c r="B310" s="13"/>
      <c r="C310" s="14"/>
      <c r="D310" s="3"/>
      <c r="E310" s="3"/>
      <c r="F310" s="14"/>
      <c r="G310" s="7">
        <f>RawObservationsTable[[#This Row],[Maturity Date]]-RawObservationsTable[[#This Row],[Timestamp]]</f>
        <v>0</v>
      </c>
      <c r="H310" s="2"/>
      <c r="I310" s="4"/>
      <c r="J310" s="5" t="str">
        <f>IF(OR(H310="",G310="",C310=""),"",LET(n,COUNTIFS(Bank_Rates!$A$2:$A$501,H310,Bank_Rates!$B$2:$B$501,"&lt;="&amp;C310),IF(n=0,"",LET(t,MAXIFS(Bank_Rates!$B$2:$B$501,Bank_Rates!$A$2:$A$501,H310,Bank_Rates!$B$2:$B$501,"&lt;="&amp;C310),m,COUNTIFS(Bank_Rates!$A$2:$A$501,H310,Bank_Rates!$B$2:$B$501,t,Bank_Rates!$D$2:$D$501,"&lt;="&amp;G310),IF(m=0,"",LET(d,MAXIFS(Bank_Rates!$D$2:$D$501,Bank_Rates!$A$2:$A$501,H310,Bank_Rates!$B$2:$B$501,t,Bank_Rates!$D$2:$D$501,"&lt;="&amp;G310),SUMIFS(Bank_Rates!$C$2:$C$501,Bank_Rates!$A$2:$A$501,H310,Bank_Rates!$B$2:$B$501,t,Bank_Rates!$D$2:$D$501,d)))))))</f>
        <v/>
      </c>
      <c r="K310" s="6" t="str">
        <f t="shared" si="8"/>
        <v/>
      </c>
    </row>
    <row r="311" spans="1:11">
      <c r="A311" s="18" t="str">
        <f t="shared" si="9"/>
        <v/>
      </c>
      <c r="B311" s="13"/>
      <c r="C311" s="14"/>
      <c r="D311" s="3"/>
      <c r="E311" s="3"/>
      <c r="F311" s="14"/>
      <c r="G311" s="7">
        <f>RawObservationsTable[[#This Row],[Maturity Date]]-RawObservationsTable[[#This Row],[Timestamp]]</f>
        <v>0</v>
      </c>
      <c r="H311" s="2"/>
      <c r="I311" s="4"/>
      <c r="J311" s="5" t="str">
        <f>IF(OR(H311="",G311="",C311=""),"",LET(n,COUNTIFS(Bank_Rates!$A$2:$A$501,H311,Bank_Rates!$B$2:$B$501,"&lt;="&amp;C311),IF(n=0,"",LET(t,MAXIFS(Bank_Rates!$B$2:$B$501,Bank_Rates!$A$2:$A$501,H311,Bank_Rates!$B$2:$B$501,"&lt;="&amp;C311),m,COUNTIFS(Bank_Rates!$A$2:$A$501,H311,Bank_Rates!$B$2:$B$501,t,Bank_Rates!$D$2:$D$501,"&lt;="&amp;G311),IF(m=0,"",LET(d,MAXIFS(Bank_Rates!$D$2:$D$501,Bank_Rates!$A$2:$A$501,H311,Bank_Rates!$B$2:$B$501,t,Bank_Rates!$D$2:$D$501,"&lt;="&amp;G311),SUMIFS(Bank_Rates!$C$2:$C$501,Bank_Rates!$A$2:$A$501,H311,Bank_Rates!$B$2:$B$501,t,Bank_Rates!$D$2:$D$501,d)))))))</f>
        <v/>
      </c>
      <c r="K311" s="6" t="str">
        <f t="shared" si="8"/>
        <v/>
      </c>
    </row>
    <row r="312" spans="1:11">
      <c r="A312" s="18" t="str">
        <f t="shared" si="9"/>
        <v/>
      </c>
      <c r="B312" s="13"/>
      <c r="C312" s="14"/>
      <c r="D312" s="3"/>
      <c r="E312" s="3"/>
      <c r="F312" s="14"/>
      <c r="G312" s="7">
        <f>RawObservationsTable[[#This Row],[Maturity Date]]-RawObservationsTable[[#This Row],[Timestamp]]</f>
        <v>0</v>
      </c>
      <c r="H312" s="2"/>
      <c r="I312" s="4"/>
      <c r="J312" s="5" t="str">
        <f>IF(OR(H312="",G312="",C312=""),"",LET(n,COUNTIFS(Bank_Rates!$A$2:$A$501,H312,Bank_Rates!$B$2:$B$501,"&lt;="&amp;C312),IF(n=0,"",LET(t,MAXIFS(Bank_Rates!$B$2:$B$501,Bank_Rates!$A$2:$A$501,H312,Bank_Rates!$B$2:$B$501,"&lt;="&amp;C312),m,COUNTIFS(Bank_Rates!$A$2:$A$501,H312,Bank_Rates!$B$2:$B$501,t,Bank_Rates!$D$2:$D$501,"&lt;="&amp;G312),IF(m=0,"",LET(d,MAXIFS(Bank_Rates!$D$2:$D$501,Bank_Rates!$A$2:$A$501,H312,Bank_Rates!$B$2:$B$501,t,Bank_Rates!$D$2:$D$501,"&lt;="&amp;G312),SUMIFS(Bank_Rates!$C$2:$C$501,Bank_Rates!$A$2:$A$501,H312,Bank_Rates!$B$2:$B$501,t,Bank_Rates!$D$2:$D$501,d)))))))</f>
        <v/>
      </c>
      <c r="K312" s="6" t="str">
        <f t="shared" si="8"/>
        <v/>
      </c>
    </row>
    <row r="313" spans="1:11">
      <c r="A313" s="18" t="str">
        <f t="shared" si="9"/>
        <v/>
      </c>
      <c r="B313" s="13"/>
      <c r="C313" s="14"/>
      <c r="D313" s="3"/>
      <c r="E313" s="3"/>
      <c r="F313" s="14"/>
      <c r="G313" s="7">
        <f>RawObservationsTable[[#This Row],[Maturity Date]]-RawObservationsTable[[#This Row],[Timestamp]]</f>
        <v>0</v>
      </c>
      <c r="H313" s="2"/>
      <c r="I313" s="4"/>
      <c r="J313" s="5" t="str">
        <f>IF(OR(H313="",G313="",C313=""),"",LET(n,COUNTIFS(Bank_Rates!$A$2:$A$501,H313,Bank_Rates!$B$2:$B$501,"&lt;="&amp;C313),IF(n=0,"",LET(t,MAXIFS(Bank_Rates!$B$2:$B$501,Bank_Rates!$A$2:$A$501,H313,Bank_Rates!$B$2:$B$501,"&lt;="&amp;C313),m,COUNTIFS(Bank_Rates!$A$2:$A$501,H313,Bank_Rates!$B$2:$B$501,t,Bank_Rates!$D$2:$D$501,"&lt;="&amp;G313),IF(m=0,"",LET(d,MAXIFS(Bank_Rates!$D$2:$D$501,Bank_Rates!$A$2:$A$501,H313,Bank_Rates!$B$2:$B$501,t,Bank_Rates!$D$2:$D$501,"&lt;="&amp;G313),SUMIFS(Bank_Rates!$C$2:$C$501,Bank_Rates!$A$2:$A$501,H313,Bank_Rates!$B$2:$B$501,t,Bank_Rates!$D$2:$D$501,d)))))))</f>
        <v/>
      </c>
      <c r="K313" s="6" t="str">
        <f t="shared" si="8"/>
        <v/>
      </c>
    </row>
    <row r="314" spans="1:11">
      <c r="A314" s="18" t="str">
        <f t="shared" si="9"/>
        <v/>
      </c>
      <c r="B314" s="13"/>
      <c r="C314" s="14"/>
      <c r="D314" s="3"/>
      <c r="E314" s="3"/>
      <c r="F314" s="14"/>
      <c r="G314" s="7">
        <f>RawObservationsTable[[#This Row],[Maturity Date]]-RawObservationsTable[[#This Row],[Timestamp]]</f>
        <v>0</v>
      </c>
      <c r="H314" s="2"/>
      <c r="I314" s="4"/>
      <c r="J314" s="5" t="str">
        <f>IF(OR(H314="",G314="",C314=""),"",LET(n,COUNTIFS(Bank_Rates!$A$2:$A$501,H314,Bank_Rates!$B$2:$B$501,"&lt;="&amp;C314),IF(n=0,"",LET(t,MAXIFS(Bank_Rates!$B$2:$B$501,Bank_Rates!$A$2:$A$501,H314,Bank_Rates!$B$2:$B$501,"&lt;="&amp;C314),m,COUNTIFS(Bank_Rates!$A$2:$A$501,H314,Bank_Rates!$B$2:$B$501,t,Bank_Rates!$D$2:$D$501,"&lt;="&amp;G314),IF(m=0,"",LET(d,MAXIFS(Bank_Rates!$D$2:$D$501,Bank_Rates!$A$2:$A$501,H314,Bank_Rates!$B$2:$B$501,t,Bank_Rates!$D$2:$D$501,"&lt;="&amp;G314),SUMIFS(Bank_Rates!$C$2:$C$501,Bank_Rates!$A$2:$A$501,H314,Bank_Rates!$B$2:$B$501,t,Bank_Rates!$D$2:$D$501,d)))))))</f>
        <v/>
      </c>
      <c r="K314" s="6" t="str">
        <f t="shared" si="8"/>
        <v/>
      </c>
    </row>
    <row r="315" spans="1:11">
      <c r="A315" s="18" t="str">
        <f t="shared" si="9"/>
        <v/>
      </c>
      <c r="B315" s="13"/>
      <c r="C315" s="14"/>
      <c r="D315" s="3"/>
      <c r="E315" s="3"/>
      <c r="F315" s="14"/>
      <c r="G315" s="7">
        <f>RawObservationsTable[[#This Row],[Maturity Date]]-RawObservationsTable[[#This Row],[Timestamp]]</f>
        <v>0</v>
      </c>
      <c r="H315" s="2"/>
      <c r="I315" s="4"/>
      <c r="J315" s="5" t="str">
        <f>IF(OR(H315="",G315="",C315=""),"",LET(n,COUNTIFS(Bank_Rates!$A$2:$A$501,H315,Bank_Rates!$B$2:$B$501,"&lt;="&amp;C315),IF(n=0,"",LET(t,MAXIFS(Bank_Rates!$B$2:$B$501,Bank_Rates!$A$2:$A$501,H315,Bank_Rates!$B$2:$B$501,"&lt;="&amp;C315),m,COUNTIFS(Bank_Rates!$A$2:$A$501,H315,Bank_Rates!$B$2:$B$501,t,Bank_Rates!$D$2:$D$501,"&lt;="&amp;G315),IF(m=0,"",LET(d,MAXIFS(Bank_Rates!$D$2:$D$501,Bank_Rates!$A$2:$A$501,H315,Bank_Rates!$B$2:$B$501,t,Bank_Rates!$D$2:$D$501,"&lt;="&amp;G315),SUMIFS(Bank_Rates!$C$2:$C$501,Bank_Rates!$A$2:$A$501,H315,Bank_Rates!$B$2:$B$501,t,Bank_Rates!$D$2:$D$501,d)))))))</f>
        <v/>
      </c>
      <c r="K315" s="6" t="str">
        <f t="shared" si="8"/>
        <v/>
      </c>
    </row>
    <row r="316" spans="1:11">
      <c r="A316" s="18" t="str">
        <f t="shared" si="9"/>
        <v/>
      </c>
      <c r="B316" s="13"/>
      <c r="C316" s="14"/>
      <c r="D316" s="3"/>
      <c r="E316" s="3"/>
      <c r="F316" s="14"/>
      <c r="G316" s="7">
        <f>RawObservationsTable[[#This Row],[Maturity Date]]-RawObservationsTable[[#This Row],[Timestamp]]</f>
        <v>0</v>
      </c>
      <c r="H316" s="2"/>
      <c r="I316" s="4"/>
      <c r="J316" s="5" t="str">
        <f>IF(OR(H316="",G316="",C316=""),"",LET(n,COUNTIFS(Bank_Rates!$A$2:$A$501,H316,Bank_Rates!$B$2:$B$501,"&lt;="&amp;C316),IF(n=0,"",LET(t,MAXIFS(Bank_Rates!$B$2:$B$501,Bank_Rates!$A$2:$A$501,H316,Bank_Rates!$B$2:$B$501,"&lt;="&amp;C316),m,COUNTIFS(Bank_Rates!$A$2:$A$501,H316,Bank_Rates!$B$2:$B$501,t,Bank_Rates!$D$2:$D$501,"&lt;="&amp;G316),IF(m=0,"",LET(d,MAXIFS(Bank_Rates!$D$2:$D$501,Bank_Rates!$A$2:$A$501,H316,Bank_Rates!$B$2:$B$501,t,Bank_Rates!$D$2:$D$501,"&lt;="&amp;G316),SUMIFS(Bank_Rates!$C$2:$C$501,Bank_Rates!$A$2:$A$501,H316,Bank_Rates!$B$2:$B$501,t,Bank_Rates!$D$2:$D$501,d)))))))</f>
        <v/>
      </c>
      <c r="K316" s="6" t="str">
        <f t="shared" si="8"/>
        <v/>
      </c>
    </row>
    <row r="317" spans="1:11">
      <c r="A317" s="18" t="str">
        <f t="shared" si="9"/>
        <v/>
      </c>
      <c r="B317" s="13"/>
      <c r="C317" s="14"/>
      <c r="D317" s="3"/>
      <c r="E317" s="3"/>
      <c r="F317" s="14"/>
      <c r="G317" s="7">
        <f>RawObservationsTable[[#This Row],[Maturity Date]]-RawObservationsTable[[#This Row],[Timestamp]]</f>
        <v>0</v>
      </c>
      <c r="H317" s="2"/>
      <c r="I317" s="4"/>
      <c r="J317" s="5" t="str">
        <f>IF(OR(H317="",G317="",C317=""),"",LET(n,COUNTIFS(Bank_Rates!$A$2:$A$501,H317,Bank_Rates!$B$2:$B$501,"&lt;="&amp;C317),IF(n=0,"",LET(t,MAXIFS(Bank_Rates!$B$2:$B$501,Bank_Rates!$A$2:$A$501,H317,Bank_Rates!$B$2:$B$501,"&lt;="&amp;C317),m,COUNTIFS(Bank_Rates!$A$2:$A$501,H317,Bank_Rates!$B$2:$B$501,t,Bank_Rates!$D$2:$D$501,"&lt;="&amp;G317),IF(m=0,"",LET(d,MAXIFS(Bank_Rates!$D$2:$D$501,Bank_Rates!$A$2:$A$501,H317,Bank_Rates!$B$2:$B$501,t,Bank_Rates!$D$2:$D$501,"&lt;="&amp;G317),SUMIFS(Bank_Rates!$C$2:$C$501,Bank_Rates!$A$2:$A$501,H317,Bank_Rates!$B$2:$B$501,t,Bank_Rates!$D$2:$D$501,d)))))))</f>
        <v/>
      </c>
      <c r="K317" s="6" t="str">
        <f t="shared" si="8"/>
        <v/>
      </c>
    </row>
    <row r="318" spans="1:11">
      <c r="A318" s="18" t="str">
        <f t="shared" si="9"/>
        <v/>
      </c>
      <c r="B318" s="13"/>
      <c r="C318" s="14"/>
      <c r="D318" s="3"/>
      <c r="E318" s="3"/>
      <c r="F318" s="14"/>
      <c r="G318" s="7">
        <f>RawObservationsTable[[#This Row],[Maturity Date]]-RawObservationsTable[[#This Row],[Timestamp]]</f>
        <v>0</v>
      </c>
      <c r="H318" s="2"/>
      <c r="I318" s="4"/>
      <c r="J318" s="5" t="str">
        <f>IF(OR(H318="",G318="",C318=""),"",LET(n,COUNTIFS(Bank_Rates!$A$2:$A$501,H318,Bank_Rates!$B$2:$B$501,"&lt;="&amp;C318),IF(n=0,"",LET(t,MAXIFS(Bank_Rates!$B$2:$B$501,Bank_Rates!$A$2:$A$501,H318,Bank_Rates!$B$2:$B$501,"&lt;="&amp;C318),m,COUNTIFS(Bank_Rates!$A$2:$A$501,H318,Bank_Rates!$B$2:$B$501,t,Bank_Rates!$D$2:$D$501,"&lt;="&amp;G318),IF(m=0,"",LET(d,MAXIFS(Bank_Rates!$D$2:$D$501,Bank_Rates!$A$2:$A$501,H318,Bank_Rates!$B$2:$B$501,t,Bank_Rates!$D$2:$D$501,"&lt;="&amp;G318),SUMIFS(Bank_Rates!$C$2:$C$501,Bank_Rates!$A$2:$A$501,H318,Bank_Rates!$B$2:$B$501,t,Bank_Rates!$D$2:$D$501,d)))))))</f>
        <v/>
      </c>
      <c r="K318" s="6" t="str">
        <f t="shared" si="8"/>
        <v/>
      </c>
    </row>
    <row r="319" spans="1:11">
      <c r="A319" s="18" t="str">
        <f t="shared" si="9"/>
        <v/>
      </c>
      <c r="B319" s="13"/>
      <c r="C319" s="14"/>
      <c r="D319" s="3"/>
      <c r="E319" s="3"/>
      <c r="F319" s="14"/>
      <c r="G319" s="7">
        <f>RawObservationsTable[[#This Row],[Maturity Date]]-RawObservationsTable[[#This Row],[Timestamp]]</f>
        <v>0</v>
      </c>
      <c r="H319" s="2"/>
      <c r="I319" s="4"/>
      <c r="J319" s="5" t="str">
        <f>IF(OR(H319="",G319="",C319=""),"",LET(n,COUNTIFS(Bank_Rates!$A$2:$A$501,H319,Bank_Rates!$B$2:$B$501,"&lt;="&amp;C319),IF(n=0,"",LET(t,MAXIFS(Bank_Rates!$B$2:$B$501,Bank_Rates!$A$2:$A$501,H319,Bank_Rates!$B$2:$B$501,"&lt;="&amp;C319),m,COUNTIFS(Bank_Rates!$A$2:$A$501,H319,Bank_Rates!$B$2:$B$501,t,Bank_Rates!$D$2:$D$501,"&lt;="&amp;G319),IF(m=0,"",LET(d,MAXIFS(Bank_Rates!$D$2:$D$501,Bank_Rates!$A$2:$A$501,H319,Bank_Rates!$B$2:$B$501,t,Bank_Rates!$D$2:$D$501,"&lt;="&amp;G319),SUMIFS(Bank_Rates!$C$2:$C$501,Bank_Rates!$A$2:$A$501,H319,Bank_Rates!$B$2:$B$501,t,Bank_Rates!$D$2:$D$501,d)))))))</f>
        <v/>
      </c>
      <c r="K319" s="6" t="str">
        <f t="shared" si="8"/>
        <v/>
      </c>
    </row>
    <row r="320" spans="1:11">
      <c r="A320" s="18" t="str">
        <f t="shared" si="9"/>
        <v/>
      </c>
      <c r="B320" s="13"/>
      <c r="C320" s="14"/>
      <c r="D320" s="3"/>
      <c r="E320" s="3"/>
      <c r="F320" s="14"/>
      <c r="G320" s="7">
        <f>RawObservationsTable[[#This Row],[Maturity Date]]-RawObservationsTable[[#This Row],[Timestamp]]</f>
        <v>0</v>
      </c>
      <c r="H320" s="2"/>
      <c r="I320" s="4"/>
      <c r="J320" s="5" t="str">
        <f>IF(OR(H320="",G320="",C320=""),"",LET(n,COUNTIFS(Bank_Rates!$A$2:$A$501,H320,Bank_Rates!$B$2:$B$501,"&lt;="&amp;C320),IF(n=0,"",LET(t,MAXIFS(Bank_Rates!$B$2:$B$501,Bank_Rates!$A$2:$A$501,H320,Bank_Rates!$B$2:$B$501,"&lt;="&amp;C320),m,COUNTIFS(Bank_Rates!$A$2:$A$501,H320,Bank_Rates!$B$2:$B$501,t,Bank_Rates!$D$2:$D$501,"&lt;="&amp;G320),IF(m=0,"",LET(d,MAXIFS(Bank_Rates!$D$2:$D$501,Bank_Rates!$A$2:$A$501,H320,Bank_Rates!$B$2:$B$501,t,Bank_Rates!$D$2:$D$501,"&lt;="&amp;G320),SUMIFS(Bank_Rates!$C$2:$C$501,Bank_Rates!$A$2:$A$501,H320,Bank_Rates!$B$2:$B$501,t,Bank_Rates!$D$2:$D$501,d)))))))</f>
        <v/>
      </c>
      <c r="K320" s="6" t="str">
        <f t="shared" si="8"/>
        <v/>
      </c>
    </row>
    <row r="321" spans="1:11">
      <c r="A321" s="18" t="str">
        <f t="shared" si="9"/>
        <v/>
      </c>
      <c r="B321" s="13"/>
      <c r="C321" s="14"/>
      <c r="D321" s="3"/>
      <c r="E321" s="3"/>
      <c r="F321" s="14"/>
      <c r="G321" s="7">
        <f>RawObservationsTable[[#This Row],[Maturity Date]]-RawObservationsTable[[#This Row],[Timestamp]]</f>
        <v>0</v>
      </c>
      <c r="H321" s="2"/>
      <c r="I321" s="4"/>
      <c r="J321" s="5" t="str">
        <f>IF(OR(H321="",G321="",C321=""),"",LET(n,COUNTIFS(Bank_Rates!$A$2:$A$501,H321,Bank_Rates!$B$2:$B$501,"&lt;="&amp;C321),IF(n=0,"",LET(t,MAXIFS(Bank_Rates!$B$2:$B$501,Bank_Rates!$A$2:$A$501,H321,Bank_Rates!$B$2:$B$501,"&lt;="&amp;C321),m,COUNTIFS(Bank_Rates!$A$2:$A$501,H321,Bank_Rates!$B$2:$B$501,t,Bank_Rates!$D$2:$D$501,"&lt;="&amp;G321),IF(m=0,"",LET(d,MAXIFS(Bank_Rates!$D$2:$D$501,Bank_Rates!$A$2:$A$501,H321,Bank_Rates!$B$2:$B$501,t,Bank_Rates!$D$2:$D$501,"&lt;="&amp;G321),SUMIFS(Bank_Rates!$C$2:$C$501,Bank_Rates!$A$2:$A$501,H321,Bank_Rates!$B$2:$B$501,t,Bank_Rates!$D$2:$D$501,d)))))))</f>
        <v/>
      </c>
      <c r="K321" s="6" t="str">
        <f t="shared" si="8"/>
        <v/>
      </c>
    </row>
    <row r="322" spans="1:11">
      <c r="A322" s="18" t="str">
        <f t="shared" si="9"/>
        <v/>
      </c>
      <c r="B322" s="13"/>
      <c r="C322" s="14"/>
      <c r="D322" s="3"/>
      <c r="E322" s="3"/>
      <c r="F322" s="14"/>
      <c r="G322" s="7">
        <f>RawObservationsTable[[#This Row],[Maturity Date]]-RawObservationsTable[[#This Row],[Timestamp]]</f>
        <v>0</v>
      </c>
      <c r="H322" s="2"/>
      <c r="I322" s="4"/>
      <c r="J322" s="5" t="str">
        <f>IF(OR(H322="",G322="",C322=""),"",LET(n,COUNTIFS(Bank_Rates!$A$2:$A$501,H322,Bank_Rates!$B$2:$B$501,"&lt;="&amp;C322),IF(n=0,"",LET(t,MAXIFS(Bank_Rates!$B$2:$B$501,Bank_Rates!$A$2:$A$501,H322,Bank_Rates!$B$2:$B$501,"&lt;="&amp;C322),m,COUNTIFS(Bank_Rates!$A$2:$A$501,H322,Bank_Rates!$B$2:$B$501,t,Bank_Rates!$D$2:$D$501,"&lt;="&amp;G322),IF(m=0,"",LET(d,MAXIFS(Bank_Rates!$D$2:$D$501,Bank_Rates!$A$2:$A$501,H322,Bank_Rates!$B$2:$B$501,t,Bank_Rates!$D$2:$D$501,"&lt;="&amp;G322),SUMIFS(Bank_Rates!$C$2:$C$501,Bank_Rates!$A$2:$A$501,H322,Bank_Rates!$B$2:$B$501,t,Bank_Rates!$D$2:$D$501,d)))))))</f>
        <v/>
      </c>
      <c r="K322" s="6" t="str">
        <f t="shared" ref="K322:K385" si="10">IF(OR(I322="",J322=""),"",I322-J322)</f>
        <v/>
      </c>
    </row>
    <row r="323" spans="1:11">
      <c r="A323" s="18" t="str">
        <f t="shared" ref="A323:A386" si="11">IF(B323&lt;&gt;"","L-"&amp;TEXT(ROW()-1,"0000"),"")</f>
        <v/>
      </c>
      <c r="B323" s="13"/>
      <c r="C323" s="14"/>
      <c r="D323" s="3"/>
      <c r="E323" s="3"/>
      <c r="F323" s="14"/>
      <c r="G323" s="7">
        <f>RawObservationsTable[[#This Row],[Maturity Date]]-RawObservationsTable[[#This Row],[Timestamp]]</f>
        <v>0</v>
      </c>
      <c r="H323" s="2"/>
      <c r="I323" s="4"/>
      <c r="J323" s="5" t="str">
        <f>IF(OR(H323="",G323="",C323=""),"",LET(n,COUNTIFS(Bank_Rates!$A$2:$A$501,H323,Bank_Rates!$B$2:$B$501,"&lt;="&amp;C323),IF(n=0,"",LET(t,MAXIFS(Bank_Rates!$B$2:$B$501,Bank_Rates!$A$2:$A$501,H323,Bank_Rates!$B$2:$B$501,"&lt;="&amp;C323),m,COUNTIFS(Bank_Rates!$A$2:$A$501,H323,Bank_Rates!$B$2:$B$501,t,Bank_Rates!$D$2:$D$501,"&lt;="&amp;G323),IF(m=0,"",LET(d,MAXIFS(Bank_Rates!$D$2:$D$501,Bank_Rates!$A$2:$A$501,H323,Bank_Rates!$B$2:$B$501,t,Bank_Rates!$D$2:$D$501,"&lt;="&amp;G323),SUMIFS(Bank_Rates!$C$2:$C$501,Bank_Rates!$A$2:$A$501,H323,Bank_Rates!$B$2:$B$501,t,Bank_Rates!$D$2:$D$501,d)))))))</f>
        <v/>
      </c>
      <c r="K323" s="6" t="str">
        <f t="shared" si="10"/>
        <v/>
      </c>
    </row>
    <row r="324" spans="1:11">
      <c r="A324" s="18" t="str">
        <f t="shared" si="11"/>
        <v/>
      </c>
      <c r="B324" s="13"/>
      <c r="C324" s="14"/>
      <c r="D324" s="3"/>
      <c r="E324" s="3"/>
      <c r="F324" s="14"/>
      <c r="G324" s="7">
        <f>RawObservationsTable[[#This Row],[Maturity Date]]-RawObservationsTable[[#This Row],[Timestamp]]</f>
        <v>0</v>
      </c>
      <c r="H324" s="2"/>
      <c r="I324" s="4"/>
      <c r="J324" s="5" t="str">
        <f>IF(OR(H324="",G324="",C324=""),"",LET(n,COUNTIFS(Bank_Rates!$A$2:$A$501,H324,Bank_Rates!$B$2:$B$501,"&lt;="&amp;C324),IF(n=0,"",LET(t,MAXIFS(Bank_Rates!$B$2:$B$501,Bank_Rates!$A$2:$A$501,H324,Bank_Rates!$B$2:$B$501,"&lt;="&amp;C324),m,COUNTIFS(Bank_Rates!$A$2:$A$501,H324,Bank_Rates!$B$2:$B$501,t,Bank_Rates!$D$2:$D$501,"&lt;="&amp;G324),IF(m=0,"",LET(d,MAXIFS(Bank_Rates!$D$2:$D$501,Bank_Rates!$A$2:$A$501,H324,Bank_Rates!$B$2:$B$501,t,Bank_Rates!$D$2:$D$501,"&lt;="&amp;G324),SUMIFS(Bank_Rates!$C$2:$C$501,Bank_Rates!$A$2:$A$501,H324,Bank_Rates!$B$2:$B$501,t,Bank_Rates!$D$2:$D$501,d)))))))</f>
        <v/>
      </c>
      <c r="K324" s="6" t="str">
        <f t="shared" si="10"/>
        <v/>
      </c>
    </row>
    <row r="325" spans="1:11">
      <c r="A325" s="18" t="str">
        <f t="shared" si="11"/>
        <v/>
      </c>
      <c r="B325" s="13"/>
      <c r="C325" s="14"/>
      <c r="D325" s="3"/>
      <c r="E325" s="3"/>
      <c r="F325" s="14"/>
      <c r="G325" s="7">
        <f>RawObservationsTable[[#This Row],[Maturity Date]]-RawObservationsTable[[#This Row],[Timestamp]]</f>
        <v>0</v>
      </c>
      <c r="H325" s="2"/>
      <c r="I325" s="4"/>
      <c r="J325" s="5" t="str">
        <f>IF(OR(H325="",G325="",C325=""),"",LET(n,COUNTIFS(Bank_Rates!$A$2:$A$501,H325,Bank_Rates!$B$2:$B$501,"&lt;="&amp;C325),IF(n=0,"",LET(t,MAXIFS(Bank_Rates!$B$2:$B$501,Bank_Rates!$A$2:$A$501,H325,Bank_Rates!$B$2:$B$501,"&lt;="&amp;C325),m,COUNTIFS(Bank_Rates!$A$2:$A$501,H325,Bank_Rates!$B$2:$B$501,t,Bank_Rates!$D$2:$D$501,"&lt;="&amp;G325),IF(m=0,"",LET(d,MAXIFS(Bank_Rates!$D$2:$D$501,Bank_Rates!$A$2:$A$501,H325,Bank_Rates!$B$2:$B$501,t,Bank_Rates!$D$2:$D$501,"&lt;="&amp;G325),SUMIFS(Bank_Rates!$C$2:$C$501,Bank_Rates!$A$2:$A$501,H325,Bank_Rates!$B$2:$B$501,t,Bank_Rates!$D$2:$D$501,d)))))))</f>
        <v/>
      </c>
      <c r="K325" s="6" t="str">
        <f t="shared" si="10"/>
        <v/>
      </c>
    </row>
    <row r="326" spans="1:11">
      <c r="A326" s="18" t="str">
        <f t="shared" si="11"/>
        <v/>
      </c>
      <c r="B326" s="13"/>
      <c r="C326" s="14"/>
      <c r="D326" s="3"/>
      <c r="E326" s="3"/>
      <c r="F326" s="14"/>
      <c r="G326" s="7">
        <f>RawObservationsTable[[#This Row],[Maturity Date]]-RawObservationsTable[[#This Row],[Timestamp]]</f>
        <v>0</v>
      </c>
      <c r="H326" s="2"/>
      <c r="I326" s="4"/>
      <c r="J326" s="5" t="str">
        <f>IF(OR(H326="",G326="",C326=""),"",LET(n,COUNTIFS(Bank_Rates!$A$2:$A$501,H326,Bank_Rates!$B$2:$B$501,"&lt;="&amp;C326),IF(n=0,"",LET(t,MAXIFS(Bank_Rates!$B$2:$B$501,Bank_Rates!$A$2:$A$501,H326,Bank_Rates!$B$2:$B$501,"&lt;="&amp;C326),m,COUNTIFS(Bank_Rates!$A$2:$A$501,H326,Bank_Rates!$B$2:$B$501,t,Bank_Rates!$D$2:$D$501,"&lt;="&amp;G326),IF(m=0,"",LET(d,MAXIFS(Bank_Rates!$D$2:$D$501,Bank_Rates!$A$2:$A$501,H326,Bank_Rates!$B$2:$B$501,t,Bank_Rates!$D$2:$D$501,"&lt;="&amp;G326),SUMIFS(Bank_Rates!$C$2:$C$501,Bank_Rates!$A$2:$A$501,H326,Bank_Rates!$B$2:$B$501,t,Bank_Rates!$D$2:$D$501,d)))))))</f>
        <v/>
      </c>
      <c r="K326" s="6" t="str">
        <f t="shared" si="10"/>
        <v/>
      </c>
    </row>
    <row r="327" spans="1:11">
      <c r="A327" s="18" t="str">
        <f t="shared" si="11"/>
        <v/>
      </c>
      <c r="B327" s="13"/>
      <c r="C327" s="14"/>
      <c r="D327" s="3"/>
      <c r="E327" s="3"/>
      <c r="F327" s="14"/>
      <c r="G327" s="7">
        <f>RawObservationsTable[[#This Row],[Maturity Date]]-RawObservationsTable[[#This Row],[Timestamp]]</f>
        <v>0</v>
      </c>
      <c r="H327" s="2"/>
      <c r="I327" s="4"/>
      <c r="J327" s="5" t="str">
        <f>IF(OR(H327="",G327="",C327=""),"",LET(n,COUNTIFS(Bank_Rates!$A$2:$A$501,H327,Bank_Rates!$B$2:$B$501,"&lt;="&amp;C327),IF(n=0,"",LET(t,MAXIFS(Bank_Rates!$B$2:$B$501,Bank_Rates!$A$2:$A$501,H327,Bank_Rates!$B$2:$B$501,"&lt;="&amp;C327),m,COUNTIFS(Bank_Rates!$A$2:$A$501,H327,Bank_Rates!$B$2:$B$501,t,Bank_Rates!$D$2:$D$501,"&lt;="&amp;G327),IF(m=0,"",LET(d,MAXIFS(Bank_Rates!$D$2:$D$501,Bank_Rates!$A$2:$A$501,H327,Bank_Rates!$B$2:$B$501,t,Bank_Rates!$D$2:$D$501,"&lt;="&amp;G327),SUMIFS(Bank_Rates!$C$2:$C$501,Bank_Rates!$A$2:$A$501,H327,Bank_Rates!$B$2:$B$501,t,Bank_Rates!$D$2:$D$501,d)))))))</f>
        <v/>
      </c>
      <c r="K327" s="6" t="str">
        <f t="shared" si="10"/>
        <v/>
      </c>
    </row>
    <row r="328" spans="1:11">
      <c r="A328" s="18" t="str">
        <f t="shared" si="11"/>
        <v/>
      </c>
      <c r="B328" s="13"/>
      <c r="C328" s="14"/>
      <c r="D328" s="3"/>
      <c r="E328" s="3"/>
      <c r="F328" s="14"/>
      <c r="G328" s="7">
        <f>RawObservationsTable[[#This Row],[Maturity Date]]-RawObservationsTable[[#This Row],[Timestamp]]</f>
        <v>0</v>
      </c>
      <c r="H328" s="2"/>
      <c r="I328" s="4"/>
      <c r="J328" s="5" t="str">
        <f>IF(OR(H328="",G328="",C328=""),"",LET(n,COUNTIFS(Bank_Rates!$A$2:$A$501,H328,Bank_Rates!$B$2:$B$501,"&lt;="&amp;C328),IF(n=0,"",LET(t,MAXIFS(Bank_Rates!$B$2:$B$501,Bank_Rates!$A$2:$A$501,H328,Bank_Rates!$B$2:$B$501,"&lt;="&amp;C328),m,COUNTIFS(Bank_Rates!$A$2:$A$501,H328,Bank_Rates!$B$2:$B$501,t,Bank_Rates!$D$2:$D$501,"&lt;="&amp;G328),IF(m=0,"",LET(d,MAXIFS(Bank_Rates!$D$2:$D$501,Bank_Rates!$A$2:$A$501,H328,Bank_Rates!$B$2:$B$501,t,Bank_Rates!$D$2:$D$501,"&lt;="&amp;G328),SUMIFS(Bank_Rates!$C$2:$C$501,Bank_Rates!$A$2:$A$501,H328,Bank_Rates!$B$2:$B$501,t,Bank_Rates!$D$2:$D$501,d)))))))</f>
        <v/>
      </c>
      <c r="K328" s="6" t="str">
        <f t="shared" si="10"/>
        <v/>
      </c>
    </row>
    <row r="329" spans="1:11">
      <c r="A329" s="18" t="str">
        <f t="shared" si="11"/>
        <v/>
      </c>
      <c r="B329" s="13"/>
      <c r="C329" s="14"/>
      <c r="D329" s="3"/>
      <c r="E329" s="3"/>
      <c r="F329" s="14"/>
      <c r="G329" s="7">
        <f>RawObservationsTable[[#This Row],[Maturity Date]]-RawObservationsTable[[#This Row],[Timestamp]]</f>
        <v>0</v>
      </c>
      <c r="H329" s="2"/>
      <c r="I329" s="4"/>
      <c r="J329" s="5" t="str">
        <f>IF(OR(H329="",G329="",C329=""),"",LET(n,COUNTIFS(Bank_Rates!$A$2:$A$501,H329,Bank_Rates!$B$2:$B$501,"&lt;="&amp;C329),IF(n=0,"",LET(t,MAXIFS(Bank_Rates!$B$2:$B$501,Bank_Rates!$A$2:$A$501,H329,Bank_Rates!$B$2:$B$501,"&lt;="&amp;C329),m,COUNTIFS(Bank_Rates!$A$2:$A$501,H329,Bank_Rates!$B$2:$B$501,t,Bank_Rates!$D$2:$D$501,"&lt;="&amp;G329),IF(m=0,"",LET(d,MAXIFS(Bank_Rates!$D$2:$D$501,Bank_Rates!$A$2:$A$501,H329,Bank_Rates!$B$2:$B$501,t,Bank_Rates!$D$2:$D$501,"&lt;="&amp;G329),SUMIFS(Bank_Rates!$C$2:$C$501,Bank_Rates!$A$2:$A$501,H329,Bank_Rates!$B$2:$B$501,t,Bank_Rates!$D$2:$D$501,d)))))))</f>
        <v/>
      </c>
      <c r="K329" s="6" t="str">
        <f t="shared" si="10"/>
        <v/>
      </c>
    </row>
    <row r="330" spans="1:11">
      <c r="A330" s="18" t="str">
        <f t="shared" si="11"/>
        <v/>
      </c>
      <c r="B330" s="13"/>
      <c r="C330" s="14"/>
      <c r="D330" s="3"/>
      <c r="E330" s="3"/>
      <c r="F330" s="14"/>
      <c r="G330" s="7">
        <f>RawObservationsTable[[#This Row],[Maturity Date]]-RawObservationsTable[[#This Row],[Timestamp]]</f>
        <v>0</v>
      </c>
      <c r="H330" s="2"/>
      <c r="I330" s="4"/>
      <c r="J330" s="5" t="str">
        <f>IF(OR(H330="",G330="",C330=""),"",LET(n,COUNTIFS(Bank_Rates!$A$2:$A$501,H330,Bank_Rates!$B$2:$B$501,"&lt;="&amp;C330),IF(n=0,"",LET(t,MAXIFS(Bank_Rates!$B$2:$B$501,Bank_Rates!$A$2:$A$501,H330,Bank_Rates!$B$2:$B$501,"&lt;="&amp;C330),m,COUNTIFS(Bank_Rates!$A$2:$A$501,H330,Bank_Rates!$B$2:$B$501,t,Bank_Rates!$D$2:$D$501,"&lt;="&amp;G330),IF(m=0,"",LET(d,MAXIFS(Bank_Rates!$D$2:$D$501,Bank_Rates!$A$2:$A$501,H330,Bank_Rates!$B$2:$B$501,t,Bank_Rates!$D$2:$D$501,"&lt;="&amp;G330),SUMIFS(Bank_Rates!$C$2:$C$501,Bank_Rates!$A$2:$A$501,H330,Bank_Rates!$B$2:$B$501,t,Bank_Rates!$D$2:$D$501,d)))))))</f>
        <v/>
      </c>
      <c r="K330" s="6" t="str">
        <f t="shared" si="10"/>
        <v/>
      </c>
    </row>
    <row r="331" spans="1:11">
      <c r="A331" s="18" t="str">
        <f t="shared" si="11"/>
        <v/>
      </c>
      <c r="B331" s="13"/>
      <c r="C331" s="14"/>
      <c r="D331" s="3"/>
      <c r="E331" s="3"/>
      <c r="F331" s="14"/>
      <c r="G331" s="7">
        <f>RawObservationsTable[[#This Row],[Maturity Date]]-RawObservationsTable[[#This Row],[Timestamp]]</f>
        <v>0</v>
      </c>
      <c r="H331" s="2"/>
      <c r="I331" s="4"/>
      <c r="J331" s="5" t="str">
        <f>IF(OR(H331="",G331="",C331=""),"",LET(n,COUNTIFS(Bank_Rates!$A$2:$A$501,H331,Bank_Rates!$B$2:$B$501,"&lt;="&amp;C331),IF(n=0,"",LET(t,MAXIFS(Bank_Rates!$B$2:$B$501,Bank_Rates!$A$2:$A$501,H331,Bank_Rates!$B$2:$B$501,"&lt;="&amp;C331),m,COUNTIFS(Bank_Rates!$A$2:$A$501,H331,Bank_Rates!$B$2:$B$501,t,Bank_Rates!$D$2:$D$501,"&lt;="&amp;G331),IF(m=0,"",LET(d,MAXIFS(Bank_Rates!$D$2:$D$501,Bank_Rates!$A$2:$A$501,H331,Bank_Rates!$B$2:$B$501,t,Bank_Rates!$D$2:$D$501,"&lt;="&amp;G331),SUMIFS(Bank_Rates!$C$2:$C$501,Bank_Rates!$A$2:$A$501,H331,Bank_Rates!$B$2:$B$501,t,Bank_Rates!$D$2:$D$501,d)))))))</f>
        <v/>
      </c>
      <c r="K331" s="6" t="str">
        <f t="shared" si="10"/>
        <v/>
      </c>
    </row>
    <row r="332" spans="1:11">
      <c r="A332" s="18" t="str">
        <f t="shared" si="11"/>
        <v/>
      </c>
      <c r="B332" s="13"/>
      <c r="C332" s="14"/>
      <c r="D332" s="3"/>
      <c r="E332" s="3"/>
      <c r="F332" s="14"/>
      <c r="G332" s="7">
        <f>RawObservationsTable[[#This Row],[Maturity Date]]-RawObservationsTable[[#This Row],[Timestamp]]</f>
        <v>0</v>
      </c>
      <c r="H332" s="2"/>
      <c r="I332" s="4"/>
      <c r="J332" s="5" t="str">
        <f>IF(OR(H332="",G332="",C332=""),"",LET(n,COUNTIFS(Bank_Rates!$A$2:$A$501,H332,Bank_Rates!$B$2:$B$501,"&lt;="&amp;C332),IF(n=0,"",LET(t,MAXIFS(Bank_Rates!$B$2:$B$501,Bank_Rates!$A$2:$A$501,H332,Bank_Rates!$B$2:$B$501,"&lt;="&amp;C332),m,COUNTIFS(Bank_Rates!$A$2:$A$501,H332,Bank_Rates!$B$2:$B$501,t,Bank_Rates!$D$2:$D$501,"&lt;="&amp;G332),IF(m=0,"",LET(d,MAXIFS(Bank_Rates!$D$2:$D$501,Bank_Rates!$A$2:$A$501,H332,Bank_Rates!$B$2:$B$501,t,Bank_Rates!$D$2:$D$501,"&lt;="&amp;G332),SUMIFS(Bank_Rates!$C$2:$C$501,Bank_Rates!$A$2:$A$501,H332,Bank_Rates!$B$2:$B$501,t,Bank_Rates!$D$2:$D$501,d)))))))</f>
        <v/>
      </c>
      <c r="K332" s="6" t="str">
        <f t="shared" si="10"/>
        <v/>
      </c>
    </row>
    <row r="333" spans="1:11">
      <c r="A333" s="18" t="str">
        <f t="shared" si="11"/>
        <v/>
      </c>
      <c r="B333" s="13"/>
      <c r="C333" s="14"/>
      <c r="D333" s="3"/>
      <c r="E333" s="3"/>
      <c r="F333" s="14"/>
      <c r="G333" s="7">
        <f>RawObservationsTable[[#This Row],[Maturity Date]]-RawObservationsTable[[#This Row],[Timestamp]]</f>
        <v>0</v>
      </c>
      <c r="H333" s="2"/>
      <c r="I333" s="4"/>
      <c r="J333" s="5" t="str">
        <f>IF(OR(H333="",G333="",C333=""),"",LET(n,COUNTIFS(Bank_Rates!$A$2:$A$501,H333,Bank_Rates!$B$2:$B$501,"&lt;="&amp;C333),IF(n=0,"",LET(t,MAXIFS(Bank_Rates!$B$2:$B$501,Bank_Rates!$A$2:$A$501,H333,Bank_Rates!$B$2:$B$501,"&lt;="&amp;C333),m,COUNTIFS(Bank_Rates!$A$2:$A$501,H333,Bank_Rates!$B$2:$B$501,t,Bank_Rates!$D$2:$D$501,"&lt;="&amp;G333),IF(m=0,"",LET(d,MAXIFS(Bank_Rates!$D$2:$D$501,Bank_Rates!$A$2:$A$501,H333,Bank_Rates!$B$2:$B$501,t,Bank_Rates!$D$2:$D$501,"&lt;="&amp;G333),SUMIFS(Bank_Rates!$C$2:$C$501,Bank_Rates!$A$2:$A$501,H333,Bank_Rates!$B$2:$B$501,t,Bank_Rates!$D$2:$D$501,d)))))))</f>
        <v/>
      </c>
      <c r="K333" s="6" t="str">
        <f t="shared" si="10"/>
        <v/>
      </c>
    </row>
    <row r="334" spans="1:11">
      <c r="A334" s="18" t="str">
        <f t="shared" si="11"/>
        <v/>
      </c>
      <c r="B334" s="13"/>
      <c r="C334" s="14"/>
      <c r="D334" s="3"/>
      <c r="E334" s="3"/>
      <c r="F334" s="14"/>
      <c r="G334" s="7">
        <f>RawObservationsTable[[#This Row],[Maturity Date]]-RawObservationsTable[[#This Row],[Timestamp]]</f>
        <v>0</v>
      </c>
      <c r="H334" s="2"/>
      <c r="I334" s="4"/>
      <c r="J334" s="5" t="str">
        <f>IF(OR(H334="",G334="",C334=""),"",LET(n,COUNTIFS(Bank_Rates!$A$2:$A$501,H334,Bank_Rates!$B$2:$B$501,"&lt;="&amp;C334),IF(n=0,"",LET(t,MAXIFS(Bank_Rates!$B$2:$B$501,Bank_Rates!$A$2:$A$501,H334,Bank_Rates!$B$2:$B$501,"&lt;="&amp;C334),m,COUNTIFS(Bank_Rates!$A$2:$A$501,H334,Bank_Rates!$B$2:$B$501,t,Bank_Rates!$D$2:$D$501,"&lt;="&amp;G334),IF(m=0,"",LET(d,MAXIFS(Bank_Rates!$D$2:$D$501,Bank_Rates!$A$2:$A$501,H334,Bank_Rates!$B$2:$B$501,t,Bank_Rates!$D$2:$D$501,"&lt;="&amp;G334),SUMIFS(Bank_Rates!$C$2:$C$501,Bank_Rates!$A$2:$A$501,H334,Bank_Rates!$B$2:$B$501,t,Bank_Rates!$D$2:$D$501,d)))))))</f>
        <v/>
      </c>
      <c r="K334" s="6" t="str">
        <f t="shared" si="10"/>
        <v/>
      </c>
    </row>
    <row r="335" spans="1:11">
      <c r="A335" s="18" t="str">
        <f t="shared" si="11"/>
        <v/>
      </c>
      <c r="B335" s="13"/>
      <c r="C335" s="14"/>
      <c r="D335" s="3"/>
      <c r="E335" s="3"/>
      <c r="F335" s="14"/>
      <c r="G335" s="7">
        <f>RawObservationsTable[[#This Row],[Maturity Date]]-RawObservationsTable[[#This Row],[Timestamp]]</f>
        <v>0</v>
      </c>
      <c r="H335" s="2"/>
      <c r="I335" s="4"/>
      <c r="J335" s="5" t="str">
        <f>IF(OR(H335="",G335="",C335=""),"",LET(n,COUNTIFS(Bank_Rates!$A$2:$A$501,H335,Bank_Rates!$B$2:$B$501,"&lt;="&amp;C335),IF(n=0,"",LET(t,MAXIFS(Bank_Rates!$B$2:$B$501,Bank_Rates!$A$2:$A$501,H335,Bank_Rates!$B$2:$B$501,"&lt;="&amp;C335),m,COUNTIFS(Bank_Rates!$A$2:$A$501,H335,Bank_Rates!$B$2:$B$501,t,Bank_Rates!$D$2:$D$501,"&lt;="&amp;G335),IF(m=0,"",LET(d,MAXIFS(Bank_Rates!$D$2:$D$501,Bank_Rates!$A$2:$A$501,H335,Bank_Rates!$B$2:$B$501,t,Bank_Rates!$D$2:$D$501,"&lt;="&amp;G335),SUMIFS(Bank_Rates!$C$2:$C$501,Bank_Rates!$A$2:$A$501,H335,Bank_Rates!$B$2:$B$501,t,Bank_Rates!$D$2:$D$501,d)))))))</f>
        <v/>
      </c>
      <c r="K335" s="6" t="str">
        <f t="shared" si="10"/>
        <v/>
      </c>
    </row>
    <row r="336" spans="1:11">
      <c r="A336" s="18" t="str">
        <f t="shared" si="11"/>
        <v/>
      </c>
      <c r="B336" s="13"/>
      <c r="C336" s="14"/>
      <c r="D336" s="3"/>
      <c r="E336" s="3"/>
      <c r="F336" s="14"/>
      <c r="G336" s="7">
        <f>RawObservationsTable[[#This Row],[Maturity Date]]-RawObservationsTable[[#This Row],[Timestamp]]</f>
        <v>0</v>
      </c>
      <c r="H336" s="2"/>
      <c r="I336" s="4"/>
      <c r="J336" s="5" t="str">
        <f>IF(OR(H336="",G336="",C336=""),"",LET(n,COUNTIFS(Bank_Rates!$A$2:$A$501,H336,Bank_Rates!$B$2:$B$501,"&lt;="&amp;C336),IF(n=0,"",LET(t,MAXIFS(Bank_Rates!$B$2:$B$501,Bank_Rates!$A$2:$A$501,H336,Bank_Rates!$B$2:$B$501,"&lt;="&amp;C336),m,COUNTIFS(Bank_Rates!$A$2:$A$501,H336,Bank_Rates!$B$2:$B$501,t,Bank_Rates!$D$2:$D$501,"&lt;="&amp;G336),IF(m=0,"",LET(d,MAXIFS(Bank_Rates!$D$2:$D$501,Bank_Rates!$A$2:$A$501,H336,Bank_Rates!$B$2:$B$501,t,Bank_Rates!$D$2:$D$501,"&lt;="&amp;G336),SUMIFS(Bank_Rates!$C$2:$C$501,Bank_Rates!$A$2:$A$501,H336,Bank_Rates!$B$2:$B$501,t,Bank_Rates!$D$2:$D$501,d)))))))</f>
        <v/>
      </c>
      <c r="K336" s="6" t="str">
        <f t="shared" si="10"/>
        <v/>
      </c>
    </row>
    <row r="337" spans="1:11">
      <c r="A337" s="18" t="str">
        <f t="shared" si="11"/>
        <v/>
      </c>
      <c r="B337" s="13"/>
      <c r="C337" s="14"/>
      <c r="D337" s="3"/>
      <c r="E337" s="3"/>
      <c r="F337" s="14"/>
      <c r="G337" s="7">
        <f>RawObservationsTable[[#This Row],[Maturity Date]]-RawObservationsTable[[#This Row],[Timestamp]]</f>
        <v>0</v>
      </c>
      <c r="H337" s="2"/>
      <c r="I337" s="4"/>
      <c r="J337" s="5" t="str">
        <f>IF(OR(H337="",G337="",C337=""),"",LET(n,COUNTIFS(Bank_Rates!$A$2:$A$501,H337,Bank_Rates!$B$2:$B$501,"&lt;="&amp;C337),IF(n=0,"",LET(t,MAXIFS(Bank_Rates!$B$2:$B$501,Bank_Rates!$A$2:$A$501,H337,Bank_Rates!$B$2:$B$501,"&lt;="&amp;C337),m,COUNTIFS(Bank_Rates!$A$2:$A$501,H337,Bank_Rates!$B$2:$B$501,t,Bank_Rates!$D$2:$D$501,"&lt;="&amp;G337),IF(m=0,"",LET(d,MAXIFS(Bank_Rates!$D$2:$D$501,Bank_Rates!$A$2:$A$501,H337,Bank_Rates!$B$2:$B$501,t,Bank_Rates!$D$2:$D$501,"&lt;="&amp;G337),SUMIFS(Bank_Rates!$C$2:$C$501,Bank_Rates!$A$2:$A$501,H337,Bank_Rates!$B$2:$B$501,t,Bank_Rates!$D$2:$D$501,d)))))))</f>
        <v/>
      </c>
      <c r="K337" s="6" t="str">
        <f t="shared" si="10"/>
        <v/>
      </c>
    </row>
    <row r="338" spans="1:11">
      <c r="A338" s="18" t="str">
        <f t="shared" si="11"/>
        <v/>
      </c>
      <c r="B338" s="13"/>
      <c r="C338" s="14"/>
      <c r="D338" s="3"/>
      <c r="E338" s="3"/>
      <c r="F338" s="14"/>
      <c r="G338" s="7">
        <f>RawObservationsTable[[#This Row],[Maturity Date]]-RawObservationsTable[[#This Row],[Timestamp]]</f>
        <v>0</v>
      </c>
      <c r="H338" s="2"/>
      <c r="I338" s="4"/>
      <c r="J338" s="5" t="str">
        <f>IF(OR(H338="",G338="",C338=""),"",LET(n,COUNTIFS(Bank_Rates!$A$2:$A$501,H338,Bank_Rates!$B$2:$B$501,"&lt;="&amp;C338),IF(n=0,"",LET(t,MAXIFS(Bank_Rates!$B$2:$B$501,Bank_Rates!$A$2:$A$501,H338,Bank_Rates!$B$2:$B$501,"&lt;="&amp;C338),m,COUNTIFS(Bank_Rates!$A$2:$A$501,H338,Bank_Rates!$B$2:$B$501,t,Bank_Rates!$D$2:$D$501,"&lt;="&amp;G338),IF(m=0,"",LET(d,MAXIFS(Bank_Rates!$D$2:$D$501,Bank_Rates!$A$2:$A$501,H338,Bank_Rates!$B$2:$B$501,t,Bank_Rates!$D$2:$D$501,"&lt;="&amp;G338),SUMIFS(Bank_Rates!$C$2:$C$501,Bank_Rates!$A$2:$A$501,H338,Bank_Rates!$B$2:$B$501,t,Bank_Rates!$D$2:$D$501,d)))))))</f>
        <v/>
      </c>
      <c r="K338" s="6" t="str">
        <f t="shared" si="10"/>
        <v/>
      </c>
    </row>
    <row r="339" spans="1:11">
      <c r="A339" s="18" t="str">
        <f t="shared" si="11"/>
        <v/>
      </c>
      <c r="B339" s="13"/>
      <c r="C339" s="14"/>
      <c r="D339" s="3"/>
      <c r="E339" s="3"/>
      <c r="F339" s="14"/>
      <c r="G339" s="7">
        <f>RawObservationsTable[[#This Row],[Maturity Date]]-RawObservationsTable[[#This Row],[Timestamp]]</f>
        <v>0</v>
      </c>
      <c r="H339" s="2"/>
      <c r="I339" s="4"/>
      <c r="J339" s="5" t="str">
        <f>IF(OR(H339="",G339="",C339=""),"",LET(n,COUNTIFS(Bank_Rates!$A$2:$A$501,H339,Bank_Rates!$B$2:$B$501,"&lt;="&amp;C339),IF(n=0,"",LET(t,MAXIFS(Bank_Rates!$B$2:$B$501,Bank_Rates!$A$2:$A$501,H339,Bank_Rates!$B$2:$B$501,"&lt;="&amp;C339),m,COUNTIFS(Bank_Rates!$A$2:$A$501,H339,Bank_Rates!$B$2:$B$501,t,Bank_Rates!$D$2:$D$501,"&lt;="&amp;G339),IF(m=0,"",LET(d,MAXIFS(Bank_Rates!$D$2:$D$501,Bank_Rates!$A$2:$A$501,H339,Bank_Rates!$B$2:$B$501,t,Bank_Rates!$D$2:$D$501,"&lt;="&amp;G339),SUMIFS(Bank_Rates!$C$2:$C$501,Bank_Rates!$A$2:$A$501,H339,Bank_Rates!$B$2:$B$501,t,Bank_Rates!$D$2:$D$501,d)))))))</f>
        <v/>
      </c>
      <c r="K339" s="6" t="str">
        <f t="shared" si="10"/>
        <v/>
      </c>
    </row>
    <row r="340" spans="1:11">
      <c r="A340" s="18" t="str">
        <f t="shared" si="11"/>
        <v/>
      </c>
      <c r="B340" s="13"/>
      <c r="C340" s="14"/>
      <c r="D340" s="3"/>
      <c r="E340" s="3"/>
      <c r="F340" s="14"/>
      <c r="G340" s="7">
        <f>RawObservationsTable[[#This Row],[Maturity Date]]-RawObservationsTable[[#This Row],[Timestamp]]</f>
        <v>0</v>
      </c>
      <c r="H340" s="2"/>
      <c r="I340" s="4"/>
      <c r="J340" s="5" t="str">
        <f>IF(OR(H340="",G340="",C340=""),"",LET(n,COUNTIFS(Bank_Rates!$A$2:$A$501,H340,Bank_Rates!$B$2:$B$501,"&lt;="&amp;C340),IF(n=0,"",LET(t,MAXIFS(Bank_Rates!$B$2:$B$501,Bank_Rates!$A$2:$A$501,H340,Bank_Rates!$B$2:$B$501,"&lt;="&amp;C340),m,COUNTIFS(Bank_Rates!$A$2:$A$501,H340,Bank_Rates!$B$2:$B$501,t,Bank_Rates!$D$2:$D$501,"&lt;="&amp;G340),IF(m=0,"",LET(d,MAXIFS(Bank_Rates!$D$2:$D$501,Bank_Rates!$A$2:$A$501,H340,Bank_Rates!$B$2:$B$501,t,Bank_Rates!$D$2:$D$501,"&lt;="&amp;G340),SUMIFS(Bank_Rates!$C$2:$C$501,Bank_Rates!$A$2:$A$501,H340,Bank_Rates!$B$2:$B$501,t,Bank_Rates!$D$2:$D$501,d)))))))</f>
        <v/>
      </c>
      <c r="K340" s="6" t="str">
        <f t="shared" si="10"/>
        <v/>
      </c>
    </row>
    <row r="341" spans="1:11">
      <c r="A341" s="18" t="str">
        <f t="shared" si="11"/>
        <v/>
      </c>
      <c r="B341" s="13"/>
      <c r="C341" s="14"/>
      <c r="D341" s="3"/>
      <c r="E341" s="3"/>
      <c r="F341" s="14"/>
      <c r="G341" s="7">
        <f>RawObservationsTable[[#This Row],[Maturity Date]]-RawObservationsTable[[#This Row],[Timestamp]]</f>
        <v>0</v>
      </c>
      <c r="H341" s="2"/>
      <c r="I341" s="4"/>
      <c r="J341" s="5" t="str">
        <f>IF(OR(H341="",G341="",C341=""),"",LET(n,COUNTIFS(Bank_Rates!$A$2:$A$501,H341,Bank_Rates!$B$2:$B$501,"&lt;="&amp;C341),IF(n=0,"",LET(t,MAXIFS(Bank_Rates!$B$2:$B$501,Bank_Rates!$A$2:$A$501,H341,Bank_Rates!$B$2:$B$501,"&lt;="&amp;C341),m,COUNTIFS(Bank_Rates!$A$2:$A$501,H341,Bank_Rates!$B$2:$B$501,t,Bank_Rates!$D$2:$D$501,"&lt;="&amp;G341),IF(m=0,"",LET(d,MAXIFS(Bank_Rates!$D$2:$D$501,Bank_Rates!$A$2:$A$501,H341,Bank_Rates!$B$2:$B$501,t,Bank_Rates!$D$2:$D$501,"&lt;="&amp;G341),SUMIFS(Bank_Rates!$C$2:$C$501,Bank_Rates!$A$2:$A$501,H341,Bank_Rates!$B$2:$B$501,t,Bank_Rates!$D$2:$D$501,d)))))))</f>
        <v/>
      </c>
      <c r="K341" s="6" t="str">
        <f t="shared" si="10"/>
        <v/>
      </c>
    </row>
    <row r="342" spans="1:11">
      <c r="A342" s="18" t="str">
        <f t="shared" si="11"/>
        <v/>
      </c>
      <c r="B342" s="13"/>
      <c r="C342" s="14"/>
      <c r="D342" s="3"/>
      <c r="E342" s="3"/>
      <c r="F342" s="14"/>
      <c r="G342" s="7">
        <f>RawObservationsTable[[#This Row],[Maturity Date]]-RawObservationsTable[[#This Row],[Timestamp]]</f>
        <v>0</v>
      </c>
      <c r="H342" s="2"/>
      <c r="I342" s="4"/>
      <c r="J342" s="5" t="str">
        <f>IF(OR(H342="",G342="",C342=""),"",LET(n,COUNTIFS(Bank_Rates!$A$2:$A$501,H342,Bank_Rates!$B$2:$B$501,"&lt;="&amp;C342),IF(n=0,"",LET(t,MAXIFS(Bank_Rates!$B$2:$B$501,Bank_Rates!$A$2:$A$501,H342,Bank_Rates!$B$2:$B$501,"&lt;="&amp;C342),m,COUNTIFS(Bank_Rates!$A$2:$A$501,H342,Bank_Rates!$B$2:$B$501,t,Bank_Rates!$D$2:$D$501,"&lt;="&amp;G342),IF(m=0,"",LET(d,MAXIFS(Bank_Rates!$D$2:$D$501,Bank_Rates!$A$2:$A$501,H342,Bank_Rates!$B$2:$B$501,t,Bank_Rates!$D$2:$D$501,"&lt;="&amp;G342),SUMIFS(Bank_Rates!$C$2:$C$501,Bank_Rates!$A$2:$A$501,H342,Bank_Rates!$B$2:$B$501,t,Bank_Rates!$D$2:$D$501,d)))))))</f>
        <v/>
      </c>
      <c r="K342" s="6" t="str">
        <f t="shared" si="10"/>
        <v/>
      </c>
    </row>
    <row r="343" spans="1:11">
      <c r="A343" s="18" t="str">
        <f t="shared" si="11"/>
        <v/>
      </c>
      <c r="B343" s="13"/>
      <c r="C343" s="14"/>
      <c r="D343" s="3"/>
      <c r="E343" s="3"/>
      <c r="F343" s="14"/>
      <c r="G343" s="7">
        <f>RawObservationsTable[[#This Row],[Maturity Date]]-RawObservationsTable[[#This Row],[Timestamp]]</f>
        <v>0</v>
      </c>
      <c r="H343" s="2"/>
      <c r="I343" s="4"/>
      <c r="J343" s="5" t="str">
        <f>IF(OR(H343="",G343="",C343=""),"",LET(n,COUNTIFS(Bank_Rates!$A$2:$A$501,H343,Bank_Rates!$B$2:$B$501,"&lt;="&amp;C343),IF(n=0,"",LET(t,MAXIFS(Bank_Rates!$B$2:$B$501,Bank_Rates!$A$2:$A$501,H343,Bank_Rates!$B$2:$B$501,"&lt;="&amp;C343),m,COUNTIFS(Bank_Rates!$A$2:$A$501,H343,Bank_Rates!$B$2:$B$501,t,Bank_Rates!$D$2:$D$501,"&lt;="&amp;G343),IF(m=0,"",LET(d,MAXIFS(Bank_Rates!$D$2:$D$501,Bank_Rates!$A$2:$A$501,H343,Bank_Rates!$B$2:$B$501,t,Bank_Rates!$D$2:$D$501,"&lt;="&amp;G343),SUMIFS(Bank_Rates!$C$2:$C$501,Bank_Rates!$A$2:$A$501,H343,Bank_Rates!$B$2:$B$501,t,Bank_Rates!$D$2:$D$501,d)))))))</f>
        <v/>
      </c>
      <c r="K343" s="6" t="str">
        <f t="shared" si="10"/>
        <v/>
      </c>
    </row>
    <row r="344" spans="1:11">
      <c r="A344" s="18" t="str">
        <f t="shared" si="11"/>
        <v/>
      </c>
      <c r="B344" s="13"/>
      <c r="C344" s="14"/>
      <c r="D344" s="3"/>
      <c r="E344" s="3"/>
      <c r="F344" s="14"/>
      <c r="G344" s="7">
        <f>RawObservationsTable[[#This Row],[Maturity Date]]-RawObservationsTable[[#This Row],[Timestamp]]</f>
        <v>0</v>
      </c>
      <c r="H344" s="2"/>
      <c r="I344" s="4"/>
      <c r="J344" s="5" t="str">
        <f>IF(OR(H344="",G344="",C344=""),"",LET(n,COUNTIFS(Bank_Rates!$A$2:$A$501,H344,Bank_Rates!$B$2:$B$501,"&lt;="&amp;C344),IF(n=0,"",LET(t,MAXIFS(Bank_Rates!$B$2:$B$501,Bank_Rates!$A$2:$A$501,H344,Bank_Rates!$B$2:$B$501,"&lt;="&amp;C344),m,COUNTIFS(Bank_Rates!$A$2:$A$501,H344,Bank_Rates!$B$2:$B$501,t,Bank_Rates!$D$2:$D$501,"&lt;="&amp;G344),IF(m=0,"",LET(d,MAXIFS(Bank_Rates!$D$2:$D$501,Bank_Rates!$A$2:$A$501,H344,Bank_Rates!$B$2:$B$501,t,Bank_Rates!$D$2:$D$501,"&lt;="&amp;G344),SUMIFS(Bank_Rates!$C$2:$C$501,Bank_Rates!$A$2:$A$501,H344,Bank_Rates!$B$2:$B$501,t,Bank_Rates!$D$2:$D$501,d)))))))</f>
        <v/>
      </c>
      <c r="K344" s="6" t="str">
        <f t="shared" si="10"/>
        <v/>
      </c>
    </row>
    <row r="345" spans="1:11">
      <c r="A345" s="18" t="str">
        <f t="shared" si="11"/>
        <v/>
      </c>
      <c r="B345" s="13"/>
      <c r="C345" s="14"/>
      <c r="D345" s="3"/>
      <c r="E345" s="3"/>
      <c r="F345" s="14"/>
      <c r="G345" s="7">
        <f>RawObservationsTable[[#This Row],[Maturity Date]]-RawObservationsTable[[#This Row],[Timestamp]]</f>
        <v>0</v>
      </c>
      <c r="H345" s="2"/>
      <c r="I345" s="4"/>
      <c r="J345" s="5" t="str">
        <f>IF(OR(H345="",G345="",C345=""),"",LET(n,COUNTIFS(Bank_Rates!$A$2:$A$501,H345,Bank_Rates!$B$2:$B$501,"&lt;="&amp;C345),IF(n=0,"",LET(t,MAXIFS(Bank_Rates!$B$2:$B$501,Bank_Rates!$A$2:$A$501,H345,Bank_Rates!$B$2:$B$501,"&lt;="&amp;C345),m,COUNTIFS(Bank_Rates!$A$2:$A$501,H345,Bank_Rates!$B$2:$B$501,t,Bank_Rates!$D$2:$D$501,"&lt;="&amp;G345),IF(m=0,"",LET(d,MAXIFS(Bank_Rates!$D$2:$D$501,Bank_Rates!$A$2:$A$501,H345,Bank_Rates!$B$2:$B$501,t,Bank_Rates!$D$2:$D$501,"&lt;="&amp;G345),SUMIFS(Bank_Rates!$C$2:$C$501,Bank_Rates!$A$2:$A$501,H345,Bank_Rates!$B$2:$B$501,t,Bank_Rates!$D$2:$D$501,d)))))))</f>
        <v/>
      </c>
      <c r="K345" s="6" t="str">
        <f t="shared" si="10"/>
        <v/>
      </c>
    </row>
    <row r="346" spans="1:11">
      <c r="A346" s="18" t="str">
        <f t="shared" si="11"/>
        <v/>
      </c>
      <c r="B346" s="13"/>
      <c r="C346" s="14"/>
      <c r="D346" s="3"/>
      <c r="E346" s="3"/>
      <c r="F346" s="14"/>
      <c r="G346" s="7">
        <f>RawObservationsTable[[#This Row],[Maturity Date]]-RawObservationsTable[[#This Row],[Timestamp]]</f>
        <v>0</v>
      </c>
      <c r="H346" s="2"/>
      <c r="I346" s="4"/>
      <c r="J346" s="5" t="str">
        <f>IF(OR(H346="",G346="",C346=""),"",LET(n,COUNTIFS(Bank_Rates!$A$2:$A$501,H346,Bank_Rates!$B$2:$B$501,"&lt;="&amp;C346),IF(n=0,"",LET(t,MAXIFS(Bank_Rates!$B$2:$B$501,Bank_Rates!$A$2:$A$501,H346,Bank_Rates!$B$2:$B$501,"&lt;="&amp;C346),m,COUNTIFS(Bank_Rates!$A$2:$A$501,H346,Bank_Rates!$B$2:$B$501,t,Bank_Rates!$D$2:$D$501,"&lt;="&amp;G346),IF(m=0,"",LET(d,MAXIFS(Bank_Rates!$D$2:$D$501,Bank_Rates!$A$2:$A$501,H346,Bank_Rates!$B$2:$B$501,t,Bank_Rates!$D$2:$D$501,"&lt;="&amp;G346),SUMIFS(Bank_Rates!$C$2:$C$501,Bank_Rates!$A$2:$A$501,H346,Bank_Rates!$B$2:$B$501,t,Bank_Rates!$D$2:$D$501,d)))))))</f>
        <v/>
      </c>
      <c r="K346" s="6" t="str">
        <f t="shared" si="10"/>
        <v/>
      </c>
    </row>
    <row r="347" spans="1:11">
      <c r="A347" s="18" t="str">
        <f t="shared" si="11"/>
        <v/>
      </c>
      <c r="B347" s="13"/>
      <c r="C347" s="14"/>
      <c r="D347" s="3"/>
      <c r="E347" s="3"/>
      <c r="F347" s="14"/>
      <c r="G347" s="7">
        <f>RawObservationsTable[[#This Row],[Maturity Date]]-RawObservationsTable[[#This Row],[Timestamp]]</f>
        <v>0</v>
      </c>
      <c r="H347" s="2"/>
      <c r="I347" s="4"/>
      <c r="J347" s="5" t="str">
        <f>IF(OR(H347="",G347="",C347=""),"",LET(n,COUNTIFS(Bank_Rates!$A$2:$A$501,H347,Bank_Rates!$B$2:$B$501,"&lt;="&amp;C347),IF(n=0,"",LET(t,MAXIFS(Bank_Rates!$B$2:$B$501,Bank_Rates!$A$2:$A$501,H347,Bank_Rates!$B$2:$B$501,"&lt;="&amp;C347),m,COUNTIFS(Bank_Rates!$A$2:$A$501,H347,Bank_Rates!$B$2:$B$501,t,Bank_Rates!$D$2:$D$501,"&lt;="&amp;G347),IF(m=0,"",LET(d,MAXIFS(Bank_Rates!$D$2:$D$501,Bank_Rates!$A$2:$A$501,H347,Bank_Rates!$B$2:$B$501,t,Bank_Rates!$D$2:$D$501,"&lt;="&amp;G347),SUMIFS(Bank_Rates!$C$2:$C$501,Bank_Rates!$A$2:$A$501,H347,Bank_Rates!$B$2:$B$501,t,Bank_Rates!$D$2:$D$501,d)))))))</f>
        <v/>
      </c>
      <c r="K347" s="6" t="str">
        <f t="shared" si="10"/>
        <v/>
      </c>
    </row>
    <row r="348" spans="1:11">
      <c r="A348" s="18" t="str">
        <f t="shared" si="11"/>
        <v/>
      </c>
      <c r="B348" s="13"/>
      <c r="C348" s="14"/>
      <c r="D348" s="3"/>
      <c r="E348" s="3"/>
      <c r="F348" s="14"/>
      <c r="G348" s="7">
        <f>RawObservationsTable[[#This Row],[Maturity Date]]-RawObservationsTable[[#This Row],[Timestamp]]</f>
        <v>0</v>
      </c>
      <c r="H348" s="2"/>
      <c r="I348" s="4"/>
      <c r="J348" s="5" t="str">
        <f>IF(OR(H348="",G348="",C348=""),"",LET(n,COUNTIFS(Bank_Rates!$A$2:$A$501,H348,Bank_Rates!$B$2:$B$501,"&lt;="&amp;C348),IF(n=0,"",LET(t,MAXIFS(Bank_Rates!$B$2:$B$501,Bank_Rates!$A$2:$A$501,H348,Bank_Rates!$B$2:$B$501,"&lt;="&amp;C348),m,COUNTIFS(Bank_Rates!$A$2:$A$501,H348,Bank_Rates!$B$2:$B$501,t,Bank_Rates!$D$2:$D$501,"&lt;="&amp;G348),IF(m=0,"",LET(d,MAXIFS(Bank_Rates!$D$2:$D$501,Bank_Rates!$A$2:$A$501,H348,Bank_Rates!$B$2:$B$501,t,Bank_Rates!$D$2:$D$501,"&lt;="&amp;G348),SUMIFS(Bank_Rates!$C$2:$C$501,Bank_Rates!$A$2:$A$501,H348,Bank_Rates!$B$2:$B$501,t,Bank_Rates!$D$2:$D$501,d)))))))</f>
        <v/>
      </c>
      <c r="K348" s="6" t="str">
        <f t="shared" si="10"/>
        <v/>
      </c>
    </row>
    <row r="349" spans="1:11">
      <c r="A349" s="18" t="str">
        <f t="shared" si="11"/>
        <v/>
      </c>
      <c r="B349" s="13"/>
      <c r="C349" s="14"/>
      <c r="D349" s="3"/>
      <c r="E349" s="3"/>
      <c r="F349" s="14"/>
      <c r="G349" s="7">
        <f>RawObservationsTable[[#This Row],[Maturity Date]]-RawObservationsTable[[#This Row],[Timestamp]]</f>
        <v>0</v>
      </c>
      <c r="H349" s="2"/>
      <c r="I349" s="4"/>
      <c r="J349" s="5" t="str">
        <f>IF(OR(H349="",G349="",C349=""),"",LET(n,COUNTIFS(Bank_Rates!$A$2:$A$501,H349,Bank_Rates!$B$2:$B$501,"&lt;="&amp;C349),IF(n=0,"",LET(t,MAXIFS(Bank_Rates!$B$2:$B$501,Bank_Rates!$A$2:$A$501,H349,Bank_Rates!$B$2:$B$501,"&lt;="&amp;C349),m,COUNTIFS(Bank_Rates!$A$2:$A$501,H349,Bank_Rates!$B$2:$B$501,t,Bank_Rates!$D$2:$D$501,"&lt;="&amp;G349),IF(m=0,"",LET(d,MAXIFS(Bank_Rates!$D$2:$D$501,Bank_Rates!$A$2:$A$501,H349,Bank_Rates!$B$2:$B$501,t,Bank_Rates!$D$2:$D$501,"&lt;="&amp;G349),SUMIFS(Bank_Rates!$C$2:$C$501,Bank_Rates!$A$2:$A$501,H349,Bank_Rates!$B$2:$B$501,t,Bank_Rates!$D$2:$D$501,d)))))))</f>
        <v/>
      </c>
      <c r="K349" s="6" t="str">
        <f t="shared" si="10"/>
        <v/>
      </c>
    </row>
    <row r="350" spans="1:11">
      <c r="A350" s="18" t="str">
        <f t="shared" si="11"/>
        <v/>
      </c>
      <c r="B350" s="13"/>
      <c r="C350" s="14"/>
      <c r="D350" s="3"/>
      <c r="E350" s="3"/>
      <c r="F350" s="14"/>
      <c r="G350" s="7">
        <f>RawObservationsTable[[#This Row],[Maturity Date]]-RawObservationsTable[[#This Row],[Timestamp]]</f>
        <v>0</v>
      </c>
      <c r="H350" s="2"/>
      <c r="I350" s="4"/>
      <c r="J350" s="5" t="str">
        <f>IF(OR(H350="",G350="",C350=""),"",LET(n,COUNTIFS(Bank_Rates!$A$2:$A$501,H350,Bank_Rates!$B$2:$B$501,"&lt;="&amp;C350),IF(n=0,"",LET(t,MAXIFS(Bank_Rates!$B$2:$B$501,Bank_Rates!$A$2:$A$501,H350,Bank_Rates!$B$2:$B$501,"&lt;="&amp;C350),m,COUNTIFS(Bank_Rates!$A$2:$A$501,H350,Bank_Rates!$B$2:$B$501,t,Bank_Rates!$D$2:$D$501,"&lt;="&amp;G350),IF(m=0,"",LET(d,MAXIFS(Bank_Rates!$D$2:$D$501,Bank_Rates!$A$2:$A$501,H350,Bank_Rates!$B$2:$B$501,t,Bank_Rates!$D$2:$D$501,"&lt;="&amp;G350),SUMIFS(Bank_Rates!$C$2:$C$501,Bank_Rates!$A$2:$A$501,H350,Bank_Rates!$B$2:$B$501,t,Bank_Rates!$D$2:$D$501,d)))))))</f>
        <v/>
      </c>
      <c r="K350" s="6" t="str">
        <f t="shared" si="10"/>
        <v/>
      </c>
    </row>
    <row r="351" spans="1:11">
      <c r="A351" s="18" t="str">
        <f t="shared" si="11"/>
        <v/>
      </c>
      <c r="B351" s="13"/>
      <c r="C351" s="14"/>
      <c r="D351" s="3"/>
      <c r="E351" s="3"/>
      <c r="F351" s="14"/>
      <c r="G351" s="7">
        <f>RawObservationsTable[[#This Row],[Maturity Date]]-RawObservationsTable[[#This Row],[Timestamp]]</f>
        <v>0</v>
      </c>
      <c r="H351" s="2"/>
      <c r="I351" s="4"/>
      <c r="J351" s="5" t="str">
        <f>IF(OR(H351="",G351="",C351=""),"",LET(n,COUNTIFS(Bank_Rates!$A$2:$A$501,H351,Bank_Rates!$B$2:$B$501,"&lt;="&amp;C351),IF(n=0,"",LET(t,MAXIFS(Bank_Rates!$B$2:$B$501,Bank_Rates!$A$2:$A$501,H351,Bank_Rates!$B$2:$B$501,"&lt;="&amp;C351),m,COUNTIFS(Bank_Rates!$A$2:$A$501,H351,Bank_Rates!$B$2:$B$501,t,Bank_Rates!$D$2:$D$501,"&lt;="&amp;G351),IF(m=0,"",LET(d,MAXIFS(Bank_Rates!$D$2:$D$501,Bank_Rates!$A$2:$A$501,H351,Bank_Rates!$B$2:$B$501,t,Bank_Rates!$D$2:$D$501,"&lt;="&amp;G351),SUMIFS(Bank_Rates!$C$2:$C$501,Bank_Rates!$A$2:$A$501,H351,Bank_Rates!$B$2:$B$501,t,Bank_Rates!$D$2:$D$501,d)))))))</f>
        <v/>
      </c>
      <c r="K351" s="6" t="str">
        <f t="shared" si="10"/>
        <v/>
      </c>
    </row>
    <row r="352" spans="1:11">
      <c r="A352" s="18" t="str">
        <f t="shared" si="11"/>
        <v/>
      </c>
      <c r="B352" s="13"/>
      <c r="C352" s="14"/>
      <c r="D352" s="3"/>
      <c r="E352" s="3"/>
      <c r="F352" s="14"/>
      <c r="G352" s="7">
        <f>RawObservationsTable[[#This Row],[Maturity Date]]-RawObservationsTable[[#This Row],[Timestamp]]</f>
        <v>0</v>
      </c>
      <c r="H352" s="2"/>
      <c r="I352" s="4"/>
      <c r="J352" s="5" t="str">
        <f>IF(OR(H352="",G352="",C352=""),"",LET(n,COUNTIFS(Bank_Rates!$A$2:$A$501,H352,Bank_Rates!$B$2:$B$501,"&lt;="&amp;C352),IF(n=0,"",LET(t,MAXIFS(Bank_Rates!$B$2:$B$501,Bank_Rates!$A$2:$A$501,H352,Bank_Rates!$B$2:$B$501,"&lt;="&amp;C352),m,COUNTIFS(Bank_Rates!$A$2:$A$501,H352,Bank_Rates!$B$2:$B$501,t,Bank_Rates!$D$2:$D$501,"&lt;="&amp;G352),IF(m=0,"",LET(d,MAXIFS(Bank_Rates!$D$2:$D$501,Bank_Rates!$A$2:$A$501,H352,Bank_Rates!$B$2:$B$501,t,Bank_Rates!$D$2:$D$501,"&lt;="&amp;G352),SUMIFS(Bank_Rates!$C$2:$C$501,Bank_Rates!$A$2:$A$501,H352,Bank_Rates!$B$2:$B$501,t,Bank_Rates!$D$2:$D$501,d)))))))</f>
        <v/>
      </c>
      <c r="K352" s="6" t="str">
        <f t="shared" si="10"/>
        <v/>
      </c>
    </row>
    <row r="353" spans="1:11">
      <c r="A353" s="18" t="str">
        <f t="shared" si="11"/>
        <v/>
      </c>
      <c r="B353" s="13"/>
      <c r="C353" s="14"/>
      <c r="D353" s="3"/>
      <c r="E353" s="3"/>
      <c r="F353" s="14"/>
      <c r="G353" s="7">
        <f>RawObservationsTable[[#This Row],[Maturity Date]]-RawObservationsTable[[#This Row],[Timestamp]]</f>
        <v>0</v>
      </c>
      <c r="H353" s="2"/>
      <c r="I353" s="4"/>
      <c r="J353" s="5" t="str">
        <f>IF(OR(H353="",G353="",C353=""),"",LET(n,COUNTIFS(Bank_Rates!$A$2:$A$501,H353,Bank_Rates!$B$2:$B$501,"&lt;="&amp;C353),IF(n=0,"",LET(t,MAXIFS(Bank_Rates!$B$2:$B$501,Bank_Rates!$A$2:$A$501,H353,Bank_Rates!$B$2:$B$501,"&lt;="&amp;C353),m,COUNTIFS(Bank_Rates!$A$2:$A$501,H353,Bank_Rates!$B$2:$B$501,t,Bank_Rates!$D$2:$D$501,"&lt;="&amp;G353),IF(m=0,"",LET(d,MAXIFS(Bank_Rates!$D$2:$D$501,Bank_Rates!$A$2:$A$501,H353,Bank_Rates!$B$2:$B$501,t,Bank_Rates!$D$2:$D$501,"&lt;="&amp;G353),SUMIFS(Bank_Rates!$C$2:$C$501,Bank_Rates!$A$2:$A$501,H353,Bank_Rates!$B$2:$B$501,t,Bank_Rates!$D$2:$D$501,d)))))))</f>
        <v/>
      </c>
      <c r="K353" s="6" t="str">
        <f t="shared" si="10"/>
        <v/>
      </c>
    </row>
    <row r="354" spans="1:11">
      <c r="A354" s="18" t="str">
        <f t="shared" si="11"/>
        <v/>
      </c>
      <c r="B354" s="13"/>
      <c r="C354" s="14"/>
      <c r="D354" s="3"/>
      <c r="E354" s="3"/>
      <c r="F354" s="14"/>
      <c r="G354" s="7">
        <f>RawObservationsTable[[#This Row],[Maturity Date]]-RawObservationsTable[[#This Row],[Timestamp]]</f>
        <v>0</v>
      </c>
      <c r="H354" s="2"/>
      <c r="I354" s="4"/>
      <c r="J354" s="5" t="str">
        <f>IF(OR(H354="",G354="",C354=""),"",LET(n,COUNTIFS(Bank_Rates!$A$2:$A$501,H354,Bank_Rates!$B$2:$B$501,"&lt;="&amp;C354),IF(n=0,"",LET(t,MAXIFS(Bank_Rates!$B$2:$B$501,Bank_Rates!$A$2:$A$501,H354,Bank_Rates!$B$2:$B$501,"&lt;="&amp;C354),m,COUNTIFS(Bank_Rates!$A$2:$A$501,H354,Bank_Rates!$B$2:$B$501,t,Bank_Rates!$D$2:$D$501,"&lt;="&amp;G354),IF(m=0,"",LET(d,MAXIFS(Bank_Rates!$D$2:$D$501,Bank_Rates!$A$2:$A$501,H354,Bank_Rates!$B$2:$B$501,t,Bank_Rates!$D$2:$D$501,"&lt;="&amp;G354),SUMIFS(Bank_Rates!$C$2:$C$501,Bank_Rates!$A$2:$A$501,H354,Bank_Rates!$B$2:$B$501,t,Bank_Rates!$D$2:$D$501,d)))))))</f>
        <v/>
      </c>
      <c r="K354" s="6" t="str">
        <f t="shared" si="10"/>
        <v/>
      </c>
    </row>
    <row r="355" spans="1:11">
      <c r="A355" s="18" t="str">
        <f t="shared" si="11"/>
        <v/>
      </c>
      <c r="B355" s="13"/>
      <c r="C355" s="14"/>
      <c r="D355" s="3"/>
      <c r="E355" s="3"/>
      <c r="F355" s="14"/>
      <c r="G355" s="7">
        <f>RawObservationsTable[[#This Row],[Maturity Date]]-RawObservationsTable[[#This Row],[Timestamp]]</f>
        <v>0</v>
      </c>
      <c r="H355" s="2"/>
      <c r="I355" s="4"/>
      <c r="J355" s="5" t="str">
        <f>IF(OR(H355="",G355="",C355=""),"",LET(n,COUNTIFS(Bank_Rates!$A$2:$A$501,H355,Bank_Rates!$B$2:$B$501,"&lt;="&amp;C355),IF(n=0,"",LET(t,MAXIFS(Bank_Rates!$B$2:$B$501,Bank_Rates!$A$2:$A$501,H355,Bank_Rates!$B$2:$B$501,"&lt;="&amp;C355),m,COUNTIFS(Bank_Rates!$A$2:$A$501,H355,Bank_Rates!$B$2:$B$501,t,Bank_Rates!$D$2:$D$501,"&lt;="&amp;G355),IF(m=0,"",LET(d,MAXIFS(Bank_Rates!$D$2:$D$501,Bank_Rates!$A$2:$A$501,H355,Bank_Rates!$B$2:$B$501,t,Bank_Rates!$D$2:$D$501,"&lt;="&amp;G355),SUMIFS(Bank_Rates!$C$2:$C$501,Bank_Rates!$A$2:$A$501,H355,Bank_Rates!$B$2:$B$501,t,Bank_Rates!$D$2:$D$501,d)))))))</f>
        <v/>
      </c>
      <c r="K355" s="6" t="str">
        <f t="shared" si="10"/>
        <v/>
      </c>
    </row>
    <row r="356" spans="1:11">
      <c r="A356" s="18" t="str">
        <f t="shared" si="11"/>
        <v/>
      </c>
      <c r="B356" s="13"/>
      <c r="C356" s="14"/>
      <c r="D356" s="3"/>
      <c r="E356" s="3"/>
      <c r="F356" s="14"/>
      <c r="G356" s="7">
        <f>RawObservationsTable[[#This Row],[Maturity Date]]-RawObservationsTable[[#This Row],[Timestamp]]</f>
        <v>0</v>
      </c>
      <c r="H356" s="2"/>
      <c r="I356" s="4"/>
      <c r="J356" s="5" t="str">
        <f>IF(OR(H356="",G356="",C356=""),"",LET(n,COUNTIFS(Bank_Rates!$A$2:$A$501,H356,Bank_Rates!$B$2:$B$501,"&lt;="&amp;C356),IF(n=0,"",LET(t,MAXIFS(Bank_Rates!$B$2:$B$501,Bank_Rates!$A$2:$A$501,H356,Bank_Rates!$B$2:$B$501,"&lt;="&amp;C356),m,COUNTIFS(Bank_Rates!$A$2:$A$501,H356,Bank_Rates!$B$2:$B$501,t,Bank_Rates!$D$2:$D$501,"&lt;="&amp;G356),IF(m=0,"",LET(d,MAXIFS(Bank_Rates!$D$2:$D$501,Bank_Rates!$A$2:$A$501,H356,Bank_Rates!$B$2:$B$501,t,Bank_Rates!$D$2:$D$501,"&lt;="&amp;G356),SUMIFS(Bank_Rates!$C$2:$C$501,Bank_Rates!$A$2:$A$501,H356,Bank_Rates!$B$2:$B$501,t,Bank_Rates!$D$2:$D$501,d)))))))</f>
        <v/>
      </c>
      <c r="K356" s="6" t="str">
        <f t="shared" si="10"/>
        <v/>
      </c>
    </row>
    <row r="357" spans="1:11">
      <c r="A357" s="18" t="str">
        <f t="shared" si="11"/>
        <v/>
      </c>
      <c r="B357" s="13"/>
      <c r="C357" s="14"/>
      <c r="D357" s="3"/>
      <c r="E357" s="3"/>
      <c r="F357" s="14"/>
      <c r="G357" s="7">
        <f>RawObservationsTable[[#This Row],[Maturity Date]]-RawObservationsTable[[#This Row],[Timestamp]]</f>
        <v>0</v>
      </c>
      <c r="H357" s="2"/>
      <c r="I357" s="4"/>
      <c r="J357" s="5" t="str">
        <f>IF(OR(H357="",G357="",C357=""),"",LET(n,COUNTIFS(Bank_Rates!$A$2:$A$501,H357,Bank_Rates!$B$2:$B$501,"&lt;="&amp;C357),IF(n=0,"",LET(t,MAXIFS(Bank_Rates!$B$2:$B$501,Bank_Rates!$A$2:$A$501,H357,Bank_Rates!$B$2:$B$501,"&lt;="&amp;C357),m,COUNTIFS(Bank_Rates!$A$2:$A$501,H357,Bank_Rates!$B$2:$B$501,t,Bank_Rates!$D$2:$D$501,"&lt;="&amp;G357),IF(m=0,"",LET(d,MAXIFS(Bank_Rates!$D$2:$D$501,Bank_Rates!$A$2:$A$501,H357,Bank_Rates!$B$2:$B$501,t,Bank_Rates!$D$2:$D$501,"&lt;="&amp;G357),SUMIFS(Bank_Rates!$C$2:$C$501,Bank_Rates!$A$2:$A$501,H357,Bank_Rates!$B$2:$B$501,t,Bank_Rates!$D$2:$D$501,d)))))))</f>
        <v/>
      </c>
      <c r="K357" s="6" t="str">
        <f t="shared" si="10"/>
        <v/>
      </c>
    </row>
    <row r="358" spans="1:11">
      <c r="A358" s="18" t="str">
        <f t="shared" si="11"/>
        <v/>
      </c>
      <c r="B358" s="13"/>
      <c r="C358" s="14"/>
      <c r="D358" s="3"/>
      <c r="E358" s="3"/>
      <c r="F358" s="14"/>
      <c r="G358" s="7">
        <f>RawObservationsTable[[#This Row],[Maturity Date]]-RawObservationsTable[[#This Row],[Timestamp]]</f>
        <v>0</v>
      </c>
      <c r="H358" s="2"/>
      <c r="I358" s="4"/>
      <c r="J358" s="5" t="str">
        <f>IF(OR(H358="",G358="",C358=""),"",LET(n,COUNTIFS(Bank_Rates!$A$2:$A$501,H358,Bank_Rates!$B$2:$B$501,"&lt;="&amp;C358),IF(n=0,"",LET(t,MAXIFS(Bank_Rates!$B$2:$B$501,Bank_Rates!$A$2:$A$501,H358,Bank_Rates!$B$2:$B$501,"&lt;="&amp;C358),m,COUNTIFS(Bank_Rates!$A$2:$A$501,H358,Bank_Rates!$B$2:$B$501,t,Bank_Rates!$D$2:$D$501,"&lt;="&amp;G358),IF(m=0,"",LET(d,MAXIFS(Bank_Rates!$D$2:$D$501,Bank_Rates!$A$2:$A$501,H358,Bank_Rates!$B$2:$B$501,t,Bank_Rates!$D$2:$D$501,"&lt;="&amp;G358),SUMIFS(Bank_Rates!$C$2:$C$501,Bank_Rates!$A$2:$A$501,H358,Bank_Rates!$B$2:$B$501,t,Bank_Rates!$D$2:$D$501,d)))))))</f>
        <v/>
      </c>
      <c r="K358" s="6" t="str">
        <f t="shared" si="10"/>
        <v/>
      </c>
    </row>
    <row r="359" spans="1:11">
      <c r="A359" s="18" t="str">
        <f t="shared" si="11"/>
        <v/>
      </c>
      <c r="B359" s="13"/>
      <c r="C359" s="14"/>
      <c r="D359" s="3"/>
      <c r="E359" s="3"/>
      <c r="F359" s="14"/>
      <c r="G359" s="7">
        <f>RawObservationsTable[[#This Row],[Maturity Date]]-RawObservationsTable[[#This Row],[Timestamp]]</f>
        <v>0</v>
      </c>
      <c r="H359" s="2"/>
      <c r="I359" s="4"/>
      <c r="J359" s="5" t="str">
        <f>IF(OR(H359="",G359="",C359=""),"",LET(n,COUNTIFS(Bank_Rates!$A$2:$A$501,H359,Bank_Rates!$B$2:$B$501,"&lt;="&amp;C359),IF(n=0,"",LET(t,MAXIFS(Bank_Rates!$B$2:$B$501,Bank_Rates!$A$2:$A$501,H359,Bank_Rates!$B$2:$B$501,"&lt;="&amp;C359),m,COUNTIFS(Bank_Rates!$A$2:$A$501,H359,Bank_Rates!$B$2:$B$501,t,Bank_Rates!$D$2:$D$501,"&lt;="&amp;G359),IF(m=0,"",LET(d,MAXIFS(Bank_Rates!$D$2:$D$501,Bank_Rates!$A$2:$A$501,H359,Bank_Rates!$B$2:$B$501,t,Bank_Rates!$D$2:$D$501,"&lt;="&amp;G359),SUMIFS(Bank_Rates!$C$2:$C$501,Bank_Rates!$A$2:$A$501,H359,Bank_Rates!$B$2:$B$501,t,Bank_Rates!$D$2:$D$501,d)))))))</f>
        <v/>
      </c>
      <c r="K359" s="6" t="str">
        <f t="shared" si="10"/>
        <v/>
      </c>
    </row>
    <row r="360" spans="1:11">
      <c r="A360" s="18" t="str">
        <f t="shared" si="11"/>
        <v/>
      </c>
      <c r="B360" s="13"/>
      <c r="C360" s="14"/>
      <c r="D360" s="3"/>
      <c r="E360" s="3"/>
      <c r="F360" s="14"/>
      <c r="G360" s="7">
        <f>RawObservationsTable[[#This Row],[Maturity Date]]-RawObservationsTable[[#This Row],[Timestamp]]</f>
        <v>0</v>
      </c>
      <c r="H360" s="2"/>
      <c r="I360" s="4"/>
      <c r="J360" s="5" t="str">
        <f>IF(OR(H360="",G360="",C360=""),"",LET(n,COUNTIFS(Bank_Rates!$A$2:$A$501,H360,Bank_Rates!$B$2:$B$501,"&lt;="&amp;C360),IF(n=0,"",LET(t,MAXIFS(Bank_Rates!$B$2:$B$501,Bank_Rates!$A$2:$A$501,H360,Bank_Rates!$B$2:$B$501,"&lt;="&amp;C360),m,COUNTIFS(Bank_Rates!$A$2:$A$501,H360,Bank_Rates!$B$2:$B$501,t,Bank_Rates!$D$2:$D$501,"&lt;="&amp;G360),IF(m=0,"",LET(d,MAXIFS(Bank_Rates!$D$2:$D$501,Bank_Rates!$A$2:$A$501,H360,Bank_Rates!$B$2:$B$501,t,Bank_Rates!$D$2:$D$501,"&lt;="&amp;G360),SUMIFS(Bank_Rates!$C$2:$C$501,Bank_Rates!$A$2:$A$501,H360,Bank_Rates!$B$2:$B$501,t,Bank_Rates!$D$2:$D$501,d)))))))</f>
        <v/>
      </c>
      <c r="K360" s="6" t="str">
        <f t="shared" si="10"/>
        <v/>
      </c>
    </row>
    <row r="361" spans="1:11">
      <c r="A361" s="18" t="str">
        <f t="shared" si="11"/>
        <v/>
      </c>
      <c r="B361" s="13"/>
      <c r="C361" s="14"/>
      <c r="D361" s="3"/>
      <c r="E361" s="3"/>
      <c r="F361" s="14"/>
      <c r="G361" s="7">
        <f>RawObservationsTable[[#This Row],[Maturity Date]]-RawObservationsTable[[#This Row],[Timestamp]]</f>
        <v>0</v>
      </c>
      <c r="H361" s="2"/>
      <c r="I361" s="4"/>
      <c r="J361" s="5" t="str">
        <f>IF(OR(H361="",G361="",C361=""),"",LET(n,COUNTIFS(Bank_Rates!$A$2:$A$501,H361,Bank_Rates!$B$2:$B$501,"&lt;="&amp;C361),IF(n=0,"",LET(t,MAXIFS(Bank_Rates!$B$2:$B$501,Bank_Rates!$A$2:$A$501,H361,Bank_Rates!$B$2:$B$501,"&lt;="&amp;C361),m,COUNTIFS(Bank_Rates!$A$2:$A$501,H361,Bank_Rates!$B$2:$B$501,t,Bank_Rates!$D$2:$D$501,"&lt;="&amp;G361),IF(m=0,"",LET(d,MAXIFS(Bank_Rates!$D$2:$D$501,Bank_Rates!$A$2:$A$501,H361,Bank_Rates!$B$2:$B$501,t,Bank_Rates!$D$2:$D$501,"&lt;="&amp;G361),SUMIFS(Bank_Rates!$C$2:$C$501,Bank_Rates!$A$2:$A$501,H361,Bank_Rates!$B$2:$B$501,t,Bank_Rates!$D$2:$D$501,d)))))))</f>
        <v/>
      </c>
      <c r="K361" s="6" t="str">
        <f t="shared" si="10"/>
        <v/>
      </c>
    </row>
    <row r="362" spans="1:11">
      <c r="A362" s="18" t="str">
        <f t="shared" si="11"/>
        <v/>
      </c>
      <c r="B362" s="13"/>
      <c r="C362" s="14"/>
      <c r="D362" s="3"/>
      <c r="E362" s="3"/>
      <c r="F362" s="14"/>
      <c r="G362" s="7">
        <f>RawObservationsTable[[#This Row],[Maturity Date]]-RawObservationsTable[[#This Row],[Timestamp]]</f>
        <v>0</v>
      </c>
      <c r="H362" s="2"/>
      <c r="I362" s="4"/>
      <c r="J362" s="5" t="str">
        <f>IF(OR(H362="",G362="",C362=""),"",LET(n,COUNTIFS(Bank_Rates!$A$2:$A$501,H362,Bank_Rates!$B$2:$B$501,"&lt;="&amp;C362),IF(n=0,"",LET(t,MAXIFS(Bank_Rates!$B$2:$B$501,Bank_Rates!$A$2:$A$501,H362,Bank_Rates!$B$2:$B$501,"&lt;="&amp;C362),m,COUNTIFS(Bank_Rates!$A$2:$A$501,H362,Bank_Rates!$B$2:$B$501,t,Bank_Rates!$D$2:$D$501,"&lt;="&amp;G362),IF(m=0,"",LET(d,MAXIFS(Bank_Rates!$D$2:$D$501,Bank_Rates!$A$2:$A$501,H362,Bank_Rates!$B$2:$B$501,t,Bank_Rates!$D$2:$D$501,"&lt;="&amp;G362),SUMIFS(Bank_Rates!$C$2:$C$501,Bank_Rates!$A$2:$A$501,H362,Bank_Rates!$B$2:$B$501,t,Bank_Rates!$D$2:$D$501,d)))))))</f>
        <v/>
      </c>
      <c r="K362" s="6" t="str">
        <f t="shared" si="10"/>
        <v/>
      </c>
    </row>
    <row r="363" spans="1:11">
      <c r="A363" s="18" t="str">
        <f t="shared" si="11"/>
        <v/>
      </c>
      <c r="B363" s="13"/>
      <c r="C363" s="14"/>
      <c r="D363" s="3"/>
      <c r="E363" s="3"/>
      <c r="F363" s="14"/>
      <c r="G363" s="7">
        <f>RawObservationsTable[[#This Row],[Maturity Date]]-RawObservationsTable[[#This Row],[Timestamp]]</f>
        <v>0</v>
      </c>
      <c r="H363" s="2"/>
      <c r="I363" s="4"/>
      <c r="J363" s="5" t="str">
        <f>IF(OR(H363="",G363="",C363=""),"",LET(n,COUNTIFS(Bank_Rates!$A$2:$A$501,H363,Bank_Rates!$B$2:$B$501,"&lt;="&amp;C363),IF(n=0,"",LET(t,MAXIFS(Bank_Rates!$B$2:$B$501,Bank_Rates!$A$2:$A$501,H363,Bank_Rates!$B$2:$B$501,"&lt;="&amp;C363),m,COUNTIFS(Bank_Rates!$A$2:$A$501,H363,Bank_Rates!$B$2:$B$501,t,Bank_Rates!$D$2:$D$501,"&lt;="&amp;G363),IF(m=0,"",LET(d,MAXIFS(Bank_Rates!$D$2:$D$501,Bank_Rates!$A$2:$A$501,H363,Bank_Rates!$B$2:$B$501,t,Bank_Rates!$D$2:$D$501,"&lt;="&amp;G363),SUMIFS(Bank_Rates!$C$2:$C$501,Bank_Rates!$A$2:$A$501,H363,Bank_Rates!$B$2:$B$501,t,Bank_Rates!$D$2:$D$501,d)))))))</f>
        <v/>
      </c>
      <c r="K363" s="6" t="str">
        <f t="shared" si="10"/>
        <v/>
      </c>
    </row>
    <row r="364" spans="1:11">
      <c r="A364" s="18" t="str">
        <f t="shared" si="11"/>
        <v/>
      </c>
      <c r="B364" s="13"/>
      <c r="C364" s="14"/>
      <c r="D364" s="3"/>
      <c r="E364" s="3"/>
      <c r="F364" s="14"/>
      <c r="G364" s="7">
        <f>RawObservationsTable[[#This Row],[Maturity Date]]-RawObservationsTable[[#This Row],[Timestamp]]</f>
        <v>0</v>
      </c>
      <c r="H364" s="2"/>
      <c r="I364" s="4"/>
      <c r="J364" s="5" t="str">
        <f>IF(OR(H364="",G364="",C364=""),"",LET(n,COUNTIFS(Bank_Rates!$A$2:$A$501,H364,Bank_Rates!$B$2:$B$501,"&lt;="&amp;C364),IF(n=0,"",LET(t,MAXIFS(Bank_Rates!$B$2:$B$501,Bank_Rates!$A$2:$A$501,H364,Bank_Rates!$B$2:$B$501,"&lt;="&amp;C364),m,COUNTIFS(Bank_Rates!$A$2:$A$501,H364,Bank_Rates!$B$2:$B$501,t,Bank_Rates!$D$2:$D$501,"&lt;="&amp;G364),IF(m=0,"",LET(d,MAXIFS(Bank_Rates!$D$2:$D$501,Bank_Rates!$A$2:$A$501,H364,Bank_Rates!$B$2:$B$501,t,Bank_Rates!$D$2:$D$501,"&lt;="&amp;G364),SUMIFS(Bank_Rates!$C$2:$C$501,Bank_Rates!$A$2:$A$501,H364,Bank_Rates!$B$2:$B$501,t,Bank_Rates!$D$2:$D$501,d)))))))</f>
        <v/>
      </c>
      <c r="K364" s="6" t="str">
        <f t="shared" si="10"/>
        <v/>
      </c>
    </row>
    <row r="365" spans="1:11">
      <c r="A365" s="18" t="str">
        <f t="shared" si="11"/>
        <v/>
      </c>
      <c r="B365" s="13"/>
      <c r="C365" s="14"/>
      <c r="D365" s="3"/>
      <c r="E365" s="3"/>
      <c r="F365" s="14"/>
      <c r="G365" s="7">
        <f>RawObservationsTable[[#This Row],[Maturity Date]]-RawObservationsTable[[#This Row],[Timestamp]]</f>
        <v>0</v>
      </c>
      <c r="H365" s="2"/>
      <c r="I365" s="4"/>
      <c r="J365" s="5" t="str">
        <f>IF(OR(H365="",G365="",C365=""),"",LET(n,COUNTIFS(Bank_Rates!$A$2:$A$501,H365,Bank_Rates!$B$2:$B$501,"&lt;="&amp;C365),IF(n=0,"",LET(t,MAXIFS(Bank_Rates!$B$2:$B$501,Bank_Rates!$A$2:$A$501,H365,Bank_Rates!$B$2:$B$501,"&lt;="&amp;C365),m,COUNTIFS(Bank_Rates!$A$2:$A$501,H365,Bank_Rates!$B$2:$B$501,t,Bank_Rates!$D$2:$D$501,"&lt;="&amp;G365),IF(m=0,"",LET(d,MAXIFS(Bank_Rates!$D$2:$D$501,Bank_Rates!$A$2:$A$501,H365,Bank_Rates!$B$2:$B$501,t,Bank_Rates!$D$2:$D$501,"&lt;="&amp;G365),SUMIFS(Bank_Rates!$C$2:$C$501,Bank_Rates!$A$2:$A$501,H365,Bank_Rates!$B$2:$B$501,t,Bank_Rates!$D$2:$D$501,d)))))))</f>
        <v/>
      </c>
      <c r="K365" s="6" t="str">
        <f t="shared" si="10"/>
        <v/>
      </c>
    </row>
    <row r="366" spans="1:11">
      <c r="A366" s="18" t="str">
        <f t="shared" si="11"/>
        <v/>
      </c>
      <c r="B366" s="13"/>
      <c r="C366" s="14"/>
      <c r="D366" s="3"/>
      <c r="E366" s="3"/>
      <c r="F366" s="14"/>
      <c r="G366" s="7">
        <f>RawObservationsTable[[#This Row],[Maturity Date]]-RawObservationsTable[[#This Row],[Timestamp]]</f>
        <v>0</v>
      </c>
      <c r="H366" s="2"/>
      <c r="I366" s="4"/>
      <c r="J366" s="5" t="str">
        <f>IF(OR(H366="",G366="",C366=""),"",LET(n,COUNTIFS(Bank_Rates!$A$2:$A$501,H366,Bank_Rates!$B$2:$B$501,"&lt;="&amp;C366),IF(n=0,"",LET(t,MAXIFS(Bank_Rates!$B$2:$B$501,Bank_Rates!$A$2:$A$501,H366,Bank_Rates!$B$2:$B$501,"&lt;="&amp;C366),m,COUNTIFS(Bank_Rates!$A$2:$A$501,H366,Bank_Rates!$B$2:$B$501,t,Bank_Rates!$D$2:$D$501,"&lt;="&amp;G366),IF(m=0,"",LET(d,MAXIFS(Bank_Rates!$D$2:$D$501,Bank_Rates!$A$2:$A$501,H366,Bank_Rates!$B$2:$B$501,t,Bank_Rates!$D$2:$D$501,"&lt;="&amp;G366),SUMIFS(Bank_Rates!$C$2:$C$501,Bank_Rates!$A$2:$A$501,H366,Bank_Rates!$B$2:$B$501,t,Bank_Rates!$D$2:$D$501,d)))))))</f>
        <v/>
      </c>
      <c r="K366" s="6" t="str">
        <f t="shared" si="10"/>
        <v/>
      </c>
    </row>
    <row r="367" spans="1:11">
      <c r="A367" s="18" t="str">
        <f t="shared" si="11"/>
        <v/>
      </c>
      <c r="B367" s="13"/>
      <c r="C367" s="14"/>
      <c r="D367" s="3"/>
      <c r="E367" s="3"/>
      <c r="F367" s="14"/>
      <c r="G367" s="7">
        <f>RawObservationsTable[[#This Row],[Maturity Date]]-RawObservationsTable[[#This Row],[Timestamp]]</f>
        <v>0</v>
      </c>
      <c r="H367" s="2"/>
      <c r="I367" s="4"/>
      <c r="J367" s="5" t="str">
        <f>IF(OR(H367="",G367="",C367=""),"",LET(n,COUNTIFS(Bank_Rates!$A$2:$A$501,H367,Bank_Rates!$B$2:$B$501,"&lt;="&amp;C367),IF(n=0,"",LET(t,MAXIFS(Bank_Rates!$B$2:$B$501,Bank_Rates!$A$2:$A$501,H367,Bank_Rates!$B$2:$B$501,"&lt;="&amp;C367),m,COUNTIFS(Bank_Rates!$A$2:$A$501,H367,Bank_Rates!$B$2:$B$501,t,Bank_Rates!$D$2:$D$501,"&lt;="&amp;G367),IF(m=0,"",LET(d,MAXIFS(Bank_Rates!$D$2:$D$501,Bank_Rates!$A$2:$A$501,H367,Bank_Rates!$B$2:$B$501,t,Bank_Rates!$D$2:$D$501,"&lt;="&amp;G367),SUMIFS(Bank_Rates!$C$2:$C$501,Bank_Rates!$A$2:$A$501,H367,Bank_Rates!$B$2:$B$501,t,Bank_Rates!$D$2:$D$501,d)))))))</f>
        <v/>
      </c>
      <c r="K367" s="6" t="str">
        <f t="shared" si="10"/>
        <v/>
      </c>
    </row>
    <row r="368" spans="1:11">
      <c r="A368" s="18" t="str">
        <f t="shared" si="11"/>
        <v/>
      </c>
      <c r="B368" s="13"/>
      <c r="C368" s="14"/>
      <c r="D368" s="3"/>
      <c r="E368" s="3"/>
      <c r="F368" s="14"/>
      <c r="G368" s="7">
        <f>RawObservationsTable[[#This Row],[Maturity Date]]-RawObservationsTable[[#This Row],[Timestamp]]</f>
        <v>0</v>
      </c>
      <c r="H368" s="2"/>
      <c r="I368" s="4"/>
      <c r="J368" s="5" t="str">
        <f>IF(OR(H368="",G368="",C368=""),"",LET(n,COUNTIFS(Bank_Rates!$A$2:$A$501,H368,Bank_Rates!$B$2:$B$501,"&lt;="&amp;C368),IF(n=0,"",LET(t,MAXIFS(Bank_Rates!$B$2:$B$501,Bank_Rates!$A$2:$A$501,H368,Bank_Rates!$B$2:$B$501,"&lt;="&amp;C368),m,COUNTIFS(Bank_Rates!$A$2:$A$501,H368,Bank_Rates!$B$2:$B$501,t,Bank_Rates!$D$2:$D$501,"&lt;="&amp;G368),IF(m=0,"",LET(d,MAXIFS(Bank_Rates!$D$2:$D$501,Bank_Rates!$A$2:$A$501,H368,Bank_Rates!$B$2:$B$501,t,Bank_Rates!$D$2:$D$501,"&lt;="&amp;G368),SUMIFS(Bank_Rates!$C$2:$C$501,Bank_Rates!$A$2:$A$501,H368,Bank_Rates!$B$2:$B$501,t,Bank_Rates!$D$2:$D$501,d)))))))</f>
        <v/>
      </c>
      <c r="K368" s="6" t="str">
        <f t="shared" si="10"/>
        <v/>
      </c>
    </row>
    <row r="369" spans="1:11">
      <c r="A369" s="18" t="str">
        <f t="shared" si="11"/>
        <v/>
      </c>
      <c r="B369" s="13"/>
      <c r="C369" s="14"/>
      <c r="D369" s="3"/>
      <c r="E369" s="3"/>
      <c r="F369" s="14"/>
      <c r="G369" s="7">
        <f>RawObservationsTable[[#This Row],[Maturity Date]]-RawObservationsTable[[#This Row],[Timestamp]]</f>
        <v>0</v>
      </c>
      <c r="H369" s="2"/>
      <c r="I369" s="4"/>
      <c r="J369" s="5" t="str">
        <f>IF(OR(H369="",G369="",C369=""),"",LET(n,COUNTIFS(Bank_Rates!$A$2:$A$501,H369,Bank_Rates!$B$2:$B$501,"&lt;="&amp;C369),IF(n=0,"",LET(t,MAXIFS(Bank_Rates!$B$2:$B$501,Bank_Rates!$A$2:$A$501,H369,Bank_Rates!$B$2:$B$501,"&lt;="&amp;C369),m,COUNTIFS(Bank_Rates!$A$2:$A$501,H369,Bank_Rates!$B$2:$B$501,t,Bank_Rates!$D$2:$D$501,"&lt;="&amp;G369),IF(m=0,"",LET(d,MAXIFS(Bank_Rates!$D$2:$D$501,Bank_Rates!$A$2:$A$501,H369,Bank_Rates!$B$2:$B$501,t,Bank_Rates!$D$2:$D$501,"&lt;="&amp;G369),SUMIFS(Bank_Rates!$C$2:$C$501,Bank_Rates!$A$2:$A$501,H369,Bank_Rates!$B$2:$B$501,t,Bank_Rates!$D$2:$D$501,d)))))))</f>
        <v/>
      </c>
      <c r="K369" s="6" t="str">
        <f t="shared" si="10"/>
        <v/>
      </c>
    </row>
    <row r="370" spans="1:11">
      <c r="A370" s="18" t="str">
        <f t="shared" si="11"/>
        <v/>
      </c>
      <c r="B370" s="13"/>
      <c r="C370" s="14"/>
      <c r="D370" s="3"/>
      <c r="E370" s="3"/>
      <c r="F370" s="14"/>
      <c r="G370" s="7">
        <f>RawObservationsTable[[#This Row],[Maturity Date]]-RawObservationsTable[[#This Row],[Timestamp]]</f>
        <v>0</v>
      </c>
      <c r="H370" s="2"/>
      <c r="I370" s="4"/>
      <c r="J370" s="5" t="str">
        <f>IF(OR(H370="",G370="",C370=""),"",LET(n,COUNTIFS(Bank_Rates!$A$2:$A$501,H370,Bank_Rates!$B$2:$B$501,"&lt;="&amp;C370),IF(n=0,"",LET(t,MAXIFS(Bank_Rates!$B$2:$B$501,Bank_Rates!$A$2:$A$501,H370,Bank_Rates!$B$2:$B$501,"&lt;="&amp;C370),m,COUNTIFS(Bank_Rates!$A$2:$A$501,H370,Bank_Rates!$B$2:$B$501,t,Bank_Rates!$D$2:$D$501,"&lt;="&amp;G370),IF(m=0,"",LET(d,MAXIFS(Bank_Rates!$D$2:$D$501,Bank_Rates!$A$2:$A$501,H370,Bank_Rates!$B$2:$B$501,t,Bank_Rates!$D$2:$D$501,"&lt;="&amp;G370),SUMIFS(Bank_Rates!$C$2:$C$501,Bank_Rates!$A$2:$A$501,H370,Bank_Rates!$B$2:$B$501,t,Bank_Rates!$D$2:$D$501,d)))))))</f>
        <v/>
      </c>
      <c r="K370" s="6" t="str">
        <f t="shared" si="10"/>
        <v/>
      </c>
    </row>
    <row r="371" spans="1:11">
      <c r="A371" s="18" t="str">
        <f t="shared" si="11"/>
        <v/>
      </c>
      <c r="B371" s="13"/>
      <c r="C371" s="14"/>
      <c r="D371" s="3"/>
      <c r="E371" s="3"/>
      <c r="F371" s="14"/>
      <c r="G371" s="7">
        <f>RawObservationsTable[[#This Row],[Maturity Date]]-RawObservationsTable[[#This Row],[Timestamp]]</f>
        <v>0</v>
      </c>
      <c r="H371" s="2"/>
      <c r="I371" s="4"/>
      <c r="J371" s="5" t="str">
        <f>IF(OR(H371="",G371="",C371=""),"",LET(n,COUNTIFS(Bank_Rates!$A$2:$A$501,H371,Bank_Rates!$B$2:$B$501,"&lt;="&amp;C371),IF(n=0,"",LET(t,MAXIFS(Bank_Rates!$B$2:$B$501,Bank_Rates!$A$2:$A$501,H371,Bank_Rates!$B$2:$B$501,"&lt;="&amp;C371),m,COUNTIFS(Bank_Rates!$A$2:$A$501,H371,Bank_Rates!$B$2:$B$501,t,Bank_Rates!$D$2:$D$501,"&lt;="&amp;G371),IF(m=0,"",LET(d,MAXIFS(Bank_Rates!$D$2:$D$501,Bank_Rates!$A$2:$A$501,H371,Bank_Rates!$B$2:$B$501,t,Bank_Rates!$D$2:$D$501,"&lt;="&amp;G371),SUMIFS(Bank_Rates!$C$2:$C$501,Bank_Rates!$A$2:$A$501,H371,Bank_Rates!$B$2:$B$501,t,Bank_Rates!$D$2:$D$501,d)))))))</f>
        <v/>
      </c>
      <c r="K371" s="6" t="str">
        <f t="shared" si="10"/>
        <v/>
      </c>
    </row>
    <row r="372" spans="1:11">
      <c r="A372" s="18" t="str">
        <f t="shared" si="11"/>
        <v/>
      </c>
      <c r="B372" s="13"/>
      <c r="C372" s="14"/>
      <c r="D372" s="3"/>
      <c r="E372" s="3"/>
      <c r="F372" s="14"/>
      <c r="G372" s="7">
        <f>RawObservationsTable[[#This Row],[Maturity Date]]-RawObservationsTable[[#This Row],[Timestamp]]</f>
        <v>0</v>
      </c>
      <c r="H372" s="2"/>
      <c r="I372" s="4"/>
      <c r="J372" s="5" t="str">
        <f>IF(OR(H372="",G372="",C372=""),"",LET(n,COUNTIFS(Bank_Rates!$A$2:$A$501,H372,Bank_Rates!$B$2:$B$501,"&lt;="&amp;C372),IF(n=0,"",LET(t,MAXIFS(Bank_Rates!$B$2:$B$501,Bank_Rates!$A$2:$A$501,H372,Bank_Rates!$B$2:$B$501,"&lt;="&amp;C372),m,COUNTIFS(Bank_Rates!$A$2:$A$501,H372,Bank_Rates!$B$2:$B$501,t,Bank_Rates!$D$2:$D$501,"&lt;="&amp;G372),IF(m=0,"",LET(d,MAXIFS(Bank_Rates!$D$2:$D$501,Bank_Rates!$A$2:$A$501,H372,Bank_Rates!$B$2:$B$501,t,Bank_Rates!$D$2:$D$501,"&lt;="&amp;G372),SUMIFS(Bank_Rates!$C$2:$C$501,Bank_Rates!$A$2:$A$501,H372,Bank_Rates!$B$2:$B$501,t,Bank_Rates!$D$2:$D$501,d)))))))</f>
        <v/>
      </c>
      <c r="K372" s="6" t="str">
        <f t="shared" si="10"/>
        <v/>
      </c>
    </row>
    <row r="373" spans="1:11">
      <c r="A373" s="18" t="str">
        <f t="shared" si="11"/>
        <v/>
      </c>
      <c r="B373" s="13"/>
      <c r="C373" s="14"/>
      <c r="D373" s="3"/>
      <c r="E373" s="3"/>
      <c r="F373" s="14"/>
      <c r="G373" s="7">
        <f>RawObservationsTable[[#This Row],[Maturity Date]]-RawObservationsTable[[#This Row],[Timestamp]]</f>
        <v>0</v>
      </c>
      <c r="H373" s="2"/>
      <c r="I373" s="4"/>
      <c r="J373" s="5" t="str">
        <f>IF(OR(H373="",G373="",C373=""),"",LET(n,COUNTIFS(Bank_Rates!$A$2:$A$501,H373,Bank_Rates!$B$2:$B$501,"&lt;="&amp;C373),IF(n=0,"",LET(t,MAXIFS(Bank_Rates!$B$2:$B$501,Bank_Rates!$A$2:$A$501,H373,Bank_Rates!$B$2:$B$501,"&lt;="&amp;C373),m,COUNTIFS(Bank_Rates!$A$2:$A$501,H373,Bank_Rates!$B$2:$B$501,t,Bank_Rates!$D$2:$D$501,"&lt;="&amp;G373),IF(m=0,"",LET(d,MAXIFS(Bank_Rates!$D$2:$D$501,Bank_Rates!$A$2:$A$501,H373,Bank_Rates!$B$2:$B$501,t,Bank_Rates!$D$2:$D$501,"&lt;="&amp;G373),SUMIFS(Bank_Rates!$C$2:$C$501,Bank_Rates!$A$2:$A$501,H373,Bank_Rates!$B$2:$B$501,t,Bank_Rates!$D$2:$D$501,d)))))))</f>
        <v/>
      </c>
      <c r="K373" s="6" t="str">
        <f t="shared" si="10"/>
        <v/>
      </c>
    </row>
    <row r="374" spans="1:11">
      <c r="A374" s="18" t="str">
        <f t="shared" si="11"/>
        <v/>
      </c>
      <c r="B374" s="13"/>
      <c r="C374" s="14"/>
      <c r="D374" s="3"/>
      <c r="E374" s="3"/>
      <c r="F374" s="14"/>
      <c r="G374" s="7">
        <f>RawObservationsTable[[#This Row],[Maturity Date]]-RawObservationsTable[[#This Row],[Timestamp]]</f>
        <v>0</v>
      </c>
      <c r="H374" s="2"/>
      <c r="I374" s="4"/>
      <c r="J374" s="5" t="str">
        <f>IF(OR(H374="",G374="",C374=""),"",LET(n,COUNTIFS(Bank_Rates!$A$2:$A$501,H374,Bank_Rates!$B$2:$B$501,"&lt;="&amp;C374),IF(n=0,"",LET(t,MAXIFS(Bank_Rates!$B$2:$B$501,Bank_Rates!$A$2:$A$501,H374,Bank_Rates!$B$2:$B$501,"&lt;="&amp;C374),m,COUNTIFS(Bank_Rates!$A$2:$A$501,H374,Bank_Rates!$B$2:$B$501,t,Bank_Rates!$D$2:$D$501,"&lt;="&amp;G374),IF(m=0,"",LET(d,MAXIFS(Bank_Rates!$D$2:$D$501,Bank_Rates!$A$2:$A$501,H374,Bank_Rates!$B$2:$B$501,t,Bank_Rates!$D$2:$D$501,"&lt;="&amp;G374),SUMIFS(Bank_Rates!$C$2:$C$501,Bank_Rates!$A$2:$A$501,H374,Bank_Rates!$B$2:$B$501,t,Bank_Rates!$D$2:$D$501,d)))))))</f>
        <v/>
      </c>
      <c r="K374" s="6" t="str">
        <f t="shared" si="10"/>
        <v/>
      </c>
    </row>
    <row r="375" spans="1:11">
      <c r="A375" s="18" t="str">
        <f t="shared" si="11"/>
        <v/>
      </c>
      <c r="B375" s="13"/>
      <c r="C375" s="14"/>
      <c r="D375" s="3"/>
      <c r="E375" s="3"/>
      <c r="F375" s="14"/>
      <c r="G375" s="7">
        <f>RawObservationsTable[[#This Row],[Maturity Date]]-RawObservationsTable[[#This Row],[Timestamp]]</f>
        <v>0</v>
      </c>
      <c r="H375" s="2"/>
      <c r="I375" s="4"/>
      <c r="J375" s="5" t="str">
        <f>IF(OR(H375="",G375="",C375=""),"",LET(n,COUNTIFS(Bank_Rates!$A$2:$A$501,H375,Bank_Rates!$B$2:$B$501,"&lt;="&amp;C375),IF(n=0,"",LET(t,MAXIFS(Bank_Rates!$B$2:$B$501,Bank_Rates!$A$2:$A$501,H375,Bank_Rates!$B$2:$B$501,"&lt;="&amp;C375),m,COUNTIFS(Bank_Rates!$A$2:$A$501,H375,Bank_Rates!$B$2:$B$501,t,Bank_Rates!$D$2:$D$501,"&lt;="&amp;G375),IF(m=0,"",LET(d,MAXIFS(Bank_Rates!$D$2:$D$501,Bank_Rates!$A$2:$A$501,H375,Bank_Rates!$B$2:$B$501,t,Bank_Rates!$D$2:$D$501,"&lt;="&amp;G375),SUMIFS(Bank_Rates!$C$2:$C$501,Bank_Rates!$A$2:$A$501,H375,Bank_Rates!$B$2:$B$501,t,Bank_Rates!$D$2:$D$501,d)))))))</f>
        <v/>
      </c>
      <c r="K375" s="6" t="str">
        <f t="shared" si="10"/>
        <v/>
      </c>
    </row>
    <row r="376" spans="1:11">
      <c r="A376" s="18" t="str">
        <f t="shared" si="11"/>
        <v/>
      </c>
      <c r="B376" s="13"/>
      <c r="C376" s="14"/>
      <c r="D376" s="3"/>
      <c r="E376" s="3"/>
      <c r="F376" s="14"/>
      <c r="G376" s="7">
        <f>RawObservationsTable[[#This Row],[Maturity Date]]-RawObservationsTable[[#This Row],[Timestamp]]</f>
        <v>0</v>
      </c>
      <c r="H376" s="2"/>
      <c r="I376" s="4"/>
      <c r="J376" s="5" t="str">
        <f>IF(OR(H376="",G376="",C376=""),"",LET(n,COUNTIFS(Bank_Rates!$A$2:$A$501,H376,Bank_Rates!$B$2:$B$501,"&lt;="&amp;C376),IF(n=0,"",LET(t,MAXIFS(Bank_Rates!$B$2:$B$501,Bank_Rates!$A$2:$A$501,H376,Bank_Rates!$B$2:$B$501,"&lt;="&amp;C376),m,COUNTIFS(Bank_Rates!$A$2:$A$501,H376,Bank_Rates!$B$2:$B$501,t,Bank_Rates!$D$2:$D$501,"&lt;="&amp;G376),IF(m=0,"",LET(d,MAXIFS(Bank_Rates!$D$2:$D$501,Bank_Rates!$A$2:$A$501,H376,Bank_Rates!$B$2:$B$501,t,Bank_Rates!$D$2:$D$501,"&lt;="&amp;G376),SUMIFS(Bank_Rates!$C$2:$C$501,Bank_Rates!$A$2:$A$501,H376,Bank_Rates!$B$2:$B$501,t,Bank_Rates!$D$2:$D$501,d)))))))</f>
        <v/>
      </c>
      <c r="K376" s="6" t="str">
        <f t="shared" si="10"/>
        <v/>
      </c>
    </row>
    <row r="377" spans="1:11">
      <c r="A377" s="18" t="str">
        <f t="shared" si="11"/>
        <v/>
      </c>
      <c r="B377" s="13"/>
      <c r="C377" s="14"/>
      <c r="D377" s="3"/>
      <c r="E377" s="3"/>
      <c r="F377" s="14"/>
      <c r="G377" s="7">
        <f>RawObservationsTable[[#This Row],[Maturity Date]]-RawObservationsTable[[#This Row],[Timestamp]]</f>
        <v>0</v>
      </c>
      <c r="H377" s="2"/>
      <c r="I377" s="4"/>
      <c r="J377" s="5" t="str">
        <f>IF(OR(H377="",G377="",C377=""),"",LET(n,COUNTIFS(Bank_Rates!$A$2:$A$501,H377,Bank_Rates!$B$2:$B$501,"&lt;="&amp;C377),IF(n=0,"",LET(t,MAXIFS(Bank_Rates!$B$2:$B$501,Bank_Rates!$A$2:$A$501,H377,Bank_Rates!$B$2:$B$501,"&lt;="&amp;C377),m,COUNTIFS(Bank_Rates!$A$2:$A$501,H377,Bank_Rates!$B$2:$B$501,t,Bank_Rates!$D$2:$D$501,"&lt;="&amp;G377),IF(m=0,"",LET(d,MAXIFS(Bank_Rates!$D$2:$D$501,Bank_Rates!$A$2:$A$501,H377,Bank_Rates!$B$2:$B$501,t,Bank_Rates!$D$2:$D$501,"&lt;="&amp;G377),SUMIFS(Bank_Rates!$C$2:$C$501,Bank_Rates!$A$2:$A$501,H377,Bank_Rates!$B$2:$B$501,t,Bank_Rates!$D$2:$D$501,d)))))))</f>
        <v/>
      </c>
      <c r="K377" s="6" t="str">
        <f t="shared" si="10"/>
        <v/>
      </c>
    </row>
    <row r="378" spans="1:11">
      <c r="A378" s="18" t="str">
        <f t="shared" si="11"/>
        <v/>
      </c>
      <c r="B378" s="13"/>
      <c r="C378" s="14"/>
      <c r="D378" s="3"/>
      <c r="E378" s="3"/>
      <c r="F378" s="14"/>
      <c r="G378" s="7">
        <f>RawObservationsTable[[#This Row],[Maturity Date]]-RawObservationsTable[[#This Row],[Timestamp]]</f>
        <v>0</v>
      </c>
      <c r="H378" s="2"/>
      <c r="I378" s="4"/>
      <c r="J378" s="5" t="str">
        <f>IF(OR(H378="",G378="",C378=""),"",LET(n,COUNTIFS(Bank_Rates!$A$2:$A$501,H378,Bank_Rates!$B$2:$B$501,"&lt;="&amp;C378),IF(n=0,"",LET(t,MAXIFS(Bank_Rates!$B$2:$B$501,Bank_Rates!$A$2:$A$501,H378,Bank_Rates!$B$2:$B$501,"&lt;="&amp;C378),m,COUNTIFS(Bank_Rates!$A$2:$A$501,H378,Bank_Rates!$B$2:$B$501,t,Bank_Rates!$D$2:$D$501,"&lt;="&amp;G378),IF(m=0,"",LET(d,MAXIFS(Bank_Rates!$D$2:$D$501,Bank_Rates!$A$2:$A$501,H378,Bank_Rates!$B$2:$B$501,t,Bank_Rates!$D$2:$D$501,"&lt;="&amp;G378),SUMIFS(Bank_Rates!$C$2:$C$501,Bank_Rates!$A$2:$A$501,H378,Bank_Rates!$B$2:$B$501,t,Bank_Rates!$D$2:$D$501,d)))))))</f>
        <v/>
      </c>
      <c r="K378" s="6" t="str">
        <f t="shared" si="10"/>
        <v/>
      </c>
    </row>
    <row r="379" spans="1:11">
      <c r="A379" s="18" t="str">
        <f t="shared" si="11"/>
        <v/>
      </c>
      <c r="B379" s="13"/>
      <c r="C379" s="14"/>
      <c r="D379" s="3"/>
      <c r="E379" s="3"/>
      <c r="F379" s="14"/>
      <c r="G379" s="7">
        <f>RawObservationsTable[[#This Row],[Maturity Date]]-RawObservationsTable[[#This Row],[Timestamp]]</f>
        <v>0</v>
      </c>
      <c r="H379" s="2"/>
      <c r="I379" s="4"/>
      <c r="J379" s="5" t="str">
        <f>IF(OR(H379="",G379="",C379=""),"",LET(n,COUNTIFS(Bank_Rates!$A$2:$A$501,H379,Bank_Rates!$B$2:$B$501,"&lt;="&amp;C379),IF(n=0,"",LET(t,MAXIFS(Bank_Rates!$B$2:$B$501,Bank_Rates!$A$2:$A$501,H379,Bank_Rates!$B$2:$B$501,"&lt;="&amp;C379),m,COUNTIFS(Bank_Rates!$A$2:$A$501,H379,Bank_Rates!$B$2:$B$501,t,Bank_Rates!$D$2:$D$501,"&lt;="&amp;G379),IF(m=0,"",LET(d,MAXIFS(Bank_Rates!$D$2:$D$501,Bank_Rates!$A$2:$A$501,H379,Bank_Rates!$B$2:$B$501,t,Bank_Rates!$D$2:$D$501,"&lt;="&amp;G379),SUMIFS(Bank_Rates!$C$2:$C$501,Bank_Rates!$A$2:$A$501,H379,Bank_Rates!$B$2:$B$501,t,Bank_Rates!$D$2:$D$501,d)))))))</f>
        <v/>
      </c>
      <c r="K379" s="6" t="str">
        <f t="shared" si="10"/>
        <v/>
      </c>
    </row>
    <row r="380" spans="1:11">
      <c r="A380" s="18" t="str">
        <f t="shared" si="11"/>
        <v/>
      </c>
      <c r="B380" s="13"/>
      <c r="C380" s="14"/>
      <c r="D380" s="3"/>
      <c r="E380" s="3"/>
      <c r="F380" s="14"/>
      <c r="G380" s="7">
        <f>RawObservationsTable[[#This Row],[Maturity Date]]-RawObservationsTable[[#This Row],[Timestamp]]</f>
        <v>0</v>
      </c>
      <c r="H380" s="2"/>
      <c r="I380" s="4"/>
      <c r="J380" s="5" t="str">
        <f>IF(OR(H380="",G380="",C380=""),"",LET(n,COUNTIFS(Bank_Rates!$A$2:$A$501,H380,Bank_Rates!$B$2:$B$501,"&lt;="&amp;C380),IF(n=0,"",LET(t,MAXIFS(Bank_Rates!$B$2:$B$501,Bank_Rates!$A$2:$A$501,H380,Bank_Rates!$B$2:$B$501,"&lt;="&amp;C380),m,COUNTIFS(Bank_Rates!$A$2:$A$501,H380,Bank_Rates!$B$2:$B$501,t,Bank_Rates!$D$2:$D$501,"&lt;="&amp;G380),IF(m=0,"",LET(d,MAXIFS(Bank_Rates!$D$2:$D$501,Bank_Rates!$A$2:$A$501,H380,Bank_Rates!$B$2:$B$501,t,Bank_Rates!$D$2:$D$501,"&lt;="&amp;G380),SUMIFS(Bank_Rates!$C$2:$C$501,Bank_Rates!$A$2:$A$501,H380,Bank_Rates!$B$2:$B$501,t,Bank_Rates!$D$2:$D$501,d)))))))</f>
        <v/>
      </c>
      <c r="K380" s="6" t="str">
        <f t="shared" si="10"/>
        <v/>
      </c>
    </row>
    <row r="381" spans="1:11">
      <c r="A381" s="18" t="str">
        <f t="shared" si="11"/>
        <v/>
      </c>
      <c r="B381" s="13"/>
      <c r="C381" s="14"/>
      <c r="D381" s="3"/>
      <c r="E381" s="3"/>
      <c r="F381" s="14"/>
      <c r="G381" s="7">
        <f>RawObservationsTable[[#This Row],[Maturity Date]]-RawObservationsTable[[#This Row],[Timestamp]]</f>
        <v>0</v>
      </c>
      <c r="H381" s="2"/>
      <c r="I381" s="4"/>
      <c r="J381" s="5" t="str">
        <f>IF(OR(H381="",G381="",C381=""),"",LET(n,COUNTIFS(Bank_Rates!$A$2:$A$501,H381,Bank_Rates!$B$2:$B$501,"&lt;="&amp;C381),IF(n=0,"",LET(t,MAXIFS(Bank_Rates!$B$2:$B$501,Bank_Rates!$A$2:$A$501,H381,Bank_Rates!$B$2:$B$501,"&lt;="&amp;C381),m,COUNTIFS(Bank_Rates!$A$2:$A$501,H381,Bank_Rates!$B$2:$B$501,t,Bank_Rates!$D$2:$D$501,"&lt;="&amp;G381),IF(m=0,"",LET(d,MAXIFS(Bank_Rates!$D$2:$D$501,Bank_Rates!$A$2:$A$501,H381,Bank_Rates!$B$2:$B$501,t,Bank_Rates!$D$2:$D$501,"&lt;="&amp;G381),SUMIFS(Bank_Rates!$C$2:$C$501,Bank_Rates!$A$2:$A$501,H381,Bank_Rates!$B$2:$B$501,t,Bank_Rates!$D$2:$D$501,d)))))))</f>
        <v/>
      </c>
      <c r="K381" s="6" t="str">
        <f t="shared" si="10"/>
        <v/>
      </c>
    </row>
    <row r="382" spans="1:11">
      <c r="A382" s="18" t="str">
        <f t="shared" si="11"/>
        <v/>
      </c>
      <c r="B382" s="13"/>
      <c r="C382" s="14"/>
      <c r="D382" s="3"/>
      <c r="E382" s="3"/>
      <c r="F382" s="14"/>
      <c r="G382" s="7">
        <f>RawObservationsTable[[#This Row],[Maturity Date]]-RawObservationsTable[[#This Row],[Timestamp]]</f>
        <v>0</v>
      </c>
      <c r="H382" s="2"/>
      <c r="I382" s="4"/>
      <c r="J382" s="5" t="str">
        <f>IF(OR(H382="",G382="",C382=""),"",LET(n,COUNTIFS(Bank_Rates!$A$2:$A$501,H382,Bank_Rates!$B$2:$B$501,"&lt;="&amp;C382),IF(n=0,"",LET(t,MAXIFS(Bank_Rates!$B$2:$B$501,Bank_Rates!$A$2:$A$501,H382,Bank_Rates!$B$2:$B$501,"&lt;="&amp;C382),m,COUNTIFS(Bank_Rates!$A$2:$A$501,H382,Bank_Rates!$B$2:$B$501,t,Bank_Rates!$D$2:$D$501,"&lt;="&amp;G382),IF(m=0,"",LET(d,MAXIFS(Bank_Rates!$D$2:$D$501,Bank_Rates!$A$2:$A$501,H382,Bank_Rates!$B$2:$B$501,t,Bank_Rates!$D$2:$D$501,"&lt;="&amp;G382),SUMIFS(Bank_Rates!$C$2:$C$501,Bank_Rates!$A$2:$A$501,H382,Bank_Rates!$B$2:$B$501,t,Bank_Rates!$D$2:$D$501,d)))))))</f>
        <v/>
      </c>
      <c r="K382" s="6" t="str">
        <f t="shared" si="10"/>
        <v/>
      </c>
    </row>
    <row r="383" spans="1:11">
      <c r="A383" s="18" t="str">
        <f t="shared" si="11"/>
        <v/>
      </c>
      <c r="B383" s="13"/>
      <c r="C383" s="14"/>
      <c r="D383" s="3"/>
      <c r="E383" s="3"/>
      <c r="F383" s="14"/>
      <c r="G383" s="7">
        <f>RawObservationsTable[[#This Row],[Maturity Date]]-RawObservationsTable[[#This Row],[Timestamp]]</f>
        <v>0</v>
      </c>
      <c r="H383" s="2"/>
      <c r="I383" s="4"/>
      <c r="J383" s="5" t="str">
        <f>IF(OR(H383="",G383="",C383=""),"",LET(n,COUNTIFS(Bank_Rates!$A$2:$A$501,H383,Bank_Rates!$B$2:$B$501,"&lt;="&amp;C383),IF(n=0,"",LET(t,MAXIFS(Bank_Rates!$B$2:$B$501,Bank_Rates!$A$2:$A$501,H383,Bank_Rates!$B$2:$B$501,"&lt;="&amp;C383),m,COUNTIFS(Bank_Rates!$A$2:$A$501,H383,Bank_Rates!$B$2:$B$501,t,Bank_Rates!$D$2:$D$501,"&lt;="&amp;G383),IF(m=0,"",LET(d,MAXIFS(Bank_Rates!$D$2:$D$501,Bank_Rates!$A$2:$A$501,H383,Bank_Rates!$B$2:$B$501,t,Bank_Rates!$D$2:$D$501,"&lt;="&amp;G383),SUMIFS(Bank_Rates!$C$2:$C$501,Bank_Rates!$A$2:$A$501,H383,Bank_Rates!$B$2:$B$501,t,Bank_Rates!$D$2:$D$501,d)))))))</f>
        <v/>
      </c>
      <c r="K383" s="6" t="str">
        <f t="shared" si="10"/>
        <v/>
      </c>
    </row>
    <row r="384" spans="1:11">
      <c r="A384" s="18" t="str">
        <f t="shared" si="11"/>
        <v/>
      </c>
      <c r="B384" s="13"/>
      <c r="C384" s="14"/>
      <c r="D384" s="3"/>
      <c r="E384" s="3"/>
      <c r="F384" s="14"/>
      <c r="G384" s="7">
        <f>RawObservationsTable[[#This Row],[Maturity Date]]-RawObservationsTable[[#This Row],[Timestamp]]</f>
        <v>0</v>
      </c>
      <c r="H384" s="2"/>
      <c r="I384" s="4"/>
      <c r="J384" s="5" t="str">
        <f>IF(OR(H384="",G384="",C384=""),"",LET(n,COUNTIFS(Bank_Rates!$A$2:$A$501,H384,Bank_Rates!$B$2:$B$501,"&lt;="&amp;C384),IF(n=0,"",LET(t,MAXIFS(Bank_Rates!$B$2:$B$501,Bank_Rates!$A$2:$A$501,H384,Bank_Rates!$B$2:$B$501,"&lt;="&amp;C384),m,COUNTIFS(Bank_Rates!$A$2:$A$501,H384,Bank_Rates!$B$2:$B$501,t,Bank_Rates!$D$2:$D$501,"&lt;="&amp;G384),IF(m=0,"",LET(d,MAXIFS(Bank_Rates!$D$2:$D$501,Bank_Rates!$A$2:$A$501,H384,Bank_Rates!$B$2:$B$501,t,Bank_Rates!$D$2:$D$501,"&lt;="&amp;G384),SUMIFS(Bank_Rates!$C$2:$C$501,Bank_Rates!$A$2:$A$501,H384,Bank_Rates!$B$2:$B$501,t,Bank_Rates!$D$2:$D$501,d)))))))</f>
        <v/>
      </c>
      <c r="K384" s="6" t="str">
        <f t="shared" si="10"/>
        <v/>
      </c>
    </row>
    <row r="385" spans="1:11">
      <c r="A385" s="18" t="str">
        <f t="shared" si="11"/>
        <v/>
      </c>
      <c r="B385" s="13"/>
      <c r="C385" s="14"/>
      <c r="D385" s="3"/>
      <c r="E385" s="3"/>
      <c r="F385" s="14"/>
      <c r="G385" s="7">
        <f>RawObservationsTable[[#This Row],[Maturity Date]]-RawObservationsTable[[#This Row],[Timestamp]]</f>
        <v>0</v>
      </c>
      <c r="H385" s="2"/>
      <c r="I385" s="4"/>
      <c r="J385" s="5" t="str">
        <f>IF(OR(H385="",G385="",C385=""),"",LET(n,COUNTIFS(Bank_Rates!$A$2:$A$501,H385,Bank_Rates!$B$2:$B$501,"&lt;="&amp;C385),IF(n=0,"",LET(t,MAXIFS(Bank_Rates!$B$2:$B$501,Bank_Rates!$A$2:$A$501,H385,Bank_Rates!$B$2:$B$501,"&lt;="&amp;C385),m,COUNTIFS(Bank_Rates!$A$2:$A$501,H385,Bank_Rates!$B$2:$B$501,t,Bank_Rates!$D$2:$D$501,"&lt;="&amp;G385),IF(m=0,"",LET(d,MAXIFS(Bank_Rates!$D$2:$D$501,Bank_Rates!$A$2:$A$501,H385,Bank_Rates!$B$2:$B$501,t,Bank_Rates!$D$2:$D$501,"&lt;="&amp;G385),SUMIFS(Bank_Rates!$C$2:$C$501,Bank_Rates!$A$2:$A$501,H385,Bank_Rates!$B$2:$B$501,t,Bank_Rates!$D$2:$D$501,d)))))))</f>
        <v/>
      </c>
      <c r="K385" s="6" t="str">
        <f t="shared" si="10"/>
        <v/>
      </c>
    </row>
    <row r="386" spans="1:11">
      <c r="A386" s="18" t="str">
        <f t="shared" si="11"/>
        <v/>
      </c>
      <c r="B386" s="13"/>
      <c r="C386" s="14"/>
      <c r="D386" s="3"/>
      <c r="E386" s="3"/>
      <c r="F386" s="14"/>
      <c r="G386" s="7">
        <f>RawObservationsTable[[#This Row],[Maturity Date]]-RawObservationsTable[[#This Row],[Timestamp]]</f>
        <v>0</v>
      </c>
      <c r="H386" s="2"/>
      <c r="I386" s="4"/>
      <c r="J386" s="5" t="str">
        <f>IF(OR(H386="",G386="",C386=""),"",LET(n,COUNTIFS(Bank_Rates!$A$2:$A$501,H386,Bank_Rates!$B$2:$B$501,"&lt;="&amp;C386),IF(n=0,"",LET(t,MAXIFS(Bank_Rates!$B$2:$B$501,Bank_Rates!$A$2:$A$501,H386,Bank_Rates!$B$2:$B$501,"&lt;="&amp;C386),m,COUNTIFS(Bank_Rates!$A$2:$A$501,H386,Bank_Rates!$B$2:$B$501,t,Bank_Rates!$D$2:$D$501,"&lt;="&amp;G386),IF(m=0,"",LET(d,MAXIFS(Bank_Rates!$D$2:$D$501,Bank_Rates!$A$2:$A$501,H386,Bank_Rates!$B$2:$B$501,t,Bank_Rates!$D$2:$D$501,"&lt;="&amp;G386),SUMIFS(Bank_Rates!$C$2:$C$501,Bank_Rates!$A$2:$A$501,H386,Bank_Rates!$B$2:$B$501,t,Bank_Rates!$D$2:$D$501,d)))))))</f>
        <v/>
      </c>
      <c r="K386" s="6" t="str">
        <f t="shared" ref="K386:K449" si="12">IF(OR(I386="",J386=""),"",I386-J386)</f>
        <v/>
      </c>
    </row>
    <row r="387" spans="1:11">
      <c r="A387" s="18" t="str">
        <f t="shared" ref="A387:A450" si="13">IF(B387&lt;&gt;"","L-"&amp;TEXT(ROW()-1,"0000"),"")</f>
        <v/>
      </c>
      <c r="B387" s="13"/>
      <c r="C387" s="14"/>
      <c r="D387" s="3"/>
      <c r="E387" s="3"/>
      <c r="F387" s="14"/>
      <c r="G387" s="7">
        <f>RawObservationsTable[[#This Row],[Maturity Date]]-RawObservationsTable[[#This Row],[Timestamp]]</f>
        <v>0</v>
      </c>
      <c r="H387" s="2"/>
      <c r="I387" s="4"/>
      <c r="J387" s="5" t="str">
        <f>IF(OR(H387="",G387="",C387=""),"",LET(n,COUNTIFS(Bank_Rates!$A$2:$A$501,H387,Bank_Rates!$B$2:$B$501,"&lt;="&amp;C387),IF(n=0,"",LET(t,MAXIFS(Bank_Rates!$B$2:$B$501,Bank_Rates!$A$2:$A$501,H387,Bank_Rates!$B$2:$B$501,"&lt;="&amp;C387),m,COUNTIFS(Bank_Rates!$A$2:$A$501,H387,Bank_Rates!$B$2:$B$501,t,Bank_Rates!$D$2:$D$501,"&lt;="&amp;G387),IF(m=0,"",LET(d,MAXIFS(Bank_Rates!$D$2:$D$501,Bank_Rates!$A$2:$A$501,H387,Bank_Rates!$B$2:$B$501,t,Bank_Rates!$D$2:$D$501,"&lt;="&amp;G387),SUMIFS(Bank_Rates!$C$2:$C$501,Bank_Rates!$A$2:$A$501,H387,Bank_Rates!$B$2:$B$501,t,Bank_Rates!$D$2:$D$501,d)))))))</f>
        <v/>
      </c>
      <c r="K387" s="6" t="str">
        <f t="shared" si="12"/>
        <v/>
      </c>
    </row>
    <row r="388" spans="1:11">
      <c r="A388" s="18" t="str">
        <f t="shared" si="13"/>
        <v/>
      </c>
      <c r="B388" s="13"/>
      <c r="C388" s="14"/>
      <c r="D388" s="3"/>
      <c r="E388" s="3"/>
      <c r="F388" s="14"/>
      <c r="G388" s="7">
        <f>RawObservationsTable[[#This Row],[Maturity Date]]-RawObservationsTable[[#This Row],[Timestamp]]</f>
        <v>0</v>
      </c>
      <c r="H388" s="2"/>
      <c r="I388" s="4"/>
      <c r="J388" s="5" t="str">
        <f>IF(OR(H388="",G388="",C388=""),"",LET(n,COUNTIFS(Bank_Rates!$A$2:$A$501,H388,Bank_Rates!$B$2:$B$501,"&lt;="&amp;C388),IF(n=0,"",LET(t,MAXIFS(Bank_Rates!$B$2:$B$501,Bank_Rates!$A$2:$A$501,H388,Bank_Rates!$B$2:$B$501,"&lt;="&amp;C388),m,COUNTIFS(Bank_Rates!$A$2:$A$501,H388,Bank_Rates!$B$2:$B$501,t,Bank_Rates!$D$2:$D$501,"&lt;="&amp;G388),IF(m=0,"",LET(d,MAXIFS(Bank_Rates!$D$2:$D$501,Bank_Rates!$A$2:$A$501,H388,Bank_Rates!$B$2:$B$501,t,Bank_Rates!$D$2:$D$501,"&lt;="&amp;G388),SUMIFS(Bank_Rates!$C$2:$C$501,Bank_Rates!$A$2:$A$501,H388,Bank_Rates!$B$2:$B$501,t,Bank_Rates!$D$2:$D$501,d)))))))</f>
        <v/>
      </c>
      <c r="K388" s="6" t="str">
        <f t="shared" si="12"/>
        <v/>
      </c>
    </row>
    <row r="389" spans="1:11">
      <c r="A389" s="18" t="str">
        <f t="shared" si="13"/>
        <v/>
      </c>
      <c r="B389" s="13"/>
      <c r="C389" s="14"/>
      <c r="D389" s="3"/>
      <c r="E389" s="3"/>
      <c r="F389" s="14"/>
      <c r="G389" s="7">
        <f>RawObservationsTable[[#This Row],[Maturity Date]]-RawObservationsTable[[#This Row],[Timestamp]]</f>
        <v>0</v>
      </c>
      <c r="H389" s="2"/>
      <c r="I389" s="4"/>
      <c r="J389" s="5" t="str">
        <f>IF(OR(H389="",G389="",C389=""),"",LET(n,COUNTIFS(Bank_Rates!$A$2:$A$501,H389,Bank_Rates!$B$2:$B$501,"&lt;="&amp;C389),IF(n=0,"",LET(t,MAXIFS(Bank_Rates!$B$2:$B$501,Bank_Rates!$A$2:$A$501,H389,Bank_Rates!$B$2:$B$501,"&lt;="&amp;C389),m,COUNTIFS(Bank_Rates!$A$2:$A$501,H389,Bank_Rates!$B$2:$B$501,t,Bank_Rates!$D$2:$D$501,"&lt;="&amp;G389),IF(m=0,"",LET(d,MAXIFS(Bank_Rates!$D$2:$D$501,Bank_Rates!$A$2:$A$501,H389,Bank_Rates!$B$2:$B$501,t,Bank_Rates!$D$2:$D$501,"&lt;="&amp;G389),SUMIFS(Bank_Rates!$C$2:$C$501,Bank_Rates!$A$2:$A$501,H389,Bank_Rates!$B$2:$B$501,t,Bank_Rates!$D$2:$D$501,d)))))))</f>
        <v/>
      </c>
      <c r="K389" s="6" t="str">
        <f t="shared" si="12"/>
        <v/>
      </c>
    </row>
    <row r="390" spans="1:11">
      <c r="A390" s="18" t="str">
        <f t="shared" si="13"/>
        <v/>
      </c>
      <c r="B390" s="13"/>
      <c r="C390" s="14"/>
      <c r="D390" s="3"/>
      <c r="E390" s="3"/>
      <c r="F390" s="14"/>
      <c r="G390" s="7">
        <f>RawObservationsTable[[#This Row],[Maturity Date]]-RawObservationsTable[[#This Row],[Timestamp]]</f>
        <v>0</v>
      </c>
      <c r="H390" s="2"/>
      <c r="I390" s="4"/>
      <c r="J390" s="5" t="str">
        <f>IF(OR(H390="",G390="",C390=""),"",LET(n,COUNTIFS(Bank_Rates!$A$2:$A$501,H390,Bank_Rates!$B$2:$B$501,"&lt;="&amp;C390),IF(n=0,"",LET(t,MAXIFS(Bank_Rates!$B$2:$B$501,Bank_Rates!$A$2:$A$501,H390,Bank_Rates!$B$2:$B$501,"&lt;="&amp;C390),m,COUNTIFS(Bank_Rates!$A$2:$A$501,H390,Bank_Rates!$B$2:$B$501,t,Bank_Rates!$D$2:$D$501,"&lt;="&amp;G390),IF(m=0,"",LET(d,MAXIFS(Bank_Rates!$D$2:$D$501,Bank_Rates!$A$2:$A$501,H390,Bank_Rates!$B$2:$B$501,t,Bank_Rates!$D$2:$D$501,"&lt;="&amp;G390),SUMIFS(Bank_Rates!$C$2:$C$501,Bank_Rates!$A$2:$A$501,H390,Bank_Rates!$B$2:$B$501,t,Bank_Rates!$D$2:$D$501,d)))))))</f>
        <v/>
      </c>
      <c r="K390" s="6" t="str">
        <f t="shared" si="12"/>
        <v/>
      </c>
    </row>
    <row r="391" spans="1:11">
      <c r="A391" s="18" t="str">
        <f t="shared" si="13"/>
        <v/>
      </c>
      <c r="B391" s="13"/>
      <c r="C391" s="14"/>
      <c r="D391" s="3"/>
      <c r="E391" s="3"/>
      <c r="F391" s="14"/>
      <c r="G391" s="7">
        <f>RawObservationsTable[[#This Row],[Maturity Date]]-RawObservationsTable[[#This Row],[Timestamp]]</f>
        <v>0</v>
      </c>
      <c r="H391" s="2"/>
      <c r="I391" s="4"/>
      <c r="J391" s="5" t="str">
        <f>IF(OR(H391="",G391="",C391=""),"",LET(n,COUNTIFS(Bank_Rates!$A$2:$A$501,H391,Bank_Rates!$B$2:$B$501,"&lt;="&amp;C391),IF(n=0,"",LET(t,MAXIFS(Bank_Rates!$B$2:$B$501,Bank_Rates!$A$2:$A$501,H391,Bank_Rates!$B$2:$B$501,"&lt;="&amp;C391),m,COUNTIFS(Bank_Rates!$A$2:$A$501,H391,Bank_Rates!$B$2:$B$501,t,Bank_Rates!$D$2:$D$501,"&lt;="&amp;G391),IF(m=0,"",LET(d,MAXIFS(Bank_Rates!$D$2:$D$501,Bank_Rates!$A$2:$A$501,H391,Bank_Rates!$B$2:$B$501,t,Bank_Rates!$D$2:$D$501,"&lt;="&amp;G391),SUMIFS(Bank_Rates!$C$2:$C$501,Bank_Rates!$A$2:$A$501,H391,Bank_Rates!$B$2:$B$501,t,Bank_Rates!$D$2:$D$501,d)))))))</f>
        <v/>
      </c>
      <c r="K391" s="6" t="str">
        <f t="shared" si="12"/>
        <v/>
      </c>
    </row>
    <row r="392" spans="1:11">
      <c r="A392" s="18" t="str">
        <f t="shared" si="13"/>
        <v/>
      </c>
      <c r="B392" s="13"/>
      <c r="C392" s="14"/>
      <c r="D392" s="3"/>
      <c r="E392" s="3"/>
      <c r="F392" s="14"/>
      <c r="G392" s="7">
        <f>RawObservationsTable[[#This Row],[Maturity Date]]-RawObservationsTable[[#This Row],[Timestamp]]</f>
        <v>0</v>
      </c>
      <c r="H392" s="2"/>
      <c r="I392" s="4"/>
      <c r="J392" s="5" t="str">
        <f>IF(OR(H392="",G392="",C392=""),"",LET(n,COUNTIFS(Bank_Rates!$A$2:$A$501,H392,Bank_Rates!$B$2:$B$501,"&lt;="&amp;C392),IF(n=0,"",LET(t,MAXIFS(Bank_Rates!$B$2:$B$501,Bank_Rates!$A$2:$A$501,H392,Bank_Rates!$B$2:$B$501,"&lt;="&amp;C392),m,COUNTIFS(Bank_Rates!$A$2:$A$501,H392,Bank_Rates!$B$2:$B$501,t,Bank_Rates!$D$2:$D$501,"&lt;="&amp;G392),IF(m=0,"",LET(d,MAXIFS(Bank_Rates!$D$2:$D$501,Bank_Rates!$A$2:$A$501,H392,Bank_Rates!$B$2:$B$501,t,Bank_Rates!$D$2:$D$501,"&lt;="&amp;G392),SUMIFS(Bank_Rates!$C$2:$C$501,Bank_Rates!$A$2:$A$501,H392,Bank_Rates!$B$2:$B$501,t,Bank_Rates!$D$2:$D$501,d)))))))</f>
        <v/>
      </c>
      <c r="K392" s="6" t="str">
        <f t="shared" si="12"/>
        <v/>
      </c>
    </row>
    <row r="393" spans="1:11">
      <c r="A393" s="18" t="str">
        <f t="shared" si="13"/>
        <v/>
      </c>
      <c r="B393" s="13"/>
      <c r="C393" s="14"/>
      <c r="D393" s="3"/>
      <c r="E393" s="3"/>
      <c r="F393" s="14"/>
      <c r="G393" s="7">
        <f>RawObservationsTable[[#This Row],[Maturity Date]]-RawObservationsTable[[#This Row],[Timestamp]]</f>
        <v>0</v>
      </c>
      <c r="H393" s="2"/>
      <c r="I393" s="4"/>
      <c r="J393" s="5" t="str">
        <f>IF(OR(H393="",G393="",C393=""),"",LET(n,COUNTIFS(Bank_Rates!$A$2:$A$501,H393,Bank_Rates!$B$2:$B$501,"&lt;="&amp;C393),IF(n=0,"",LET(t,MAXIFS(Bank_Rates!$B$2:$B$501,Bank_Rates!$A$2:$A$501,H393,Bank_Rates!$B$2:$B$501,"&lt;="&amp;C393),m,COUNTIFS(Bank_Rates!$A$2:$A$501,H393,Bank_Rates!$B$2:$B$501,t,Bank_Rates!$D$2:$D$501,"&lt;="&amp;G393),IF(m=0,"",LET(d,MAXIFS(Bank_Rates!$D$2:$D$501,Bank_Rates!$A$2:$A$501,H393,Bank_Rates!$B$2:$B$501,t,Bank_Rates!$D$2:$D$501,"&lt;="&amp;G393),SUMIFS(Bank_Rates!$C$2:$C$501,Bank_Rates!$A$2:$A$501,H393,Bank_Rates!$B$2:$B$501,t,Bank_Rates!$D$2:$D$501,d)))))))</f>
        <v/>
      </c>
      <c r="K393" s="6" t="str">
        <f t="shared" si="12"/>
        <v/>
      </c>
    </row>
    <row r="394" spans="1:11">
      <c r="A394" s="18" t="str">
        <f t="shared" si="13"/>
        <v/>
      </c>
      <c r="B394" s="13"/>
      <c r="C394" s="14"/>
      <c r="D394" s="3"/>
      <c r="E394" s="3"/>
      <c r="F394" s="14"/>
      <c r="G394" s="7">
        <f>RawObservationsTable[[#This Row],[Maturity Date]]-RawObservationsTable[[#This Row],[Timestamp]]</f>
        <v>0</v>
      </c>
      <c r="H394" s="2"/>
      <c r="I394" s="4"/>
      <c r="J394" s="5" t="str">
        <f>IF(OR(H394="",G394="",C394=""),"",LET(n,COUNTIFS(Bank_Rates!$A$2:$A$501,H394,Bank_Rates!$B$2:$B$501,"&lt;="&amp;C394),IF(n=0,"",LET(t,MAXIFS(Bank_Rates!$B$2:$B$501,Bank_Rates!$A$2:$A$501,H394,Bank_Rates!$B$2:$B$501,"&lt;="&amp;C394),m,COUNTIFS(Bank_Rates!$A$2:$A$501,H394,Bank_Rates!$B$2:$B$501,t,Bank_Rates!$D$2:$D$501,"&lt;="&amp;G394),IF(m=0,"",LET(d,MAXIFS(Bank_Rates!$D$2:$D$501,Bank_Rates!$A$2:$A$501,H394,Bank_Rates!$B$2:$B$501,t,Bank_Rates!$D$2:$D$501,"&lt;="&amp;G394),SUMIFS(Bank_Rates!$C$2:$C$501,Bank_Rates!$A$2:$A$501,H394,Bank_Rates!$B$2:$B$501,t,Bank_Rates!$D$2:$D$501,d)))))))</f>
        <v/>
      </c>
      <c r="K394" s="6" t="str">
        <f t="shared" si="12"/>
        <v/>
      </c>
    </row>
    <row r="395" spans="1:11">
      <c r="A395" s="18" t="str">
        <f t="shared" si="13"/>
        <v/>
      </c>
      <c r="B395" s="13"/>
      <c r="C395" s="14"/>
      <c r="D395" s="3"/>
      <c r="E395" s="3"/>
      <c r="F395" s="14"/>
      <c r="G395" s="7">
        <f>RawObservationsTable[[#This Row],[Maturity Date]]-RawObservationsTable[[#This Row],[Timestamp]]</f>
        <v>0</v>
      </c>
      <c r="H395" s="2"/>
      <c r="I395" s="4"/>
      <c r="J395" s="5" t="str">
        <f>IF(OR(H395="",G395="",C395=""),"",LET(n,COUNTIFS(Bank_Rates!$A$2:$A$501,H395,Bank_Rates!$B$2:$B$501,"&lt;="&amp;C395),IF(n=0,"",LET(t,MAXIFS(Bank_Rates!$B$2:$B$501,Bank_Rates!$A$2:$A$501,H395,Bank_Rates!$B$2:$B$501,"&lt;="&amp;C395),m,COUNTIFS(Bank_Rates!$A$2:$A$501,H395,Bank_Rates!$B$2:$B$501,t,Bank_Rates!$D$2:$D$501,"&lt;="&amp;G395),IF(m=0,"",LET(d,MAXIFS(Bank_Rates!$D$2:$D$501,Bank_Rates!$A$2:$A$501,H395,Bank_Rates!$B$2:$B$501,t,Bank_Rates!$D$2:$D$501,"&lt;="&amp;G395),SUMIFS(Bank_Rates!$C$2:$C$501,Bank_Rates!$A$2:$A$501,H395,Bank_Rates!$B$2:$B$501,t,Bank_Rates!$D$2:$D$501,d)))))))</f>
        <v/>
      </c>
      <c r="K395" s="6" t="str">
        <f t="shared" si="12"/>
        <v/>
      </c>
    </row>
    <row r="396" spans="1:11">
      <c r="A396" s="18" t="str">
        <f t="shared" si="13"/>
        <v/>
      </c>
      <c r="B396" s="13"/>
      <c r="C396" s="14"/>
      <c r="D396" s="3"/>
      <c r="E396" s="3"/>
      <c r="F396" s="14"/>
      <c r="G396" s="7">
        <f>RawObservationsTable[[#This Row],[Maturity Date]]-RawObservationsTable[[#This Row],[Timestamp]]</f>
        <v>0</v>
      </c>
      <c r="H396" s="2"/>
      <c r="I396" s="4"/>
      <c r="J396" s="5" t="str">
        <f>IF(OR(H396="",G396="",C396=""),"",LET(n,COUNTIFS(Bank_Rates!$A$2:$A$501,H396,Bank_Rates!$B$2:$B$501,"&lt;="&amp;C396),IF(n=0,"",LET(t,MAXIFS(Bank_Rates!$B$2:$B$501,Bank_Rates!$A$2:$A$501,H396,Bank_Rates!$B$2:$B$501,"&lt;="&amp;C396),m,COUNTIFS(Bank_Rates!$A$2:$A$501,H396,Bank_Rates!$B$2:$B$501,t,Bank_Rates!$D$2:$D$501,"&lt;="&amp;G396),IF(m=0,"",LET(d,MAXIFS(Bank_Rates!$D$2:$D$501,Bank_Rates!$A$2:$A$501,H396,Bank_Rates!$B$2:$B$501,t,Bank_Rates!$D$2:$D$501,"&lt;="&amp;G396),SUMIFS(Bank_Rates!$C$2:$C$501,Bank_Rates!$A$2:$A$501,H396,Bank_Rates!$B$2:$B$501,t,Bank_Rates!$D$2:$D$501,d)))))))</f>
        <v/>
      </c>
      <c r="K396" s="6" t="str">
        <f t="shared" si="12"/>
        <v/>
      </c>
    </row>
    <row r="397" spans="1:11">
      <c r="A397" s="18" t="str">
        <f t="shared" si="13"/>
        <v/>
      </c>
      <c r="B397" s="13"/>
      <c r="C397" s="14"/>
      <c r="D397" s="3"/>
      <c r="E397" s="3"/>
      <c r="F397" s="14"/>
      <c r="G397" s="7">
        <f>RawObservationsTable[[#This Row],[Maturity Date]]-RawObservationsTable[[#This Row],[Timestamp]]</f>
        <v>0</v>
      </c>
      <c r="H397" s="2"/>
      <c r="I397" s="4"/>
      <c r="J397" s="5" t="str">
        <f>IF(OR(H397="",G397="",C397=""),"",LET(n,COUNTIFS(Bank_Rates!$A$2:$A$501,H397,Bank_Rates!$B$2:$B$501,"&lt;="&amp;C397),IF(n=0,"",LET(t,MAXIFS(Bank_Rates!$B$2:$B$501,Bank_Rates!$A$2:$A$501,H397,Bank_Rates!$B$2:$B$501,"&lt;="&amp;C397),m,COUNTIFS(Bank_Rates!$A$2:$A$501,H397,Bank_Rates!$B$2:$B$501,t,Bank_Rates!$D$2:$D$501,"&lt;="&amp;G397),IF(m=0,"",LET(d,MAXIFS(Bank_Rates!$D$2:$D$501,Bank_Rates!$A$2:$A$501,H397,Bank_Rates!$B$2:$B$501,t,Bank_Rates!$D$2:$D$501,"&lt;="&amp;G397),SUMIFS(Bank_Rates!$C$2:$C$501,Bank_Rates!$A$2:$A$501,H397,Bank_Rates!$B$2:$B$501,t,Bank_Rates!$D$2:$D$501,d)))))))</f>
        <v/>
      </c>
      <c r="K397" s="6" t="str">
        <f t="shared" si="12"/>
        <v/>
      </c>
    </row>
    <row r="398" spans="1:11">
      <c r="A398" s="18" t="str">
        <f t="shared" si="13"/>
        <v/>
      </c>
      <c r="B398" s="13"/>
      <c r="C398" s="14"/>
      <c r="D398" s="3"/>
      <c r="E398" s="3"/>
      <c r="F398" s="14"/>
      <c r="G398" s="7">
        <f>RawObservationsTable[[#This Row],[Maturity Date]]-RawObservationsTable[[#This Row],[Timestamp]]</f>
        <v>0</v>
      </c>
      <c r="H398" s="2"/>
      <c r="I398" s="4"/>
      <c r="J398" s="5" t="str">
        <f>IF(OR(H398="",G398="",C398=""),"",LET(n,COUNTIFS(Bank_Rates!$A$2:$A$501,H398,Bank_Rates!$B$2:$B$501,"&lt;="&amp;C398),IF(n=0,"",LET(t,MAXIFS(Bank_Rates!$B$2:$B$501,Bank_Rates!$A$2:$A$501,H398,Bank_Rates!$B$2:$B$501,"&lt;="&amp;C398),m,COUNTIFS(Bank_Rates!$A$2:$A$501,H398,Bank_Rates!$B$2:$B$501,t,Bank_Rates!$D$2:$D$501,"&lt;="&amp;G398),IF(m=0,"",LET(d,MAXIFS(Bank_Rates!$D$2:$D$501,Bank_Rates!$A$2:$A$501,H398,Bank_Rates!$B$2:$B$501,t,Bank_Rates!$D$2:$D$501,"&lt;="&amp;G398),SUMIFS(Bank_Rates!$C$2:$C$501,Bank_Rates!$A$2:$A$501,H398,Bank_Rates!$B$2:$B$501,t,Bank_Rates!$D$2:$D$501,d)))))))</f>
        <v/>
      </c>
      <c r="K398" s="6" t="str">
        <f t="shared" si="12"/>
        <v/>
      </c>
    </row>
    <row r="399" spans="1:11">
      <c r="A399" s="18" t="str">
        <f t="shared" si="13"/>
        <v/>
      </c>
      <c r="B399" s="13"/>
      <c r="C399" s="14"/>
      <c r="D399" s="3"/>
      <c r="E399" s="3"/>
      <c r="F399" s="14"/>
      <c r="G399" s="7">
        <f>RawObservationsTable[[#This Row],[Maturity Date]]-RawObservationsTable[[#This Row],[Timestamp]]</f>
        <v>0</v>
      </c>
      <c r="H399" s="2"/>
      <c r="I399" s="4"/>
      <c r="J399" s="5" t="str">
        <f>IF(OR(H399="",G399="",C399=""),"",LET(n,COUNTIFS(Bank_Rates!$A$2:$A$501,H399,Bank_Rates!$B$2:$B$501,"&lt;="&amp;C399),IF(n=0,"",LET(t,MAXIFS(Bank_Rates!$B$2:$B$501,Bank_Rates!$A$2:$A$501,H399,Bank_Rates!$B$2:$B$501,"&lt;="&amp;C399),m,COUNTIFS(Bank_Rates!$A$2:$A$501,H399,Bank_Rates!$B$2:$B$501,t,Bank_Rates!$D$2:$D$501,"&lt;="&amp;G399),IF(m=0,"",LET(d,MAXIFS(Bank_Rates!$D$2:$D$501,Bank_Rates!$A$2:$A$501,H399,Bank_Rates!$B$2:$B$501,t,Bank_Rates!$D$2:$D$501,"&lt;="&amp;G399),SUMIFS(Bank_Rates!$C$2:$C$501,Bank_Rates!$A$2:$A$501,H399,Bank_Rates!$B$2:$B$501,t,Bank_Rates!$D$2:$D$501,d)))))))</f>
        <v/>
      </c>
      <c r="K399" s="6" t="str">
        <f t="shared" si="12"/>
        <v/>
      </c>
    </row>
    <row r="400" spans="1:11">
      <c r="A400" s="18" t="str">
        <f t="shared" si="13"/>
        <v/>
      </c>
      <c r="B400" s="13"/>
      <c r="C400" s="14"/>
      <c r="D400" s="3"/>
      <c r="E400" s="3"/>
      <c r="F400" s="14"/>
      <c r="G400" s="7">
        <f>RawObservationsTable[[#This Row],[Maturity Date]]-RawObservationsTable[[#This Row],[Timestamp]]</f>
        <v>0</v>
      </c>
      <c r="H400" s="2"/>
      <c r="I400" s="4"/>
      <c r="J400" s="5" t="str">
        <f>IF(OR(H400="",G400="",C400=""),"",LET(n,COUNTIFS(Bank_Rates!$A$2:$A$501,H400,Bank_Rates!$B$2:$B$501,"&lt;="&amp;C400),IF(n=0,"",LET(t,MAXIFS(Bank_Rates!$B$2:$B$501,Bank_Rates!$A$2:$A$501,H400,Bank_Rates!$B$2:$B$501,"&lt;="&amp;C400),m,COUNTIFS(Bank_Rates!$A$2:$A$501,H400,Bank_Rates!$B$2:$B$501,t,Bank_Rates!$D$2:$D$501,"&lt;="&amp;G400),IF(m=0,"",LET(d,MAXIFS(Bank_Rates!$D$2:$D$501,Bank_Rates!$A$2:$A$501,H400,Bank_Rates!$B$2:$B$501,t,Bank_Rates!$D$2:$D$501,"&lt;="&amp;G400),SUMIFS(Bank_Rates!$C$2:$C$501,Bank_Rates!$A$2:$A$501,H400,Bank_Rates!$B$2:$B$501,t,Bank_Rates!$D$2:$D$501,d)))))))</f>
        <v/>
      </c>
      <c r="K400" s="6" t="str">
        <f t="shared" si="12"/>
        <v/>
      </c>
    </row>
    <row r="401" spans="1:11">
      <c r="A401" s="18" t="str">
        <f t="shared" si="13"/>
        <v/>
      </c>
      <c r="B401" s="13"/>
      <c r="C401" s="14"/>
      <c r="D401" s="3"/>
      <c r="E401" s="3"/>
      <c r="F401" s="14"/>
      <c r="G401" s="7">
        <f>RawObservationsTable[[#This Row],[Maturity Date]]-RawObservationsTable[[#This Row],[Timestamp]]</f>
        <v>0</v>
      </c>
      <c r="H401" s="2"/>
      <c r="I401" s="4"/>
      <c r="J401" s="5" t="str">
        <f>IF(OR(H401="",G401="",C401=""),"",LET(n,COUNTIFS(Bank_Rates!$A$2:$A$501,H401,Bank_Rates!$B$2:$B$501,"&lt;="&amp;C401),IF(n=0,"",LET(t,MAXIFS(Bank_Rates!$B$2:$B$501,Bank_Rates!$A$2:$A$501,H401,Bank_Rates!$B$2:$B$501,"&lt;="&amp;C401),m,COUNTIFS(Bank_Rates!$A$2:$A$501,H401,Bank_Rates!$B$2:$B$501,t,Bank_Rates!$D$2:$D$501,"&lt;="&amp;G401),IF(m=0,"",LET(d,MAXIFS(Bank_Rates!$D$2:$D$501,Bank_Rates!$A$2:$A$501,H401,Bank_Rates!$B$2:$B$501,t,Bank_Rates!$D$2:$D$501,"&lt;="&amp;G401),SUMIFS(Bank_Rates!$C$2:$C$501,Bank_Rates!$A$2:$A$501,H401,Bank_Rates!$B$2:$B$501,t,Bank_Rates!$D$2:$D$501,d)))))))</f>
        <v/>
      </c>
      <c r="K401" s="6" t="str">
        <f t="shared" si="12"/>
        <v/>
      </c>
    </row>
    <row r="402" spans="1:11">
      <c r="A402" s="18" t="str">
        <f t="shared" si="13"/>
        <v/>
      </c>
      <c r="B402" s="13"/>
      <c r="C402" s="14"/>
      <c r="D402" s="3"/>
      <c r="E402" s="3"/>
      <c r="F402" s="14"/>
      <c r="G402" s="7">
        <f>RawObservationsTable[[#This Row],[Maturity Date]]-RawObservationsTable[[#This Row],[Timestamp]]</f>
        <v>0</v>
      </c>
      <c r="H402" s="2"/>
      <c r="I402" s="4"/>
      <c r="J402" s="5" t="str">
        <f>IF(OR(H402="",G402="",C402=""),"",LET(n,COUNTIFS(Bank_Rates!$A$2:$A$501,H402,Bank_Rates!$B$2:$B$501,"&lt;="&amp;C402),IF(n=0,"",LET(t,MAXIFS(Bank_Rates!$B$2:$B$501,Bank_Rates!$A$2:$A$501,H402,Bank_Rates!$B$2:$B$501,"&lt;="&amp;C402),m,COUNTIFS(Bank_Rates!$A$2:$A$501,H402,Bank_Rates!$B$2:$B$501,t,Bank_Rates!$D$2:$D$501,"&lt;="&amp;G402),IF(m=0,"",LET(d,MAXIFS(Bank_Rates!$D$2:$D$501,Bank_Rates!$A$2:$A$501,H402,Bank_Rates!$B$2:$B$501,t,Bank_Rates!$D$2:$D$501,"&lt;="&amp;G402),SUMIFS(Bank_Rates!$C$2:$C$501,Bank_Rates!$A$2:$A$501,H402,Bank_Rates!$B$2:$B$501,t,Bank_Rates!$D$2:$D$501,d)))))))</f>
        <v/>
      </c>
      <c r="K402" s="6" t="str">
        <f t="shared" si="12"/>
        <v/>
      </c>
    </row>
    <row r="403" spans="1:11">
      <c r="A403" s="18" t="str">
        <f t="shared" si="13"/>
        <v/>
      </c>
      <c r="B403" s="13"/>
      <c r="C403" s="14"/>
      <c r="D403" s="3"/>
      <c r="E403" s="3"/>
      <c r="F403" s="14"/>
      <c r="G403" s="7">
        <f>RawObservationsTable[[#This Row],[Maturity Date]]-RawObservationsTable[[#This Row],[Timestamp]]</f>
        <v>0</v>
      </c>
      <c r="H403" s="2"/>
      <c r="I403" s="4"/>
      <c r="J403" s="5" t="str">
        <f>IF(OR(H403="",G403="",C403=""),"",LET(n,COUNTIFS(Bank_Rates!$A$2:$A$501,H403,Bank_Rates!$B$2:$B$501,"&lt;="&amp;C403),IF(n=0,"",LET(t,MAXIFS(Bank_Rates!$B$2:$B$501,Bank_Rates!$A$2:$A$501,H403,Bank_Rates!$B$2:$B$501,"&lt;="&amp;C403),m,COUNTIFS(Bank_Rates!$A$2:$A$501,H403,Bank_Rates!$B$2:$B$501,t,Bank_Rates!$D$2:$D$501,"&lt;="&amp;G403),IF(m=0,"",LET(d,MAXIFS(Bank_Rates!$D$2:$D$501,Bank_Rates!$A$2:$A$501,H403,Bank_Rates!$B$2:$B$501,t,Bank_Rates!$D$2:$D$501,"&lt;="&amp;G403),SUMIFS(Bank_Rates!$C$2:$C$501,Bank_Rates!$A$2:$A$501,H403,Bank_Rates!$B$2:$B$501,t,Bank_Rates!$D$2:$D$501,d)))))))</f>
        <v/>
      </c>
      <c r="K403" s="6" t="str">
        <f t="shared" si="12"/>
        <v/>
      </c>
    </row>
    <row r="404" spans="1:11">
      <c r="A404" s="18" t="str">
        <f t="shared" si="13"/>
        <v/>
      </c>
      <c r="B404" s="13"/>
      <c r="C404" s="14"/>
      <c r="D404" s="3"/>
      <c r="E404" s="3"/>
      <c r="F404" s="14"/>
      <c r="G404" s="7">
        <f>RawObservationsTable[[#This Row],[Maturity Date]]-RawObservationsTable[[#This Row],[Timestamp]]</f>
        <v>0</v>
      </c>
      <c r="H404" s="2"/>
      <c r="I404" s="4"/>
      <c r="J404" s="5" t="str">
        <f>IF(OR(H404="",G404="",C404=""),"",LET(n,COUNTIFS(Bank_Rates!$A$2:$A$501,H404,Bank_Rates!$B$2:$B$501,"&lt;="&amp;C404),IF(n=0,"",LET(t,MAXIFS(Bank_Rates!$B$2:$B$501,Bank_Rates!$A$2:$A$501,H404,Bank_Rates!$B$2:$B$501,"&lt;="&amp;C404),m,COUNTIFS(Bank_Rates!$A$2:$A$501,H404,Bank_Rates!$B$2:$B$501,t,Bank_Rates!$D$2:$D$501,"&lt;="&amp;G404),IF(m=0,"",LET(d,MAXIFS(Bank_Rates!$D$2:$D$501,Bank_Rates!$A$2:$A$501,H404,Bank_Rates!$B$2:$B$501,t,Bank_Rates!$D$2:$D$501,"&lt;="&amp;G404),SUMIFS(Bank_Rates!$C$2:$C$501,Bank_Rates!$A$2:$A$501,H404,Bank_Rates!$B$2:$B$501,t,Bank_Rates!$D$2:$D$501,d)))))))</f>
        <v/>
      </c>
      <c r="K404" s="6" t="str">
        <f t="shared" si="12"/>
        <v/>
      </c>
    </row>
    <row r="405" spans="1:11">
      <c r="A405" s="18" t="str">
        <f t="shared" si="13"/>
        <v/>
      </c>
      <c r="B405" s="13"/>
      <c r="C405" s="14"/>
      <c r="D405" s="3"/>
      <c r="E405" s="3"/>
      <c r="F405" s="14"/>
      <c r="G405" s="7">
        <f>RawObservationsTable[[#This Row],[Maturity Date]]-RawObservationsTable[[#This Row],[Timestamp]]</f>
        <v>0</v>
      </c>
      <c r="H405" s="2"/>
      <c r="I405" s="4"/>
      <c r="J405" s="5" t="str">
        <f>IF(OR(H405="",G405="",C405=""),"",LET(n,COUNTIFS(Bank_Rates!$A$2:$A$501,H405,Bank_Rates!$B$2:$B$501,"&lt;="&amp;C405),IF(n=0,"",LET(t,MAXIFS(Bank_Rates!$B$2:$B$501,Bank_Rates!$A$2:$A$501,H405,Bank_Rates!$B$2:$B$501,"&lt;="&amp;C405),m,COUNTIFS(Bank_Rates!$A$2:$A$501,H405,Bank_Rates!$B$2:$B$501,t,Bank_Rates!$D$2:$D$501,"&lt;="&amp;G405),IF(m=0,"",LET(d,MAXIFS(Bank_Rates!$D$2:$D$501,Bank_Rates!$A$2:$A$501,H405,Bank_Rates!$B$2:$B$501,t,Bank_Rates!$D$2:$D$501,"&lt;="&amp;G405),SUMIFS(Bank_Rates!$C$2:$C$501,Bank_Rates!$A$2:$A$501,H405,Bank_Rates!$B$2:$B$501,t,Bank_Rates!$D$2:$D$501,d)))))))</f>
        <v/>
      </c>
      <c r="K405" s="6" t="str">
        <f t="shared" si="12"/>
        <v/>
      </c>
    </row>
    <row r="406" spans="1:11">
      <c r="A406" s="18" t="str">
        <f t="shared" si="13"/>
        <v/>
      </c>
      <c r="B406" s="13"/>
      <c r="C406" s="14"/>
      <c r="D406" s="3"/>
      <c r="E406" s="3"/>
      <c r="F406" s="14"/>
      <c r="G406" s="7">
        <f>RawObservationsTable[[#This Row],[Maturity Date]]-RawObservationsTable[[#This Row],[Timestamp]]</f>
        <v>0</v>
      </c>
      <c r="H406" s="2"/>
      <c r="I406" s="4"/>
      <c r="J406" s="5" t="str">
        <f>IF(OR(H406="",G406="",C406=""),"",LET(n,COUNTIFS(Bank_Rates!$A$2:$A$501,H406,Bank_Rates!$B$2:$B$501,"&lt;="&amp;C406),IF(n=0,"",LET(t,MAXIFS(Bank_Rates!$B$2:$B$501,Bank_Rates!$A$2:$A$501,H406,Bank_Rates!$B$2:$B$501,"&lt;="&amp;C406),m,COUNTIFS(Bank_Rates!$A$2:$A$501,H406,Bank_Rates!$B$2:$B$501,t,Bank_Rates!$D$2:$D$501,"&lt;="&amp;G406),IF(m=0,"",LET(d,MAXIFS(Bank_Rates!$D$2:$D$501,Bank_Rates!$A$2:$A$501,H406,Bank_Rates!$B$2:$B$501,t,Bank_Rates!$D$2:$D$501,"&lt;="&amp;G406),SUMIFS(Bank_Rates!$C$2:$C$501,Bank_Rates!$A$2:$A$501,H406,Bank_Rates!$B$2:$B$501,t,Bank_Rates!$D$2:$D$501,d)))))))</f>
        <v/>
      </c>
      <c r="K406" s="6" t="str">
        <f t="shared" si="12"/>
        <v/>
      </c>
    </row>
    <row r="407" spans="1:11">
      <c r="A407" s="18" t="str">
        <f t="shared" si="13"/>
        <v/>
      </c>
      <c r="B407" s="13"/>
      <c r="C407" s="14"/>
      <c r="D407" s="3"/>
      <c r="E407" s="3"/>
      <c r="F407" s="14"/>
      <c r="G407" s="7">
        <f>RawObservationsTable[[#This Row],[Maturity Date]]-RawObservationsTable[[#This Row],[Timestamp]]</f>
        <v>0</v>
      </c>
      <c r="H407" s="2"/>
      <c r="I407" s="4"/>
      <c r="J407" s="5" t="str">
        <f>IF(OR(H407="",G407="",C407=""),"",LET(n,COUNTIFS(Bank_Rates!$A$2:$A$501,H407,Bank_Rates!$B$2:$B$501,"&lt;="&amp;C407),IF(n=0,"",LET(t,MAXIFS(Bank_Rates!$B$2:$B$501,Bank_Rates!$A$2:$A$501,H407,Bank_Rates!$B$2:$B$501,"&lt;="&amp;C407),m,COUNTIFS(Bank_Rates!$A$2:$A$501,H407,Bank_Rates!$B$2:$B$501,t,Bank_Rates!$D$2:$D$501,"&lt;="&amp;G407),IF(m=0,"",LET(d,MAXIFS(Bank_Rates!$D$2:$D$501,Bank_Rates!$A$2:$A$501,H407,Bank_Rates!$B$2:$B$501,t,Bank_Rates!$D$2:$D$501,"&lt;="&amp;G407),SUMIFS(Bank_Rates!$C$2:$C$501,Bank_Rates!$A$2:$A$501,H407,Bank_Rates!$B$2:$B$501,t,Bank_Rates!$D$2:$D$501,d)))))))</f>
        <v/>
      </c>
      <c r="K407" s="6" t="str">
        <f t="shared" si="12"/>
        <v/>
      </c>
    </row>
    <row r="408" spans="1:11">
      <c r="A408" s="18" t="str">
        <f t="shared" si="13"/>
        <v/>
      </c>
      <c r="B408" s="13"/>
      <c r="C408" s="14"/>
      <c r="D408" s="3"/>
      <c r="E408" s="3"/>
      <c r="F408" s="14"/>
      <c r="G408" s="7">
        <f>RawObservationsTable[[#This Row],[Maturity Date]]-RawObservationsTable[[#This Row],[Timestamp]]</f>
        <v>0</v>
      </c>
      <c r="H408" s="2"/>
      <c r="I408" s="4"/>
      <c r="J408" s="5" t="str">
        <f>IF(OR(H408="",G408="",C408=""),"",LET(n,COUNTIFS(Bank_Rates!$A$2:$A$501,H408,Bank_Rates!$B$2:$B$501,"&lt;="&amp;C408),IF(n=0,"",LET(t,MAXIFS(Bank_Rates!$B$2:$B$501,Bank_Rates!$A$2:$A$501,H408,Bank_Rates!$B$2:$B$501,"&lt;="&amp;C408),m,COUNTIFS(Bank_Rates!$A$2:$A$501,H408,Bank_Rates!$B$2:$B$501,t,Bank_Rates!$D$2:$D$501,"&lt;="&amp;G408),IF(m=0,"",LET(d,MAXIFS(Bank_Rates!$D$2:$D$501,Bank_Rates!$A$2:$A$501,H408,Bank_Rates!$B$2:$B$501,t,Bank_Rates!$D$2:$D$501,"&lt;="&amp;G408),SUMIFS(Bank_Rates!$C$2:$C$501,Bank_Rates!$A$2:$A$501,H408,Bank_Rates!$B$2:$B$501,t,Bank_Rates!$D$2:$D$501,d)))))))</f>
        <v/>
      </c>
      <c r="K408" s="6" t="str">
        <f t="shared" si="12"/>
        <v/>
      </c>
    </row>
    <row r="409" spans="1:11">
      <c r="A409" s="18" t="str">
        <f t="shared" si="13"/>
        <v/>
      </c>
      <c r="B409" s="13"/>
      <c r="C409" s="14"/>
      <c r="D409" s="3"/>
      <c r="E409" s="3"/>
      <c r="F409" s="14"/>
      <c r="G409" s="7">
        <f>RawObservationsTable[[#This Row],[Maturity Date]]-RawObservationsTable[[#This Row],[Timestamp]]</f>
        <v>0</v>
      </c>
      <c r="H409" s="2"/>
      <c r="I409" s="4"/>
      <c r="J409" s="5" t="str">
        <f>IF(OR(H409="",G409="",C409=""),"",LET(n,COUNTIFS(Bank_Rates!$A$2:$A$501,H409,Bank_Rates!$B$2:$B$501,"&lt;="&amp;C409),IF(n=0,"",LET(t,MAXIFS(Bank_Rates!$B$2:$B$501,Bank_Rates!$A$2:$A$501,H409,Bank_Rates!$B$2:$B$501,"&lt;="&amp;C409),m,COUNTIFS(Bank_Rates!$A$2:$A$501,H409,Bank_Rates!$B$2:$B$501,t,Bank_Rates!$D$2:$D$501,"&lt;="&amp;G409),IF(m=0,"",LET(d,MAXIFS(Bank_Rates!$D$2:$D$501,Bank_Rates!$A$2:$A$501,H409,Bank_Rates!$B$2:$B$501,t,Bank_Rates!$D$2:$D$501,"&lt;="&amp;G409),SUMIFS(Bank_Rates!$C$2:$C$501,Bank_Rates!$A$2:$A$501,H409,Bank_Rates!$B$2:$B$501,t,Bank_Rates!$D$2:$D$501,d)))))))</f>
        <v/>
      </c>
      <c r="K409" s="6" t="str">
        <f t="shared" si="12"/>
        <v/>
      </c>
    </row>
    <row r="410" spans="1:11">
      <c r="A410" s="18" t="str">
        <f t="shared" si="13"/>
        <v/>
      </c>
      <c r="B410" s="13"/>
      <c r="C410" s="14"/>
      <c r="D410" s="3"/>
      <c r="E410" s="3"/>
      <c r="F410" s="14"/>
      <c r="G410" s="7">
        <f>RawObservationsTable[[#This Row],[Maturity Date]]-RawObservationsTable[[#This Row],[Timestamp]]</f>
        <v>0</v>
      </c>
      <c r="H410" s="2"/>
      <c r="I410" s="4"/>
      <c r="J410" s="5" t="str">
        <f>IF(OR(H410="",G410="",C410=""),"",LET(n,COUNTIFS(Bank_Rates!$A$2:$A$501,H410,Bank_Rates!$B$2:$B$501,"&lt;="&amp;C410),IF(n=0,"",LET(t,MAXIFS(Bank_Rates!$B$2:$B$501,Bank_Rates!$A$2:$A$501,H410,Bank_Rates!$B$2:$B$501,"&lt;="&amp;C410),m,COUNTIFS(Bank_Rates!$A$2:$A$501,H410,Bank_Rates!$B$2:$B$501,t,Bank_Rates!$D$2:$D$501,"&lt;="&amp;G410),IF(m=0,"",LET(d,MAXIFS(Bank_Rates!$D$2:$D$501,Bank_Rates!$A$2:$A$501,H410,Bank_Rates!$B$2:$B$501,t,Bank_Rates!$D$2:$D$501,"&lt;="&amp;G410),SUMIFS(Bank_Rates!$C$2:$C$501,Bank_Rates!$A$2:$A$501,H410,Bank_Rates!$B$2:$B$501,t,Bank_Rates!$D$2:$D$501,d)))))))</f>
        <v/>
      </c>
      <c r="K410" s="6" t="str">
        <f t="shared" si="12"/>
        <v/>
      </c>
    </row>
    <row r="411" spans="1:11">
      <c r="A411" s="18" t="str">
        <f t="shared" si="13"/>
        <v/>
      </c>
      <c r="B411" s="13"/>
      <c r="C411" s="14"/>
      <c r="D411" s="3"/>
      <c r="E411" s="3"/>
      <c r="F411" s="14"/>
      <c r="G411" s="7">
        <f>RawObservationsTable[[#This Row],[Maturity Date]]-RawObservationsTable[[#This Row],[Timestamp]]</f>
        <v>0</v>
      </c>
      <c r="H411" s="2"/>
      <c r="I411" s="4"/>
      <c r="J411" s="5" t="str">
        <f>IF(OR(H411="",G411="",C411=""),"",LET(n,COUNTIFS(Bank_Rates!$A$2:$A$501,H411,Bank_Rates!$B$2:$B$501,"&lt;="&amp;C411),IF(n=0,"",LET(t,MAXIFS(Bank_Rates!$B$2:$B$501,Bank_Rates!$A$2:$A$501,H411,Bank_Rates!$B$2:$B$501,"&lt;="&amp;C411),m,COUNTIFS(Bank_Rates!$A$2:$A$501,H411,Bank_Rates!$B$2:$B$501,t,Bank_Rates!$D$2:$D$501,"&lt;="&amp;G411),IF(m=0,"",LET(d,MAXIFS(Bank_Rates!$D$2:$D$501,Bank_Rates!$A$2:$A$501,H411,Bank_Rates!$B$2:$B$501,t,Bank_Rates!$D$2:$D$501,"&lt;="&amp;G411),SUMIFS(Bank_Rates!$C$2:$C$501,Bank_Rates!$A$2:$A$501,H411,Bank_Rates!$B$2:$B$501,t,Bank_Rates!$D$2:$D$501,d)))))))</f>
        <v/>
      </c>
      <c r="K411" s="6" t="str">
        <f t="shared" si="12"/>
        <v/>
      </c>
    </row>
    <row r="412" spans="1:11">
      <c r="A412" s="18" t="str">
        <f t="shared" si="13"/>
        <v/>
      </c>
      <c r="B412" s="13"/>
      <c r="C412" s="14"/>
      <c r="D412" s="3"/>
      <c r="E412" s="3"/>
      <c r="F412" s="14"/>
      <c r="G412" s="7">
        <f>RawObservationsTable[[#This Row],[Maturity Date]]-RawObservationsTable[[#This Row],[Timestamp]]</f>
        <v>0</v>
      </c>
      <c r="H412" s="2"/>
      <c r="I412" s="4"/>
      <c r="J412" s="5" t="str">
        <f>IF(OR(H412="",G412="",C412=""),"",LET(n,COUNTIFS(Bank_Rates!$A$2:$A$501,H412,Bank_Rates!$B$2:$B$501,"&lt;="&amp;C412),IF(n=0,"",LET(t,MAXIFS(Bank_Rates!$B$2:$B$501,Bank_Rates!$A$2:$A$501,H412,Bank_Rates!$B$2:$B$501,"&lt;="&amp;C412),m,COUNTIFS(Bank_Rates!$A$2:$A$501,H412,Bank_Rates!$B$2:$B$501,t,Bank_Rates!$D$2:$D$501,"&lt;="&amp;G412),IF(m=0,"",LET(d,MAXIFS(Bank_Rates!$D$2:$D$501,Bank_Rates!$A$2:$A$501,H412,Bank_Rates!$B$2:$B$501,t,Bank_Rates!$D$2:$D$501,"&lt;="&amp;G412),SUMIFS(Bank_Rates!$C$2:$C$501,Bank_Rates!$A$2:$A$501,H412,Bank_Rates!$B$2:$B$501,t,Bank_Rates!$D$2:$D$501,d)))))))</f>
        <v/>
      </c>
      <c r="K412" s="6" t="str">
        <f t="shared" si="12"/>
        <v/>
      </c>
    </row>
    <row r="413" spans="1:11">
      <c r="A413" s="18" t="str">
        <f t="shared" si="13"/>
        <v/>
      </c>
      <c r="B413" s="13"/>
      <c r="C413" s="14"/>
      <c r="D413" s="3"/>
      <c r="E413" s="3"/>
      <c r="F413" s="14"/>
      <c r="G413" s="7">
        <f>RawObservationsTable[[#This Row],[Maturity Date]]-RawObservationsTable[[#This Row],[Timestamp]]</f>
        <v>0</v>
      </c>
      <c r="H413" s="2"/>
      <c r="I413" s="4"/>
      <c r="J413" s="5" t="str">
        <f>IF(OR(H413="",G413="",C413=""),"",LET(n,COUNTIFS(Bank_Rates!$A$2:$A$501,H413,Bank_Rates!$B$2:$B$501,"&lt;="&amp;C413),IF(n=0,"",LET(t,MAXIFS(Bank_Rates!$B$2:$B$501,Bank_Rates!$A$2:$A$501,H413,Bank_Rates!$B$2:$B$501,"&lt;="&amp;C413),m,COUNTIFS(Bank_Rates!$A$2:$A$501,H413,Bank_Rates!$B$2:$B$501,t,Bank_Rates!$D$2:$D$501,"&lt;="&amp;G413),IF(m=0,"",LET(d,MAXIFS(Bank_Rates!$D$2:$D$501,Bank_Rates!$A$2:$A$501,H413,Bank_Rates!$B$2:$B$501,t,Bank_Rates!$D$2:$D$501,"&lt;="&amp;G413),SUMIFS(Bank_Rates!$C$2:$C$501,Bank_Rates!$A$2:$A$501,H413,Bank_Rates!$B$2:$B$501,t,Bank_Rates!$D$2:$D$501,d)))))))</f>
        <v/>
      </c>
      <c r="K413" s="6" t="str">
        <f t="shared" si="12"/>
        <v/>
      </c>
    </row>
    <row r="414" spans="1:11">
      <c r="A414" s="18" t="str">
        <f t="shared" si="13"/>
        <v/>
      </c>
      <c r="B414" s="13"/>
      <c r="C414" s="14"/>
      <c r="D414" s="3"/>
      <c r="E414" s="3"/>
      <c r="F414" s="14"/>
      <c r="G414" s="7">
        <f>RawObservationsTable[[#This Row],[Maturity Date]]-RawObservationsTable[[#This Row],[Timestamp]]</f>
        <v>0</v>
      </c>
      <c r="H414" s="2"/>
      <c r="I414" s="4"/>
      <c r="J414" s="5" t="str">
        <f>IF(OR(H414="",G414="",C414=""),"",LET(n,COUNTIFS(Bank_Rates!$A$2:$A$501,H414,Bank_Rates!$B$2:$B$501,"&lt;="&amp;C414),IF(n=0,"",LET(t,MAXIFS(Bank_Rates!$B$2:$B$501,Bank_Rates!$A$2:$A$501,H414,Bank_Rates!$B$2:$B$501,"&lt;="&amp;C414),m,COUNTIFS(Bank_Rates!$A$2:$A$501,H414,Bank_Rates!$B$2:$B$501,t,Bank_Rates!$D$2:$D$501,"&lt;="&amp;G414),IF(m=0,"",LET(d,MAXIFS(Bank_Rates!$D$2:$D$501,Bank_Rates!$A$2:$A$501,H414,Bank_Rates!$B$2:$B$501,t,Bank_Rates!$D$2:$D$501,"&lt;="&amp;G414),SUMIFS(Bank_Rates!$C$2:$C$501,Bank_Rates!$A$2:$A$501,H414,Bank_Rates!$B$2:$B$501,t,Bank_Rates!$D$2:$D$501,d)))))))</f>
        <v/>
      </c>
      <c r="K414" s="6" t="str">
        <f t="shared" si="12"/>
        <v/>
      </c>
    </row>
    <row r="415" spans="1:11">
      <c r="A415" s="18" t="str">
        <f t="shared" si="13"/>
        <v/>
      </c>
      <c r="B415" s="13"/>
      <c r="C415" s="14"/>
      <c r="D415" s="3"/>
      <c r="E415" s="3"/>
      <c r="F415" s="14"/>
      <c r="G415" s="7">
        <f>RawObservationsTable[[#This Row],[Maturity Date]]-RawObservationsTable[[#This Row],[Timestamp]]</f>
        <v>0</v>
      </c>
      <c r="H415" s="2"/>
      <c r="I415" s="4"/>
      <c r="J415" s="5" t="str">
        <f>IF(OR(H415="",G415="",C415=""),"",LET(n,COUNTIFS(Bank_Rates!$A$2:$A$501,H415,Bank_Rates!$B$2:$B$501,"&lt;="&amp;C415),IF(n=0,"",LET(t,MAXIFS(Bank_Rates!$B$2:$B$501,Bank_Rates!$A$2:$A$501,H415,Bank_Rates!$B$2:$B$501,"&lt;="&amp;C415),m,COUNTIFS(Bank_Rates!$A$2:$A$501,H415,Bank_Rates!$B$2:$B$501,t,Bank_Rates!$D$2:$D$501,"&lt;="&amp;G415),IF(m=0,"",LET(d,MAXIFS(Bank_Rates!$D$2:$D$501,Bank_Rates!$A$2:$A$501,H415,Bank_Rates!$B$2:$B$501,t,Bank_Rates!$D$2:$D$501,"&lt;="&amp;G415),SUMIFS(Bank_Rates!$C$2:$C$501,Bank_Rates!$A$2:$A$501,H415,Bank_Rates!$B$2:$B$501,t,Bank_Rates!$D$2:$D$501,d)))))))</f>
        <v/>
      </c>
      <c r="K415" s="6" t="str">
        <f t="shared" si="12"/>
        <v/>
      </c>
    </row>
    <row r="416" spans="1:11">
      <c r="A416" s="18" t="str">
        <f t="shared" si="13"/>
        <v/>
      </c>
      <c r="B416" s="13"/>
      <c r="C416" s="14"/>
      <c r="D416" s="3"/>
      <c r="E416" s="3"/>
      <c r="F416" s="14"/>
      <c r="G416" s="7">
        <f>RawObservationsTable[[#This Row],[Maturity Date]]-RawObservationsTable[[#This Row],[Timestamp]]</f>
        <v>0</v>
      </c>
      <c r="H416" s="2"/>
      <c r="I416" s="4"/>
      <c r="J416" s="5" t="str">
        <f>IF(OR(H416="",G416="",C416=""),"",LET(n,COUNTIFS(Bank_Rates!$A$2:$A$501,H416,Bank_Rates!$B$2:$B$501,"&lt;="&amp;C416),IF(n=0,"",LET(t,MAXIFS(Bank_Rates!$B$2:$B$501,Bank_Rates!$A$2:$A$501,H416,Bank_Rates!$B$2:$B$501,"&lt;="&amp;C416),m,COUNTIFS(Bank_Rates!$A$2:$A$501,H416,Bank_Rates!$B$2:$B$501,t,Bank_Rates!$D$2:$D$501,"&lt;="&amp;G416),IF(m=0,"",LET(d,MAXIFS(Bank_Rates!$D$2:$D$501,Bank_Rates!$A$2:$A$501,H416,Bank_Rates!$B$2:$B$501,t,Bank_Rates!$D$2:$D$501,"&lt;="&amp;G416),SUMIFS(Bank_Rates!$C$2:$C$501,Bank_Rates!$A$2:$A$501,H416,Bank_Rates!$B$2:$B$501,t,Bank_Rates!$D$2:$D$501,d)))))))</f>
        <v/>
      </c>
      <c r="K416" s="6" t="str">
        <f t="shared" si="12"/>
        <v/>
      </c>
    </row>
    <row r="417" spans="1:11">
      <c r="A417" s="18" t="str">
        <f t="shared" si="13"/>
        <v/>
      </c>
      <c r="B417" s="13"/>
      <c r="C417" s="14"/>
      <c r="D417" s="3"/>
      <c r="E417" s="3"/>
      <c r="F417" s="14"/>
      <c r="G417" s="7">
        <f>RawObservationsTable[[#This Row],[Maturity Date]]-RawObservationsTable[[#This Row],[Timestamp]]</f>
        <v>0</v>
      </c>
      <c r="H417" s="2"/>
      <c r="I417" s="4"/>
      <c r="J417" s="5" t="str">
        <f>IF(OR(H417="",G417="",C417=""),"",LET(n,COUNTIFS(Bank_Rates!$A$2:$A$501,H417,Bank_Rates!$B$2:$B$501,"&lt;="&amp;C417),IF(n=0,"",LET(t,MAXIFS(Bank_Rates!$B$2:$B$501,Bank_Rates!$A$2:$A$501,H417,Bank_Rates!$B$2:$B$501,"&lt;="&amp;C417),m,COUNTIFS(Bank_Rates!$A$2:$A$501,H417,Bank_Rates!$B$2:$B$501,t,Bank_Rates!$D$2:$D$501,"&lt;="&amp;G417),IF(m=0,"",LET(d,MAXIFS(Bank_Rates!$D$2:$D$501,Bank_Rates!$A$2:$A$501,H417,Bank_Rates!$B$2:$B$501,t,Bank_Rates!$D$2:$D$501,"&lt;="&amp;G417),SUMIFS(Bank_Rates!$C$2:$C$501,Bank_Rates!$A$2:$A$501,H417,Bank_Rates!$B$2:$B$501,t,Bank_Rates!$D$2:$D$501,d)))))))</f>
        <v/>
      </c>
      <c r="K417" s="6" t="str">
        <f t="shared" si="12"/>
        <v/>
      </c>
    </row>
    <row r="418" spans="1:11">
      <c r="A418" s="18" t="str">
        <f t="shared" si="13"/>
        <v/>
      </c>
      <c r="B418" s="13"/>
      <c r="C418" s="14"/>
      <c r="D418" s="3"/>
      <c r="E418" s="3"/>
      <c r="F418" s="14"/>
      <c r="G418" s="7">
        <f>RawObservationsTable[[#This Row],[Maturity Date]]-RawObservationsTable[[#This Row],[Timestamp]]</f>
        <v>0</v>
      </c>
      <c r="H418" s="2"/>
      <c r="I418" s="4"/>
      <c r="J418" s="5" t="str">
        <f>IF(OR(H418="",G418="",C418=""),"",LET(n,COUNTIFS(Bank_Rates!$A$2:$A$501,H418,Bank_Rates!$B$2:$B$501,"&lt;="&amp;C418),IF(n=0,"",LET(t,MAXIFS(Bank_Rates!$B$2:$B$501,Bank_Rates!$A$2:$A$501,H418,Bank_Rates!$B$2:$B$501,"&lt;="&amp;C418),m,COUNTIFS(Bank_Rates!$A$2:$A$501,H418,Bank_Rates!$B$2:$B$501,t,Bank_Rates!$D$2:$D$501,"&lt;="&amp;G418),IF(m=0,"",LET(d,MAXIFS(Bank_Rates!$D$2:$D$501,Bank_Rates!$A$2:$A$501,H418,Bank_Rates!$B$2:$B$501,t,Bank_Rates!$D$2:$D$501,"&lt;="&amp;G418),SUMIFS(Bank_Rates!$C$2:$C$501,Bank_Rates!$A$2:$A$501,H418,Bank_Rates!$B$2:$B$501,t,Bank_Rates!$D$2:$D$501,d)))))))</f>
        <v/>
      </c>
      <c r="K418" s="6" t="str">
        <f t="shared" si="12"/>
        <v/>
      </c>
    </row>
    <row r="419" spans="1:11">
      <c r="A419" s="18" t="str">
        <f t="shared" si="13"/>
        <v/>
      </c>
      <c r="B419" s="13"/>
      <c r="C419" s="14"/>
      <c r="D419" s="3"/>
      <c r="E419" s="3"/>
      <c r="F419" s="14"/>
      <c r="G419" s="7">
        <f>RawObservationsTable[[#This Row],[Maturity Date]]-RawObservationsTable[[#This Row],[Timestamp]]</f>
        <v>0</v>
      </c>
      <c r="H419" s="2"/>
      <c r="I419" s="4"/>
      <c r="J419" s="5" t="str">
        <f>IF(OR(H419="",G419="",C419=""),"",LET(n,COUNTIFS(Bank_Rates!$A$2:$A$501,H419,Bank_Rates!$B$2:$B$501,"&lt;="&amp;C419),IF(n=0,"",LET(t,MAXIFS(Bank_Rates!$B$2:$B$501,Bank_Rates!$A$2:$A$501,H419,Bank_Rates!$B$2:$B$501,"&lt;="&amp;C419),m,COUNTIFS(Bank_Rates!$A$2:$A$501,H419,Bank_Rates!$B$2:$B$501,t,Bank_Rates!$D$2:$D$501,"&lt;="&amp;G419),IF(m=0,"",LET(d,MAXIFS(Bank_Rates!$D$2:$D$501,Bank_Rates!$A$2:$A$501,H419,Bank_Rates!$B$2:$B$501,t,Bank_Rates!$D$2:$D$501,"&lt;="&amp;G419),SUMIFS(Bank_Rates!$C$2:$C$501,Bank_Rates!$A$2:$A$501,H419,Bank_Rates!$B$2:$B$501,t,Bank_Rates!$D$2:$D$501,d)))))))</f>
        <v/>
      </c>
      <c r="K419" s="6" t="str">
        <f t="shared" si="12"/>
        <v/>
      </c>
    </row>
    <row r="420" spans="1:11">
      <c r="A420" s="18" t="str">
        <f t="shared" si="13"/>
        <v/>
      </c>
      <c r="B420" s="13"/>
      <c r="C420" s="14"/>
      <c r="D420" s="3"/>
      <c r="E420" s="3"/>
      <c r="F420" s="14"/>
      <c r="G420" s="7">
        <f>RawObservationsTable[[#This Row],[Maturity Date]]-RawObservationsTable[[#This Row],[Timestamp]]</f>
        <v>0</v>
      </c>
      <c r="H420" s="2"/>
      <c r="I420" s="4"/>
      <c r="J420" s="5" t="str">
        <f>IF(OR(H420="",G420="",C420=""),"",LET(n,COUNTIFS(Bank_Rates!$A$2:$A$501,H420,Bank_Rates!$B$2:$B$501,"&lt;="&amp;C420),IF(n=0,"",LET(t,MAXIFS(Bank_Rates!$B$2:$B$501,Bank_Rates!$A$2:$A$501,H420,Bank_Rates!$B$2:$B$501,"&lt;="&amp;C420),m,COUNTIFS(Bank_Rates!$A$2:$A$501,H420,Bank_Rates!$B$2:$B$501,t,Bank_Rates!$D$2:$D$501,"&lt;="&amp;G420),IF(m=0,"",LET(d,MAXIFS(Bank_Rates!$D$2:$D$501,Bank_Rates!$A$2:$A$501,H420,Bank_Rates!$B$2:$B$501,t,Bank_Rates!$D$2:$D$501,"&lt;="&amp;G420),SUMIFS(Bank_Rates!$C$2:$C$501,Bank_Rates!$A$2:$A$501,H420,Bank_Rates!$B$2:$B$501,t,Bank_Rates!$D$2:$D$501,d)))))))</f>
        <v/>
      </c>
      <c r="K420" s="6" t="str">
        <f t="shared" si="12"/>
        <v/>
      </c>
    </row>
    <row r="421" spans="1:11">
      <c r="A421" s="18" t="str">
        <f t="shared" si="13"/>
        <v/>
      </c>
      <c r="B421" s="13"/>
      <c r="C421" s="14"/>
      <c r="D421" s="3"/>
      <c r="E421" s="3"/>
      <c r="F421" s="14"/>
      <c r="G421" s="7">
        <f>RawObservationsTable[[#This Row],[Maturity Date]]-RawObservationsTable[[#This Row],[Timestamp]]</f>
        <v>0</v>
      </c>
      <c r="H421" s="2"/>
      <c r="I421" s="4"/>
      <c r="J421" s="5" t="str">
        <f>IF(OR(H421="",G421="",C421=""),"",LET(n,COUNTIFS(Bank_Rates!$A$2:$A$501,H421,Bank_Rates!$B$2:$B$501,"&lt;="&amp;C421),IF(n=0,"",LET(t,MAXIFS(Bank_Rates!$B$2:$B$501,Bank_Rates!$A$2:$A$501,H421,Bank_Rates!$B$2:$B$501,"&lt;="&amp;C421),m,COUNTIFS(Bank_Rates!$A$2:$A$501,H421,Bank_Rates!$B$2:$B$501,t,Bank_Rates!$D$2:$D$501,"&lt;="&amp;G421),IF(m=0,"",LET(d,MAXIFS(Bank_Rates!$D$2:$D$501,Bank_Rates!$A$2:$A$501,H421,Bank_Rates!$B$2:$B$501,t,Bank_Rates!$D$2:$D$501,"&lt;="&amp;G421),SUMIFS(Bank_Rates!$C$2:$C$501,Bank_Rates!$A$2:$A$501,H421,Bank_Rates!$B$2:$B$501,t,Bank_Rates!$D$2:$D$501,d)))))))</f>
        <v/>
      </c>
      <c r="K421" s="6" t="str">
        <f t="shared" si="12"/>
        <v/>
      </c>
    </row>
    <row r="422" spans="1:11">
      <c r="A422" s="18" t="str">
        <f t="shared" si="13"/>
        <v/>
      </c>
      <c r="B422" s="13"/>
      <c r="C422" s="14"/>
      <c r="D422" s="3"/>
      <c r="E422" s="3"/>
      <c r="F422" s="14"/>
      <c r="G422" s="7">
        <f>RawObservationsTable[[#This Row],[Maturity Date]]-RawObservationsTable[[#This Row],[Timestamp]]</f>
        <v>0</v>
      </c>
      <c r="H422" s="2"/>
      <c r="I422" s="4"/>
      <c r="J422" s="5" t="str">
        <f>IF(OR(H422="",G422="",C422=""),"",LET(n,COUNTIFS(Bank_Rates!$A$2:$A$501,H422,Bank_Rates!$B$2:$B$501,"&lt;="&amp;C422),IF(n=0,"",LET(t,MAXIFS(Bank_Rates!$B$2:$B$501,Bank_Rates!$A$2:$A$501,H422,Bank_Rates!$B$2:$B$501,"&lt;="&amp;C422),m,COUNTIFS(Bank_Rates!$A$2:$A$501,H422,Bank_Rates!$B$2:$B$501,t,Bank_Rates!$D$2:$D$501,"&lt;="&amp;G422),IF(m=0,"",LET(d,MAXIFS(Bank_Rates!$D$2:$D$501,Bank_Rates!$A$2:$A$501,H422,Bank_Rates!$B$2:$B$501,t,Bank_Rates!$D$2:$D$501,"&lt;="&amp;G422),SUMIFS(Bank_Rates!$C$2:$C$501,Bank_Rates!$A$2:$A$501,H422,Bank_Rates!$B$2:$B$501,t,Bank_Rates!$D$2:$D$501,d)))))))</f>
        <v/>
      </c>
      <c r="K422" s="6" t="str">
        <f t="shared" si="12"/>
        <v/>
      </c>
    </row>
    <row r="423" spans="1:11">
      <c r="A423" s="18" t="str">
        <f t="shared" si="13"/>
        <v/>
      </c>
      <c r="B423" s="13"/>
      <c r="C423" s="14"/>
      <c r="D423" s="3"/>
      <c r="E423" s="3"/>
      <c r="F423" s="14"/>
      <c r="G423" s="7">
        <f>RawObservationsTable[[#This Row],[Maturity Date]]-RawObservationsTable[[#This Row],[Timestamp]]</f>
        <v>0</v>
      </c>
      <c r="H423" s="2"/>
      <c r="I423" s="4"/>
      <c r="J423" s="5" t="str">
        <f>IF(OR(H423="",G423="",C423=""),"",LET(n,COUNTIFS(Bank_Rates!$A$2:$A$501,H423,Bank_Rates!$B$2:$B$501,"&lt;="&amp;C423),IF(n=0,"",LET(t,MAXIFS(Bank_Rates!$B$2:$B$501,Bank_Rates!$A$2:$A$501,H423,Bank_Rates!$B$2:$B$501,"&lt;="&amp;C423),m,COUNTIFS(Bank_Rates!$A$2:$A$501,H423,Bank_Rates!$B$2:$B$501,t,Bank_Rates!$D$2:$D$501,"&lt;="&amp;G423),IF(m=0,"",LET(d,MAXIFS(Bank_Rates!$D$2:$D$501,Bank_Rates!$A$2:$A$501,H423,Bank_Rates!$B$2:$B$501,t,Bank_Rates!$D$2:$D$501,"&lt;="&amp;G423),SUMIFS(Bank_Rates!$C$2:$C$501,Bank_Rates!$A$2:$A$501,H423,Bank_Rates!$B$2:$B$501,t,Bank_Rates!$D$2:$D$501,d)))))))</f>
        <v/>
      </c>
      <c r="K423" s="6" t="str">
        <f t="shared" si="12"/>
        <v/>
      </c>
    </row>
    <row r="424" spans="1:11">
      <c r="A424" s="18" t="str">
        <f t="shared" si="13"/>
        <v/>
      </c>
      <c r="B424" s="13"/>
      <c r="C424" s="14"/>
      <c r="D424" s="3"/>
      <c r="E424" s="3"/>
      <c r="F424" s="14"/>
      <c r="G424" s="7">
        <f>RawObservationsTable[[#This Row],[Maturity Date]]-RawObservationsTable[[#This Row],[Timestamp]]</f>
        <v>0</v>
      </c>
      <c r="H424" s="2"/>
      <c r="I424" s="4"/>
      <c r="J424" s="5" t="str">
        <f>IF(OR(H424="",G424="",C424=""),"",LET(n,COUNTIFS(Bank_Rates!$A$2:$A$501,H424,Bank_Rates!$B$2:$B$501,"&lt;="&amp;C424),IF(n=0,"",LET(t,MAXIFS(Bank_Rates!$B$2:$B$501,Bank_Rates!$A$2:$A$501,H424,Bank_Rates!$B$2:$B$501,"&lt;="&amp;C424),m,COUNTIFS(Bank_Rates!$A$2:$A$501,H424,Bank_Rates!$B$2:$B$501,t,Bank_Rates!$D$2:$D$501,"&lt;="&amp;G424),IF(m=0,"",LET(d,MAXIFS(Bank_Rates!$D$2:$D$501,Bank_Rates!$A$2:$A$501,H424,Bank_Rates!$B$2:$B$501,t,Bank_Rates!$D$2:$D$501,"&lt;="&amp;G424),SUMIFS(Bank_Rates!$C$2:$C$501,Bank_Rates!$A$2:$A$501,H424,Bank_Rates!$B$2:$B$501,t,Bank_Rates!$D$2:$D$501,d)))))))</f>
        <v/>
      </c>
      <c r="K424" s="6" t="str">
        <f t="shared" si="12"/>
        <v/>
      </c>
    </row>
    <row r="425" spans="1:11">
      <c r="A425" s="18" t="str">
        <f t="shared" si="13"/>
        <v/>
      </c>
      <c r="B425" s="13"/>
      <c r="C425" s="14"/>
      <c r="D425" s="3"/>
      <c r="E425" s="3"/>
      <c r="F425" s="14"/>
      <c r="G425" s="7">
        <f>RawObservationsTable[[#This Row],[Maturity Date]]-RawObservationsTable[[#This Row],[Timestamp]]</f>
        <v>0</v>
      </c>
      <c r="H425" s="2"/>
      <c r="I425" s="4"/>
      <c r="J425" s="5" t="str">
        <f>IF(OR(H425="",G425="",C425=""),"",LET(n,COUNTIFS(Bank_Rates!$A$2:$A$501,H425,Bank_Rates!$B$2:$B$501,"&lt;="&amp;C425),IF(n=0,"",LET(t,MAXIFS(Bank_Rates!$B$2:$B$501,Bank_Rates!$A$2:$A$501,H425,Bank_Rates!$B$2:$B$501,"&lt;="&amp;C425),m,COUNTIFS(Bank_Rates!$A$2:$A$501,H425,Bank_Rates!$B$2:$B$501,t,Bank_Rates!$D$2:$D$501,"&lt;="&amp;G425),IF(m=0,"",LET(d,MAXIFS(Bank_Rates!$D$2:$D$501,Bank_Rates!$A$2:$A$501,H425,Bank_Rates!$B$2:$B$501,t,Bank_Rates!$D$2:$D$501,"&lt;="&amp;G425),SUMIFS(Bank_Rates!$C$2:$C$501,Bank_Rates!$A$2:$A$501,H425,Bank_Rates!$B$2:$B$501,t,Bank_Rates!$D$2:$D$501,d)))))))</f>
        <v/>
      </c>
      <c r="K425" s="6" t="str">
        <f t="shared" si="12"/>
        <v/>
      </c>
    </row>
    <row r="426" spans="1:11">
      <c r="A426" s="18" t="str">
        <f t="shared" si="13"/>
        <v/>
      </c>
      <c r="B426" s="13"/>
      <c r="C426" s="14"/>
      <c r="D426" s="3"/>
      <c r="E426" s="3"/>
      <c r="F426" s="14"/>
      <c r="G426" s="7">
        <f>RawObservationsTable[[#This Row],[Maturity Date]]-RawObservationsTable[[#This Row],[Timestamp]]</f>
        <v>0</v>
      </c>
      <c r="H426" s="2"/>
      <c r="I426" s="4"/>
      <c r="J426" s="5" t="str">
        <f>IF(OR(H426="",G426="",C426=""),"",LET(n,COUNTIFS(Bank_Rates!$A$2:$A$501,H426,Bank_Rates!$B$2:$B$501,"&lt;="&amp;C426),IF(n=0,"",LET(t,MAXIFS(Bank_Rates!$B$2:$B$501,Bank_Rates!$A$2:$A$501,H426,Bank_Rates!$B$2:$B$501,"&lt;="&amp;C426),m,COUNTIFS(Bank_Rates!$A$2:$A$501,H426,Bank_Rates!$B$2:$B$501,t,Bank_Rates!$D$2:$D$501,"&lt;="&amp;G426),IF(m=0,"",LET(d,MAXIFS(Bank_Rates!$D$2:$D$501,Bank_Rates!$A$2:$A$501,H426,Bank_Rates!$B$2:$B$501,t,Bank_Rates!$D$2:$D$501,"&lt;="&amp;G426),SUMIFS(Bank_Rates!$C$2:$C$501,Bank_Rates!$A$2:$A$501,H426,Bank_Rates!$B$2:$B$501,t,Bank_Rates!$D$2:$D$501,d)))))))</f>
        <v/>
      </c>
      <c r="K426" s="6" t="str">
        <f t="shared" si="12"/>
        <v/>
      </c>
    </row>
    <row r="427" spans="1:11">
      <c r="A427" s="18" t="str">
        <f t="shared" si="13"/>
        <v/>
      </c>
      <c r="B427" s="13"/>
      <c r="C427" s="14"/>
      <c r="D427" s="3"/>
      <c r="E427" s="3"/>
      <c r="F427" s="14"/>
      <c r="G427" s="7">
        <f>RawObservationsTable[[#This Row],[Maturity Date]]-RawObservationsTable[[#This Row],[Timestamp]]</f>
        <v>0</v>
      </c>
      <c r="H427" s="2"/>
      <c r="I427" s="4"/>
      <c r="J427" s="5" t="str">
        <f>IF(OR(H427="",G427="",C427=""),"",LET(n,COUNTIFS(Bank_Rates!$A$2:$A$501,H427,Bank_Rates!$B$2:$B$501,"&lt;="&amp;C427),IF(n=0,"",LET(t,MAXIFS(Bank_Rates!$B$2:$B$501,Bank_Rates!$A$2:$A$501,H427,Bank_Rates!$B$2:$B$501,"&lt;="&amp;C427),m,COUNTIFS(Bank_Rates!$A$2:$A$501,H427,Bank_Rates!$B$2:$B$501,t,Bank_Rates!$D$2:$D$501,"&lt;="&amp;G427),IF(m=0,"",LET(d,MAXIFS(Bank_Rates!$D$2:$D$501,Bank_Rates!$A$2:$A$501,H427,Bank_Rates!$B$2:$B$501,t,Bank_Rates!$D$2:$D$501,"&lt;="&amp;G427),SUMIFS(Bank_Rates!$C$2:$C$501,Bank_Rates!$A$2:$A$501,H427,Bank_Rates!$B$2:$B$501,t,Bank_Rates!$D$2:$D$501,d)))))))</f>
        <v/>
      </c>
      <c r="K427" s="6" t="str">
        <f t="shared" si="12"/>
        <v/>
      </c>
    </row>
    <row r="428" spans="1:11">
      <c r="A428" s="18" t="str">
        <f t="shared" si="13"/>
        <v/>
      </c>
      <c r="B428" s="13"/>
      <c r="C428" s="14"/>
      <c r="D428" s="3"/>
      <c r="E428" s="3"/>
      <c r="F428" s="14"/>
      <c r="G428" s="7">
        <f>RawObservationsTable[[#This Row],[Maturity Date]]-RawObservationsTable[[#This Row],[Timestamp]]</f>
        <v>0</v>
      </c>
      <c r="H428" s="2"/>
      <c r="I428" s="4"/>
      <c r="J428" s="5" t="str">
        <f>IF(OR(H428="",G428="",C428=""),"",LET(n,COUNTIFS(Bank_Rates!$A$2:$A$501,H428,Bank_Rates!$B$2:$B$501,"&lt;="&amp;C428),IF(n=0,"",LET(t,MAXIFS(Bank_Rates!$B$2:$B$501,Bank_Rates!$A$2:$A$501,H428,Bank_Rates!$B$2:$B$501,"&lt;="&amp;C428),m,COUNTIFS(Bank_Rates!$A$2:$A$501,H428,Bank_Rates!$B$2:$B$501,t,Bank_Rates!$D$2:$D$501,"&lt;="&amp;G428),IF(m=0,"",LET(d,MAXIFS(Bank_Rates!$D$2:$D$501,Bank_Rates!$A$2:$A$501,H428,Bank_Rates!$B$2:$B$501,t,Bank_Rates!$D$2:$D$501,"&lt;="&amp;G428),SUMIFS(Bank_Rates!$C$2:$C$501,Bank_Rates!$A$2:$A$501,H428,Bank_Rates!$B$2:$B$501,t,Bank_Rates!$D$2:$D$501,d)))))))</f>
        <v/>
      </c>
      <c r="K428" s="6" t="str">
        <f t="shared" si="12"/>
        <v/>
      </c>
    </row>
    <row r="429" spans="1:11">
      <c r="A429" s="18" t="str">
        <f t="shared" si="13"/>
        <v/>
      </c>
      <c r="B429" s="13"/>
      <c r="C429" s="14"/>
      <c r="D429" s="3"/>
      <c r="E429" s="3"/>
      <c r="F429" s="14"/>
      <c r="G429" s="7">
        <f>RawObservationsTable[[#This Row],[Maturity Date]]-RawObservationsTable[[#This Row],[Timestamp]]</f>
        <v>0</v>
      </c>
      <c r="H429" s="2"/>
      <c r="I429" s="4"/>
      <c r="J429" s="5" t="str">
        <f>IF(OR(H429="",G429="",C429=""),"",LET(n,COUNTIFS(Bank_Rates!$A$2:$A$501,H429,Bank_Rates!$B$2:$B$501,"&lt;="&amp;C429),IF(n=0,"",LET(t,MAXIFS(Bank_Rates!$B$2:$B$501,Bank_Rates!$A$2:$A$501,H429,Bank_Rates!$B$2:$B$501,"&lt;="&amp;C429),m,COUNTIFS(Bank_Rates!$A$2:$A$501,H429,Bank_Rates!$B$2:$B$501,t,Bank_Rates!$D$2:$D$501,"&lt;="&amp;G429),IF(m=0,"",LET(d,MAXIFS(Bank_Rates!$D$2:$D$501,Bank_Rates!$A$2:$A$501,H429,Bank_Rates!$B$2:$B$501,t,Bank_Rates!$D$2:$D$501,"&lt;="&amp;G429),SUMIFS(Bank_Rates!$C$2:$C$501,Bank_Rates!$A$2:$A$501,H429,Bank_Rates!$B$2:$B$501,t,Bank_Rates!$D$2:$D$501,d)))))))</f>
        <v/>
      </c>
      <c r="K429" s="6" t="str">
        <f t="shared" si="12"/>
        <v/>
      </c>
    </row>
    <row r="430" spans="1:11">
      <c r="A430" s="18" t="str">
        <f t="shared" si="13"/>
        <v/>
      </c>
      <c r="B430" s="13"/>
      <c r="C430" s="14"/>
      <c r="D430" s="3"/>
      <c r="E430" s="3"/>
      <c r="F430" s="14"/>
      <c r="G430" s="7">
        <f>RawObservationsTable[[#This Row],[Maturity Date]]-RawObservationsTable[[#This Row],[Timestamp]]</f>
        <v>0</v>
      </c>
      <c r="H430" s="2"/>
      <c r="I430" s="4"/>
      <c r="J430" s="5" t="str">
        <f>IF(OR(H430="",G430="",C430=""),"",LET(n,COUNTIFS(Bank_Rates!$A$2:$A$501,H430,Bank_Rates!$B$2:$B$501,"&lt;="&amp;C430),IF(n=0,"",LET(t,MAXIFS(Bank_Rates!$B$2:$B$501,Bank_Rates!$A$2:$A$501,H430,Bank_Rates!$B$2:$B$501,"&lt;="&amp;C430),m,COUNTIFS(Bank_Rates!$A$2:$A$501,H430,Bank_Rates!$B$2:$B$501,t,Bank_Rates!$D$2:$D$501,"&lt;="&amp;G430),IF(m=0,"",LET(d,MAXIFS(Bank_Rates!$D$2:$D$501,Bank_Rates!$A$2:$A$501,H430,Bank_Rates!$B$2:$B$501,t,Bank_Rates!$D$2:$D$501,"&lt;="&amp;G430),SUMIFS(Bank_Rates!$C$2:$C$501,Bank_Rates!$A$2:$A$501,H430,Bank_Rates!$B$2:$B$501,t,Bank_Rates!$D$2:$D$501,d)))))))</f>
        <v/>
      </c>
      <c r="K430" s="6" t="str">
        <f t="shared" si="12"/>
        <v/>
      </c>
    </row>
    <row r="431" spans="1:11">
      <c r="A431" s="18" t="str">
        <f t="shared" si="13"/>
        <v/>
      </c>
      <c r="B431" s="13"/>
      <c r="C431" s="14"/>
      <c r="D431" s="3"/>
      <c r="E431" s="3"/>
      <c r="F431" s="14"/>
      <c r="G431" s="7">
        <f>RawObservationsTable[[#This Row],[Maturity Date]]-RawObservationsTable[[#This Row],[Timestamp]]</f>
        <v>0</v>
      </c>
      <c r="H431" s="2"/>
      <c r="I431" s="4"/>
      <c r="J431" s="5" t="str">
        <f>IF(OR(H431="",G431="",C431=""),"",LET(n,COUNTIFS(Bank_Rates!$A$2:$A$501,H431,Bank_Rates!$B$2:$B$501,"&lt;="&amp;C431),IF(n=0,"",LET(t,MAXIFS(Bank_Rates!$B$2:$B$501,Bank_Rates!$A$2:$A$501,H431,Bank_Rates!$B$2:$B$501,"&lt;="&amp;C431),m,COUNTIFS(Bank_Rates!$A$2:$A$501,H431,Bank_Rates!$B$2:$B$501,t,Bank_Rates!$D$2:$D$501,"&lt;="&amp;G431),IF(m=0,"",LET(d,MAXIFS(Bank_Rates!$D$2:$D$501,Bank_Rates!$A$2:$A$501,H431,Bank_Rates!$B$2:$B$501,t,Bank_Rates!$D$2:$D$501,"&lt;="&amp;G431),SUMIFS(Bank_Rates!$C$2:$C$501,Bank_Rates!$A$2:$A$501,H431,Bank_Rates!$B$2:$B$501,t,Bank_Rates!$D$2:$D$501,d)))))))</f>
        <v/>
      </c>
      <c r="K431" s="6" t="str">
        <f t="shared" si="12"/>
        <v/>
      </c>
    </row>
    <row r="432" spans="1:11">
      <c r="A432" s="18" t="str">
        <f t="shared" si="13"/>
        <v/>
      </c>
      <c r="B432" s="13"/>
      <c r="C432" s="14"/>
      <c r="D432" s="3"/>
      <c r="E432" s="3"/>
      <c r="F432" s="14"/>
      <c r="G432" s="7">
        <f>RawObservationsTable[[#This Row],[Maturity Date]]-RawObservationsTable[[#This Row],[Timestamp]]</f>
        <v>0</v>
      </c>
      <c r="H432" s="2"/>
      <c r="I432" s="4"/>
      <c r="J432" s="5" t="str">
        <f>IF(OR(H432="",G432="",C432=""),"",LET(n,COUNTIFS(Bank_Rates!$A$2:$A$501,H432,Bank_Rates!$B$2:$B$501,"&lt;="&amp;C432),IF(n=0,"",LET(t,MAXIFS(Bank_Rates!$B$2:$B$501,Bank_Rates!$A$2:$A$501,H432,Bank_Rates!$B$2:$B$501,"&lt;="&amp;C432),m,COUNTIFS(Bank_Rates!$A$2:$A$501,H432,Bank_Rates!$B$2:$B$501,t,Bank_Rates!$D$2:$D$501,"&lt;="&amp;G432),IF(m=0,"",LET(d,MAXIFS(Bank_Rates!$D$2:$D$501,Bank_Rates!$A$2:$A$501,H432,Bank_Rates!$B$2:$B$501,t,Bank_Rates!$D$2:$D$501,"&lt;="&amp;G432),SUMIFS(Bank_Rates!$C$2:$C$501,Bank_Rates!$A$2:$A$501,H432,Bank_Rates!$B$2:$B$501,t,Bank_Rates!$D$2:$D$501,d)))))))</f>
        <v/>
      </c>
      <c r="K432" s="6" t="str">
        <f t="shared" si="12"/>
        <v/>
      </c>
    </row>
    <row r="433" spans="1:11">
      <c r="A433" s="18" t="str">
        <f t="shared" si="13"/>
        <v/>
      </c>
      <c r="B433" s="13"/>
      <c r="C433" s="14"/>
      <c r="D433" s="3"/>
      <c r="E433" s="3"/>
      <c r="F433" s="14"/>
      <c r="G433" s="7">
        <f>RawObservationsTable[[#This Row],[Maturity Date]]-RawObservationsTable[[#This Row],[Timestamp]]</f>
        <v>0</v>
      </c>
      <c r="H433" s="2"/>
      <c r="I433" s="4"/>
      <c r="J433" s="5" t="str">
        <f>IF(OR(H433="",G433="",C433=""),"",LET(n,COUNTIFS(Bank_Rates!$A$2:$A$501,H433,Bank_Rates!$B$2:$B$501,"&lt;="&amp;C433),IF(n=0,"",LET(t,MAXIFS(Bank_Rates!$B$2:$B$501,Bank_Rates!$A$2:$A$501,H433,Bank_Rates!$B$2:$B$501,"&lt;="&amp;C433),m,COUNTIFS(Bank_Rates!$A$2:$A$501,H433,Bank_Rates!$B$2:$B$501,t,Bank_Rates!$D$2:$D$501,"&lt;="&amp;G433),IF(m=0,"",LET(d,MAXIFS(Bank_Rates!$D$2:$D$501,Bank_Rates!$A$2:$A$501,H433,Bank_Rates!$B$2:$B$501,t,Bank_Rates!$D$2:$D$501,"&lt;="&amp;G433),SUMIFS(Bank_Rates!$C$2:$C$501,Bank_Rates!$A$2:$A$501,H433,Bank_Rates!$B$2:$B$501,t,Bank_Rates!$D$2:$D$501,d)))))))</f>
        <v/>
      </c>
      <c r="K433" s="6" t="str">
        <f t="shared" si="12"/>
        <v/>
      </c>
    </row>
    <row r="434" spans="1:11">
      <c r="A434" s="18" t="str">
        <f t="shared" si="13"/>
        <v/>
      </c>
      <c r="B434" s="13"/>
      <c r="C434" s="14"/>
      <c r="D434" s="3"/>
      <c r="E434" s="3"/>
      <c r="F434" s="14"/>
      <c r="G434" s="7">
        <f>RawObservationsTable[[#This Row],[Maturity Date]]-RawObservationsTable[[#This Row],[Timestamp]]</f>
        <v>0</v>
      </c>
      <c r="H434" s="2"/>
      <c r="I434" s="4"/>
      <c r="J434" s="5" t="str">
        <f>IF(OR(H434="",G434="",C434=""),"",LET(n,COUNTIFS(Bank_Rates!$A$2:$A$501,H434,Bank_Rates!$B$2:$B$501,"&lt;="&amp;C434),IF(n=0,"",LET(t,MAXIFS(Bank_Rates!$B$2:$B$501,Bank_Rates!$A$2:$A$501,H434,Bank_Rates!$B$2:$B$501,"&lt;="&amp;C434),m,COUNTIFS(Bank_Rates!$A$2:$A$501,H434,Bank_Rates!$B$2:$B$501,t,Bank_Rates!$D$2:$D$501,"&lt;="&amp;G434),IF(m=0,"",LET(d,MAXIFS(Bank_Rates!$D$2:$D$501,Bank_Rates!$A$2:$A$501,H434,Bank_Rates!$B$2:$B$501,t,Bank_Rates!$D$2:$D$501,"&lt;="&amp;G434),SUMIFS(Bank_Rates!$C$2:$C$501,Bank_Rates!$A$2:$A$501,H434,Bank_Rates!$B$2:$B$501,t,Bank_Rates!$D$2:$D$501,d)))))))</f>
        <v/>
      </c>
      <c r="K434" s="6" t="str">
        <f t="shared" si="12"/>
        <v/>
      </c>
    </row>
    <row r="435" spans="1:11">
      <c r="A435" s="18" t="str">
        <f t="shared" si="13"/>
        <v/>
      </c>
      <c r="B435" s="13"/>
      <c r="C435" s="14"/>
      <c r="D435" s="3"/>
      <c r="E435" s="3"/>
      <c r="F435" s="14"/>
      <c r="G435" s="7">
        <f>RawObservationsTable[[#This Row],[Maturity Date]]-RawObservationsTable[[#This Row],[Timestamp]]</f>
        <v>0</v>
      </c>
      <c r="H435" s="2"/>
      <c r="I435" s="4"/>
      <c r="J435" s="5" t="str">
        <f>IF(OR(H435="",G435="",C435=""),"",LET(n,COUNTIFS(Bank_Rates!$A$2:$A$501,H435,Bank_Rates!$B$2:$B$501,"&lt;="&amp;C435),IF(n=0,"",LET(t,MAXIFS(Bank_Rates!$B$2:$B$501,Bank_Rates!$A$2:$A$501,H435,Bank_Rates!$B$2:$B$501,"&lt;="&amp;C435),m,COUNTIFS(Bank_Rates!$A$2:$A$501,H435,Bank_Rates!$B$2:$B$501,t,Bank_Rates!$D$2:$D$501,"&lt;="&amp;G435),IF(m=0,"",LET(d,MAXIFS(Bank_Rates!$D$2:$D$501,Bank_Rates!$A$2:$A$501,H435,Bank_Rates!$B$2:$B$501,t,Bank_Rates!$D$2:$D$501,"&lt;="&amp;G435),SUMIFS(Bank_Rates!$C$2:$C$501,Bank_Rates!$A$2:$A$501,H435,Bank_Rates!$B$2:$B$501,t,Bank_Rates!$D$2:$D$501,d)))))))</f>
        <v/>
      </c>
      <c r="K435" s="6" t="str">
        <f t="shared" si="12"/>
        <v/>
      </c>
    </row>
    <row r="436" spans="1:11">
      <c r="A436" s="18" t="str">
        <f t="shared" si="13"/>
        <v/>
      </c>
      <c r="B436" s="13"/>
      <c r="C436" s="14"/>
      <c r="D436" s="3"/>
      <c r="E436" s="3"/>
      <c r="F436" s="14"/>
      <c r="G436" s="7">
        <f>RawObservationsTable[[#This Row],[Maturity Date]]-RawObservationsTable[[#This Row],[Timestamp]]</f>
        <v>0</v>
      </c>
      <c r="H436" s="2"/>
      <c r="I436" s="4"/>
      <c r="J436" s="5" t="str">
        <f>IF(OR(H436="",G436="",C436=""),"",LET(n,COUNTIFS(Bank_Rates!$A$2:$A$501,H436,Bank_Rates!$B$2:$B$501,"&lt;="&amp;C436),IF(n=0,"",LET(t,MAXIFS(Bank_Rates!$B$2:$B$501,Bank_Rates!$A$2:$A$501,H436,Bank_Rates!$B$2:$B$501,"&lt;="&amp;C436),m,COUNTIFS(Bank_Rates!$A$2:$A$501,H436,Bank_Rates!$B$2:$B$501,t,Bank_Rates!$D$2:$D$501,"&lt;="&amp;G436),IF(m=0,"",LET(d,MAXIFS(Bank_Rates!$D$2:$D$501,Bank_Rates!$A$2:$A$501,H436,Bank_Rates!$B$2:$B$501,t,Bank_Rates!$D$2:$D$501,"&lt;="&amp;G436),SUMIFS(Bank_Rates!$C$2:$C$501,Bank_Rates!$A$2:$A$501,H436,Bank_Rates!$B$2:$B$501,t,Bank_Rates!$D$2:$D$501,d)))))))</f>
        <v/>
      </c>
      <c r="K436" s="6" t="str">
        <f t="shared" si="12"/>
        <v/>
      </c>
    </row>
    <row r="437" spans="1:11">
      <c r="A437" s="18" t="str">
        <f t="shared" si="13"/>
        <v/>
      </c>
      <c r="B437" s="13"/>
      <c r="C437" s="14"/>
      <c r="D437" s="3"/>
      <c r="E437" s="3"/>
      <c r="F437" s="14"/>
      <c r="G437" s="7">
        <f>RawObservationsTable[[#This Row],[Maturity Date]]-RawObservationsTable[[#This Row],[Timestamp]]</f>
        <v>0</v>
      </c>
      <c r="H437" s="2"/>
      <c r="I437" s="4"/>
      <c r="J437" s="5" t="str">
        <f>IF(OR(H437="",G437="",C437=""),"",LET(n,COUNTIFS(Bank_Rates!$A$2:$A$501,H437,Bank_Rates!$B$2:$B$501,"&lt;="&amp;C437),IF(n=0,"",LET(t,MAXIFS(Bank_Rates!$B$2:$B$501,Bank_Rates!$A$2:$A$501,H437,Bank_Rates!$B$2:$B$501,"&lt;="&amp;C437),m,COUNTIFS(Bank_Rates!$A$2:$A$501,H437,Bank_Rates!$B$2:$B$501,t,Bank_Rates!$D$2:$D$501,"&lt;="&amp;G437),IF(m=0,"",LET(d,MAXIFS(Bank_Rates!$D$2:$D$501,Bank_Rates!$A$2:$A$501,H437,Bank_Rates!$B$2:$B$501,t,Bank_Rates!$D$2:$D$501,"&lt;="&amp;G437),SUMIFS(Bank_Rates!$C$2:$C$501,Bank_Rates!$A$2:$A$501,H437,Bank_Rates!$B$2:$B$501,t,Bank_Rates!$D$2:$D$501,d)))))))</f>
        <v/>
      </c>
      <c r="K437" s="6" t="str">
        <f t="shared" si="12"/>
        <v/>
      </c>
    </row>
    <row r="438" spans="1:11">
      <c r="A438" s="18" t="str">
        <f t="shared" si="13"/>
        <v/>
      </c>
      <c r="B438" s="13"/>
      <c r="C438" s="14"/>
      <c r="D438" s="3"/>
      <c r="E438" s="3"/>
      <c r="F438" s="14"/>
      <c r="G438" s="7">
        <f>RawObservationsTable[[#This Row],[Maturity Date]]-RawObservationsTable[[#This Row],[Timestamp]]</f>
        <v>0</v>
      </c>
      <c r="H438" s="2"/>
      <c r="I438" s="4"/>
      <c r="J438" s="5" t="str">
        <f>IF(OR(H438="",G438="",C438=""),"",LET(n,COUNTIFS(Bank_Rates!$A$2:$A$501,H438,Bank_Rates!$B$2:$B$501,"&lt;="&amp;C438),IF(n=0,"",LET(t,MAXIFS(Bank_Rates!$B$2:$B$501,Bank_Rates!$A$2:$A$501,H438,Bank_Rates!$B$2:$B$501,"&lt;="&amp;C438),m,COUNTIFS(Bank_Rates!$A$2:$A$501,H438,Bank_Rates!$B$2:$B$501,t,Bank_Rates!$D$2:$D$501,"&lt;="&amp;G438),IF(m=0,"",LET(d,MAXIFS(Bank_Rates!$D$2:$D$501,Bank_Rates!$A$2:$A$501,H438,Bank_Rates!$B$2:$B$501,t,Bank_Rates!$D$2:$D$501,"&lt;="&amp;G438),SUMIFS(Bank_Rates!$C$2:$C$501,Bank_Rates!$A$2:$A$501,H438,Bank_Rates!$B$2:$B$501,t,Bank_Rates!$D$2:$D$501,d)))))))</f>
        <v/>
      </c>
      <c r="K438" s="6" t="str">
        <f t="shared" si="12"/>
        <v/>
      </c>
    </row>
    <row r="439" spans="1:11">
      <c r="A439" s="18" t="str">
        <f t="shared" si="13"/>
        <v/>
      </c>
      <c r="B439" s="13"/>
      <c r="C439" s="14"/>
      <c r="D439" s="3"/>
      <c r="E439" s="3"/>
      <c r="F439" s="14"/>
      <c r="G439" s="7">
        <f>RawObservationsTable[[#This Row],[Maturity Date]]-RawObservationsTable[[#This Row],[Timestamp]]</f>
        <v>0</v>
      </c>
      <c r="H439" s="2"/>
      <c r="I439" s="4"/>
      <c r="J439" s="5" t="str">
        <f>IF(OR(H439="",G439="",C439=""),"",LET(n,COUNTIFS(Bank_Rates!$A$2:$A$501,H439,Bank_Rates!$B$2:$B$501,"&lt;="&amp;C439),IF(n=0,"",LET(t,MAXIFS(Bank_Rates!$B$2:$B$501,Bank_Rates!$A$2:$A$501,H439,Bank_Rates!$B$2:$B$501,"&lt;="&amp;C439),m,COUNTIFS(Bank_Rates!$A$2:$A$501,H439,Bank_Rates!$B$2:$B$501,t,Bank_Rates!$D$2:$D$501,"&lt;="&amp;G439),IF(m=0,"",LET(d,MAXIFS(Bank_Rates!$D$2:$D$501,Bank_Rates!$A$2:$A$501,H439,Bank_Rates!$B$2:$B$501,t,Bank_Rates!$D$2:$D$501,"&lt;="&amp;G439),SUMIFS(Bank_Rates!$C$2:$C$501,Bank_Rates!$A$2:$A$501,H439,Bank_Rates!$B$2:$B$501,t,Bank_Rates!$D$2:$D$501,d)))))))</f>
        <v/>
      </c>
      <c r="K439" s="6" t="str">
        <f t="shared" si="12"/>
        <v/>
      </c>
    </row>
    <row r="440" spans="1:11">
      <c r="A440" s="18" t="str">
        <f t="shared" si="13"/>
        <v/>
      </c>
      <c r="B440" s="13"/>
      <c r="C440" s="14"/>
      <c r="D440" s="3"/>
      <c r="E440" s="3"/>
      <c r="F440" s="14"/>
      <c r="G440" s="7">
        <f>RawObservationsTable[[#This Row],[Maturity Date]]-RawObservationsTable[[#This Row],[Timestamp]]</f>
        <v>0</v>
      </c>
      <c r="H440" s="2"/>
      <c r="I440" s="4"/>
      <c r="J440" s="5" t="str">
        <f>IF(OR(H440="",G440="",C440=""),"",LET(n,COUNTIFS(Bank_Rates!$A$2:$A$501,H440,Bank_Rates!$B$2:$B$501,"&lt;="&amp;C440),IF(n=0,"",LET(t,MAXIFS(Bank_Rates!$B$2:$B$501,Bank_Rates!$A$2:$A$501,H440,Bank_Rates!$B$2:$B$501,"&lt;="&amp;C440),m,COUNTIFS(Bank_Rates!$A$2:$A$501,H440,Bank_Rates!$B$2:$B$501,t,Bank_Rates!$D$2:$D$501,"&lt;="&amp;G440),IF(m=0,"",LET(d,MAXIFS(Bank_Rates!$D$2:$D$501,Bank_Rates!$A$2:$A$501,H440,Bank_Rates!$B$2:$B$501,t,Bank_Rates!$D$2:$D$501,"&lt;="&amp;G440),SUMIFS(Bank_Rates!$C$2:$C$501,Bank_Rates!$A$2:$A$501,H440,Bank_Rates!$B$2:$B$501,t,Bank_Rates!$D$2:$D$501,d)))))))</f>
        <v/>
      </c>
      <c r="K440" s="6" t="str">
        <f t="shared" si="12"/>
        <v/>
      </c>
    </row>
    <row r="441" spans="1:11">
      <c r="A441" s="18" t="str">
        <f t="shared" si="13"/>
        <v/>
      </c>
      <c r="B441" s="13"/>
      <c r="C441" s="14"/>
      <c r="D441" s="3"/>
      <c r="E441" s="3"/>
      <c r="F441" s="14"/>
      <c r="G441" s="7">
        <f>RawObservationsTable[[#This Row],[Maturity Date]]-RawObservationsTable[[#This Row],[Timestamp]]</f>
        <v>0</v>
      </c>
      <c r="H441" s="2"/>
      <c r="I441" s="4"/>
      <c r="J441" s="5" t="str">
        <f>IF(OR(H441="",G441="",C441=""),"",LET(n,COUNTIFS(Bank_Rates!$A$2:$A$501,H441,Bank_Rates!$B$2:$B$501,"&lt;="&amp;C441),IF(n=0,"",LET(t,MAXIFS(Bank_Rates!$B$2:$B$501,Bank_Rates!$A$2:$A$501,H441,Bank_Rates!$B$2:$B$501,"&lt;="&amp;C441),m,COUNTIFS(Bank_Rates!$A$2:$A$501,H441,Bank_Rates!$B$2:$B$501,t,Bank_Rates!$D$2:$D$501,"&lt;="&amp;G441),IF(m=0,"",LET(d,MAXIFS(Bank_Rates!$D$2:$D$501,Bank_Rates!$A$2:$A$501,H441,Bank_Rates!$B$2:$B$501,t,Bank_Rates!$D$2:$D$501,"&lt;="&amp;G441),SUMIFS(Bank_Rates!$C$2:$C$501,Bank_Rates!$A$2:$A$501,H441,Bank_Rates!$B$2:$B$501,t,Bank_Rates!$D$2:$D$501,d)))))))</f>
        <v/>
      </c>
      <c r="K441" s="6" t="str">
        <f t="shared" si="12"/>
        <v/>
      </c>
    </row>
    <row r="442" spans="1:11">
      <c r="A442" s="18" t="str">
        <f t="shared" si="13"/>
        <v/>
      </c>
      <c r="B442" s="13"/>
      <c r="C442" s="14"/>
      <c r="D442" s="3"/>
      <c r="E442" s="3"/>
      <c r="F442" s="14"/>
      <c r="G442" s="7">
        <f>RawObservationsTable[[#This Row],[Maturity Date]]-RawObservationsTable[[#This Row],[Timestamp]]</f>
        <v>0</v>
      </c>
      <c r="H442" s="2"/>
      <c r="I442" s="4"/>
      <c r="J442" s="5" t="str">
        <f>IF(OR(H442="",G442="",C442=""),"",LET(n,COUNTIFS(Bank_Rates!$A$2:$A$501,H442,Bank_Rates!$B$2:$B$501,"&lt;="&amp;C442),IF(n=0,"",LET(t,MAXIFS(Bank_Rates!$B$2:$B$501,Bank_Rates!$A$2:$A$501,H442,Bank_Rates!$B$2:$B$501,"&lt;="&amp;C442),m,COUNTIFS(Bank_Rates!$A$2:$A$501,H442,Bank_Rates!$B$2:$B$501,t,Bank_Rates!$D$2:$D$501,"&lt;="&amp;G442),IF(m=0,"",LET(d,MAXIFS(Bank_Rates!$D$2:$D$501,Bank_Rates!$A$2:$A$501,H442,Bank_Rates!$B$2:$B$501,t,Bank_Rates!$D$2:$D$501,"&lt;="&amp;G442),SUMIFS(Bank_Rates!$C$2:$C$501,Bank_Rates!$A$2:$A$501,H442,Bank_Rates!$B$2:$B$501,t,Bank_Rates!$D$2:$D$501,d)))))))</f>
        <v/>
      </c>
      <c r="K442" s="6" t="str">
        <f t="shared" si="12"/>
        <v/>
      </c>
    </row>
    <row r="443" spans="1:11">
      <c r="A443" s="18" t="str">
        <f t="shared" si="13"/>
        <v/>
      </c>
      <c r="B443" s="13"/>
      <c r="C443" s="14"/>
      <c r="D443" s="3"/>
      <c r="E443" s="3"/>
      <c r="F443" s="14"/>
      <c r="G443" s="7">
        <f>RawObservationsTable[[#This Row],[Maturity Date]]-RawObservationsTable[[#This Row],[Timestamp]]</f>
        <v>0</v>
      </c>
      <c r="H443" s="2"/>
      <c r="I443" s="4"/>
      <c r="J443" s="5" t="str">
        <f>IF(OR(H443="",G443="",C443=""),"",LET(n,COUNTIFS(Bank_Rates!$A$2:$A$501,H443,Bank_Rates!$B$2:$B$501,"&lt;="&amp;C443),IF(n=0,"",LET(t,MAXIFS(Bank_Rates!$B$2:$B$501,Bank_Rates!$A$2:$A$501,H443,Bank_Rates!$B$2:$B$501,"&lt;="&amp;C443),m,COUNTIFS(Bank_Rates!$A$2:$A$501,H443,Bank_Rates!$B$2:$B$501,t,Bank_Rates!$D$2:$D$501,"&lt;="&amp;G443),IF(m=0,"",LET(d,MAXIFS(Bank_Rates!$D$2:$D$501,Bank_Rates!$A$2:$A$501,H443,Bank_Rates!$B$2:$B$501,t,Bank_Rates!$D$2:$D$501,"&lt;="&amp;G443),SUMIFS(Bank_Rates!$C$2:$C$501,Bank_Rates!$A$2:$A$501,H443,Bank_Rates!$B$2:$B$501,t,Bank_Rates!$D$2:$D$501,d)))))))</f>
        <v/>
      </c>
      <c r="K443" s="6" t="str">
        <f t="shared" si="12"/>
        <v/>
      </c>
    </row>
    <row r="444" spans="1:11">
      <c r="A444" s="18" t="str">
        <f t="shared" si="13"/>
        <v/>
      </c>
      <c r="B444" s="13"/>
      <c r="C444" s="14"/>
      <c r="D444" s="3"/>
      <c r="E444" s="3"/>
      <c r="F444" s="14"/>
      <c r="G444" s="7">
        <f>RawObservationsTable[[#This Row],[Maturity Date]]-RawObservationsTable[[#This Row],[Timestamp]]</f>
        <v>0</v>
      </c>
      <c r="H444" s="2"/>
      <c r="I444" s="4"/>
      <c r="J444" s="5" t="str">
        <f>IF(OR(H444="",G444="",C444=""),"",LET(n,COUNTIFS(Bank_Rates!$A$2:$A$501,H444,Bank_Rates!$B$2:$B$501,"&lt;="&amp;C444),IF(n=0,"",LET(t,MAXIFS(Bank_Rates!$B$2:$B$501,Bank_Rates!$A$2:$A$501,H444,Bank_Rates!$B$2:$B$501,"&lt;="&amp;C444),m,COUNTIFS(Bank_Rates!$A$2:$A$501,H444,Bank_Rates!$B$2:$B$501,t,Bank_Rates!$D$2:$D$501,"&lt;="&amp;G444),IF(m=0,"",LET(d,MAXIFS(Bank_Rates!$D$2:$D$501,Bank_Rates!$A$2:$A$501,H444,Bank_Rates!$B$2:$B$501,t,Bank_Rates!$D$2:$D$501,"&lt;="&amp;G444),SUMIFS(Bank_Rates!$C$2:$C$501,Bank_Rates!$A$2:$A$501,H444,Bank_Rates!$B$2:$B$501,t,Bank_Rates!$D$2:$D$501,d)))))))</f>
        <v/>
      </c>
      <c r="K444" s="6" t="str">
        <f t="shared" si="12"/>
        <v/>
      </c>
    </row>
    <row r="445" spans="1:11">
      <c r="A445" s="18" t="str">
        <f t="shared" si="13"/>
        <v/>
      </c>
      <c r="B445" s="13"/>
      <c r="C445" s="14"/>
      <c r="D445" s="3"/>
      <c r="E445" s="3"/>
      <c r="F445" s="14"/>
      <c r="G445" s="7">
        <f>RawObservationsTable[[#This Row],[Maturity Date]]-RawObservationsTable[[#This Row],[Timestamp]]</f>
        <v>0</v>
      </c>
      <c r="H445" s="2"/>
      <c r="I445" s="4"/>
      <c r="J445" s="5" t="str">
        <f>IF(OR(H445="",G445="",C445=""),"",LET(n,COUNTIFS(Bank_Rates!$A$2:$A$501,H445,Bank_Rates!$B$2:$B$501,"&lt;="&amp;C445),IF(n=0,"",LET(t,MAXIFS(Bank_Rates!$B$2:$B$501,Bank_Rates!$A$2:$A$501,H445,Bank_Rates!$B$2:$B$501,"&lt;="&amp;C445),m,COUNTIFS(Bank_Rates!$A$2:$A$501,H445,Bank_Rates!$B$2:$B$501,t,Bank_Rates!$D$2:$D$501,"&lt;="&amp;G445),IF(m=0,"",LET(d,MAXIFS(Bank_Rates!$D$2:$D$501,Bank_Rates!$A$2:$A$501,H445,Bank_Rates!$B$2:$B$501,t,Bank_Rates!$D$2:$D$501,"&lt;="&amp;G445),SUMIFS(Bank_Rates!$C$2:$C$501,Bank_Rates!$A$2:$A$501,H445,Bank_Rates!$B$2:$B$501,t,Bank_Rates!$D$2:$D$501,d)))))))</f>
        <v/>
      </c>
      <c r="K445" s="6" t="str">
        <f t="shared" si="12"/>
        <v/>
      </c>
    </row>
    <row r="446" spans="1:11">
      <c r="A446" s="18" t="str">
        <f t="shared" si="13"/>
        <v/>
      </c>
      <c r="B446" s="13"/>
      <c r="C446" s="14"/>
      <c r="D446" s="3"/>
      <c r="E446" s="3"/>
      <c r="F446" s="14"/>
      <c r="G446" s="7">
        <f>RawObservationsTable[[#This Row],[Maturity Date]]-RawObservationsTable[[#This Row],[Timestamp]]</f>
        <v>0</v>
      </c>
      <c r="H446" s="2"/>
      <c r="I446" s="4"/>
      <c r="J446" s="5" t="str">
        <f>IF(OR(H446="",G446="",C446=""),"",LET(n,COUNTIFS(Bank_Rates!$A$2:$A$501,H446,Bank_Rates!$B$2:$B$501,"&lt;="&amp;C446),IF(n=0,"",LET(t,MAXIFS(Bank_Rates!$B$2:$B$501,Bank_Rates!$A$2:$A$501,H446,Bank_Rates!$B$2:$B$501,"&lt;="&amp;C446),m,COUNTIFS(Bank_Rates!$A$2:$A$501,H446,Bank_Rates!$B$2:$B$501,t,Bank_Rates!$D$2:$D$501,"&lt;="&amp;G446),IF(m=0,"",LET(d,MAXIFS(Bank_Rates!$D$2:$D$501,Bank_Rates!$A$2:$A$501,H446,Bank_Rates!$B$2:$B$501,t,Bank_Rates!$D$2:$D$501,"&lt;="&amp;G446),SUMIFS(Bank_Rates!$C$2:$C$501,Bank_Rates!$A$2:$A$501,H446,Bank_Rates!$B$2:$B$501,t,Bank_Rates!$D$2:$D$501,d)))))))</f>
        <v/>
      </c>
      <c r="K446" s="6" t="str">
        <f t="shared" si="12"/>
        <v/>
      </c>
    </row>
    <row r="447" spans="1:11">
      <c r="A447" s="18" t="str">
        <f t="shared" si="13"/>
        <v/>
      </c>
      <c r="B447" s="13"/>
      <c r="C447" s="14"/>
      <c r="D447" s="3"/>
      <c r="E447" s="3"/>
      <c r="F447" s="14"/>
      <c r="G447" s="7">
        <f>RawObservationsTable[[#This Row],[Maturity Date]]-RawObservationsTable[[#This Row],[Timestamp]]</f>
        <v>0</v>
      </c>
      <c r="H447" s="2"/>
      <c r="I447" s="4"/>
      <c r="J447" s="5" t="str">
        <f>IF(OR(H447="",G447="",C447=""),"",LET(n,COUNTIFS(Bank_Rates!$A$2:$A$501,H447,Bank_Rates!$B$2:$B$501,"&lt;="&amp;C447),IF(n=0,"",LET(t,MAXIFS(Bank_Rates!$B$2:$B$501,Bank_Rates!$A$2:$A$501,H447,Bank_Rates!$B$2:$B$501,"&lt;="&amp;C447),m,COUNTIFS(Bank_Rates!$A$2:$A$501,H447,Bank_Rates!$B$2:$B$501,t,Bank_Rates!$D$2:$D$501,"&lt;="&amp;G447),IF(m=0,"",LET(d,MAXIFS(Bank_Rates!$D$2:$D$501,Bank_Rates!$A$2:$A$501,H447,Bank_Rates!$B$2:$B$501,t,Bank_Rates!$D$2:$D$501,"&lt;="&amp;G447),SUMIFS(Bank_Rates!$C$2:$C$501,Bank_Rates!$A$2:$A$501,H447,Bank_Rates!$B$2:$B$501,t,Bank_Rates!$D$2:$D$501,d)))))))</f>
        <v/>
      </c>
      <c r="K447" s="6" t="str">
        <f t="shared" si="12"/>
        <v/>
      </c>
    </row>
    <row r="448" spans="1:11">
      <c r="A448" s="18" t="str">
        <f t="shared" si="13"/>
        <v/>
      </c>
      <c r="B448" s="13"/>
      <c r="C448" s="14"/>
      <c r="D448" s="3"/>
      <c r="E448" s="3"/>
      <c r="F448" s="14"/>
      <c r="G448" s="7">
        <f>RawObservationsTable[[#This Row],[Maturity Date]]-RawObservationsTable[[#This Row],[Timestamp]]</f>
        <v>0</v>
      </c>
      <c r="H448" s="2"/>
      <c r="I448" s="4"/>
      <c r="J448" s="5" t="str">
        <f>IF(OR(H448="",G448="",C448=""),"",LET(n,COUNTIFS(Bank_Rates!$A$2:$A$501,H448,Bank_Rates!$B$2:$B$501,"&lt;="&amp;C448),IF(n=0,"",LET(t,MAXIFS(Bank_Rates!$B$2:$B$501,Bank_Rates!$A$2:$A$501,H448,Bank_Rates!$B$2:$B$501,"&lt;="&amp;C448),m,COUNTIFS(Bank_Rates!$A$2:$A$501,H448,Bank_Rates!$B$2:$B$501,t,Bank_Rates!$D$2:$D$501,"&lt;="&amp;G448),IF(m=0,"",LET(d,MAXIFS(Bank_Rates!$D$2:$D$501,Bank_Rates!$A$2:$A$501,H448,Bank_Rates!$B$2:$B$501,t,Bank_Rates!$D$2:$D$501,"&lt;="&amp;G448),SUMIFS(Bank_Rates!$C$2:$C$501,Bank_Rates!$A$2:$A$501,H448,Bank_Rates!$B$2:$B$501,t,Bank_Rates!$D$2:$D$501,d)))))))</f>
        <v/>
      </c>
      <c r="K448" s="6" t="str">
        <f t="shared" si="12"/>
        <v/>
      </c>
    </row>
    <row r="449" spans="1:11">
      <c r="A449" s="18" t="str">
        <f t="shared" si="13"/>
        <v/>
      </c>
      <c r="B449" s="13"/>
      <c r="C449" s="14"/>
      <c r="D449" s="3"/>
      <c r="E449" s="3"/>
      <c r="F449" s="14"/>
      <c r="G449" s="7">
        <f>RawObservationsTable[[#This Row],[Maturity Date]]-RawObservationsTable[[#This Row],[Timestamp]]</f>
        <v>0</v>
      </c>
      <c r="H449" s="2"/>
      <c r="I449" s="4"/>
      <c r="J449" s="5" t="str">
        <f>IF(OR(H449="",G449="",C449=""),"",LET(n,COUNTIFS(Bank_Rates!$A$2:$A$501,H449,Bank_Rates!$B$2:$B$501,"&lt;="&amp;C449),IF(n=0,"",LET(t,MAXIFS(Bank_Rates!$B$2:$B$501,Bank_Rates!$A$2:$A$501,H449,Bank_Rates!$B$2:$B$501,"&lt;="&amp;C449),m,COUNTIFS(Bank_Rates!$A$2:$A$501,H449,Bank_Rates!$B$2:$B$501,t,Bank_Rates!$D$2:$D$501,"&lt;="&amp;G449),IF(m=0,"",LET(d,MAXIFS(Bank_Rates!$D$2:$D$501,Bank_Rates!$A$2:$A$501,H449,Bank_Rates!$B$2:$B$501,t,Bank_Rates!$D$2:$D$501,"&lt;="&amp;G449),SUMIFS(Bank_Rates!$C$2:$C$501,Bank_Rates!$A$2:$A$501,H449,Bank_Rates!$B$2:$B$501,t,Bank_Rates!$D$2:$D$501,d)))))))</f>
        <v/>
      </c>
      <c r="K449" s="6" t="str">
        <f t="shared" si="12"/>
        <v/>
      </c>
    </row>
    <row r="450" spans="1:11">
      <c r="A450" s="18" t="str">
        <f t="shared" si="13"/>
        <v/>
      </c>
      <c r="B450" s="13"/>
      <c r="C450" s="14"/>
      <c r="D450" s="3"/>
      <c r="E450" s="3"/>
      <c r="F450" s="14"/>
      <c r="G450" s="7">
        <f>RawObservationsTable[[#This Row],[Maturity Date]]-RawObservationsTable[[#This Row],[Timestamp]]</f>
        <v>0</v>
      </c>
      <c r="H450" s="2"/>
      <c r="I450" s="4"/>
      <c r="J450" s="5" t="str">
        <f>IF(OR(H450="",G450="",C450=""),"",LET(n,COUNTIFS(Bank_Rates!$A$2:$A$501,H450,Bank_Rates!$B$2:$B$501,"&lt;="&amp;C450),IF(n=0,"",LET(t,MAXIFS(Bank_Rates!$B$2:$B$501,Bank_Rates!$A$2:$A$501,H450,Bank_Rates!$B$2:$B$501,"&lt;="&amp;C450),m,COUNTIFS(Bank_Rates!$A$2:$A$501,H450,Bank_Rates!$B$2:$B$501,t,Bank_Rates!$D$2:$D$501,"&lt;="&amp;G450),IF(m=0,"",LET(d,MAXIFS(Bank_Rates!$D$2:$D$501,Bank_Rates!$A$2:$A$501,H450,Bank_Rates!$B$2:$B$501,t,Bank_Rates!$D$2:$D$501,"&lt;="&amp;G450),SUMIFS(Bank_Rates!$C$2:$C$501,Bank_Rates!$A$2:$A$501,H450,Bank_Rates!$B$2:$B$501,t,Bank_Rates!$D$2:$D$501,d)))))))</f>
        <v/>
      </c>
      <c r="K450" s="6" t="str">
        <f t="shared" ref="K450:K513" si="14">IF(OR(I450="",J450=""),"",I450-J450)</f>
        <v/>
      </c>
    </row>
    <row r="451" spans="1:11">
      <c r="A451" s="18" t="str">
        <f t="shared" ref="A451:A514" si="15">IF(B451&lt;&gt;"","L-"&amp;TEXT(ROW()-1,"0000"),"")</f>
        <v/>
      </c>
      <c r="B451" s="13"/>
      <c r="C451" s="14"/>
      <c r="D451" s="3"/>
      <c r="E451" s="3"/>
      <c r="F451" s="14"/>
      <c r="G451" s="7">
        <f>RawObservationsTable[[#This Row],[Maturity Date]]-RawObservationsTable[[#This Row],[Timestamp]]</f>
        <v>0</v>
      </c>
      <c r="H451" s="2"/>
      <c r="I451" s="4"/>
      <c r="J451" s="5" t="str">
        <f>IF(OR(H451="",G451="",C451=""),"",LET(n,COUNTIFS(Bank_Rates!$A$2:$A$501,H451,Bank_Rates!$B$2:$B$501,"&lt;="&amp;C451),IF(n=0,"",LET(t,MAXIFS(Bank_Rates!$B$2:$B$501,Bank_Rates!$A$2:$A$501,H451,Bank_Rates!$B$2:$B$501,"&lt;="&amp;C451),m,COUNTIFS(Bank_Rates!$A$2:$A$501,H451,Bank_Rates!$B$2:$B$501,t,Bank_Rates!$D$2:$D$501,"&lt;="&amp;G451),IF(m=0,"",LET(d,MAXIFS(Bank_Rates!$D$2:$D$501,Bank_Rates!$A$2:$A$501,H451,Bank_Rates!$B$2:$B$501,t,Bank_Rates!$D$2:$D$501,"&lt;="&amp;G451),SUMIFS(Bank_Rates!$C$2:$C$501,Bank_Rates!$A$2:$A$501,H451,Bank_Rates!$B$2:$B$501,t,Bank_Rates!$D$2:$D$501,d)))))))</f>
        <v/>
      </c>
      <c r="K451" s="6" t="str">
        <f t="shared" si="14"/>
        <v/>
      </c>
    </row>
    <row r="452" spans="1:11">
      <c r="A452" s="18" t="str">
        <f t="shared" si="15"/>
        <v/>
      </c>
      <c r="B452" s="13"/>
      <c r="C452" s="14"/>
      <c r="D452" s="3"/>
      <c r="E452" s="3"/>
      <c r="F452" s="14"/>
      <c r="G452" s="7">
        <f>RawObservationsTable[[#This Row],[Maturity Date]]-RawObservationsTable[[#This Row],[Timestamp]]</f>
        <v>0</v>
      </c>
      <c r="H452" s="2"/>
      <c r="I452" s="4"/>
      <c r="J452" s="5" t="str">
        <f>IF(OR(H452="",G452="",C452=""),"",LET(n,COUNTIFS(Bank_Rates!$A$2:$A$501,H452,Bank_Rates!$B$2:$B$501,"&lt;="&amp;C452),IF(n=0,"",LET(t,MAXIFS(Bank_Rates!$B$2:$B$501,Bank_Rates!$A$2:$A$501,H452,Bank_Rates!$B$2:$B$501,"&lt;="&amp;C452),m,COUNTIFS(Bank_Rates!$A$2:$A$501,H452,Bank_Rates!$B$2:$B$501,t,Bank_Rates!$D$2:$D$501,"&lt;="&amp;G452),IF(m=0,"",LET(d,MAXIFS(Bank_Rates!$D$2:$D$501,Bank_Rates!$A$2:$A$501,H452,Bank_Rates!$B$2:$B$501,t,Bank_Rates!$D$2:$D$501,"&lt;="&amp;G452),SUMIFS(Bank_Rates!$C$2:$C$501,Bank_Rates!$A$2:$A$501,H452,Bank_Rates!$B$2:$B$501,t,Bank_Rates!$D$2:$D$501,d)))))))</f>
        <v/>
      </c>
      <c r="K452" s="6" t="str">
        <f t="shared" si="14"/>
        <v/>
      </c>
    </row>
    <row r="453" spans="1:11">
      <c r="A453" s="18" t="str">
        <f t="shared" si="15"/>
        <v/>
      </c>
      <c r="B453" s="13"/>
      <c r="C453" s="14"/>
      <c r="D453" s="3"/>
      <c r="E453" s="3"/>
      <c r="F453" s="14"/>
      <c r="G453" s="7">
        <f>RawObservationsTable[[#This Row],[Maturity Date]]-RawObservationsTable[[#This Row],[Timestamp]]</f>
        <v>0</v>
      </c>
      <c r="H453" s="2"/>
      <c r="I453" s="4"/>
      <c r="J453" s="5" t="str">
        <f>IF(OR(H453="",G453="",C453=""),"",LET(n,COUNTIFS(Bank_Rates!$A$2:$A$501,H453,Bank_Rates!$B$2:$B$501,"&lt;="&amp;C453),IF(n=0,"",LET(t,MAXIFS(Bank_Rates!$B$2:$B$501,Bank_Rates!$A$2:$A$501,H453,Bank_Rates!$B$2:$B$501,"&lt;="&amp;C453),m,COUNTIFS(Bank_Rates!$A$2:$A$501,H453,Bank_Rates!$B$2:$B$501,t,Bank_Rates!$D$2:$D$501,"&lt;="&amp;G453),IF(m=0,"",LET(d,MAXIFS(Bank_Rates!$D$2:$D$501,Bank_Rates!$A$2:$A$501,H453,Bank_Rates!$B$2:$B$501,t,Bank_Rates!$D$2:$D$501,"&lt;="&amp;G453),SUMIFS(Bank_Rates!$C$2:$C$501,Bank_Rates!$A$2:$A$501,H453,Bank_Rates!$B$2:$B$501,t,Bank_Rates!$D$2:$D$501,d)))))))</f>
        <v/>
      </c>
      <c r="K453" s="6" t="str">
        <f t="shared" si="14"/>
        <v/>
      </c>
    </row>
    <row r="454" spans="1:11">
      <c r="A454" s="18" t="str">
        <f t="shared" si="15"/>
        <v/>
      </c>
      <c r="B454" s="13"/>
      <c r="C454" s="14"/>
      <c r="D454" s="3"/>
      <c r="E454" s="3"/>
      <c r="F454" s="14"/>
      <c r="G454" s="7">
        <f>RawObservationsTable[[#This Row],[Maturity Date]]-RawObservationsTable[[#This Row],[Timestamp]]</f>
        <v>0</v>
      </c>
      <c r="H454" s="2"/>
      <c r="I454" s="4"/>
      <c r="J454" s="5" t="str">
        <f>IF(OR(H454="",G454="",C454=""),"",LET(n,COUNTIFS(Bank_Rates!$A$2:$A$501,H454,Bank_Rates!$B$2:$B$501,"&lt;="&amp;C454),IF(n=0,"",LET(t,MAXIFS(Bank_Rates!$B$2:$B$501,Bank_Rates!$A$2:$A$501,H454,Bank_Rates!$B$2:$B$501,"&lt;="&amp;C454),m,COUNTIFS(Bank_Rates!$A$2:$A$501,H454,Bank_Rates!$B$2:$B$501,t,Bank_Rates!$D$2:$D$501,"&lt;="&amp;G454),IF(m=0,"",LET(d,MAXIFS(Bank_Rates!$D$2:$D$501,Bank_Rates!$A$2:$A$501,H454,Bank_Rates!$B$2:$B$501,t,Bank_Rates!$D$2:$D$501,"&lt;="&amp;G454),SUMIFS(Bank_Rates!$C$2:$C$501,Bank_Rates!$A$2:$A$501,H454,Bank_Rates!$B$2:$B$501,t,Bank_Rates!$D$2:$D$501,d)))))))</f>
        <v/>
      </c>
      <c r="K454" s="6" t="str">
        <f t="shared" si="14"/>
        <v/>
      </c>
    </row>
    <row r="455" spans="1:11">
      <c r="A455" s="18" t="str">
        <f t="shared" si="15"/>
        <v/>
      </c>
      <c r="B455" s="13"/>
      <c r="C455" s="14"/>
      <c r="D455" s="3"/>
      <c r="E455" s="3"/>
      <c r="F455" s="14"/>
      <c r="G455" s="7">
        <f>RawObservationsTable[[#This Row],[Maturity Date]]-RawObservationsTable[[#This Row],[Timestamp]]</f>
        <v>0</v>
      </c>
      <c r="H455" s="2"/>
      <c r="I455" s="4"/>
      <c r="J455" s="5" t="str">
        <f>IF(OR(H455="",G455="",C455=""),"",LET(n,COUNTIFS(Bank_Rates!$A$2:$A$501,H455,Bank_Rates!$B$2:$B$501,"&lt;="&amp;C455),IF(n=0,"",LET(t,MAXIFS(Bank_Rates!$B$2:$B$501,Bank_Rates!$A$2:$A$501,H455,Bank_Rates!$B$2:$B$501,"&lt;="&amp;C455),m,COUNTIFS(Bank_Rates!$A$2:$A$501,H455,Bank_Rates!$B$2:$B$501,t,Bank_Rates!$D$2:$D$501,"&lt;="&amp;G455),IF(m=0,"",LET(d,MAXIFS(Bank_Rates!$D$2:$D$501,Bank_Rates!$A$2:$A$501,H455,Bank_Rates!$B$2:$B$501,t,Bank_Rates!$D$2:$D$501,"&lt;="&amp;G455),SUMIFS(Bank_Rates!$C$2:$C$501,Bank_Rates!$A$2:$A$501,H455,Bank_Rates!$B$2:$B$501,t,Bank_Rates!$D$2:$D$501,d)))))))</f>
        <v/>
      </c>
      <c r="K455" s="6" t="str">
        <f t="shared" si="14"/>
        <v/>
      </c>
    </row>
    <row r="456" spans="1:11">
      <c r="A456" s="18" t="str">
        <f t="shared" si="15"/>
        <v/>
      </c>
      <c r="B456" s="13"/>
      <c r="C456" s="14"/>
      <c r="D456" s="3"/>
      <c r="E456" s="3"/>
      <c r="F456" s="14"/>
      <c r="G456" s="7">
        <f>RawObservationsTable[[#This Row],[Maturity Date]]-RawObservationsTable[[#This Row],[Timestamp]]</f>
        <v>0</v>
      </c>
      <c r="H456" s="2"/>
      <c r="I456" s="4"/>
      <c r="J456" s="5" t="str">
        <f>IF(OR(H456="",G456="",C456=""),"",LET(n,COUNTIFS(Bank_Rates!$A$2:$A$501,H456,Bank_Rates!$B$2:$B$501,"&lt;="&amp;C456),IF(n=0,"",LET(t,MAXIFS(Bank_Rates!$B$2:$B$501,Bank_Rates!$A$2:$A$501,H456,Bank_Rates!$B$2:$B$501,"&lt;="&amp;C456),m,COUNTIFS(Bank_Rates!$A$2:$A$501,H456,Bank_Rates!$B$2:$B$501,t,Bank_Rates!$D$2:$D$501,"&lt;="&amp;G456),IF(m=0,"",LET(d,MAXIFS(Bank_Rates!$D$2:$D$501,Bank_Rates!$A$2:$A$501,H456,Bank_Rates!$B$2:$B$501,t,Bank_Rates!$D$2:$D$501,"&lt;="&amp;G456),SUMIFS(Bank_Rates!$C$2:$C$501,Bank_Rates!$A$2:$A$501,H456,Bank_Rates!$B$2:$B$501,t,Bank_Rates!$D$2:$D$501,d)))))))</f>
        <v/>
      </c>
      <c r="K456" s="6" t="str">
        <f t="shared" si="14"/>
        <v/>
      </c>
    </row>
    <row r="457" spans="1:11">
      <c r="A457" s="18" t="str">
        <f t="shared" si="15"/>
        <v/>
      </c>
      <c r="B457" s="13"/>
      <c r="C457" s="14"/>
      <c r="D457" s="3"/>
      <c r="E457" s="3"/>
      <c r="F457" s="14"/>
      <c r="G457" s="7">
        <f>RawObservationsTable[[#This Row],[Maturity Date]]-RawObservationsTable[[#This Row],[Timestamp]]</f>
        <v>0</v>
      </c>
      <c r="H457" s="2"/>
      <c r="I457" s="4"/>
      <c r="J457" s="5" t="str">
        <f>IF(OR(H457="",G457="",C457=""),"",LET(n,COUNTIFS(Bank_Rates!$A$2:$A$501,H457,Bank_Rates!$B$2:$B$501,"&lt;="&amp;C457),IF(n=0,"",LET(t,MAXIFS(Bank_Rates!$B$2:$B$501,Bank_Rates!$A$2:$A$501,H457,Bank_Rates!$B$2:$B$501,"&lt;="&amp;C457),m,COUNTIFS(Bank_Rates!$A$2:$A$501,H457,Bank_Rates!$B$2:$B$501,t,Bank_Rates!$D$2:$D$501,"&lt;="&amp;G457),IF(m=0,"",LET(d,MAXIFS(Bank_Rates!$D$2:$D$501,Bank_Rates!$A$2:$A$501,H457,Bank_Rates!$B$2:$B$501,t,Bank_Rates!$D$2:$D$501,"&lt;="&amp;G457),SUMIFS(Bank_Rates!$C$2:$C$501,Bank_Rates!$A$2:$A$501,H457,Bank_Rates!$B$2:$B$501,t,Bank_Rates!$D$2:$D$501,d)))))))</f>
        <v/>
      </c>
      <c r="K457" s="6" t="str">
        <f t="shared" si="14"/>
        <v/>
      </c>
    </row>
    <row r="458" spans="1:11">
      <c r="A458" s="18" t="str">
        <f t="shared" si="15"/>
        <v/>
      </c>
      <c r="B458" s="13"/>
      <c r="C458" s="14"/>
      <c r="D458" s="3"/>
      <c r="E458" s="3"/>
      <c r="F458" s="14"/>
      <c r="G458" s="7">
        <f>RawObservationsTable[[#This Row],[Maturity Date]]-RawObservationsTable[[#This Row],[Timestamp]]</f>
        <v>0</v>
      </c>
      <c r="H458" s="2"/>
      <c r="I458" s="4"/>
      <c r="J458" s="5" t="str">
        <f>IF(OR(H458="",G458="",C458=""),"",LET(n,COUNTIFS(Bank_Rates!$A$2:$A$501,H458,Bank_Rates!$B$2:$B$501,"&lt;="&amp;C458),IF(n=0,"",LET(t,MAXIFS(Bank_Rates!$B$2:$B$501,Bank_Rates!$A$2:$A$501,H458,Bank_Rates!$B$2:$B$501,"&lt;="&amp;C458),m,COUNTIFS(Bank_Rates!$A$2:$A$501,H458,Bank_Rates!$B$2:$B$501,t,Bank_Rates!$D$2:$D$501,"&lt;="&amp;G458),IF(m=0,"",LET(d,MAXIFS(Bank_Rates!$D$2:$D$501,Bank_Rates!$A$2:$A$501,H458,Bank_Rates!$B$2:$B$501,t,Bank_Rates!$D$2:$D$501,"&lt;="&amp;G458),SUMIFS(Bank_Rates!$C$2:$C$501,Bank_Rates!$A$2:$A$501,H458,Bank_Rates!$B$2:$B$501,t,Bank_Rates!$D$2:$D$501,d)))))))</f>
        <v/>
      </c>
      <c r="K458" s="6" t="str">
        <f t="shared" si="14"/>
        <v/>
      </c>
    </row>
    <row r="459" spans="1:11">
      <c r="A459" s="18" t="str">
        <f t="shared" si="15"/>
        <v/>
      </c>
      <c r="B459" s="13"/>
      <c r="C459" s="14"/>
      <c r="D459" s="3"/>
      <c r="E459" s="3"/>
      <c r="F459" s="14"/>
      <c r="G459" s="7">
        <f>RawObservationsTable[[#This Row],[Maturity Date]]-RawObservationsTable[[#This Row],[Timestamp]]</f>
        <v>0</v>
      </c>
      <c r="H459" s="2"/>
      <c r="I459" s="4"/>
      <c r="J459" s="5" t="str">
        <f>IF(OR(H459="",G459="",C459=""),"",LET(n,COUNTIFS(Bank_Rates!$A$2:$A$501,H459,Bank_Rates!$B$2:$B$501,"&lt;="&amp;C459),IF(n=0,"",LET(t,MAXIFS(Bank_Rates!$B$2:$B$501,Bank_Rates!$A$2:$A$501,H459,Bank_Rates!$B$2:$B$501,"&lt;="&amp;C459),m,COUNTIFS(Bank_Rates!$A$2:$A$501,H459,Bank_Rates!$B$2:$B$501,t,Bank_Rates!$D$2:$D$501,"&lt;="&amp;G459),IF(m=0,"",LET(d,MAXIFS(Bank_Rates!$D$2:$D$501,Bank_Rates!$A$2:$A$501,H459,Bank_Rates!$B$2:$B$501,t,Bank_Rates!$D$2:$D$501,"&lt;="&amp;G459),SUMIFS(Bank_Rates!$C$2:$C$501,Bank_Rates!$A$2:$A$501,H459,Bank_Rates!$B$2:$B$501,t,Bank_Rates!$D$2:$D$501,d)))))))</f>
        <v/>
      </c>
      <c r="K459" s="6" t="str">
        <f t="shared" si="14"/>
        <v/>
      </c>
    </row>
    <row r="460" spans="1:11">
      <c r="A460" s="18" t="str">
        <f t="shared" si="15"/>
        <v/>
      </c>
      <c r="B460" s="13"/>
      <c r="C460" s="14"/>
      <c r="D460" s="3"/>
      <c r="E460" s="3"/>
      <c r="F460" s="14"/>
      <c r="G460" s="7">
        <f>RawObservationsTable[[#This Row],[Maturity Date]]-RawObservationsTable[[#This Row],[Timestamp]]</f>
        <v>0</v>
      </c>
      <c r="H460" s="2"/>
      <c r="I460" s="4"/>
      <c r="J460" s="5" t="str">
        <f>IF(OR(H460="",G460="",C460=""),"",LET(n,COUNTIFS(Bank_Rates!$A$2:$A$501,H460,Bank_Rates!$B$2:$B$501,"&lt;="&amp;C460),IF(n=0,"",LET(t,MAXIFS(Bank_Rates!$B$2:$B$501,Bank_Rates!$A$2:$A$501,H460,Bank_Rates!$B$2:$B$501,"&lt;="&amp;C460),m,COUNTIFS(Bank_Rates!$A$2:$A$501,H460,Bank_Rates!$B$2:$B$501,t,Bank_Rates!$D$2:$D$501,"&lt;="&amp;G460),IF(m=0,"",LET(d,MAXIFS(Bank_Rates!$D$2:$D$501,Bank_Rates!$A$2:$A$501,H460,Bank_Rates!$B$2:$B$501,t,Bank_Rates!$D$2:$D$501,"&lt;="&amp;G460),SUMIFS(Bank_Rates!$C$2:$C$501,Bank_Rates!$A$2:$A$501,H460,Bank_Rates!$B$2:$B$501,t,Bank_Rates!$D$2:$D$501,d)))))))</f>
        <v/>
      </c>
      <c r="K460" s="6" t="str">
        <f t="shared" si="14"/>
        <v/>
      </c>
    </row>
    <row r="461" spans="1:11">
      <c r="A461" s="18" t="str">
        <f t="shared" si="15"/>
        <v/>
      </c>
      <c r="B461" s="13"/>
      <c r="C461" s="14"/>
      <c r="D461" s="3"/>
      <c r="E461" s="3"/>
      <c r="F461" s="14"/>
      <c r="G461" s="7">
        <f>RawObservationsTable[[#This Row],[Maturity Date]]-RawObservationsTable[[#This Row],[Timestamp]]</f>
        <v>0</v>
      </c>
      <c r="H461" s="2"/>
      <c r="I461" s="4"/>
      <c r="J461" s="5" t="str">
        <f>IF(OR(H461="",G461="",C461=""),"",LET(n,COUNTIFS(Bank_Rates!$A$2:$A$501,H461,Bank_Rates!$B$2:$B$501,"&lt;="&amp;C461),IF(n=0,"",LET(t,MAXIFS(Bank_Rates!$B$2:$B$501,Bank_Rates!$A$2:$A$501,H461,Bank_Rates!$B$2:$B$501,"&lt;="&amp;C461),m,COUNTIFS(Bank_Rates!$A$2:$A$501,H461,Bank_Rates!$B$2:$B$501,t,Bank_Rates!$D$2:$D$501,"&lt;="&amp;G461),IF(m=0,"",LET(d,MAXIFS(Bank_Rates!$D$2:$D$501,Bank_Rates!$A$2:$A$501,H461,Bank_Rates!$B$2:$B$501,t,Bank_Rates!$D$2:$D$501,"&lt;="&amp;G461),SUMIFS(Bank_Rates!$C$2:$C$501,Bank_Rates!$A$2:$A$501,H461,Bank_Rates!$B$2:$B$501,t,Bank_Rates!$D$2:$D$501,d)))))))</f>
        <v/>
      </c>
      <c r="K461" s="6" t="str">
        <f t="shared" si="14"/>
        <v/>
      </c>
    </row>
    <row r="462" spans="1:11">
      <c r="A462" s="18" t="str">
        <f t="shared" si="15"/>
        <v/>
      </c>
      <c r="B462" s="13"/>
      <c r="C462" s="14"/>
      <c r="D462" s="3"/>
      <c r="E462" s="3"/>
      <c r="F462" s="14"/>
      <c r="G462" s="7">
        <f>RawObservationsTable[[#This Row],[Maturity Date]]-RawObservationsTable[[#This Row],[Timestamp]]</f>
        <v>0</v>
      </c>
      <c r="H462" s="2"/>
      <c r="I462" s="4"/>
      <c r="J462" s="5" t="str">
        <f>IF(OR(H462="",G462="",C462=""),"",LET(n,COUNTIFS(Bank_Rates!$A$2:$A$501,H462,Bank_Rates!$B$2:$B$501,"&lt;="&amp;C462),IF(n=0,"",LET(t,MAXIFS(Bank_Rates!$B$2:$B$501,Bank_Rates!$A$2:$A$501,H462,Bank_Rates!$B$2:$B$501,"&lt;="&amp;C462),m,COUNTIFS(Bank_Rates!$A$2:$A$501,H462,Bank_Rates!$B$2:$B$501,t,Bank_Rates!$D$2:$D$501,"&lt;="&amp;G462),IF(m=0,"",LET(d,MAXIFS(Bank_Rates!$D$2:$D$501,Bank_Rates!$A$2:$A$501,H462,Bank_Rates!$B$2:$B$501,t,Bank_Rates!$D$2:$D$501,"&lt;="&amp;G462),SUMIFS(Bank_Rates!$C$2:$C$501,Bank_Rates!$A$2:$A$501,H462,Bank_Rates!$B$2:$B$501,t,Bank_Rates!$D$2:$D$501,d)))))))</f>
        <v/>
      </c>
      <c r="K462" s="6" t="str">
        <f t="shared" si="14"/>
        <v/>
      </c>
    </row>
    <row r="463" spans="1:11">
      <c r="A463" s="18" t="str">
        <f t="shared" si="15"/>
        <v/>
      </c>
      <c r="B463" s="13"/>
      <c r="C463" s="14"/>
      <c r="D463" s="3"/>
      <c r="E463" s="3"/>
      <c r="F463" s="14"/>
      <c r="G463" s="7">
        <f>RawObservationsTable[[#This Row],[Maturity Date]]-RawObservationsTable[[#This Row],[Timestamp]]</f>
        <v>0</v>
      </c>
      <c r="H463" s="2"/>
      <c r="I463" s="4"/>
      <c r="J463" s="5" t="str">
        <f>IF(OR(H463="",G463="",C463=""),"",LET(n,COUNTIFS(Bank_Rates!$A$2:$A$501,H463,Bank_Rates!$B$2:$B$501,"&lt;="&amp;C463),IF(n=0,"",LET(t,MAXIFS(Bank_Rates!$B$2:$B$501,Bank_Rates!$A$2:$A$501,H463,Bank_Rates!$B$2:$B$501,"&lt;="&amp;C463),m,COUNTIFS(Bank_Rates!$A$2:$A$501,H463,Bank_Rates!$B$2:$B$501,t,Bank_Rates!$D$2:$D$501,"&lt;="&amp;G463),IF(m=0,"",LET(d,MAXIFS(Bank_Rates!$D$2:$D$501,Bank_Rates!$A$2:$A$501,H463,Bank_Rates!$B$2:$B$501,t,Bank_Rates!$D$2:$D$501,"&lt;="&amp;G463),SUMIFS(Bank_Rates!$C$2:$C$501,Bank_Rates!$A$2:$A$501,H463,Bank_Rates!$B$2:$B$501,t,Bank_Rates!$D$2:$D$501,d)))))))</f>
        <v/>
      </c>
      <c r="K463" s="6" t="str">
        <f t="shared" si="14"/>
        <v/>
      </c>
    </row>
    <row r="464" spans="1:11">
      <c r="A464" s="18" t="str">
        <f t="shared" si="15"/>
        <v/>
      </c>
      <c r="B464" s="13"/>
      <c r="C464" s="14"/>
      <c r="D464" s="3"/>
      <c r="E464" s="3"/>
      <c r="F464" s="14"/>
      <c r="G464" s="7">
        <f>RawObservationsTable[[#This Row],[Maturity Date]]-RawObservationsTable[[#This Row],[Timestamp]]</f>
        <v>0</v>
      </c>
      <c r="H464" s="2"/>
      <c r="I464" s="4"/>
      <c r="J464" s="5" t="str">
        <f>IF(OR(H464="",G464="",C464=""),"",LET(n,COUNTIFS(Bank_Rates!$A$2:$A$501,H464,Bank_Rates!$B$2:$B$501,"&lt;="&amp;C464),IF(n=0,"",LET(t,MAXIFS(Bank_Rates!$B$2:$B$501,Bank_Rates!$A$2:$A$501,H464,Bank_Rates!$B$2:$B$501,"&lt;="&amp;C464),m,COUNTIFS(Bank_Rates!$A$2:$A$501,H464,Bank_Rates!$B$2:$B$501,t,Bank_Rates!$D$2:$D$501,"&lt;="&amp;G464),IF(m=0,"",LET(d,MAXIFS(Bank_Rates!$D$2:$D$501,Bank_Rates!$A$2:$A$501,H464,Bank_Rates!$B$2:$B$501,t,Bank_Rates!$D$2:$D$501,"&lt;="&amp;G464),SUMIFS(Bank_Rates!$C$2:$C$501,Bank_Rates!$A$2:$A$501,H464,Bank_Rates!$B$2:$B$501,t,Bank_Rates!$D$2:$D$501,d)))))))</f>
        <v/>
      </c>
      <c r="K464" s="6" t="str">
        <f t="shared" si="14"/>
        <v/>
      </c>
    </row>
    <row r="465" spans="1:11">
      <c r="A465" s="18" t="str">
        <f t="shared" si="15"/>
        <v/>
      </c>
      <c r="B465" s="13"/>
      <c r="C465" s="14"/>
      <c r="D465" s="3"/>
      <c r="E465" s="3"/>
      <c r="F465" s="14"/>
      <c r="G465" s="7">
        <f>RawObservationsTable[[#This Row],[Maturity Date]]-RawObservationsTable[[#This Row],[Timestamp]]</f>
        <v>0</v>
      </c>
      <c r="H465" s="2"/>
      <c r="I465" s="4"/>
      <c r="J465" s="5" t="str">
        <f>IF(OR(H465="",G465="",C465=""),"",LET(n,COUNTIFS(Bank_Rates!$A$2:$A$501,H465,Bank_Rates!$B$2:$B$501,"&lt;="&amp;C465),IF(n=0,"",LET(t,MAXIFS(Bank_Rates!$B$2:$B$501,Bank_Rates!$A$2:$A$501,H465,Bank_Rates!$B$2:$B$501,"&lt;="&amp;C465),m,COUNTIFS(Bank_Rates!$A$2:$A$501,H465,Bank_Rates!$B$2:$B$501,t,Bank_Rates!$D$2:$D$501,"&lt;="&amp;G465),IF(m=0,"",LET(d,MAXIFS(Bank_Rates!$D$2:$D$501,Bank_Rates!$A$2:$A$501,H465,Bank_Rates!$B$2:$B$501,t,Bank_Rates!$D$2:$D$501,"&lt;="&amp;G465),SUMIFS(Bank_Rates!$C$2:$C$501,Bank_Rates!$A$2:$A$501,H465,Bank_Rates!$B$2:$B$501,t,Bank_Rates!$D$2:$D$501,d)))))))</f>
        <v/>
      </c>
      <c r="K465" s="6" t="str">
        <f t="shared" si="14"/>
        <v/>
      </c>
    </row>
    <row r="466" spans="1:11">
      <c r="A466" s="18" t="str">
        <f t="shared" si="15"/>
        <v/>
      </c>
      <c r="B466" s="13"/>
      <c r="C466" s="14"/>
      <c r="D466" s="3"/>
      <c r="E466" s="3"/>
      <c r="F466" s="14"/>
      <c r="G466" s="7">
        <f>RawObservationsTable[[#This Row],[Maturity Date]]-RawObservationsTable[[#This Row],[Timestamp]]</f>
        <v>0</v>
      </c>
      <c r="H466" s="2"/>
      <c r="I466" s="4"/>
      <c r="J466" s="5" t="str">
        <f>IF(OR(H466="",G466="",C466=""),"",LET(n,COUNTIFS(Bank_Rates!$A$2:$A$501,H466,Bank_Rates!$B$2:$B$501,"&lt;="&amp;C466),IF(n=0,"",LET(t,MAXIFS(Bank_Rates!$B$2:$B$501,Bank_Rates!$A$2:$A$501,H466,Bank_Rates!$B$2:$B$501,"&lt;="&amp;C466),m,COUNTIFS(Bank_Rates!$A$2:$A$501,H466,Bank_Rates!$B$2:$B$501,t,Bank_Rates!$D$2:$D$501,"&lt;="&amp;G466),IF(m=0,"",LET(d,MAXIFS(Bank_Rates!$D$2:$D$501,Bank_Rates!$A$2:$A$501,H466,Bank_Rates!$B$2:$B$501,t,Bank_Rates!$D$2:$D$501,"&lt;="&amp;G466),SUMIFS(Bank_Rates!$C$2:$C$501,Bank_Rates!$A$2:$A$501,H466,Bank_Rates!$B$2:$B$501,t,Bank_Rates!$D$2:$D$501,d)))))))</f>
        <v/>
      </c>
      <c r="K466" s="6" t="str">
        <f t="shared" si="14"/>
        <v/>
      </c>
    </row>
    <row r="467" spans="1:11">
      <c r="A467" s="18" t="str">
        <f t="shared" si="15"/>
        <v/>
      </c>
      <c r="B467" s="13"/>
      <c r="C467" s="14"/>
      <c r="D467" s="3"/>
      <c r="E467" s="3"/>
      <c r="F467" s="14"/>
      <c r="G467" s="7">
        <f>RawObservationsTable[[#This Row],[Maturity Date]]-RawObservationsTable[[#This Row],[Timestamp]]</f>
        <v>0</v>
      </c>
      <c r="H467" s="2"/>
      <c r="I467" s="4"/>
      <c r="J467" s="5" t="str">
        <f>IF(OR(H467="",G467="",C467=""),"",LET(n,COUNTIFS(Bank_Rates!$A$2:$A$501,H467,Bank_Rates!$B$2:$B$501,"&lt;="&amp;C467),IF(n=0,"",LET(t,MAXIFS(Bank_Rates!$B$2:$B$501,Bank_Rates!$A$2:$A$501,H467,Bank_Rates!$B$2:$B$501,"&lt;="&amp;C467),m,COUNTIFS(Bank_Rates!$A$2:$A$501,H467,Bank_Rates!$B$2:$B$501,t,Bank_Rates!$D$2:$D$501,"&lt;="&amp;G467),IF(m=0,"",LET(d,MAXIFS(Bank_Rates!$D$2:$D$501,Bank_Rates!$A$2:$A$501,H467,Bank_Rates!$B$2:$B$501,t,Bank_Rates!$D$2:$D$501,"&lt;="&amp;G467),SUMIFS(Bank_Rates!$C$2:$C$501,Bank_Rates!$A$2:$A$501,H467,Bank_Rates!$B$2:$B$501,t,Bank_Rates!$D$2:$D$501,d)))))))</f>
        <v/>
      </c>
      <c r="K467" s="6" t="str">
        <f t="shared" si="14"/>
        <v/>
      </c>
    </row>
    <row r="468" spans="1:11">
      <c r="A468" s="18" t="str">
        <f t="shared" si="15"/>
        <v/>
      </c>
      <c r="B468" s="13"/>
      <c r="C468" s="14"/>
      <c r="D468" s="3"/>
      <c r="E468" s="3"/>
      <c r="F468" s="14"/>
      <c r="G468" s="7">
        <f>RawObservationsTable[[#This Row],[Maturity Date]]-RawObservationsTable[[#This Row],[Timestamp]]</f>
        <v>0</v>
      </c>
      <c r="H468" s="2"/>
      <c r="I468" s="4"/>
      <c r="J468" s="5" t="str">
        <f>IF(OR(H468="",G468="",C468=""),"",LET(n,COUNTIFS(Bank_Rates!$A$2:$A$501,H468,Bank_Rates!$B$2:$B$501,"&lt;="&amp;C468),IF(n=0,"",LET(t,MAXIFS(Bank_Rates!$B$2:$B$501,Bank_Rates!$A$2:$A$501,H468,Bank_Rates!$B$2:$B$501,"&lt;="&amp;C468),m,COUNTIFS(Bank_Rates!$A$2:$A$501,H468,Bank_Rates!$B$2:$B$501,t,Bank_Rates!$D$2:$D$501,"&lt;="&amp;G468),IF(m=0,"",LET(d,MAXIFS(Bank_Rates!$D$2:$D$501,Bank_Rates!$A$2:$A$501,H468,Bank_Rates!$B$2:$B$501,t,Bank_Rates!$D$2:$D$501,"&lt;="&amp;G468),SUMIFS(Bank_Rates!$C$2:$C$501,Bank_Rates!$A$2:$A$501,H468,Bank_Rates!$B$2:$B$501,t,Bank_Rates!$D$2:$D$501,d)))))))</f>
        <v/>
      </c>
      <c r="K468" s="6" t="str">
        <f t="shared" si="14"/>
        <v/>
      </c>
    </row>
    <row r="469" spans="1:11">
      <c r="A469" s="18" t="str">
        <f t="shared" si="15"/>
        <v/>
      </c>
      <c r="B469" s="13"/>
      <c r="C469" s="14"/>
      <c r="D469" s="3"/>
      <c r="E469" s="3"/>
      <c r="F469" s="14"/>
      <c r="G469" s="7">
        <f>RawObservationsTable[[#This Row],[Maturity Date]]-RawObservationsTable[[#This Row],[Timestamp]]</f>
        <v>0</v>
      </c>
      <c r="H469" s="2"/>
      <c r="I469" s="4"/>
      <c r="J469" s="5" t="str">
        <f>IF(OR(H469="",G469="",C469=""),"",LET(n,COUNTIFS(Bank_Rates!$A$2:$A$501,H469,Bank_Rates!$B$2:$B$501,"&lt;="&amp;C469),IF(n=0,"",LET(t,MAXIFS(Bank_Rates!$B$2:$B$501,Bank_Rates!$A$2:$A$501,H469,Bank_Rates!$B$2:$B$501,"&lt;="&amp;C469),m,COUNTIFS(Bank_Rates!$A$2:$A$501,H469,Bank_Rates!$B$2:$B$501,t,Bank_Rates!$D$2:$D$501,"&lt;="&amp;G469),IF(m=0,"",LET(d,MAXIFS(Bank_Rates!$D$2:$D$501,Bank_Rates!$A$2:$A$501,H469,Bank_Rates!$B$2:$B$501,t,Bank_Rates!$D$2:$D$501,"&lt;="&amp;G469),SUMIFS(Bank_Rates!$C$2:$C$501,Bank_Rates!$A$2:$A$501,H469,Bank_Rates!$B$2:$B$501,t,Bank_Rates!$D$2:$D$501,d)))))))</f>
        <v/>
      </c>
      <c r="K469" s="6" t="str">
        <f t="shared" si="14"/>
        <v/>
      </c>
    </row>
    <row r="470" spans="1:11">
      <c r="A470" s="18" t="str">
        <f t="shared" si="15"/>
        <v/>
      </c>
      <c r="B470" s="13"/>
      <c r="C470" s="14"/>
      <c r="D470" s="3"/>
      <c r="E470" s="3"/>
      <c r="F470" s="14"/>
      <c r="G470" s="7">
        <f>RawObservationsTable[[#This Row],[Maturity Date]]-RawObservationsTable[[#This Row],[Timestamp]]</f>
        <v>0</v>
      </c>
      <c r="H470" s="2"/>
      <c r="I470" s="4"/>
      <c r="J470" s="5" t="str">
        <f>IF(OR(H470="",G470="",C470=""),"",LET(n,COUNTIFS(Bank_Rates!$A$2:$A$501,H470,Bank_Rates!$B$2:$B$501,"&lt;="&amp;C470),IF(n=0,"",LET(t,MAXIFS(Bank_Rates!$B$2:$B$501,Bank_Rates!$A$2:$A$501,H470,Bank_Rates!$B$2:$B$501,"&lt;="&amp;C470),m,COUNTIFS(Bank_Rates!$A$2:$A$501,H470,Bank_Rates!$B$2:$B$501,t,Bank_Rates!$D$2:$D$501,"&lt;="&amp;G470),IF(m=0,"",LET(d,MAXIFS(Bank_Rates!$D$2:$D$501,Bank_Rates!$A$2:$A$501,H470,Bank_Rates!$B$2:$B$501,t,Bank_Rates!$D$2:$D$501,"&lt;="&amp;G470),SUMIFS(Bank_Rates!$C$2:$C$501,Bank_Rates!$A$2:$A$501,H470,Bank_Rates!$B$2:$B$501,t,Bank_Rates!$D$2:$D$501,d)))))))</f>
        <v/>
      </c>
      <c r="K470" s="6" t="str">
        <f t="shared" si="14"/>
        <v/>
      </c>
    </row>
    <row r="471" spans="1:11">
      <c r="A471" s="18" t="str">
        <f t="shared" si="15"/>
        <v/>
      </c>
      <c r="B471" s="13"/>
      <c r="C471" s="14"/>
      <c r="D471" s="3"/>
      <c r="E471" s="3"/>
      <c r="F471" s="14"/>
      <c r="G471" s="7">
        <f>RawObservationsTable[[#This Row],[Maturity Date]]-RawObservationsTable[[#This Row],[Timestamp]]</f>
        <v>0</v>
      </c>
      <c r="H471" s="2"/>
      <c r="I471" s="4"/>
      <c r="J471" s="5" t="str">
        <f>IF(OR(H471="",G471="",C471=""),"",LET(n,COUNTIFS(Bank_Rates!$A$2:$A$501,H471,Bank_Rates!$B$2:$B$501,"&lt;="&amp;C471),IF(n=0,"",LET(t,MAXIFS(Bank_Rates!$B$2:$B$501,Bank_Rates!$A$2:$A$501,H471,Bank_Rates!$B$2:$B$501,"&lt;="&amp;C471),m,COUNTIFS(Bank_Rates!$A$2:$A$501,H471,Bank_Rates!$B$2:$B$501,t,Bank_Rates!$D$2:$D$501,"&lt;="&amp;G471),IF(m=0,"",LET(d,MAXIFS(Bank_Rates!$D$2:$D$501,Bank_Rates!$A$2:$A$501,H471,Bank_Rates!$B$2:$B$501,t,Bank_Rates!$D$2:$D$501,"&lt;="&amp;G471),SUMIFS(Bank_Rates!$C$2:$C$501,Bank_Rates!$A$2:$A$501,H471,Bank_Rates!$B$2:$B$501,t,Bank_Rates!$D$2:$D$501,d)))))))</f>
        <v/>
      </c>
      <c r="K471" s="6" t="str">
        <f t="shared" si="14"/>
        <v/>
      </c>
    </row>
    <row r="472" spans="1:11">
      <c r="A472" s="18" t="str">
        <f t="shared" si="15"/>
        <v/>
      </c>
      <c r="B472" s="13"/>
      <c r="C472" s="14"/>
      <c r="D472" s="3"/>
      <c r="E472" s="3"/>
      <c r="F472" s="14"/>
      <c r="G472" s="7">
        <f>RawObservationsTable[[#This Row],[Maturity Date]]-RawObservationsTable[[#This Row],[Timestamp]]</f>
        <v>0</v>
      </c>
      <c r="H472" s="2"/>
      <c r="I472" s="4"/>
      <c r="J472" s="5" t="str">
        <f>IF(OR(H472="",G472="",C472=""),"",LET(n,COUNTIFS(Bank_Rates!$A$2:$A$501,H472,Bank_Rates!$B$2:$B$501,"&lt;="&amp;C472),IF(n=0,"",LET(t,MAXIFS(Bank_Rates!$B$2:$B$501,Bank_Rates!$A$2:$A$501,H472,Bank_Rates!$B$2:$B$501,"&lt;="&amp;C472),m,COUNTIFS(Bank_Rates!$A$2:$A$501,H472,Bank_Rates!$B$2:$B$501,t,Bank_Rates!$D$2:$D$501,"&lt;="&amp;G472),IF(m=0,"",LET(d,MAXIFS(Bank_Rates!$D$2:$D$501,Bank_Rates!$A$2:$A$501,H472,Bank_Rates!$B$2:$B$501,t,Bank_Rates!$D$2:$D$501,"&lt;="&amp;G472),SUMIFS(Bank_Rates!$C$2:$C$501,Bank_Rates!$A$2:$A$501,H472,Bank_Rates!$B$2:$B$501,t,Bank_Rates!$D$2:$D$501,d)))))))</f>
        <v/>
      </c>
      <c r="K472" s="6" t="str">
        <f t="shared" si="14"/>
        <v/>
      </c>
    </row>
    <row r="473" spans="1:11">
      <c r="A473" s="18" t="str">
        <f t="shared" si="15"/>
        <v/>
      </c>
      <c r="B473" s="13"/>
      <c r="C473" s="14"/>
      <c r="D473" s="3"/>
      <c r="E473" s="3"/>
      <c r="F473" s="14"/>
      <c r="G473" s="7">
        <f>RawObservationsTable[[#This Row],[Maturity Date]]-RawObservationsTable[[#This Row],[Timestamp]]</f>
        <v>0</v>
      </c>
      <c r="H473" s="2"/>
      <c r="I473" s="4"/>
      <c r="J473" s="5" t="str">
        <f>IF(OR(H473="",G473="",C473=""),"",LET(n,COUNTIFS(Bank_Rates!$A$2:$A$501,H473,Bank_Rates!$B$2:$B$501,"&lt;="&amp;C473),IF(n=0,"",LET(t,MAXIFS(Bank_Rates!$B$2:$B$501,Bank_Rates!$A$2:$A$501,H473,Bank_Rates!$B$2:$B$501,"&lt;="&amp;C473),m,COUNTIFS(Bank_Rates!$A$2:$A$501,H473,Bank_Rates!$B$2:$B$501,t,Bank_Rates!$D$2:$D$501,"&lt;="&amp;G473),IF(m=0,"",LET(d,MAXIFS(Bank_Rates!$D$2:$D$501,Bank_Rates!$A$2:$A$501,H473,Bank_Rates!$B$2:$B$501,t,Bank_Rates!$D$2:$D$501,"&lt;="&amp;G473),SUMIFS(Bank_Rates!$C$2:$C$501,Bank_Rates!$A$2:$A$501,H473,Bank_Rates!$B$2:$B$501,t,Bank_Rates!$D$2:$D$501,d)))))))</f>
        <v/>
      </c>
      <c r="K473" s="6" t="str">
        <f t="shared" si="14"/>
        <v/>
      </c>
    </row>
    <row r="474" spans="1:11">
      <c r="A474" s="18" t="str">
        <f t="shared" si="15"/>
        <v/>
      </c>
      <c r="B474" s="13"/>
      <c r="C474" s="14"/>
      <c r="D474" s="3"/>
      <c r="E474" s="3"/>
      <c r="F474" s="14"/>
      <c r="G474" s="7">
        <f>RawObservationsTable[[#This Row],[Maturity Date]]-RawObservationsTable[[#This Row],[Timestamp]]</f>
        <v>0</v>
      </c>
      <c r="H474" s="2"/>
      <c r="I474" s="4"/>
      <c r="J474" s="5" t="str">
        <f>IF(OR(H474="",G474="",C474=""),"",LET(n,COUNTIFS(Bank_Rates!$A$2:$A$501,H474,Bank_Rates!$B$2:$B$501,"&lt;="&amp;C474),IF(n=0,"",LET(t,MAXIFS(Bank_Rates!$B$2:$B$501,Bank_Rates!$A$2:$A$501,H474,Bank_Rates!$B$2:$B$501,"&lt;="&amp;C474),m,COUNTIFS(Bank_Rates!$A$2:$A$501,H474,Bank_Rates!$B$2:$B$501,t,Bank_Rates!$D$2:$D$501,"&lt;="&amp;G474),IF(m=0,"",LET(d,MAXIFS(Bank_Rates!$D$2:$D$501,Bank_Rates!$A$2:$A$501,H474,Bank_Rates!$B$2:$B$501,t,Bank_Rates!$D$2:$D$501,"&lt;="&amp;G474),SUMIFS(Bank_Rates!$C$2:$C$501,Bank_Rates!$A$2:$A$501,H474,Bank_Rates!$B$2:$B$501,t,Bank_Rates!$D$2:$D$501,d)))))))</f>
        <v/>
      </c>
      <c r="K474" s="6" t="str">
        <f t="shared" si="14"/>
        <v/>
      </c>
    </row>
    <row r="475" spans="1:11">
      <c r="A475" s="18" t="str">
        <f t="shared" si="15"/>
        <v/>
      </c>
      <c r="B475" s="13"/>
      <c r="C475" s="14"/>
      <c r="D475" s="3"/>
      <c r="E475" s="3"/>
      <c r="F475" s="14"/>
      <c r="G475" s="7">
        <f>RawObservationsTable[[#This Row],[Maturity Date]]-RawObservationsTable[[#This Row],[Timestamp]]</f>
        <v>0</v>
      </c>
      <c r="H475" s="2"/>
      <c r="I475" s="4"/>
      <c r="J475" s="5" t="str">
        <f>IF(OR(H475="",G475="",C475=""),"",LET(n,COUNTIFS(Bank_Rates!$A$2:$A$501,H475,Bank_Rates!$B$2:$B$501,"&lt;="&amp;C475),IF(n=0,"",LET(t,MAXIFS(Bank_Rates!$B$2:$B$501,Bank_Rates!$A$2:$A$501,H475,Bank_Rates!$B$2:$B$501,"&lt;="&amp;C475),m,COUNTIFS(Bank_Rates!$A$2:$A$501,H475,Bank_Rates!$B$2:$B$501,t,Bank_Rates!$D$2:$D$501,"&lt;="&amp;G475),IF(m=0,"",LET(d,MAXIFS(Bank_Rates!$D$2:$D$501,Bank_Rates!$A$2:$A$501,H475,Bank_Rates!$B$2:$B$501,t,Bank_Rates!$D$2:$D$501,"&lt;="&amp;G475),SUMIFS(Bank_Rates!$C$2:$C$501,Bank_Rates!$A$2:$A$501,H475,Bank_Rates!$B$2:$B$501,t,Bank_Rates!$D$2:$D$501,d)))))))</f>
        <v/>
      </c>
      <c r="K475" s="6" t="str">
        <f t="shared" si="14"/>
        <v/>
      </c>
    </row>
    <row r="476" spans="1:11">
      <c r="A476" s="18" t="str">
        <f t="shared" si="15"/>
        <v/>
      </c>
      <c r="B476" s="13"/>
      <c r="C476" s="14"/>
      <c r="D476" s="3"/>
      <c r="E476" s="3"/>
      <c r="F476" s="14"/>
      <c r="G476" s="7">
        <f>RawObservationsTable[[#This Row],[Maturity Date]]-RawObservationsTable[[#This Row],[Timestamp]]</f>
        <v>0</v>
      </c>
      <c r="H476" s="2"/>
      <c r="I476" s="4"/>
      <c r="J476" s="5" t="str">
        <f>IF(OR(H476="",G476="",C476=""),"",LET(n,COUNTIFS(Bank_Rates!$A$2:$A$501,H476,Bank_Rates!$B$2:$B$501,"&lt;="&amp;C476),IF(n=0,"",LET(t,MAXIFS(Bank_Rates!$B$2:$B$501,Bank_Rates!$A$2:$A$501,H476,Bank_Rates!$B$2:$B$501,"&lt;="&amp;C476),m,COUNTIFS(Bank_Rates!$A$2:$A$501,H476,Bank_Rates!$B$2:$B$501,t,Bank_Rates!$D$2:$D$501,"&lt;="&amp;G476),IF(m=0,"",LET(d,MAXIFS(Bank_Rates!$D$2:$D$501,Bank_Rates!$A$2:$A$501,H476,Bank_Rates!$B$2:$B$501,t,Bank_Rates!$D$2:$D$501,"&lt;="&amp;G476),SUMIFS(Bank_Rates!$C$2:$C$501,Bank_Rates!$A$2:$A$501,H476,Bank_Rates!$B$2:$B$501,t,Bank_Rates!$D$2:$D$501,d)))))))</f>
        <v/>
      </c>
      <c r="K476" s="6" t="str">
        <f t="shared" si="14"/>
        <v/>
      </c>
    </row>
    <row r="477" spans="1:11">
      <c r="A477" s="18" t="str">
        <f t="shared" si="15"/>
        <v/>
      </c>
      <c r="B477" s="13"/>
      <c r="C477" s="14"/>
      <c r="D477" s="3"/>
      <c r="E477" s="3"/>
      <c r="F477" s="14"/>
      <c r="G477" s="7">
        <f>RawObservationsTable[[#This Row],[Maturity Date]]-RawObservationsTable[[#This Row],[Timestamp]]</f>
        <v>0</v>
      </c>
      <c r="H477" s="2"/>
      <c r="I477" s="4"/>
      <c r="J477" s="5" t="str">
        <f>IF(OR(H477="",G477="",C477=""),"",LET(n,COUNTIFS(Bank_Rates!$A$2:$A$501,H477,Bank_Rates!$B$2:$B$501,"&lt;="&amp;C477),IF(n=0,"",LET(t,MAXIFS(Bank_Rates!$B$2:$B$501,Bank_Rates!$A$2:$A$501,H477,Bank_Rates!$B$2:$B$501,"&lt;="&amp;C477),m,COUNTIFS(Bank_Rates!$A$2:$A$501,H477,Bank_Rates!$B$2:$B$501,t,Bank_Rates!$D$2:$D$501,"&lt;="&amp;G477),IF(m=0,"",LET(d,MAXIFS(Bank_Rates!$D$2:$D$501,Bank_Rates!$A$2:$A$501,H477,Bank_Rates!$B$2:$B$501,t,Bank_Rates!$D$2:$D$501,"&lt;="&amp;G477),SUMIFS(Bank_Rates!$C$2:$C$501,Bank_Rates!$A$2:$A$501,H477,Bank_Rates!$B$2:$B$501,t,Bank_Rates!$D$2:$D$501,d)))))))</f>
        <v/>
      </c>
      <c r="K477" s="6" t="str">
        <f t="shared" si="14"/>
        <v/>
      </c>
    </row>
    <row r="478" spans="1:11">
      <c r="A478" s="18" t="str">
        <f t="shared" si="15"/>
        <v/>
      </c>
      <c r="B478" s="13"/>
      <c r="C478" s="14"/>
      <c r="D478" s="3"/>
      <c r="E478" s="3"/>
      <c r="F478" s="14"/>
      <c r="G478" s="7">
        <f>RawObservationsTable[[#This Row],[Maturity Date]]-RawObservationsTable[[#This Row],[Timestamp]]</f>
        <v>0</v>
      </c>
      <c r="H478" s="2"/>
      <c r="I478" s="4"/>
      <c r="J478" s="5" t="str">
        <f>IF(OR(H478="",G478="",C478=""),"",LET(n,COUNTIFS(Bank_Rates!$A$2:$A$501,H478,Bank_Rates!$B$2:$B$501,"&lt;="&amp;C478),IF(n=0,"",LET(t,MAXIFS(Bank_Rates!$B$2:$B$501,Bank_Rates!$A$2:$A$501,H478,Bank_Rates!$B$2:$B$501,"&lt;="&amp;C478),m,COUNTIFS(Bank_Rates!$A$2:$A$501,H478,Bank_Rates!$B$2:$B$501,t,Bank_Rates!$D$2:$D$501,"&lt;="&amp;G478),IF(m=0,"",LET(d,MAXIFS(Bank_Rates!$D$2:$D$501,Bank_Rates!$A$2:$A$501,H478,Bank_Rates!$B$2:$B$501,t,Bank_Rates!$D$2:$D$501,"&lt;="&amp;G478),SUMIFS(Bank_Rates!$C$2:$C$501,Bank_Rates!$A$2:$A$501,H478,Bank_Rates!$B$2:$B$501,t,Bank_Rates!$D$2:$D$501,d)))))))</f>
        <v/>
      </c>
      <c r="K478" s="6" t="str">
        <f t="shared" si="14"/>
        <v/>
      </c>
    </row>
    <row r="479" spans="1:11">
      <c r="A479" s="18" t="str">
        <f t="shared" si="15"/>
        <v/>
      </c>
      <c r="B479" s="13"/>
      <c r="C479" s="14"/>
      <c r="D479" s="3"/>
      <c r="E479" s="3"/>
      <c r="F479" s="14"/>
      <c r="G479" s="7">
        <f>RawObservationsTable[[#This Row],[Maturity Date]]-RawObservationsTable[[#This Row],[Timestamp]]</f>
        <v>0</v>
      </c>
      <c r="H479" s="2"/>
      <c r="I479" s="4"/>
      <c r="J479" s="5" t="str">
        <f>IF(OR(H479="",G479="",C479=""),"",LET(n,COUNTIFS(Bank_Rates!$A$2:$A$501,H479,Bank_Rates!$B$2:$B$501,"&lt;="&amp;C479),IF(n=0,"",LET(t,MAXIFS(Bank_Rates!$B$2:$B$501,Bank_Rates!$A$2:$A$501,H479,Bank_Rates!$B$2:$B$501,"&lt;="&amp;C479),m,COUNTIFS(Bank_Rates!$A$2:$A$501,H479,Bank_Rates!$B$2:$B$501,t,Bank_Rates!$D$2:$D$501,"&lt;="&amp;G479),IF(m=0,"",LET(d,MAXIFS(Bank_Rates!$D$2:$D$501,Bank_Rates!$A$2:$A$501,H479,Bank_Rates!$B$2:$B$501,t,Bank_Rates!$D$2:$D$501,"&lt;="&amp;G479),SUMIFS(Bank_Rates!$C$2:$C$501,Bank_Rates!$A$2:$A$501,H479,Bank_Rates!$B$2:$B$501,t,Bank_Rates!$D$2:$D$501,d)))))))</f>
        <v/>
      </c>
      <c r="K479" s="6" t="str">
        <f t="shared" si="14"/>
        <v/>
      </c>
    </row>
    <row r="480" spans="1:11">
      <c r="A480" s="18" t="str">
        <f t="shared" si="15"/>
        <v/>
      </c>
      <c r="B480" s="13"/>
      <c r="C480" s="14"/>
      <c r="D480" s="3"/>
      <c r="E480" s="3"/>
      <c r="F480" s="14"/>
      <c r="G480" s="7">
        <f>RawObservationsTable[[#This Row],[Maturity Date]]-RawObservationsTable[[#This Row],[Timestamp]]</f>
        <v>0</v>
      </c>
      <c r="H480" s="2"/>
      <c r="I480" s="4"/>
      <c r="J480" s="5" t="str">
        <f>IF(OR(H480="",G480="",C480=""),"",LET(n,COUNTIFS(Bank_Rates!$A$2:$A$501,H480,Bank_Rates!$B$2:$B$501,"&lt;="&amp;C480),IF(n=0,"",LET(t,MAXIFS(Bank_Rates!$B$2:$B$501,Bank_Rates!$A$2:$A$501,H480,Bank_Rates!$B$2:$B$501,"&lt;="&amp;C480),m,COUNTIFS(Bank_Rates!$A$2:$A$501,H480,Bank_Rates!$B$2:$B$501,t,Bank_Rates!$D$2:$D$501,"&lt;="&amp;G480),IF(m=0,"",LET(d,MAXIFS(Bank_Rates!$D$2:$D$501,Bank_Rates!$A$2:$A$501,H480,Bank_Rates!$B$2:$B$501,t,Bank_Rates!$D$2:$D$501,"&lt;="&amp;G480),SUMIFS(Bank_Rates!$C$2:$C$501,Bank_Rates!$A$2:$A$501,H480,Bank_Rates!$B$2:$B$501,t,Bank_Rates!$D$2:$D$501,d)))))))</f>
        <v/>
      </c>
      <c r="K480" s="6" t="str">
        <f t="shared" si="14"/>
        <v/>
      </c>
    </row>
    <row r="481" spans="1:11">
      <c r="A481" s="18" t="str">
        <f t="shared" si="15"/>
        <v/>
      </c>
      <c r="B481" s="13"/>
      <c r="C481" s="14"/>
      <c r="D481" s="3"/>
      <c r="E481" s="3"/>
      <c r="F481" s="14"/>
      <c r="G481" s="7">
        <f>RawObservationsTable[[#This Row],[Maturity Date]]-RawObservationsTable[[#This Row],[Timestamp]]</f>
        <v>0</v>
      </c>
      <c r="H481" s="2"/>
      <c r="I481" s="4"/>
      <c r="J481" s="5" t="str">
        <f>IF(OR(H481="",G481="",C481=""),"",LET(n,COUNTIFS(Bank_Rates!$A$2:$A$501,H481,Bank_Rates!$B$2:$B$501,"&lt;="&amp;C481),IF(n=0,"",LET(t,MAXIFS(Bank_Rates!$B$2:$B$501,Bank_Rates!$A$2:$A$501,H481,Bank_Rates!$B$2:$B$501,"&lt;="&amp;C481),m,COUNTIFS(Bank_Rates!$A$2:$A$501,H481,Bank_Rates!$B$2:$B$501,t,Bank_Rates!$D$2:$D$501,"&lt;="&amp;G481),IF(m=0,"",LET(d,MAXIFS(Bank_Rates!$D$2:$D$501,Bank_Rates!$A$2:$A$501,H481,Bank_Rates!$B$2:$B$501,t,Bank_Rates!$D$2:$D$501,"&lt;="&amp;G481),SUMIFS(Bank_Rates!$C$2:$C$501,Bank_Rates!$A$2:$A$501,H481,Bank_Rates!$B$2:$B$501,t,Bank_Rates!$D$2:$D$501,d)))))))</f>
        <v/>
      </c>
      <c r="K481" s="6" t="str">
        <f t="shared" si="14"/>
        <v/>
      </c>
    </row>
    <row r="482" spans="1:11">
      <c r="A482" s="18" t="str">
        <f t="shared" si="15"/>
        <v/>
      </c>
      <c r="B482" s="13"/>
      <c r="C482" s="14"/>
      <c r="D482" s="3"/>
      <c r="E482" s="3"/>
      <c r="F482" s="14"/>
      <c r="G482" s="7">
        <f>RawObservationsTable[[#This Row],[Maturity Date]]-RawObservationsTable[[#This Row],[Timestamp]]</f>
        <v>0</v>
      </c>
      <c r="H482" s="2"/>
      <c r="I482" s="4"/>
      <c r="J482" s="5" t="str">
        <f>IF(OR(H482="",G482="",C482=""),"",LET(n,COUNTIFS(Bank_Rates!$A$2:$A$501,H482,Bank_Rates!$B$2:$B$501,"&lt;="&amp;C482),IF(n=0,"",LET(t,MAXIFS(Bank_Rates!$B$2:$B$501,Bank_Rates!$A$2:$A$501,H482,Bank_Rates!$B$2:$B$501,"&lt;="&amp;C482),m,COUNTIFS(Bank_Rates!$A$2:$A$501,H482,Bank_Rates!$B$2:$B$501,t,Bank_Rates!$D$2:$D$501,"&lt;="&amp;G482),IF(m=0,"",LET(d,MAXIFS(Bank_Rates!$D$2:$D$501,Bank_Rates!$A$2:$A$501,H482,Bank_Rates!$B$2:$B$501,t,Bank_Rates!$D$2:$D$501,"&lt;="&amp;G482),SUMIFS(Bank_Rates!$C$2:$C$501,Bank_Rates!$A$2:$A$501,H482,Bank_Rates!$B$2:$B$501,t,Bank_Rates!$D$2:$D$501,d)))))))</f>
        <v/>
      </c>
      <c r="K482" s="6" t="str">
        <f t="shared" si="14"/>
        <v/>
      </c>
    </row>
    <row r="483" spans="1:11">
      <c r="A483" s="18" t="str">
        <f t="shared" si="15"/>
        <v/>
      </c>
      <c r="B483" s="13"/>
      <c r="C483" s="14"/>
      <c r="D483" s="3"/>
      <c r="E483" s="3"/>
      <c r="F483" s="14"/>
      <c r="G483" s="7">
        <f>RawObservationsTable[[#This Row],[Maturity Date]]-RawObservationsTable[[#This Row],[Timestamp]]</f>
        <v>0</v>
      </c>
      <c r="H483" s="2"/>
      <c r="I483" s="4"/>
      <c r="J483" s="5" t="str">
        <f>IF(OR(H483="",G483="",C483=""),"",LET(n,COUNTIFS(Bank_Rates!$A$2:$A$501,H483,Bank_Rates!$B$2:$B$501,"&lt;="&amp;C483),IF(n=0,"",LET(t,MAXIFS(Bank_Rates!$B$2:$B$501,Bank_Rates!$A$2:$A$501,H483,Bank_Rates!$B$2:$B$501,"&lt;="&amp;C483),m,COUNTIFS(Bank_Rates!$A$2:$A$501,H483,Bank_Rates!$B$2:$B$501,t,Bank_Rates!$D$2:$D$501,"&lt;="&amp;G483),IF(m=0,"",LET(d,MAXIFS(Bank_Rates!$D$2:$D$501,Bank_Rates!$A$2:$A$501,H483,Bank_Rates!$B$2:$B$501,t,Bank_Rates!$D$2:$D$501,"&lt;="&amp;G483),SUMIFS(Bank_Rates!$C$2:$C$501,Bank_Rates!$A$2:$A$501,H483,Bank_Rates!$B$2:$B$501,t,Bank_Rates!$D$2:$D$501,d)))))))</f>
        <v/>
      </c>
      <c r="K483" s="6" t="str">
        <f t="shared" si="14"/>
        <v/>
      </c>
    </row>
    <row r="484" spans="1:11">
      <c r="A484" s="18" t="str">
        <f t="shared" si="15"/>
        <v/>
      </c>
      <c r="B484" s="13"/>
      <c r="C484" s="14"/>
      <c r="D484" s="3"/>
      <c r="E484" s="3"/>
      <c r="F484" s="14"/>
      <c r="G484" s="7">
        <f>RawObservationsTable[[#This Row],[Maturity Date]]-RawObservationsTable[[#This Row],[Timestamp]]</f>
        <v>0</v>
      </c>
      <c r="H484" s="2"/>
      <c r="I484" s="4"/>
      <c r="J484" s="5" t="str">
        <f>IF(OR(H484="",G484="",C484=""),"",LET(n,COUNTIFS(Bank_Rates!$A$2:$A$501,H484,Bank_Rates!$B$2:$B$501,"&lt;="&amp;C484),IF(n=0,"",LET(t,MAXIFS(Bank_Rates!$B$2:$B$501,Bank_Rates!$A$2:$A$501,H484,Bank_Rates!$B$2:$B$501,"&lt;="&amp;C484),m,COUNTIFS(Bank_Rates!$A$2:$A$501,H484,Bank_Rates!$B$2:$B$501,t,Bank_Rates!$D$2:$D$501,"&lt;="&amp;G484),IF(m=0,"",LET(d,MAXIFS(Bank_Rates!$D$2:$D$501,Bank_Rates!$A$2:$A$501,H484,Bank_Rates!$B$2:$B$501,t,Bank_Rates!$D$2:$D$501,"&lt;="&amp;G484),SUMIFS(Bank_Rates!$C$2:$C$501,Bank_Rates!$A$2:$A$501,H484,Bank_Rates!$B$2:$B$501,t,Bank_Rates!$D$2:$D$501,d)))))))</f>
        <v/>
      </c>
      <c r="K484" s="6" t="str">
        <f t="shared" si="14"/>
        <v/>
      </c>
    </row>
    <row r="485" spans="1:11">
      <c r="A485" s="18" t="str">
        <f t="shared" si="15"/>
        <v/>
      </c>
      <c r="B485" s="13"/>
      <c r="C485" s="14"/>
      <c r="D485" s="3"/>
      <c r="E485" s="3"/>
      <c r="F485" s="14"/>
      <c r="G485" s="7">
        <f>RawObservationsTable[[#This Row],[Maturity Date]]-RawObservationsTable[[#This Row],[Timestamp]]</f>
        <v>0</v>
      </c>
      <c r="H485" s="2"/>
      <c r="I485" s="4"/>
      <c r="J485" s="5" t="str">
        <f>IF(OR(H485="",G485="",C485=""),"",LET(n,COUNTIFS(Bank_Rates!$A$2:$A$501,H485,Bank_Rates!$B$2:$B$501,"&lt;="&amp;C485),IF(n=0,"",LET(t,MAXIFS(Bank_Rates!$B$2:$B$501,Bank_Rates!$A$2:$A$501,H485,Bank_Rates!$B$2:$B$501,"&lt;="&amp;C485),m,COUNTIFS(Bank_Rates!$A$2:$A$501,H485,Bank_Rates!$B$2:$B$501,t,Bank_Rates!$D$2:$D$501,"&lt;="&amp;G485),IF(m=0,"",LET(d,MAXIFS(Bank_Rates!$D$2:$D$501,Bank_Rates!$A$2:$A$501,H485,Bank_Rates!$B$2:$B$501,t,Bank_Rates!$D$2:$D$501,"&lt;="&amp;G485),SUMIFS(Bank_Rates!$C$2:$C$501,Bank_Rates!$A$2:$A$501,H485,Bank_Rates!$B$2:$B$501,t,Bank_Rates!$D$2:$D$501,d)))))))</f>
        <v/>
      </c>
      <c r="K485" s="6" t="str">
        <f t="shared" si="14"/>
        <v/>
      </c>
    </row>
    <row r="486" spans="1:11">
      <c r="A486" s="18" t="str">
        <f t="shared" si="15"/>
        <v/>
      </c>
      <c r="B486" s="13"/>
      <c r="C486" s="14"/>
      <c r="D486" s="3"/>
      <c r="E486" s="3"/>
      <c r="F486" s="14"/>
      <c r="G486" s="7">
        <f>RawObservationsTable[[#This Row],[Maturity Date]]-RawObservationsTable[[#This Row],[Timestamp]]</f>
        <v>0</v>
      </c>
      <c r="H486" s="2"/>
      <c r="I486" s="4"/>
      <c r="J486" s="5" t="str">
        <f>IF(OR(H486="",G486="",C486=""),"",LET(n,COUNTIFS(Bank_Rates!$A$2:$A$501,H486,Bank_Rates!$B$2:$B$501,"&lt;="&amp;C486),IF(n=0,"",LET(t,MAXIFS(Bank_Rates!$B$2:$B$501,Bank_Rates!$A$2:$A$501,H486,Bank_Rates!$B$2:$B$501,"&lt;="&amp;C486),m,COUNTIFS(Bank_Rates!$A$2:$A$501,H486,Bank_Rates!$B$2:$B$501,t,Bank_Rates!$D$2:$D$501,"&lt;="&amp;G486),IF(m=0,"",LET(d,MAXIFS(Bank_Rates!$D$2:$D$501,Bank_Rates!$A$2:$A$501,H486,Bank_Rates!$B$2:$B$501,t,Bank_Rates!$D$2:$D$501,"&lt;="&amp;G486),SUMIFS(Bank_Rates!$C$2:$C$501,Bank_Rates!$A$2:$A$501,H486,Bank_Rates!$B$2:$B$501,t,Bank_Rates!$D$2:$D$501,d)))))))</f>
        <v/>
      </c>
      <c r="K486" s="6" t="str">
        <f t="shared" si="14"/>
        <v/>
      </c>
    </row>
    <row r="487" spans="1:11">
      <c r="A487" s="18" t="str">
        <f t="shared" si="15"/>
        <v/>
      </c>
      <c r="B487" s="13"/>
      <c r="C487" s="14"/>
      <c r="D487" s="3"/>
      <c r="E487" s="3"/>
      <c r="F487" s="14"/>
      <c r="G487" s="7">
        <f>RawObservationsTable[[#This Row],[Maturity Date]]-RawObservationsTable[[#This Row],[Timestamp]]</f>
        <v>0</v>
      </c>
      <c r="H487" s="2"/>
      <c r="I487" s="4"/>
      <c r="J487" s="5" t="str">
        <f>IF(OR(H487="",G487="",C487=""),"",LET(n,COUNTIFS(Bank_Rates!$A$2:$A$501,H487,Bank_Rates!$B$2:$B$501,"&lt;="&amp;C487),IF(n=0,"",LET(t,MAXIFS(Bank_Rates!$B$2:$B$501,Bank_Rates!$A$2:$A$501,H487,Bank_Rates!$B$2:$B$501,"&lt;="&amp;C487),m,COUNTIFS(Bank_Rates!$A$2:$A$501,H487,Bank_Rates!$B$2:$B$501,t,Bank_Rates!$D$2:$D$501,"&lt;="&amp;G487),IF(m=0,"",LET(d,MAXIFS(Bank_Rates!$D$2:$D$501,Bank_Rates!$A$2:$A$501,H487,Bank_Rates!$B$2:$B$501,t,Bank_Rates!$D$2:$D$501,"&lt;="&amp;G487),SUMIFS(Bank_Rates!$C$2:$C$501,Bank_Rates!$A$2:$A$501,H487,Bank_Rates!$B$2:$B$501,t,Bank_Rates!$D$2:$D$501,d)))))))</f>
        <v/>
      </c>
      <c r="K487" s="6" t="str">
        <f t="shared" si="14"/>
        <v/>
      </c>
    </row>
    <row r="488" spans="1:11">
      <c r="A488" s="18" t="str">
        <f t="shared" si="15"/>
        <v/>
      </c>
      <c r="B488" s="13"/>
      <c r="C488" s="14"/>
      <c r="D488" s="3"/>
      <c r="E488" s="3"/>
      <c r="F488" s="14"/>
      <c r="G488" s="7">
        <f>RawObservationsTable[[#This Row],[Maturity Date]]-RawObservationsTable[[#This Row],[Timestamp]]</f>
        <v>0</v>
      </c>
      <c r="H488" s="2"/>
      <c r="I488" s="4"/>
      <c r="J488" s="5" t="str">
        <f>IF(OR(H488="",G488="",C488=""),"",LET(n,COUNTIFS(Bank_Rates!$A$2:$A$501,H488,Bank_Rates!$B$2:$B$501,"&lt;="&amp;C488),IF(n=0,"",LET(t,MAXIFS(Bank_Rates!$B$2:$B$501,Bank_Rates!$A$2:$A$501,H488,Bank_Rates!$B$2:$B$501,"&lt;="&amp;C488),m,COUNTIFS(Bank_Rates!$A$2:$A$501,H488,Bank_Rates!$B$2:$B$501,t,Bank_Rates!$D$2:$D$501,"&lt;="&amp;G488),IF(m=0,"",LET(d,MAXIFS(Bank_Rates!$D$2:$D$501,Bank_Rates!$A$2:$A$501,H488,Bank_Rates!$B$2:$B$501,t,Bank_Rates!$D$2:$D$501,"&lt;="&amp;G488),SUMIFS(Bank_Rates!$C$2:$C$501,Bank_Rates!$A$2:$A$501,H488,Bank_Rates!$B$2:$B$501,t,Bank_Rates!$D$2:$D$501,d)))))))</f>
        <v/>
      </c>
      <c r="K488" s="6" t="str">
        <f t="shared" si="14"/>
        <v/>
      </c>
    </row>
    <row r="489" spans="1:11">
      <c r="A489" s="18" t="str">
        <f t="shared" si="15"/>
        <v/>
      </c>
      <c r="B489" s="13"/>
      <c r="C489" s="14"/>
      <c r="D489" s="3"/>
      <c r="E489" s="3"/>
      <c r="F489" s="14"/>
      <c r="G489" s="7">
        <f>RawObservationsTable[[#This Row],[Maturity Date]]-RawObservationsTable[[#This Row],[Timestamp]]</f>
        <v>0</v>
      </c>
      <c r="H489" s="2"/>
      <c r="I489" s="4"/>
      <c r="J489" s="5" t="str">
        <f>IF(OR(H489="",G489="",C489=""),"",LET(n,COUNTIFS(Bank_Rates!$A$2:$A$501,H489,Bank_Rates!$B$2:$B$501,"&lt;="&amp;C489),IF(n=0,"",LET(t,MAXIFS(Bank_Rates!$B$2:$B$501,Bank_Rates!$A$2:$A$501,H489,Bank_Rates!$B$2:$B$501,"&lt;="&amp;C489),m,COUNTIFS(Bank_Rates!$A$2:$A$501,H489,Bank_Rates!$B$2:$B$501,t,Bank_Rates!$D$2:$D$501,"&lt;="&amp;G489),IF(m=0,"",LET(d,MAXIFS(Bank_Rates!$D$2:$D$501,Bank_Rates!$A$2:$A$501,H489,Bank_Rates!$B$2:$B$501,t,Bank_Rates!$D$2:$D$501,"&lt;="&amp;G489),SUMIFS(Bank_Rates!$C$2:$C$501,Bank_Rates!$A$2:$A$501,H489,Bank_Rates!$B$2:$B$501,t,Bank_Rates!$D$2:$D$501,d)))))))</f>
        <v/>
      </c>
      <c r="K489" s="6" t="str">
        <f t="shared" si="14"/>
        <v/>
      </c>
    </row>
    <row r="490" spans="1:11">
      <c r="A490" s="18" t="str">
        <f t="shared" si="15"/>
        <v/>
      </c>
      <c r="B490" s="13"/>
      <c r="C490" s="14"/>
      <c r="D490" s="3"/>
      <c r="E490" s="3"/>
      <c r="F490" s="14"/>
      <c r="G490" s="7">
        <f>RawObservationsTable[[#This Row],[Maturity Date]]-RawObservationsTable[[#This Row],[Timestamp]]</f>
        <v>0</v>
      </c>
      <c r="H490" s="2"/>
      <c r="I490" s="4"/>
      <c r="J490" s="5" t="str">
        <f>IF(OR(H490="",G490="",C490=""),"",LET(n,COUNTIFS(Bank_Rates!$A$2:$A$501,H490,Bank_Rates!$B$2:$B$501,"&lt;="&amp;C490),IF(n=0,"",LET(t,MAXIFS(Bank_Rates!$B$2:$B$501,Bank_Rates!$A$2:$A$501,H490,Bank_Rates!$B$2:$B$501,"&lt;="&amp;C490),m,COUNTIFS(Bank_Rates!$A$2:$A$501,H490,Bank_Rates!$B$2:$B$501,t,Bank_Rates!$D$2:$D$501,"&lt;="&amp;G490),IF(m=0,"",LET(d,MAXIFS(Bank_Rates!$D$2:$D$501,Bank_Rates!$A$2:$A$501,H490,Bank_Rates!$B$2:$B$501,t,Bank_Rates!$D$2:$D$501,"&lt;="&amp;G490),SUMIFS(Bank_Rates!$C$2:$C$501,Bank_Rates!$A$2:$A$501,H490,Bank_Rates!$B$2:$B$501,t,Bank_Rates!$D$2:$D$501,d)))))))</f>
        <v/>
      </c>
      <c r="K490" s="6" t="str">
        <f t="shared" si="14"/>
        <v/>
      </c>
    </row>
    <row r="491" spans="1:11">
      <c r="A491" s="18" t="str">
        <f t="shared" si="15"/>
        <v/>
      </c>
      <c r="B491" s="13"/>
      <c r="C491" s="14"/>
      <c r="D491" s="3"/>
      <c r="E491" s="3"/>
      <c r="F491" s="14"/>
      <c r="G491" s="7">
        <f>RawObservationsTable[[#This Row],[Maturity Date]]-RawObservationsTable[[#This Row],[Timestamp]]</f>
        <v>0</v>
      </c>
      <c r="H491" s="2"/>
      <c r="I491" s="4"/>
      <c r="J491" s="5" t="str">
        <f>IF(OR(H491="",G491="",C491=""),"",LET(n,COUNTIFS(Bank_Rates!$A$2:$A$501,H491,Bank_Rates!$B$2:$B$501,"&lt;="&amp;C491),IF(n=0,"",LET(t,MAXIFS(Bank_Rates!$B$2:$B$501,Bank_Rates!$A$2:$A$501,H491,Bank_Rates!$B$2:$B$501,"&lt;="&amp;C491),m,COUNTIFS(Bank_Rates!$A$2:$A$501,H491,Bank_Rates!$B$2:$B$501,t,Bank_Rates!$D$2:$D$501,"&lt;="&amp;G491),IF(m=0,"",LET(d,MAXIFS(Bank_Rates!$D$2:$D$501,Bank_Rates!$A$2:$A$501,H491,Bank_Rates!$B$2:$B$501,t,Bank_Rates!$D$2:$D$501,"&lt;="&amp;G491),SUMIFS(Bank_Rates!$C$2:$C$501,Bank_Rates!$A$2:$A$501,H491,Bank_Rates!$B$2:$B$501,t,Bank_Rates!$D$2:$D$501,d)))))))</f>
        <v/>
      </c>
      <c r="K491" s="6" t="str">
        <f t="shared" si="14"/>
        <v/>
      </c>
    </row>
    <row r="492" spans="1:11">
      <c r="A492" s="18" t="str">
        <f t="shared" si="15"/>
        <v/>
      </c>
      <c r="B492" s="13"/>
      <c r="C492" s="14"/>
      <c r="D492" s="3"/>
      <c r="E492" s="3"/>
      <c r="F492" s="14"/>
      <c r="G492" s="7">
        <f>RawObservationsTable[[#This Row],[Maturity Date]]-RawObservationsTable[[#This Row],[Timestamp]]</f>
        <v>0</v>
      </c>
      <c r="H492" s="2"/>
      <c r="I492" s="4"/>
      <c r="J492" s="5" t="str">
        <f>IF(OR(H492="",G492="",C492=""),"",LET(n,COUNTIFS(Bank_Rates!$A$2:$A$501,H492,Bank_Rates!$B$2:$B$501,"&lt;="&amp;C492),IF(n=0,"",LET(t,MAXIFS(Bank_Rates!$B$2:$B$501,Bank_Rates!$A$2:$A$501,H492,Bank_Rates!$B$2:$B$501,"&lt;="&amp;C492),m,COUNTIFS(Bank_Rates!$A$2:$A$501,H492,Bank_Rates!$B$2:$B$501,t,Bank_Rates!$D$2:$D$501,"&lt;="&amp;G492),IF(m=0,"",LET(d,MAXIFS(Bank_Rates!$D$2:$D$501,Bank_Rates!$A$2:$A$501,H492,Bank_Rates!$B$2:$B$501,t,Bank_Rates!$D$2:$D$501,"&lt;="&amp;G492),SUMIFS(Bank_Rates!$C$2:$C$501,Bank_Rates!$A$2:$A$501,H492,Bank_Rates!$B$2:$B$501,t,Bank_Rates!$D$2:$D$501,d)))))))</f>
        <v/>
      </c>
      <c r="K492" s="6" t="str">
        <f t="shared" si="14"/>
        <v/>
      </c>
    </row>
    <row r="493" spans="1:11">
      <c r="A493" s="18" t="str">
        <f t="shared" si="15"/>
        <v/>
      </c>
      <c r="B493" s="13"/>
      <c r="C493" s="14"/>
      <c r="D493" s="3"/>
      <c r="E493" s="3"/>
      <c r="F493" s="14"/>
      <c r="G493" s="7">
        <f>RawObservationsTable[[#This Row],[Maturity Date]]-RawObservationsTable[[#This Row],[Timestamp]]</f>
        <v>0</v>
      </c>
      <c r="H493" s="2"/>
      <c r="I493" s="4"/>
      <c r="J493" s="5" t="str">
        <f>IF(OR(H493="",G493="",C493=""),"",LET(n,COUNTIFS(Bank_Rates!$A$2:$A$501,H493,Bank_Rates!$B$2:$B$501,"&lt;="&amp;C493),IF(n=0,"",LET(t,MAXIFS(Bank_Rates!$B$2:$B$501,Bank_Rates!$A$2:$A$501,H493,Bank_Rates!$B$2:$B$501,"&lt;="&amp;C493),m,COUNTIFS(Bank_Rates!$A$2:$A$501,H493,Bank_Rates!$B$2:$B$501,t,Bank_Rates!$D$2:$D$501,"&lt;="&amp;G493),IF(m=0,"",LET(d,MAXIFS(Bank_Rates!$D$2:$D$501,Bank_Rates!$A$2:$A$501,H493,Bank_Rates!$B$2:$B$501,t,Bank_Rates!$D$2:$D$501,"&lt;="&amp;G493),SUMIFS(Bank_Rates!$C$2:$C$501,Bank_Rates!$A$2:$A$501,H493,Bank_Rates!$B$2:$B$501,t,Bank_Rates!$D$2:$D$501,d)))))))</f>
        <v/>
      </c>
      <c r="K493" s="6" t="str">
        <f t="shared" si="14"/>
        <v/>
      </c>
    </row>
    <row r="494" spans="1:11">
      <c r="A494" s="18" t="str">
        <f t="shared" si="15"/>
        <v/>
      </c>
      <c r="B494" s="13"/>
      <c r="C494" s="14"/>
      <c r="D494" s="3"/>
      <c r="E494" s="3"/>
      <c r="F494" s="14"/>
      <c r="G494" s="7">
        <f>RawObservationsTable[[#This Row],[Maturity Date]]-RawObservationsTable[[#This Row],[Timestamp]]</f>
        <v>0</v>
      </c>
      <c r="H494" s="2"/>
      <c r="I494" s="4"/>
      <c r="J494" s="5" t="str">
        <f>IF(OR(H494="",G494="",C494=""),"",LET(n,COUNTIFS(Bank_Rates!$A$2:$A$501,H494,Bank_Rates!$B$2:$B$501,"&lt;="&amp;C494),IF(n=0,"",LET(t,MAXIFS(Bank_Rates!$B$2:$B$501,Bank_Rates!$A$2:$A$501,H494,Bank_Rates!$B$2:$B$501,"&lt;="&amp;C494),m,COUNTIFS(Bank_Rates!$A$2:$A$501,H494,Bank_Rates!$B$2:$B$501,t,Bank_Rates!$D$2:$D$501,"&lt;="&amp;G494),IF(m=0,"",LET(d,MAXIFS(Bank_Rates!$D$2:$D$501,Bank_Rates!$A$2:$A$501,H494,Bank_Rates!$B$2:$B$501,t,Bank_Rates!$D$2:$D$501,"&lt;="&amp;G494),SUMIFS(Bank_Rates!$C$2:$C$501,Bank_Rates!$A$2:$A$501,H494,Bank_Rates!$B$2:$B$501,t,Bank_Rates!$D$2:$D$501,d)))))))</f>
        <v/>
      </c>
      <c r="K494" s="6" t="str">
        <f t="shared" si="14"/>
        <v/>
      </c>
    </row>
    <row r="495" spans="1:11">
      <c r="A495" s="18" t="str">
        <f t="shared" si="15"/>
        <v/>
      </c>
      <c r="B495" s="13"/>
      <c r="C495" s="14"/>
      <c r="D495" s="3"/>
      <c r="E495" s="3"/>
      <c r="F495" s="14"/>
      <c r="G495" s="7">
        <f>RawObservationsTable[[#This Row],[Maturity Date]]-RawObservationsTable[[#This Row],[Timestamp]]</f>
        <v>0</v>
      </c>
      <c r="H495" s="2"/>
      <c r="I495" s="4"/>
      <c r="J495" s="5" t="str">
        <f>IF(OR(H495="",G495="",C495=""),"",LET(n,COUNTIFS(Bank_Rates!$A$2:$A$501,H495,Bank_Rates!$B$2:$B$501,"&lt;="&amp;C495),IF(n=0,"",LET(t,MAXIFS(Bank_Rates!$B$2:$B$501,Bank_Rates!$A$2:$A$501,H495,Bank_Rates!$B$2:$B$501,"&lt;="&amp;C495),m,COUNTIFS(Bank_Rates!$A$2:$A$501,H495,Bank_Rates!$B$2:$B$501,t,Bank_Rates!$D$2:$D$501,"&lt;="&amp;G495),IF(m=0,"",LET(d,MAXIFS(Bank_Rates!$D$2:$D$501,Bank_Rates!$A$2:$A$501,H495,Bank_Rates!$B$2:$B$501,t,Bank_Rates!$D$2:$D$501,"&lt;="&amp;G495),SUMIFS(Bank_Rates!$C$2:$C$501,Bank_Rates!$A$2:$A$501,H495,Bank_Rates!$B$2:$B$501,t,Bank_Rates!$D$2:$D$501,d)))))))</f>
        <v/>
      </c>
      <c r="K495" s="6" t="str">
        <f t="shared" si="14"/>
        <v/>
      </c>
    </row>
    <row r="496" spans="1:11">
      <c r="A496" s="18" t="str">
        <f t="shared" si="15"/>
        <v/>
      </c>
      <c r="B496" s="13"/>
      <c r="C496" s="14"/>
      <c r="D496" s="3"/>
      <c r="E496" s="3"/>
      <c r="F496" s="14"/>
      <c r="G496" s="7">
        <f>RawObservationsTable[[#This Row],[Maturity Date]]-RawObservationsTable[[#This Row],[Timestamp]]</f>
        <v>0</v>
      </c>
      <c r="H496" s="2"/>
      <c r="I496" s="4"/>
      <c r="J496" s="5" t="str">
        <f>IF(OR(H496="",G496="",C496=""),"",LET(n,COUNTIFS(Bank_Rates!$A$2:$A$501,H496,Bank_Rates!$B$2:$B$501,"&lt;="&amp;C496),IF(n=0,"",LET(t,MAXIFS(Bank_Rates!$B$2:$B$501,Bank_Rates!$A$2:$A$501,H496,Bank_Rates!$B$2:$B$501,"&lt;="&amp;C496),m,COUNTIFS(Bank_Rates!$A$2:$A$501,H496,Bank_Rates!$B$2:$B$501,t,Bank_Rates!$D$2:$D$501,"&lt;="&amp;G496),IF(m=0,"",LET(d,MAXIFS(Bank_Rates!$D$2:$D$501,Bank_Rates!$A$2:$A$501,H496,Bank_Rates!$B$2:$B$501,t,Bank_Rates!$D$2:$D$501,"&lt;="&amp;G496),SUMIFS(Bank_Rates!$C$2:$C$501,Bank_Rates!$A$2:$A$501,H496,Bank_Rates!$B$2:$B$501,t,Bank_Rates!$D$2:$D$501,d)))))))</f>
        <v/>
      </c>
      <c r="K496" s="6" t="str">
        <f t="shared" si="14"/>
        <v/>
      </c>
    </row>
    <row r="497" spans="1:11">
      <c r="A497" s="18" t="str">
        <f t="shared" si="15"/>
        <v/>
      </c>
      <c r="B497" s="13"/>
      <c r="C497" s="14"/>
      <c r="D497" s="3"/>
      <c r="E497" s="3"/>
      <c r="F497" s="14"/>
      <c r="G497" s="7">
        <f>RawObservationsTable[[#This Row],[Maturity Date]]-RawObservationsTable[[#This Row],[Timestamp]]</f>
        <v>0</v>
      </c>
      <c r="H497" s="2"/>
      <c r="I497" s="4"/>
      <c r="J497" s="5" t="str">
        <f>IF(OR(H497="",G497="",C497=""),"",LET(n,COUNTIFS(Bank_Rates!$A$2:$A$501,H497,Bank_Rates!$B$2:$B$501,"&lt;="&amp;C497),IF(n=0,"",LET(t,MAXIFS(Bank_Rates!$B$2:$B$501,Bank_Rates!$A$2:$A$501,H497,Bank_Rates!$B$2:$B$501,"&lt;="&amp;C497),m,COUNTIFS(Bank_Rates!$A$2:$A$501,H497,Bank_Rates!$B$2:$B$501,t,Bank_Rates!$D$2:$D$501,"&lt;="&amp;G497),IF(m=0,"",LET(d,MAXIFS(Bank_Rates!$D$2:$D$501,Bank_Rates!$A$2:$A$501,H497,Bank_Rates!$B$2:$B$501,t,Bank_Rates!$D$2:$D$501,"&lt;="&amp;G497),SUMIFS(Bank_Rates!$C$2:$C$501,Bank_Rates!$A$2:$A$501,H497,Bank_Rates!$B$2:$B$501,t,Bank_Rates!$D$2:$D$501,d)))))))</f>
        <v/>
      </c>
      <c r="K497" s="6" t="str">
        <f t="shared" si="14"/>
        <v/>
      </c>
    </row>
    <row r="498" spans="1:11">
      <c r="A498" s="18" t="str">
        <f t="shared" si="15"/>
        <v/>
      </c>
      <c r="B498" s="13"/>
      <c r="C498" s="14"/>
      <c r="D498" s="3"/>
      <c r="E498" s="3"/>
      <c r="F498" s="14"/>
      <c r="G498" s="7">
        <f>RawObservationsTable[[#This Row],[Maturity Date]]-RawObservationsTable[[#This Row],[Timestamp]]</f>
        <v>0</v>
      </c>
      <c r="H498" s="2"/>
      <c r="I498" s="4"/>
      <c r="J498" s="5" t="str">
        <f>IF(OR(H498="",G498="",C498=""),"",LET(n,COUNTIFS(Bank_Rates!$A$2:$A$501,H498,Bank_Rates!$B$2:$B$501,"&lt;="&amp;C498),IF(n=0,"",LET(t,MAXIFS(Bank_Rates!$B$2:$B$501,Bank_Rates!$A$2:$A$501,H498,Bank_Rates!$B$2:$B$501,"&lt;="&amp;C498),m,COUNTIFS(Bank_Rates!$A$2:$A$501,H498,Bank_Rates!$B$2:$B$501,t,Bank_Rates!$D$2:$D$501,"&lt;="&amp;G498),IF(m=0,"",LET(d,MAXIFS(Bank_Rates!$D$2:$D$501,Bank_Rates!$A$2:$A$501,H498,Bank_Rates!$B$2:$B$501,t,Bank_Rates!$D$2:$D$501,"&lt;="&amp;G498),SUMIFS(Bank_Rates!$C$2:$C$501,Bank_Rates!$A$2:$A$501,H498,Bank_Rates!$B$2:$B$501,t,Bank_Rates!$D$2:$D$501,d)))))))</f>
        <v/>
      </c>
      <c r="K498" s="6" t="str">
        <f t="shared" si="14"/>
        <v/>
      </c>
    </row>
    <row r="499" spans="1:11">
      <c r="A499" s="18" t="str">
        <f t="shared" si="15"/>
        <v/>
      </c>
      <c r="B499" s="13"/>
      <c r="C499" s="14"/>
      <c r="D499" s="3"/>
      <c r="E499" s="3"/>
      <c r="F499" s="14"/>
      <c r="G499" s="7">
        <f>RawObservationsTable[[#This Row],[Maturity Date]]-RawObservationsTable[[#This Row],[Timestamp]]</f>
        <v>0</v>
      </c>
      <c r="H499" s="2"/>
      <c r="I499" s="4"/>
      <c r="J499" s="5" t="str">
        <f>IF(OR(H499="",G499="",C499=""),"",LET(n,COUNTIFS(Bank_Rates!$A$2:$A$501,H499,Bank_Rates!$B$2:$B$501,"&lt;="&amp;C499),IF(n=0,"",LET(t,MAXIFS(Bank_Rates!$B$2:$B$501,Bank_Rates!$A$2:$A$501,H499,Bank_Rates!$B$2:$B$501,"&lt;="&amp;C499),m,COUNTIFS(Bank_Rates!$A$2:$A$501,H499,Bank_Rates!$B$2:$B$501,t,Bank_Rates!$D$2:$D$501,"&lt;="&amp;G499),IF(m=0,"",LET(d,MAXIFS(Bank_Rates!$D$2:$D$501,Bank_Rates!$A$2:$A$501,H499,Bank_Rates!$B$2:$B$501,t,Bank_Rates!$D$2:$D$501,"&lt;="&amp;G499),SUMIFS(Bank_Rates!$C$2:$C$501,Bank_Rates!$A$2:$A$501,H499,Bank_Rates!$B$2:$B$501,t,Bank_Rates!$D$2:$D$501,d)))))))</f>
        <v/>
      </c>
      <c r="K499" s="6" t="str">
        <f t="shared" si="14"/>
        <v/>
      </c>
    </row>
    <row r="500" spans="1:11">
      <c r="A500" s="18" t="str">
        <f t="shared" si="15"/>
        <v/>
      </c>
      <c r="B500" s="13"/>
      <c r="C500" s="14"/>
      <c r="D500" s="3"/>
      <c r="E500" s="3"/>
      <c r="F500" s="14"/>
      <c r="G500" s="7">
        <f>RawObservationsTable[[#This Row],[Maturity Date]]-RawObservationsTable[[#This Row],[Timestamp]]</f>
        <v>0</v>
      </c>
      <c r="H500" s="2"/>
      <c r="I500" s="4"/>
      <c r="J500" s="5" t="str">
        <f>IF(OR(H500="",G500="",C500=""),"",LET(n,COUNTIFS(Bank_Rates!$A$2:$A$501,H500,Bank_Rates!$B$2:$B$501,"&lt;="&amp;C500),IF(n=0,"",LET(t,MAXIFS(Bank_Rates!$B$2:$B$501,Bank_Rates!$A$2:$A$501,H500,Bank_Rates!$B$2:$B$501,"&lt;="&amp;C500),m,COUNTIFS(Bank_Rates!$A$2:$A$501,H500,Bank_Rates!$B$2:$B$501,t,Bank_Rates!$D$2:$D$501,"&lt;="&amp;G500),IF(m=0,"",LET(d,MAXIFS(Bank_Rates!$D$2:$D$501,Bank_Rates!$A$2:$A$501,H500,Bank_Rates!$B$2:$B$501,t,Bank_Rates!$D$2:$D$501,"&lt;="&amp;G500),SUMIFS(Bank_Rates!$C$2:$C$501,Bank_Rates!$A$2:$A$501,H500,Bank_Rates!$B$2:$B$501,t,Bank_Rates!$D$2:$D$501,d)))))))</f>
        <v/>
      </c>
      <c r="K500" s="6" t="str">
        <f t="shared" si="14"/>
        <v/>
      </c>
    </row>
    <row r="501" spans="1:11">
      <c r="A501" s="18" t="str">
        <f t="shared" si="15"/>
        <v/>
      </c>
      <c r="B501" s="13"/>
      <c r="C501" s="14"/>
      <c r="D501" s="3"/>
      <c r="E501" s="3"/>
      <c r="F501" s="14"/>
      <c r="G501" s="7">
        <f>RawObservationsTable[[#This Row],[Maturity Date]]-RawObservationsTable[[#This Row],[Timestamp]]</f>
        <v>0</v>
      </c>
      <c r="H501" s="2"/>
      <c r="I501" s="4"/>
      <c r="J501" s="5" t="str">
        <f>IF(OR(H501="",G501="",C501=""),"",LET(n,COUNTIFS(Bank_Rates!$A$2:$A$501,H501,Bank_Rates!$B$2:$B$501,"&lt;="&amp;C501),IF(n=0,"",LET(t,MAXIFS(Bank_Rates!$B$2:$B$501,Bank_Rates!$A$2:$A$501,H501,Bank_Rates!$B$2:$B$501,"&lt;="&amp;C501),m,COUNTIFS(Bank_Rates!$A$2:$A$501,H501,Bank_Rates!$B$2:$B$501,t,Bank_Rates!$D$2:$D$501,"&lt;="&amp;G501),IF(m=0,"",LET(d,MAXIFS(Bank_Rates!$D$2:$D$501,Bank_Rates!$A$2:$A$501,H501,Bank_Rates!$B$2:$B$501,t,Bank_Rates!$D$2:$D$501,"&lt;="&amp;G501),SUMIFS(Bank_Rates!$C$2:$C$501,Bank_Rates!$A$2:$A$501,H501,Bank_Rates!$B$2:$B$501,t,Bank_Rates!$D$2:$D$501,d)))))))</f>
        <v/>
      </c>
      <c r="K501" s="6" t="str">
        <f t="shared" si="14"/>
        <v/>
      </c>
    </row>
    <row r="502" spans="1:11">
      <c r="A502" s="18" t="str">
        <f t="shared" si="15"/>
        <v/>
      </c>
      <c r="B502" s="13"/>
      <c r="C502" s="14"/>
      <c r="D502" s="3"/>
      <c r="E502" s="3"/>
      <c r="F502" s="14"/>
      <c r="G502" s="7">
        <f>RawObservationsTable[[#This Row],[Maturity Date]]-RawObservationsTable[[#This Row],[Timestamp]]</f>
        <v>0</v>
      </c>
      <c r="H502" s="2"/>
      <c r="I502" s="4"/>
      <c r="J502" s="5" t="str">
        <f>IF(OR(H502="",G502="",C502=""),"",LET(n,COUNTIFS(Bank_Rates!$A$2:$A$501,H502,Bank_Rates!$B$2:$B$501,"&lt;="&amp;C502),IF(n=0,"",LET(t,MAXIFS(Bank_Rates!$B$2:$B$501,Bank_Rates!$A$2:$A$501,H502,Bank_Rates!$B$2:$B$501,"&lt;="&amp;C502),m,COUNTIFS(Bank_Rates!$A$2:$A$501,H502,Bank_Rates!$B$2:$B$501,t,Bank_Rates!$D$2:$D$501,"&lt;="&amp;G502),IF(m=0,"",LET(d,MAXIFS(Bank_Rates!$D$2:$D$501,Bank_Rates!$A$2:$A$501,H502,Bank_Rates!$B$2:$B$501,t,Bank_Rates!$D$2:$D$501,"&lt;="&amp;G502),SUMIFS(Bank_Rates!$C$2:$C$501,Bank_Rates!$A$2:$A$501,H502,Bank_Rates!$B$2:$B$501,t,Bank_Rates!$D$2:$D$501,d)))))))</f>
        <v/>
      </c>
      <c r="K502" s="6" t="str">
        <f t="shared" si="14"/>
        <v/>
      </c>
    </row>
    <row r="503" spans="1:11">
      <c r="A503" s="18" t="str">
        <f t="shared" si="15"/>
        <v/>
      </c>
      <c r="B503" s="13"/>
      <c r="C503" s="14"/>
      <c r="D503" s="3"/>
      <c r="E503" s="3"/>
      <c r="F503" s="14"/>
      <c r="G503" s="7">
        <f>RawObservationsTable[[#This Row],[Maturity Date]]-RawObservationsTable[[#This Row],[Timestamp]]</f>
        <v>0</v>
      </c>
      <c r="H503" s="2"/>
      <c r="I503" s="4"/>
      <c r="J503" s="5" t="str">
        <f>IF(OR(H503="",G503="",C503=""),"",LET(n,COUNTIFS(Bank_Rates!$A$2:$A$501,H503,Bank_Rates!$B$2:$B$501,"&lt;="&amp;C503),IF(n=0,"",LET(t,MAXIFS(Bank_Rates!$B$2:$B$501,Bank_Rates!$A$2:$A$501,H503,Bank_Rates!$B$2:$B$501,"&lt;="&amp;C503),m,COUNTIFS(Bank_Rates!$A$2:$A$501,H503,Bank_Rates!$B$2:$B$501,t,Bank_Rates!$D$2:$D$501,"&lt;="&amp;G503),IF(m=0,"",LET(d,MAXIFS(Bank_Rates!$D$2:$D$501,Bank_Rates!$A$2:$A$501,H503,Bank_Rates!$B$2:$B$501,t,Bank_Rates!$D$2:$D$501,"&lt;="&amp;G503),SUMIFS(Bank_Rates!$C$2:$C$501,Bank_Rates!$A$2:$A$501,H503,Bank_Rates!$B$2:$B$501,t,Bank_Rates!$D$2:$D$501,d)))))))</f>
        <v/>
      </c>
      <c r="K503" s="6" t="str">
        <f t="shared" si="14"/>
        <v/>
      </c>
    </row>
    <row r="504" spans="1:11">
      <c r="A504" s="18" t="str">
        <f t="shared" si="15"/>
        <v/>
      </c>
      <c r="B504" s="13"/>
      <c r="C504" s="14"/>
      <c r="D504" s="3"/>
      <c r="E504" s="3"/>
      <c r="F504" s="14"/>
      <c r="G504" s="7">
        <f>RawObservationsTable[[#This Row],[Maturity Date]]-RawObservationsTable[[#This Row],[Timestamp]]</f>
        <v>0</v>
      </c>
      <c r="H504" s="2"/>
      <c r="I504" s="4"/>
      <c r="J504" s="5" t="str">
        <f>IF(OR(H504="",G504="",C504=""),"",LET(n,COUNTIFS(Bank_Rates!$A$2:$A$501,H504,Bank_Rates!$B$2:$B$501,"&lt;="&amp;C504),IF(n=0,"",LET(t,MAXIFS(Bank_Rates!$B$2:$B$501,Bank_Rates!$A$2:$A$501,H504,Bank_Rates!$B$2:$B$501,"&lt;="&amp;C504),m,COUNTIFS(Bank_Rates!$A$2:$A$501,H504,Bank_Rates!$B$2:$B$501,t,Bank_Rates!$D$2:$D$501,"&lt;="&amp;G504),IF(m=0,"",LET(d,MAXIFS(Bank_Rates!$D$2:$D$501,Bank_Rates!$A$2:$A$501,H504,Bank_Rates!$B$2:$B$501,t,Bank_Rates!$D$2:$D$501,"&lt;="&amp;G504),SUMIFS(Bank_Rates!$C$2:$C$501,Bank_Rates!$A$2:$A$501,H504,Bank_Rates!$B$2:$B$501,t,Bank_Rates!$D$2:$D$501,d)))))))</f>
        <v/>
      </c>
      <c r="K504" s="6" t="str">
        <f t="shared" si="14"/>
        <v/>
      </c>
    </row>
    <row r="505" spans="1:11">
      <c r="A505" s="18" t="str">
        <f t="shared" si="15"/>
        <v/>
      </c>
      <c r="B505" s="13"/>
      <c r="C505" s="14"/>
      <c r="D505" s="3"/>
      <c r="E505" s="3"/>
      <c r="F505" s="14"/>
      <c r="G505" s="7">
        <f>RawObservationsTable[[#This Row],[Maturity Date]]-RawObservationsTable[[#This Row],[Timestamp]]</f>
        <v>0</v>
      </c>
      <c r="H505" s="2"/>
      <c r="I505" s="4"/>
      <c r="J505" s="5" t="str">
        <f>IF(OR(H505="",G505="",C505=""),"",LET(n,COUNTIFS(Bank_Rates!$A$2:$A$501,H505,Bank_Rates!$B$2:$B$501,"&lt;="&amp;C505),IF(n=0,"",LET(t,MAXIFS(Bank_Rates!$B$2:$B$501,Bank_Rates!$A$2:$A$501,H505,Bank_Rates!$B$2:$B$501,"&lt;="&amp;C505),m,COUNTIFS(Bank_Rates!$A$2:$A$501,H505,Bank_Rates!$B$2:$B$501,t,Bank_Rates!$D$2:$D$501,"&lt;="&amp;G505),IF(m=0,"",LET(d,MAXIFS(Bank_Rates!$D$2:$D$501,Bank_Rates!$A$2:$A$501,H505,Bank_Rates!$B$2:$B$501,t,Bank_Rates!$D$2:$D$501,"&lt;="&amp;G505),SUMIFS(Bank_Rates!$C$2:$C$501,Bank_Rates!$A$2:$A$501,H505,Bank_Rates!$B$2:$B$501,t,Bank_Rates!$D$2:$D$501,d)))))))</f>
        <v/>
      </c>
      <c r="K505" s="6" t="str">
        <f t="shared" si="14"/>
        <v/>
      </c>
    </row>
    <row r="506" spans="1:11">
      <c r="A506" s="18" t="str">
        <f t="shared" si="15"/>
        <v/>
      </c>
      <c r="B506" s="13"/>
      <c r="C506" s="14"/>
      <c r="D506" s="3"/>
      <c r="E506" s="3"/>
      <c r="F506" s="14"/>
      <c r="G506" s="7">
        <f>RawObservationsTable[[#This Row],[Maturity Date]]-RawObservationsTable[[#This Row],[Timestamp]]</f>
        <v>0</v>
      </c>
      <c r="H506" s="2"/>
      <c r="I506" s="4"/>
      <c r="J506" s="5" t="str">
        <f>IF(OR(H506="",G506="",C506=""),"",LET(n,COUNTIFS(Bank_Rates!$A$2:$A$501,H506,Bank_Rates!$B$2:$B$501,"&lt;="&amp;C506),IF(n=0,"",LET(t,MAXIFS(Bank_Rates!$B$2:$B$501,Bank_Rates!$A$2:$A$501,H506,Bank_Rates!$B$2:$B$501,"&lt;="&amp;C506),m,COUNTIFS(Bank_Rates!$A$2:$A$501,H506,Bank_Rates!$B$2:$B$501,t,Bank_Rates!$D$2:$D$501,"&lt;="&amp;G506),IF(m=0,"",LET(d,MAXIFS(Bank_Rates!$D$2:$D$501,Bank_Rates!$A$2:$A$501,H506,Bank_Rates!$B$2:$B$501,t,Bank_Rates!$D$2:$D$501,"&lt;="&amp;G506),SUMIFS(Bank_Rates!$C$2:$C$501,Bank_Rates!$A$2:$A$501,H506,Bank_Rates!$B$2:$B$501,t,Bank_Rates!$D$2:$D$501,d)))))))</f>
        <v/>
      </c>
      <c r="K506" s="6" t="str">
        <f t="shared" si="14"/>
        <v/>
      </c>
    </row>
    <row r="507" spans="1:11">
      <c r="A507" s="18" t="str">
        <f t="shared" si="15"/>
        <v/>
      </c>
      <c r="B507" s="13"/>
      <c r="C507" s="14"/>
      <c r="D507" s="3"/>
      <c r="E507" s="3"/>
      <c r="F507" s="14"/>
      <c r="G507" s="7">
        <f>RawObservationsTable[[#This Row],[Maturity Date]]-RawObservationsTable[[#This Row],[Timestamp]]</f>
        <v>0</v>
      </c>
      <c r="H507" s="2"/>
      <c r="I507" s="4"/>
      <c r="J507" s="5" t="str">
        <f>IF(OR(H507="",G507="",C507=""),"",LET(n,COUNTIFS(Bank_Rates!$A$2:$A$501,H507,Bank_Rates!$B$2:$B$501,"&lt;="&amp;C507),IF(n=0,"",LET(t,MAXIFS(Bank_Rates!$B$2:$B$501,Bank_Rates!$A$2:$A$501,H507,Bank_Rates!$B$2:$B$501,"&lt;="&amp;C507),m,COUNTIFS(Bank_Rates!$A$2:$A$501,H507,Bank_Rates!$B$2:$B$501,t,Bank_Rates!$D$2:$D$501,"&lt;="&amp;G507),IF(m=0,"",LET(d,MAXIFS(Bank_Rates!$D$2:$D$501,Bank_Rates!$A$2:$A$501,H507,Bank_Rates!$B$2:$B$501,t,Bank_Rates!$D$2:$D$501,"&lt;="&amp;G507),SUMIFS(Bank_Rates!$C$2:$C$501,Bank_Rates!$A$2:$A$501,H507,Bank_Rates!$B$2:$B$501,t,Bank_Rates!$D$2:$D$501,d)))))))</f>
        <v/>
      </c>
      <c r="K507" s="6" t="str">
        <f t="shared" si="14"/>
        <v/>
      </c>
    </row>
    <row r="508" spans="1:11">
      <c r="A508" s="18" t="str">
        <f t="shared" si="15"/>
        <v/>
      </c>
      <c r="B508" s="13"/>
      <c r="C508" s="14"/>
      <c r="D508" s="3"/>
      <c r="E508" s="3"/>
      <c r="F508" s="14"/>
      <c r="G508" s="7">
        <f>RawObservationsTable[[#This Row],[Maturity Date]]-RawObservationsTable[[#This Row],[Timestamp]]</f>
        <v>0</v>
      </c>
      <c r="H508" s="2"/>
      <c r="I508" s="4"/>
      <c r="J508" s="5" t="str">
        <f>IF(OR(H508="",G508="",C508=""),"",LET(n,COUNTIFS(Bank_Rates!$A$2:$A$501,H508,Bank_Rates!$B$2:$B$501,"&lt;="&amp;C508),IF(n=0,"",LET(t,MAXIFS(Bank_Rates!$B$2:$B$501,Bank_Rates!$A$2:$A$501,H508,Bank_Rates!$B$2:$B$501,"&lt;="&amp;C508),m,COUNTIFS(Bank_Rates!$A$2:$A$501,H508,Bank_Rates!$B$2:$B$501,t,Bank_Rates!$D$2:$D$501,"&lt;="&amp;G508),IF(m=0,"",LET(d,MAXIFS(Bank_Rates!$D$2:$D$501,Bank_Rates!$A$2:$A$501,H508,Bank_Rates!$B$2:$B$501,t,Bank_Rates!$D$2:$D$501,"&lt;="&amp;G508),SUMIFS(Bank_Rates!$C$2:$C$501,Bank_Rates!$A$2:$A$501,H508,Bank_Rates!$B$2:$B$501,t,Bank_Rates!$D$2:$D$501,d)))))))</f>
        <v/>
      </c>
      <c r="K508" s="6" t="str">
        <f t="shared" si="14"/>
        <v/>
      </c>
    </row>
    <row r="509" spans="1:11">
      <c r="A509" s="18" t="str">
        <f t="shared" si="15"/>
        <v/>
      </c>
      <c r="B509" s="13"/>
      <c r="C509" s="14"/>
      <c r="D509" s="3"/>
      <c r="E509" s="3"/>
      <c r="F509" s="14"/>
      <c r="G509" s="7">
        <f>RawObservationsTable[[#This Row],[Maturity Date]]-RawObservationsTable[[#This Row],[Timestamp]]</f>
        <v>0</v>
      </c>
      <c r="H509" s="2"/>
      <c r="I509" s="4"/>
      <c r="J509" s="5" t="str">
        <f>IF(OR(H509="",G509="",C509=""),"",LET(n,COUNTIFS(Bank_Rates!$A$2:$A$501,H509,Bank_Rates!$B$2:$B$501,"&lt;="&amp;C509),IF(n=0,"",LET(t,MAXIFS(Bank_Rates!$B$2:$B$501,Bank_Rates!$A$2:$A$501,H509,Bank_Rates!$B$2:$B$501,"&lt;="&amp;C509),m,COUNTIFS(Bank_Rates!$A$2:$A$501,H509,Bank_Rates!$B$2:$B$501,t,Bank_Rates!$D$2:$D$501,"&lt;="&amp;G509),IF(m=0,"",LET(d,MAXIFS(Bank_Rates!$D$2:$D$501,Bank_Rates!$A$2:$A$501,H509,Bank_Rates!$B$2:$B$501,t,Bank_Rates!$D$2:$D$501,"&lt;="&amp;G509),SUMIFS(Bank_Rates!$C$2:$C$501,Bank_Rates!$A$2:$A$501,H509,Bank_Rates!$B$2:$B$501,t,Bank_Rates!$D$2:$D$501,d)))))))</f>
        <v/>
      </c>
      <c r="K509" s="6" t="str">
        <f t="shared" si="14"/>
        <v/>
      </c>
    </row>
    <row r="510" spans="1:11">
      <c r="A510" s="18" t="str">
        <f t="shared" si="15"/>
        <v/>
      </c>
      <c r="B510" s="13"/>
      <c r="C510" s="14"/>
      <c r="D510" s="3"/>
      <c r="E510" s="3"/>
      <c r="F510" s="14"/>
      <c r="G510" s="7">
        <f>RawObservationsTable[[#This Row],[Maturity Date]]-RawObservationsTable[[#This Row],[Timestamp]]</f>
        <v>0</v>
      </c>
      <c r="H510" s="2"/>
      <c r="I510" s="4"/>
      <c r="J510" s="5" t="str">
        <f>IF(OR(H510="",G510="",C510=""),"",LET(n,COUNTIFS(Bank_Rates!$A$2:$A$501,H510,Bank_Rates!$B$2:$B$501,"&lt;="&amp;C510),IF(n=0,"",LET(t,MAXIFS(Bank_Rates!$B$2:$B$501,Bank_Rates!$A$2:$A$501,H510,Bank_Rates!$B$2:$B$501,"&lt;="&amp;C510),m,COUNTIFS(Bank_Rates!$A$2:$A$501,H510,Bank_Rates!$B$2:$B$501,t,Bank_Rates!$D$2:$D$501,"&lt;="&amp;G510),IF(m=0,"",LET(d,MAXIFS(Bank_Rates!$D$2:$D$501,Bank_Rates!$A$2:$A$501,H510,Bank_Rates!$B$2:$B$501,t,Bank_Rates!$D$2:$D$501,"&lt;="&amp;G510),SUMIFS(Bank_Rates!$C$2:$C$501,Bank_Rates!$A$2:$A$501,H510,Bank_Rates!$B$2:$B$501,t,Bank_Rates!$D$2:$D$501,d)))))))</f>
        <v/>
      </c>
      <c r="K510" s="6" t="str">
        <f t="shared" si="14"/>
        <v/>
      </c>
    </row>
    <row r="511" spans="1:11">
      <c r="A511" s="18" t="str">
        <f t="shared" si="15"/>
        <v/>
      </c>
      <c r="B511" s="13"/>
      <c r="C511" s="14"/>
      <c r="D511" s="3"/>
      <c r="E511" s="3"/>
      <c r="F511" s="14"/>
      <c r="G511" s="7">
        <f>RawObservationsTable[[#This Row],[Maturity Date]]-RawObservationsTable[[#This Row],[Timestamp]]</f>
        <v>0</v>
      </c>
      <c r="H511" s="2"/>
      <c r="I511" s="4"/>
      <c r="J511" s="5" t="str">
        <f>IF(OR(H511="",G511="",C511=""),"",LET(n,COUNTIFS(Bank_Rates!$A$2:$A$501,H511,Bank_Rates!$B$2:$B$501,"&lt;="&amp;C511),IF(n=0,"",LET(t,MAXIFS(Bank_Rates!$B$2:$B$501,Bank_Rates!$A$2:$A$501,H511,Bank_Rates!$B$2:$B$501,"&lt;="&amp;C511),m,COUNTIFS(Bank_Rates!$A$2:$A$501,H511,Bank_Rates!$B$2:$B$501,t,Bank_Rates!$D$2:$D$501,"&lt;="&amp;G511),IF(m=0,"",LET(d,MAXIFS(Bank_Rates!$D$2:$D$501,Bank_Rates!$A$2:$A$501,H511,Bank_Rates!$B$2:$B$501,t,Bank_Rates!$D$2:$D$501,"&lt;="&amp;G511),SUMIFS(Bank_Rates!$C$2:$C$501,Bank_Rates!$A$2:$A$501,H511,Bank_Rates!$B$2:$B$501,t,Bank_Rates!$D$2:$D$501,d)))))))</f>
        <v/>
      </c>
      <c r="K511" s="6" t="str">
        <f t="shared" si="14"/>
        <v/>
      </c>
    </row>
    <row r="512" spans="1:11">
      <c r="A512" s="18" t="str">
        <f t="shared" si="15"/>
        <v/>
      </c>
      <c r="B512" s="13"/>
      <c r="C512" s="14"/>
      <c r="D512" s="3"/>
      <c r="E512" s="3"/>
      <c r="F512" s="14"/>
      <c r="G512" s="7">
        <f>RawObservationsTable[[#This Row],[Maturity Date]]-RawObservationsTable[[#This Row],[Timestamp]]</f>
        <v>0</v>
      </c>
      <c r="H512" s="2"/>
      <c r="I512" s="4"/>
      <c r="J512" s="5" t="str">
        <f>IF(OR(H512="",G512="",C512=""),"",LET(n,COUNTIFS(Bank_Rates!$A$2:$A$501,H512,Bank_Rates!$B$2:$B$501,"&lt;="&amp;C512),IF(n=0,"",LET(t,MAXIFS(Bank_Rates!$B$2:$B$501,Bank_Rates!$A$2:$A$501,H512,Bank_Rates!$B$2:$B$501,"&lt;="&amp;C512),m,COUNTIFS(Bank_Rates!$A$2:$A$501,H512,Bank_Rates!$B$2:$B$501,t,Bank_Rates!$D$2:$D$501,"&lt;="&amp;G512),IF(m=0,"",LET(d,MAXIFS(Bank_Rates!$D$2:$D$501,Bank_Rates!$A$2:$A$501,H512,Bank_Rates!$B$2:$B$501,t,Bank_Rates!$D$2:$D$501,"&lt;="&amp;G512),SUMIFS(Bank_Rates!$C$2:$C$501,Bank_Rates!$A$2:$A$501,H512,Bank_Rates!$B$2:$B$501,t,Bank_Rates!$D$2:$D$501,d)))))))</f>
        <v/>
      </c>
      <c r="K512" s="6" t="str">
        <f t="shared" si="14"/>
        <v/>
      </c>
    </row>
    <row r="513" spans="1:11">
      <c r="A513" s="18" t="str">
        <f t="shared" si="15"/>
        <v/>
      </c>
      <c r="B513" s="13"/>
      <c r="C513" s="14"/>
      <c r="D513" s="3"/>
      <c r="E513" s="3"/>
      <c r="F513" s="14"/>
      <c r="G513" s="7">
        <f>RawObservationsTable[[#This Row],[Maturity Date]]-RawObservationsTable[[#This Row],[Timestamp]]</f>
        <v>0</v>
      </c>
      <c r="H513" s="2"/>
      <c r="I513" s="4"/>
      <c r="J513" s="5" t="str">
        <f>IF(OR(H513="",G513="",C513=""),"",LET(n,COUNTIFS(Bank_Rates!$A$2:$A$501,H513,Bank_Rates!$B$2:$B$501,"&lt;="&amp;C513),IF(n=0,"",LET(t,MAXIFS(Bank_Rates!$B$2:$B$501,Bank_Rates!$A$2:$A$501,H513,Bank_Rates!$B$2:$B$501,"&lt;="&amp;C513),m,COUNTIFS(Bank_Rates!$A$2:$A$501,H513,Bank_Rates!$B$2:$B$501,t,Bank_Rates!$D$2:$D$501,"&lt;="&amp;G513),IF(m=0,"",LET(d,MAXIFS(Bank_Rates!$D$2:$D$501,Bank_Rates!$A$2:$A$501,H513,Bank_Rates!$B$2:$B$501,t,Bank_Rates!$D$2:$D$501,"&lt;="&amp;G513),SUMIFS(Bank_Rates!$C$2:$C$501,Bank_Rates!$A$2:$A$501,H513,Bank_Rates!$B$2:$B$501,t,Bank_Rates!$D$2:$D$501,d)))))))</f>
        <v/>
      </c>
      <c r="K513" s="6" t="str">
        <f t="shared" si="14"/>
        <v/>
      </c>
    </row>
    <row r="514" spans="1:11">
      <c r="A514" s="18" t="str">
        <f t="shared" si="15"/>
        <v/>
      </c>
      <c r="B514" s="13"/>
      <c r="C514" s="14"/>
      <c r="D514" s="3"/>
      <c r="E514" s="3"/>
      <c r="F514" s="14"/>
      <c r="G514" s="7">
        <f>RawObservationsTable[[#This Row],[Maturity Date]]-RawObservationsTable[[#This Row],[Timestamp]]</f>
        <v>0</v>
      </c>
      <c r="H514" s="2"/>
      <c r="I514" s="4"/>
      <c r="J514" s="5" t="str">
        <f>IF(OR(H514="",G514="",C514=""),"",LET(n,COUNTIFS(Bank_Rates!$A$2:$A$501,H514,Bank_Rates!$B$2:$B$501,"&lt;="&amp;C514),IF(n=0,"",LET(t,MAXIFS(Bank_Rates!$B$2:$B$501,Bank_Rates!$A$2:$A$501,H514,Bank_Rates!$B$2:$B$501,"&lt;="&amp;C514),m,COUNTIFS(Bank_Rates!$A$2:$A$501,H514,Bank_Rates!$B$2:$B$501,t,Bank_Rates!$D$2:$D$501,"&lt;="&amp;G514),IF(m=0,"",LET(d,MAXIFS(Bank_Rates!$D$2:$D$501,Bank_Rates!$A$2:$A$501,H514,Bank_Rates!$B$2:$B$501,t,Bank_Rates!$D$2:$D$501,"&lt;="&amp;G514),SUMIFS(Bank_Rates!$C$2:$C$501,Bank_Rates!$A$2:$A$501,H514,Bank_Rates!$B$2:$B$501,t,Bank_Rates!$D$2:$D$501,d)))))))</f>
        <v/>
      </c>
      <c r="K514" s="6" t="str">
        <f t="shared" ref="K514:K577" si="16">IF(OR(I514="",J514=""),"",I514-J514)</f>
        <v/>
      </c>
    </row>
    <row r="515" spans="1:11">
      <c r="A515" s="18" t="str">
        <f t="shared" ref="A515:A578" si="17">IF(B515&lt;&gt;"","L-"&amp;TEXT(ROW()-1,"0000"),"")</f>
        <v/>
      </c>
      <c r="B515" s="13"/>
      <c r="C515" s="14"/>
      <c r="D515" s="3"/>
      <c r="E515" s="3"/>
      <c r="F515" s="14"/>
      <c r="G515" s="7">
        <f>RawObservationsTable[[#This Row],[Maturity Date]]-RawObservationsTable[[#This Row],[Timestamp]]</f>
        <v>0</v>
      </c>
      <c r="H515" s="2"/>
      <c r="I515" s="4"/>
      <c r="J515" s="5" t="str">
        <f>IF(OR(H515="",G515="",C515=""),"",LET(n,COUNTIFS(Bank_Rates!$A$2:$A$501,H515,Bank_Rates!$B$2:$B$501,"&lt;="&amp;C515),IF(n=0,"",LET(t,MAXIFS(Bank_Rates!$B$2:$B$501,Bank_Rates!$A$2:$A$501,H515,Bank_Rates!$B$2:$B$501,"&lt;="&amp;C515),m,COUNTIFS(Bank_Rates!$A$2:$A$501,H515,Bank_Rates!$B$2:$B$501,t,Bank_Rates!$D$2:$D$501,"&lt;="&amp;G515),IF(m=0,"",LET(d,MAXIFS(Bank_Rates!$D$2:$D$501,Bank_Rates!$A$2:$A$501,H515,Bank_Rates!$B$2:$B$501,t,Bank_Rates!$D$2:$D$501,"&lt;="&amp;G515),SUMIFS(Bank_Rates!$C$2:$C$501,Bank_Rates!$A$2:$A$501,H515,Bank_Rates!$B$2:$B$501,t,Bank_Rates!$D$2:$D$501,d)))))))</f>
        <v/>
      </c>
      <c r="K515" s="6" t="str">
        <f t="shared" si="16"/>
        <v/>
      </c>
    </row>
    <row r="516" spans="1:11">
      <c r="A516" s="18" t="str">
        <f t="shared" si="17"/>
        <v/>
      </c>
      <c r="B516" s="13"/>
      <c r="C516" s="14"/>
      <c r="D516" s="3"/>
      <c r="E516" s="3"/>
      <c r="F516" s="14"/>
      <c r="G516" s="7">
        <f>RawObservationsTable[[#This Row],[Maturity Date]]-RawObservationsTable[[#This Row],[Timestamp]]</f>
        <v>0</v>
      </c>
      <c r="H516" s="2"/>
      <c r="I516" s="4"/>
      <c r="J516" s="5" t="str">
        <f>IF(OR(H516="",G516="",C516=""),"",LET(n,COUNTIFS(Bank_Rates!$A$2:$A$501,H516,Bank_Rates!$B$2:$B$501,"&lt;="&amp;C516),IF(n=0,"",LET(t,MAXIFS(Bank_Rates!$B$2:$B$501,Bank_Rates!$A$2:$A$501,H516,Bank_Rates!$B$2:$B$501,"&lt;="&amp;C516),m,COUNTIFS(Bank_Rates!$A$2:$A$501,H516,Bank_Rates!$B$2:$B$501,t,Bank_Rates!$D$2:$D$501,"&lt;="&amp;G516),IF(m=0,"",LET(d,MAXIFS(Bank_Rates!$D$2:$D$501,Bank_Rates!$A$2:$A$501,H516,Bank_Rates!$B$2:$B$501,t,Bank_Rates!$D$2:$D$501,"&lt;="&amp;G516),SUMIFS(Bank_Rates!$C$2:$C$501,Bank_Rates!$A$2:$A$501,H516,Bank_Rates!$B$2:$B$501,t,Bank_Rates!$D$2:$D$501,d)))))))</f>
        <v/>
      </c>
      <c r="K516" s="6" t="str">
        <f t="shared" si="16"/>
        <v/>
      </c>
    </row>
    <row r="517" spans="1:11">
      <c r="A517" s="18" t="str">
        <f t="shared" si="17"/>
        <v/>
      </c>
      <c r="B517" s="13"/>
      <c r="C517" s="14"/>
      <c r="D517" s="3"/>
      <c r="E517" s="3"/>
      <c r="F517" s="14"/>
      <c r="G517" s="7">
        <f>RawObservationsTable[[#This Row],[Maturity Date]]-RawObservationsTable[[#This Row],[Timestamp]]</f>
        <v>0</v>
      </c>
      <c r="H517" s="2"/>
      <c r="I517" s="4"/>
      <c r="J517" s="5" t="str">
        <f>IF(OR(H517="",G517="",C517=""),"",LET(n,COUNTIFS(Bank_Rates!$A$2:$A$501,H517,Bank_Rates!$B$2:$B$501,"&lt;="&amp;C517),IF(n=0,"",LET(t,MAXIFS(Bank_Rates!$B$2:$B$501,Bank_Rates!$A$2:$A$501,H517,Bank_Rates!$B$2:$B$501,"&lt;="&amp;C517),m,COUNTIFS(Bank_Rates!$A$2:$A$501,H517,Bank_Rates!$B$2:$B$501,t,Bank_Rates!$D$2:$D$501,"&lt;="&amp;G517),IF(m=0,"",LET(d,MAXIFS(Bank_Rates!$D$2:$D$501,Bank_Rates!$A$2:$A$501,H517,Bank_Rates!$B$2:$B$501,t,Bank_Rates!$D$2:$D$501,"&lt;="&amp;G517),SUMIFS(Bank_Rates!$C$2:$C$501,Bank_Rates!$A$2:$A$501,H517,Bank_Rates!$B$2:$B$501,t,Bank_Rates!$D$2:$D$501,d)))))))</f>
        <v/>
      </c>
      <c r="K517" s="6" t="str">
        <f t="shared" si="16"/>
        <v/>
      </c>
    </row>
    <row r="518" spans="1:11">
      <c r="A518" s="18" t="str">
        <f t="shared" si="17"/>
        <v/>
      </c>
      <c r="B518" s="13"/>
      <c r="C518" s="14"/>
      <c r="D518" s="3"/>
      <c r="E518" s="3"/>
      <c r="F518" s="14"/>
      <c r="G518" s="7">
        <f>RawObservationsTable[[#This Row],[Maturity Date]]-RawObservationsTable[[#This Row],[Timestamp]]</f>
        <v>0</v>
      </c>
      <c r="H518" s="2"/>
      <c r="I518" s="4"/>
      <c r="J518" s="5" t="str">
        <f>IF(OR(H518="",G518="",C518=""),"",LET(n,COUNTIFS(Bank_Rates!$A$2:$A$501,H518,Bank_Rates!$B$2:$B$501,"&lt;="&amp;C518),IF(n=0,"",LET(t,MAXIFS(Bank_Rates!$B$2:$B$501,Bank_Rates!$A$2:$A$501,H518,Bank_Rates!$B$2:$B$501,"&lt;="&amp;C518),m,COUNTIFS(Bank_Rates!$A$2:$A$501,H518,Bank_Rates!$B$2:$B$501,t,Bank_Rates!$D$2:$D$501,"&lt;="&amp;G518),IF(m=0,"",LET(d,MAXIFS(Bank_Rates!$D$2:$D$501,Bank_Rates!$A$2:$A$501,H518,Bank_Rates!$B$2:$B$501,t,Bank_Rates!$D$2:$D$501,"&lt;="&amp;G518),SUMIFS(Bank_Rates!$C$2:$C$501,Bank_Rates!$A$2:$A$501,H518,Bank_Rates!$B$2:$B$501,t,Bank_Rates!$D$2:$D$501,d)))))))</f>
        <v/>
      </c>
      <c r="K518" s="6" t="str">
        <f t="shared" si="16"/>
        <v/>
      </c>
    </row>
    <row r="519" spans="1:11">
      <c r="A519" s="18" t="str">
        <f t="shared" si="17"/>
        <v/>
      </c>
      <c r="B519" s="13"/>
      <c r="C519" s="14"/>
      <c r="D519" s="3"/>
      <c r="E519" s="3"/>
      <c r="F519" s="14"/>
      <c r="G519" s="7">
        <f>RawObservationsTable[[#This Row],[Maturity Date]]-RawObservationsTable[[#This Row],[Timestamp]]</f>
        <v>0</v>
      </c>
      <c r="H519" s="2"/>
      <c r="I519" s="4"/>
      <c r="J519" s="5" t="str">
        <f>IF(OR(H519="",G519="",C519=""),"",LET(n,COUNTIFS(Bank_Rates!$A$2:$A$501,H519,Bank_Rates!$B$2:$B$501,"&lt;="&amp;C519),IF(n=0,"",LET(t,MAXIFS(Bank_Rates!$B$2:$B$501,Bank_Rates!$A$2:$A$501,H519,Bank_Rates!$B$2:$B$501,"&lt;="&amp;C519),m,COUNTIFS(Bank_Rates!$A$2:$A$501,H519,Bank_Rates!$B$2:$B$501,t,Bank_Rates!$D$2:$D$501,"&lt;="&amp;G519),IF(m=0,"",LET(d,MAXIFS(Bank_Rates!$D$2:$D$501,Bank_Rates!$A$2:$A$501,H519,Bank_Rates!$B$2:$B$501,t,Bank_Rates!$D$2:$D$501,"&lt;="&amp;G519),SUMIFS(Bank_Rates!$C$2:$C$501,Bank_Rates!$A$2:$A$501,H519,Bank_Rates!$B$2:$B$501,t,Bank_Rates!$D$2:$D$501,d)))))))</f>
        <v/>
      </c>
      <c r="K519" s="6" t="str">
        <f t="shared" si="16"/>
        <v/>
      </c>
    </row>
    <row r="520" spans="1:11">
      <c r="A520" s="18" t="str">
        <f t="shared" si="17"/>
        <v/>
      </c>
      <c r="B520" s="13"/>
      <c r="C520" s="14"/>
      <c r="D520" s="3"/>
      <c r="E520" s="3"/>
      <c r="F520" s="14"/>
      <c r="G520" s="7">
        <f>RawObservationsTable[[#This Row],[Maturity Date]]-RawObservationsTable[[#This Row],[Timestamp]]</f>
        <v>0</v>
      </c>
      <c r="H520" s="2"/>
      <c r="I520" s="4"/>
      <c r="J520" s="5" t="str">
        <f>IF(OR(H520="",G520="",C520=""),"",LET(n,COUNTIFS(Bank_Rates!$A$2:$A$501,H520,Bank_Rates!$B$2:$B$501,"&lt;="&amp;C520),IF(n=0,"",LET(t,MAXIFS(Bank_Rates!$B$2:$B$501,Bank_Rates!$A$2:$A$501,H520,Bank_Rates!$B$2:$B$501,"&lt;="&amp;C520),m,COUNTIFS(Bank_Rates!$A$2:$A$501,H520,Bank_Rates!$B$2:$B$501,t,Bank_Rates!$D$2:$D$501,"&lt;="&amp;G520),IF(m=0,"",LET(d,MAXIFS(Bank_Rates!$D$2:$D$501,Bank_Rates!$A$2:$A$501,H520,Bank_Rates!$B$2:$B$501,t,Bank_Rates!$D$2:$D$501,"&lt;="&amp;G520),SUMIFS(Bank_Rates!$C$2:$C$501,Bank_Rates!$A$2:$A$501,H520,Bank_Rates!$B$2:$B$501,t,Bank_Rates!$D$2:$D$501,d)))))))</f>
        <v/>
      </c>
      <c r="K520" s="6" t="str">
        <f t="shared" si="16"/>
        <v/>
      </c>
    </row>
    <row r="521" spans="1:11">
      <c r="A521" s="18" t="str">
        <f t="shared" si="17"/>
        <v/>
      </c>
      <c r="B521" s="13"/>
      <c r="C521" s="14"/>
      <c r="D521" s="3"/>
      <c r="E521" s="3"/>
      <c r="F521" s="14"/>
      <c r="G521" s="7">
        <f>RawObservationsTable[[#This Row],[Maturity Date]]-RawObservationsTable[[#This Row],[Timestamp]]</f>
        <v>0</v>
      </c>
      <c r="H521" s="2"/>
      <c r="I521" s="4"/>
      <c r="J521" s="5" t="str">
        <f>IF(OR(H521="",G521="",C521=""),"",LET(n,COUNTIFS(Bank_Rates!$A$2:$A$501,H521,Bank_Rates!$B$2:$B$501,"&lt;="&amp;C521),IF(n=0,"",LET(t,MAXIFS(Bank_Rates!$B$2:$B$501,Bank_Rates!$A$2:$A$501,H521,Bank_Rates!$B$2:$B$501,"&lt;="&amp;C521),m,COUNTIFS(Bank_Rates!$A$2:$A$501,H521,Bank_Rates!$B$2:$B$501,t,Bank_Rates!$D$2:$D$501,"&lt;="&amp;G521),IF(m=0,"",LET(d,MAXIFS(Bank_Rates!$D$2:$D$501,Bank_Rates!$A$2:$A$501,H521,Bank_Rates!$B$2:$B$501,t,Bank_Rates!$D$2:$D$501,"&lt;="&amp;G521),SUMIFS(Bank_Rates!$C$2:$C$501,Bank_Rates!$A$2:$A$501,H521,Bank_Rates!$B$2:$B$501,t,Bank_Rates!$D$2:$D$501,d)))))))</f>
        <v/>
      </c>
      <c r="K521" s="6" t="str">
        <f t="shared" si="16"/>
        <v/>
      </c>
    </row>
    <row r="522" spans="1:11">
      <c r="A522" s="18" t="str">
        <f t="shared" si="17"/>
        <v/>
      </c>
      <c r="B522" s="13"/>
      <c r="C522" s="14"/>
      <c r="D522" s="3"/>
      <c r="E522" s="3"/>
      <c r="F522" s="14"/>
      <c r="G522" s="7">
        <f>RawObservationsTable[[#This Row],[Maturity Date]]-RawObservationsTable[[#This Row],[Timestamp]]</f>
        <v>0</v>
      </c>
      <c r="H522" s="2"/>
      <c r="I522" s="4"/>
      <c r="J522" s="5" t="str">
        <f>IF(OR(H522="",G522="",C522=""),"",LET(n,COUNTIFS(Bank_Rates!$A$2:$A$501,H522,Bank_Rates!$B$2:$B$501,"&lt;="&amp;C522),IF(n=0,"",LET(t,MAXIFS(Bank_Rates!$B$2:$B$501,Bank_Rates!$A$2:$A$501,H522,Bank_Rates!$B$2:$B$501,"&lt;="&amp;C522),m,COUNTIFS(Bank_Rates!$A$2:$A$501,H522,Bank_Rates!$B$2:$B$501,t,Bank_Rates!$D$2:$D$501,"&lt;="&amp;G522),IF(m=0,"",LET(d,MAXIFS(Bank_Rates!$D$2:$D$501,Bank_Rates!$A$2:$A$501,H522,Bank_Rates!$B$2:$B$501,t,Bank_Rates!$D$2:$D$501,"&lt;="&amp;G522),SUMIFS(Bank_Rates!$C$2:$C$501,Bank_Rates!$A$2:$A$501,H522,Bank_Rates!$B$2:$B$501,t,Bank_Rates!$D$2:$D$501,d)))))))</f>
        <v/>
      </c>
      <c r="K522" s="6" t="str">
        <f t="shared" si="16"/>
        <v/>
      </c>
    </row>
    <row r="523" spans="1:11">
      <c r="A523" s="18" t="str">
        <f t="shared" si="17"/>
        <v/>
      </c>
      <c r="B523" s="13"/>
      <c r="C523" s="14"/>
      <c r="D523" s="3"/>
      <c r="E523" s="3"/>
      <c r="F523" s="14"/>
      <c r="G523" s="7">
        <f>RawObservationsTable[[#This Row],[Maturity Date]]-RawObservationsTable[[#This Row],[Timestamp]]</f>
        <v>0</v>
      </c>
      <c r="H523" s="2"/>
      <c r="I523" s="4"/>
      <c r="J523" s="5" t="str">
        <f>IF(OR(H523="",G523="",C523=""),"",LET(n,COUNTIFS(Bank_Rates!$A$2:$A$501,H523,Bank_Rates!$B$2:$B$501,"&lt;="&amp;C523),IF(n=0,"",LET(t,MAXIFS(Bank_Rates!$B$2:$B$501,Bank_Rates!$A$2:$A$501,H523,Bank_Rates!$B$2:$B$501,"&lt;="&amp;C523),m,COUNTIFS(Bank_Rates!$A$2:$A$501,H523,Bank_Rates!$B$2:$B$501,t,Bank_Rates!$D$2:$D$501,"&lt;="&amp;G523),IF(m=0,"",LET(d,MAXIFS(Bank_Rates!$D$2:$D$501,Bank_Rates!$A$2:$A$501,H523,Bank_Rates!$B$2:$B$501,t,Bank_Rates!$D$2:$D$501,"&lt;="&amp;G523),SUMIFS(Bank_Rates!$C$2:$C$501,Bank_Rates!$A$2:$A$501,H523,Bank_Rates!$B$2:$B$501,t,Bank_Rates!$D$2:$D$501,d)))))))</f>
        <v/>
      </c>
      <c r="K523" s="6" t="str">
        <f t="shared" si="16"/>
        <v/>
      </c>
    </row>
    <row r="524" spans="1:11">
      <c r="A524" s="18" t="str">
        <f t="shared" si="17"/>
        <v/>
      </c>
      <c r="B524" s="13"/>
      <c r="C524" s="14"/>
      <c r="D524" s="3"/>
      <c r="E524" s="3"/>
      <c r="F524" s="14"/>
      <c r="G524" s="7">
        <f>RawObservationsTable[[#This Row],[Maturity Date]]-RawObservationsTable[[#This Row],[Timestamp]]</f>
        <v>0</v>
      </c>
      <c r="H524" s="2"/>
      <c r="I524" s="4"/>
      <c r="J524" s="5" t="str">
        <f>IF(OR(H524="",G524="",C524=""),"",LET(n,COUNTIFS(Bank_Rates!$A$2:$A$501,H524,Bank_Rates!$B$2:$B$501,"&lt;="&amp;C524),IF(n=0,"",LET(t,MAXIFS(Bank_Rates!$B$2:$B$501,Bank_Rates!$A$2:$A$501,H524,Bank_Rates!$B$2:$B$501,"&lt;="&amp;C524),m,COUNTIFS(Bank_Rates!$A$2:$A$501,H524,Bank_Rates!$B$2:$B$501,t,Bank_Rates!$D$2:$D$501,"&lt;="&amp;G524),IF(m=0,"",LET(d,MAXIFS(Bank_Rates!$D$2:$D$501,Bank_Rates!$A$2:$A$501,H524,Bank_Rates!$B$2:$B$501,t,Bank_Rates!$D$2:$D$501,"&lt;="&amp;G524),SUMIFS(Bank_Rates!$C$2:$C$501,Bank_Rates!$A$2:$A$501,H524,Bank_Rates!$B$2:$B$501,t,Bank_Rates!$D$2:$D$501,d)))))))</f>
        <v/>
      </c>
      <c r="K524" s="6" t="str">
        <f t="shared" si="16"/>
        <v/>
      </c>
    </row>
    <row r="525" spans="1:11">
      <c r="A525" s="18" t="str">
        <f t="shared" si="17"/>
        <v/>
      </c>
      <c r="B525" s="13"/>
      <c r="C525" s="14"/>
      <c r="D525" s="3"/>
      <c r="E525" s="3"/>
      <c r="F525" s="14"/>
      <c r="G525" s="7">
        <f>RawObservationsTable[[#This Row],[Maturity Date]]-RawObservationsTable[[#This Row],[Timestamp]]</f>
        <v>0</v>
      </c>
      <c r="H525" s="2"/>
      <c r="I525" s="4"/>
      <c r="J525" s="5" t="str">
        <f>IF(OR(H525="",G525="",C525=""),"",LET(n,COUNTIFS(Bank_Rates!$A$2:$A$501,H525,Bank_Rates!$B$2:$B$501,"&lt;="&amp;C525),IF(n=0,"",LET(t,MAXIFS(Bank_Rates!$B$2:$B$501,Bank_Rates!$A$2:$A$501,H525,Bank_Rates!$B$2:$B$501,"&lt;="&amp;C525),m,COUNTIFS(Bank_Rates!$A$2:$A$501,H525,Bank_Rates!$B$2:$B$501,t,Bank_Rates!$D$2:$D$501,"&lt;="&amp;G525),IF(m=0,"",LET(d,MAXIFS(Bank_Rates!$D$2:$D$501,Bank_Rates!$A$2:$A$501,H525,Bank_Rates!$B$2:$B$501,t,Bank_Rates!$D$2:$D$501,"&lt;="&amp;G525),SUMIFS(Bank_Rates!$C$2:$C$501,Bank_Rates!$A$2:$A$501,H525,Bank_Rates!$B$2:$B$501,t,Bank_Rates!$D$2:$D$501,d)))))))</f>
        <v/>
      </c>
      <c r="K525" s="6" t="str">
        <f t="shared" si="16"/>
        <v/>
      </c>
    </row>
    <row r="526" spans="1:11">
      <c r="A526" s="18" t="str">
        <f t="shared" si="17"/>
        <v/>
      </c>
      <c r="B526" s="13"/>
      <c r="C526" s="14"/>
      <c r="D526" s="3"/>
      <c r="E526" s="3"/>
      <c r="F526" s="14"/>
      <c r="G526" s="7">
        <f>RawObservationsTable[[#This Row],[Maturity Date]]-RawObservationsTable[[#This Row],[Timestamp]]</f>
        <v>0</v>
      </c>
      <c r="H526" s="2"/>
      <c r="I526" s="4"/>
      <c r="J526" s="5" t="str">
        <f>IF(OR(H526="",G526="",C526=""),"",LET(n,COUNTIFS(Bank_Rates!$A$2:$A$501,H526,Bank_Rates!$B$2:$B$501,"&lt;="&amp;C526),IF(n=0,"",LET(t,MAXIFS(Bank_Rates!$B$2:$B$501,Bank_Rates!$A$2:$A$501,H526,Bank_Rates!$B$2:$B$501,"&lt;="&amp;C526),m,COUNTIFS(Bank_Rates!$A$2:$A$501,H526,Bank_Rates!$B$2:$B$501,t,Bank_Rates!$D$2:$D$501,"&lt;="&amp;G526),IF(m=0,"",LET(d,MAXIFS(Bank_Rates!$D$2:$D$501,Bank_Rates!$A$2:$A$501,H526,Bank_Rates!$B$2:$B$501,t,Bank_Rates!$D$2:$D$501,"&lt;="&amp;G526),SUMIFS(Bank_Rates!$C$2:$C$501,Bank_Rates!$A$2:$A$501,H526,Bank_Rates!$B$2:$B$501,t,Bank_Rates!$D$2:$D$501,d)))))))</f>
        <v/>
      </c>
      <c r="K526" s="6" t="str">
        <f t="shared" si="16"/>
        <v/>
      </c>
    </row>
    <row r="527" spans="1:11">
      <c r="A527" s="18" t="str">
        <f t="shared" si="17"/>
        <v/>
      </c>
      <c r="B527" s="13"/>
      <c r="C527" s="14"/>
      <c r="D527" s="3"/>
      <c r="E527" s="3"/>
      <c r="F527" s="14"/>
      <c r="G527" s="7">
        <f>RawObservationsTable[[#This Row],[Maturity Date]]-RawObservationsTable[[#This Row],[Timestamp]]</f>
        <v>0</v>
      </c>
      <c r="H527" s="2"/>
      <c r="I527" s="4"/>
      <c r="J527" s="5" t="str">
        <f>IF(OR(H527="",G527="",C527=""),"",LET(n,COUNTIFS(Bank_Rates!$A$2:$A$501,H527,Bank_Rates!$B$2:$B$501,"&lt;="&amp;C527),IF(n=0,"",LET(t,MAXIFS(Bank_Rates!$B$2:$B$501,Bank_Rates!$A$2:$A$501,H527,Bank_Rates!$B$2:$B$501,"&lt;="&amp;C527),m,COUNTIFS(Bank_Rates!$A$2:$A$501,H527,Bank_Rates!$B$2:$B$501,t,Bank_Rates!$D$2:$D$501,"&lt;="&amp;G527),IF(m=0,"",LET(d,MAXIFS(Bank_Rates!$D$2:$D$501,Bank_Rates!$A$2:$A$501,H527,Bank_Rates!$B$2:$B$501,t,Bank_Rates!$D$2:$D$501,"&lt;="&amp;G527),SUMIFS(Bank_Rates!$C$2:$C$501,Bank_Rates!$A$2:$A$501,H527,Bank_Rates!$B$2:$B$501,t,Bank_Rates!$D$2:$D$501,d)))))))</f>
        <v/>
      </c>
      <c r="K527" s="6" t="str">
        <f t="shared" si="16"/>
        <v/>
      </c>
    </row>
    <row r="528" spans="1:11">
      <c r="A528" s="18" t="str">
        <f t="shared" si="17"/>
        <v/>
      </c>
      <c r="B528" s="13"/>
      <c r="C528" s="14"/>
      <c r="D528" s="3"/>
      <c r="E528" s="3"/>
      <c r="F528" s="14"/>
      <c r="G528" s="7">
        <f>RawObservationsTable[[#This Row],[Maturity Date]]-RawObservationsTable[[#This Row],[Timestamp]]</f>
        <v>0</v>
      </c>
      <c r="H528" s="2"/>
      <c r="I528" s="4"/>
      <c r="J528" s="5" t="str">
        <f>IF(OR(H528="",G528="",C528=""),"",LET(n,COUNTIFS(Bank_Rates!$A$2:$A$501,H528,Bank_Rates!$B$2:$B$501,"&lt;="&amp;C528),IF(n=0,"",LET(t,MAXIFS(Bank_Rates!$B$2:$B$501,Bank_Rates!$A$2:$A$501,H528,Bank_Rates!$B$2:$B$501,"&lt;="&amp;C528),m,COUNTIFS(Bank_Rates!$A$2:$A$501,H528,Bank_Rates!$B$2:$B$501,t,Bank_Rates!$D$2:$D$501,"&lt;="&amp;G528),IF(m=0,"",LET(d,MAXIFS(Bank_Rates!$D$2:$D$501,Bank_Rates!$A$2:$A$501,H528,Bank_Rates!$B$2:$B$501,t,Bank_Rates!$D$2:$D$501,"&lt;="&amp;G528),SUMIFS(Bank_Rates!$C$2:$C$501,Bank_Rates!$A$2:$A$501,H528,Bank_Rates!$B$2:$B$501,t,Bank_Rates!$D$2:$D$501,d)))))))</f>
        <v/>
      </c>
      <c r="K528" s="6" t="str">
        <f t="shared" si="16"/>
        <v/>
      </c>
    </row>
    <row r="529" spans="1:11">
      <c r="A529" s="18" t="str">
        <f t="shared" si="17"/>
        <v/>
      </c>
      <c r="B529" s="13"/>
      <c r="C529" s="14"/>
      <c r="D529" s="3"/>
      <c r="E529" s="3"/>
      <c r="F529" s="14"/>
      <c r="G529" s="7">
        <f>RawObservationsTable[[#This Row],[Maturity Date]]-RawObservationsTable[[#This Row],[Timestamp]]</f>
        <v>0</v>
      </c>
      <c r="H529" s="2"/>
      <c r="I529" s="4"/>
      <c r="J529" s="5" t="str">
        <f>IF(OR(H529="",G529="",C529=""),"",LET(n,COUNTIFS(Bank_Rates!$A$2:$A$501,H529,Bank_Rates!$B$2:$B$501,"&lt;="&amp;C529),IF(n=0,"",LET(t,MAXIFS(Bank_Rates!$B$2:$B$501,Bank_Rates!$A$2:$A$501,H529,Bank_Rates!$B$2:$B$501,"&lt;="&amp;C529),m,COUNTIFS(Bank_Rates!$A$2:$A$501,H529,Bank_Rates!$B$2:$B$501,t,Bank_Rates!$D$2:$D$501,"&lt;="&amp;G529),IF(m=0,"",LET(d,MAXIFS(Bank_Rates!$D$2:$D$501,Bank_Rates!$A$2:$A$501,H529,Bank_Rates!$B$2:$B$501,t,Bank_Rates!$D$2:$D$501,"&lt;="&amp;G529),SUMIFS(Bank_Rates!$C$2:$C$501,Bank_Rates!$A$2:$A$501,H529,Bank_Rates!$B$2:$B$501,t,Bank_Rates!$D$2:$D$501,d)))))))</f>
        <v/>
      </c>
      <c r="K529" s="6" t="str">
        <f t="shared" si="16"/>
        <v/>
      </c>
    </row>
    <row r="530" spans="1:11">
      <c r="A530" s="18" t="str">
        <f t="shared" si="17"/>
        <v/>
      </c>
      <c r="B530" s="13"/>
      <c r="C530" s="14"/>
      <c r="D530" s="3"/>
      <c r="E530" s="3"/>
      <c r="F530" s="14"/>
      <c r="G530" s="7">
        <f>RawObservationsTable[[#This Row],[Maturity Date]]-RawObservationsTable[[#This Row],[Timestamp]]</f>
        <v>0</v>
      </c>
      <c r="H530" s="2"/>
      <c r="I530" s="4"/>
      <c r="J530" s="5" t="str">
        <f>IF(OR(H530="",G530="",C530=""),"",LET(n,COUNTIFS(Bank_Rates!$A$2:$A$501,H530,Bank_Rates!$B$2:$B$501,"&lt;="&amp;C530),IF(n=0,"",LET(t,MAXIFS(Bank_Rates!$B$2:$B$501,Bank_Rates!$A$2:$A$501,H530,Bank_Rates!$B$2:$B$501,"&lt;="&amp;C530),m,COUNTIFS(Bank_Rates!$A$2:$A$501,H530,Bank_Rates!$B$2:$B$501,t,Bank_Rates!$D$2:$D$501,"&lt;="&amp;G530),IF(m=0,"",LET(d,MAXIFS(Bank_Rates!$D$2:$D$501,Bank_Rates!$A$2:$A$501,H530,Bank_Rates!$B$2:$B$501,t,Bank_Rates!$D$2:$D$501,"&lt;="&amp;G530),SUMIFS(Bank_Rates!$C$2:$C$501,Bank_Rates!$A$2:$A$501,H530,Bank_Rates!$B$2:$B$501,t,Bank_Rates!$D$2:$D$501,d)))))))</f>
        <v/>
      </c>
      <c r="K530" s="6" t="str">
        <f t="shared" si="16"/>
        <v/>
      </c>
    </row>
    <row r="531" spans="1:11">
      <c r="A531" s="18" t="str">
        <f t="shared" si="17"/>
        <v/>
      </c>
      <c r="B531" s="13"/>
      <c r="C531" s="14"/>
      <c r="D531" s="3"/>
      <c r="E531" s="3"/>
      <c r="F531" s="14"/>
      <c r="G531" s="7">
        <f>RawObservationsTable[[#This Row],[Maturity Date]]-RawObservationsTable[[#This Row],[Timestamp]]</f>
        <v>0</v>
      </c>
      <c r="H531" s="2"/>
      <c r="I531" s="4"/>
      <c r="J531" s="5" t="str">
        <f>IF(OR(H531="",G531="",C531=""),"",LET(n,COUNTIFS(Bank_Rates!$A$2:$A$501,H531,Bank_Rates!$B$2:$B$501,"&lt;="&amp;C531),IF(n=0,"",LET(t,MAXIFS(Bank_Rates!$B$2:$B$501,Bank_Rates!$A$2:$A$501,H531,Bank_Rates!$B$2:$B$501,"&lt;="&amp;C531),m,COUNTIFS(Bank_Rates!$A$2:$A$501,H531,Bank_Rates!$B$2:$B$501,t,Bank_Rates!$D$2:$D$501,"&lt;="&amp;G531),IF(m=0,"",LET(d,MAXIFS(Bank_Rates!$D$2:$D$501,Bank_Rates!$A$2:$A$501,H531,Bank_Rates!$B$2:$B$501,t,Bank_Rates!$D$2:$D$501,"&lt;="&amp;G531),SUMIFS(Bank_Rates!$C$2:$C$501,Bank_Rates!$A$2:$A$501,H531,Bank_Rates!$B$2:$B$501,t,Bank_Rates!$D$2:$D$501,d)))))))</f>
        <v/>
      </c>
      <c r="K531" s="6" t="str">
        <f t="shared" si="16"/>
        <v/>
      </c>
    </row>
    <row r="532" spans="1:11">
      <c r="A532" s="18" t="str">
        <f t="shared" si="17"/>
        <v/>
      </c>
      <c r="B532" s="13"/>
      <c r="C532" s="14"/>
      <c r="D532" s="3"/>
      <c r="E532" s="3"/>
      <c r="F532" s="14"/>
      <c r="G532" s="7">
        <f>RawObservationsTable[[#This Row],[Maturity Date]]-RawObservationsTable[[#This Row],[Timestamp]]</f>
        <v>0</v>
      </c>
      <c r="H532" s="2"/>
      <c r="I532" s="4"/>
      <c r="J532" s="5" t="str">
        <f>IF(OR(H532="",G532="",C532=""),"",LET(n,COUNTIFS(Bank_Rates!$A$2:$A$501,H532,Bank_Rates!$B$2:$B$501,"&lt;="&amp;C532),IF(n=0,"",LET(t,MAXIFS(Bank_Rates!$B$2:$B$501,Bank_Rates!$A$2:$A$501,H532,Bank_Rates!$B$2:$B$501,"&lt;="&amp;C532),m,COUNTIFS(Bank_Rates!$A$2:$A$501,H532,Bank_Rates!$B$2:$B$501,t,Bank_Rates!$D$2:$D$501,"&lt;="&amp;G532),IF(m=0,"",LET(d,MAXIFS(Bank_Rates!$D$2:$D$501,Bank_Rates!$A$2:$A$501,H532,Bank_Rates!$B$2:$B$501,t,Bank_Rates!$D$2:$D$501,"&lt;="&amp;G532),SUMIFS(Bank_Rates!$C$2:$C$501,Bank_Rates!$A$2:$A$501,H532,Bank_Rates!$B$2:$B$501,t,Bank_Rates!$D$2:$D$501,d)))))))</f>
        <v/>
      </c>
      <c r="K532" s="6" t="str">
        <f t="shared" si="16"/>
        <v/>
      </c>
    </row>
    <row r="533" spans="1:11">
      <c r="A533" s="18" t="str">
        <f t="shared" si="17"/>
        <v/>
      </c>
      <c r="B533" s="13"/>
      <c r="C533" s="14"/>
      <c r="D533" s="3"/>
      <c r="E533" s="3"/>
      <c r="F533" s="14"/>
      <c r="G533" s="7">
        <f>RawObservationsTable[[#This Row],[Maturity Date]]-RawObservationsTable[[#This Row],[Timestamp]]</f>
        <v>0</v>
      </c>
      <c r="H533" s="2"/>
      <c r="I533" s="4"/>
      <c r="J533" s="5" t="str">
        <f>IF(OR(H533="",G533="",C533=""),"",LET(n,COUNTIFS(Bank_Rates!$A$2:$A$501,H533,Bank_Rates!$B$2:$B$501,"&lt;="&amp;C533),IF(n=0,"",LET(t,MAXIFS(Bank_Rates!$B$2:$B$501,Bank_Rates!$A$2:$A$501,H533,Bank_Rates!$B$2:$B$501,"&lt;="&amp;C533),m,COUNTIFS(Bank_Rates!$A$2:$A$501,H533,Bank_Rates!$B$2:$B$501,t,Bank_Rates!$D$2:$D$501,"&lt;="&amp;G533),IF(m=0,"",LET(d,MAXIFS(Bank_Rates!$D$2:$D$501,Bank_Rates!$A$2:$A$501,H533,Bank_Rates!$B$2:$B$501,t,Bank_Rates!$D$2:$D$501,"&lt;="&amp;G533),SUMIFS(Bank_Rates!$C$2:$C$501,Bank_Rates!$A$2:$A$501,H533,Bank_Rates!$B$2:$B$501,t,Bank_Rates!$D$2:$D$501,d)))))))</f>
        <v/>
      </c>
      <c r="K533" s="6" t="str">
        <f t="shared" si="16"/>
        <v/>
      </c>
    </row>
    <row r="534" spans="1:11">
      <c r="A534" s="18" t="str">
        <f t="shared" si="17"/>
        <v/>
      </c>
      <c r="B534" s="13"/>
      <c r="C534" s="14"/>
      <c r="D534" s="3"/>
      <c r="E534" s="3"/>
      <c r="F534" s="14"/>
      <c r="G534" s="7">
        <f>RawObservationsTable[[#This Row],[Maturity Date]]-RawObservationsTable[[#This Row],[Timestamp]]</f>
        <v>0</v>
      </c>
      <c r="H534" s="2"/>
      <c r="I534" s="4"/>
      <c r="J534" s="5" t="str">
        <f>IF(OR(H534="",G534="",C534=""),"",LET(n,COUNTIFS(Bank_Rates!$A$2:$A$501,H534,Bank_Rates!$B$2:$B$501,"&lt;="&amp;C534),IF(n=0,"",LET(t,MAXIFS(Bank_Rates!$B$2:$B$501,Bank_Rates!$A$2:$A$501,H534,Bank_Rates!$B$2:$B$501,"&lt;="&amp;C534),m,COUNTIFS(Bank_Rates!$A$2:$A$501,H534,Bank_Rates!$B$2:$B$501,t,Bank_Rates!$D$2:$D$501,"&lt;="&amp;G534),IF(m=0,"",LET(d,MAXIFS(Bank_Rates!$D$2:$D$501,Bank_Rates!$A$2:$A$501,H534,Bank_Rates!$B$2:$B$501,t,Bank_Rates!$D$2:$D$501,"&lt;="&amp;G534),SUMIFS(Bank_Rates!$C$2:$C$501,Bank_Rates!$A$2:$A$501,H534,Bank_Rates!$B$2:$B$501,t,Bank_Rates!$D$2:$D$501,d)))))))</f>
        <v/>
      </c>
      <c r="K534" s="6" t="str">
        <f t="shared" si="16"/>
        <v/>
      </c>
    </row>
    <row r="535" spans="1:11">
      <c r="A535" s="18" t="str">
        <f t="shared" si="17"/>
        <v/>
      </c>
      <c r="B535" s="13"/>
      <c r="C535" s="14"/>
      <c r="D535" s="3"/>
      <c r="E535" s="3"/>
      <c r="F535" s="14"/>
      <c r="G535" s="7">
        <f>RawObservationsTable[[#This Row],[Maturity Date]]-RawObservationsTable[[#This Row],[Timestamp]]</f>
        <v>0</v>
      </c>
      <c r="H535" s="2"/>
      <c r="I535" s="4"/>
      <c r="J535" s="5" t="str">
        <f>IF(OR(H535="",G535="",C535=""),"",LET(n,COUNTIFS(Bank_Rates!$A$2:$A$501,H535,Bank_Rates!$B$2:$B$501,"&lt;="&amp;C535),IF(n=0,"",LET(t,MAXIFS(Bank_Rates!$B$2:$B$501,Bank_Rates!$A$2:$A$501,H535,Bank_Rates!$B$2:$B$501,"&lt;="&amp;C535),m,COUNTIFS(Bank_Rates!$A$2:$A$501,H535,Bank_Rates!$B$2:$B$501,t,Bank_Rates!$D$2:$D$501,"&lt;="&amp;G535),IF(m=0,"",LET(d,MAXIFS(Bank_Rates!$D$2:$D$501,Bank_Rates!$A$2:$A$501,H535,Bank_Rates!$B$2:$B$501,t,Bank_Rates!$D$2:$D$501,"&lt;="&amp;G535),SUMIFS(Bank_Rates!$C$2:$C$501,Bank_Rates!$A$2:$A$501,H535,Bank_Rates!$B$2:$B$501,t,Bank_Rates!$D$2:$D$501,d)))))))</f>
        <v/>
      </c>
      <c r="K535" s="6" t="str">
        <f t="shared" si="16"/>
        <v/>
      </c>
    </row>
    <row r="536" spans="1:11">
      <c r="A536" s="18" t="str">
        <f t="shared" si="17"/>
        <v/>
      </c>
      <c r="B536" s="13"/>
      <c r="C536" s="14"/>
      <c r="D536" s="3"/>
      <c r="E536" s="3"/>
      <c r="F536" s="14"/>
      <c r="G536" s="7">
        <f>RawObservationsTable[[#This Row],[Maturity Date]]-RawObservationsTable[[#This Row],[Timestamp]]</f>
        <v>0</v>
      </c>
      <c r="H536" s="2"/>
      <c r="I536" s="4"/>
      <c r="J536" s="5" t="str">
        <f>IF(OR(H536="",G536="",C536=""),"",LET(n,COUNTIFS(Bank_Rates!$A$2:$A$501,H536,Bank_Rates!$B$2:$B$501,"&lt;="&amp;C536),IF(n=0,"",LET(t,MAXIFS(Bank_Rates!$B$2:$B$501,Bank_Rates!$A$2:$A$501,H536,Bank_Rates!$B$2:$B$501,"&lt;="&amp;C536),m,COUNTIFS(Bank_Rates!$A$2:$A$501,H536,Bank_Rates!$B$2:$B$501,t,Bank_Rates!$D$2:$D$501,"&lt;="&amp;G536),IF(m=0,"",LET(d,MAXIFS(Bank_Rates!$D$2:$D$501,Bank_Rates!$A$2:$A$501,H536,Bank_Rates!$B$2:$B$501,t,Bank_Rates!$D$2:$D$501,"&lt;="&amp;G536),SUMIFS(Bank_Rates!$C$2:$C$501,Bank_Rates!$A$2:$A$501,H536,Bank_Rates!$B$2:$B$501,t,Bank_Rates!$D$2:$D$501,d)))))))</f>
        <v/>
      </c>
      <c r="K536" s="6" t="str">
        <f t="shared" si="16"/>
        <v/>
      </c>
    </row>
    <row r="537" spans="1:11">
      <c r="A537" s="18" t="str">
        <f t="shared" si="17"/>
        <v/>
      </c>
      <c r="B537" s="13"/>
      <c r="C537" s="14"/>
      <c r="D537" s="3"/>
      <c r="E537" s="3"/>
      <c r="F537" s="14"/>
      <c r="G537" s="7">
        <f>RawObservationsTable[[#This Row],[Maturity Date]]-RawObservationsTable[[#This Row],[Timestamp]]</f>
        <v>0</v>
      </c>
      <c r="H537" s="2"/>
      <c r="I537" s="4"/>
      <c r="J537" s="5" t="str">
        <f>IF(OR(H537="",G537="",C537=""),"",LET(n,COUNTIFS(Bank_Rates!$A$2:$A$501,H537,Bank_Rates!$B$2:$B$501,"&lt;="&amp;C537),IF(n=0,"",LET(t,MAXIFS(Bank_Rates!$B$2:$B$501,Bank_Rates!$A$2:$A$501,H537,Bank_Rates!$B$2:$B$501,"&lt;="&amp;C537),m,COUNTIFS(Bank_Rates!$A$2:$A$501,H537,Bank_Rates!$B$2:$B$501,t,Bank_Rates!$D$2:$D$501,"&lt;="&amp;G537),IF(m=0,"",LET(d,MAXIFS(Bank_Rates!$D$2:$D$501,Bank_Rates!$A$2:$A$501,H537,Bank_Rates!$B$2:$B$501,t,Bank_Rates!$D$2:$D$501,"&lt;="&amp;G537),SUMIFS(Bank_Rates!$C$2:$C$501,Bank_Rates!$A$2:$A$501,H537,Bank_Rates!$B$2:$B$501,t,Bank_Rates!$D$2:$D$501,d)))))))</f>
        <v/>
      </c>
      <c r="K537" s="6" t="str">
        <f t="shared" si="16"/>
        <v/>
      </c>
    </row>
    <row r="538" spans="1:11">
      <c r="A538" s="18" t="str">
        <f t="shared" si="17"/>
        <v/>
      </c>
      <c r="B538" s="13"/>
      <c r="C538" s="14"/>
      <c r="D538" s="3"/>
      <c r="E538" s="3"/>
      <c r="F538" s="14"/>
      <c r="G538" s="7">
        <f>RawObservationsTable[[#This Row],[Maturity Date]]-RawObservationsTable[[#This Row],[Timestamp]]</f>
        <v>0</v>
      </c>
      <c r="H538" s="2"/>
      <c r="I538" s="4"/>
      <c r="J538" s="5" t="str">
        <f>IF(OR(H538="",G538="",C538=""),"",LET(n,COUNTIFS(Bank_Rates!$A$2:$A$501,H538,Bank_Rates!$B$2:$B$501,"&lt;="&amp;C538),IF(n=0,"",LET(t,MAXIFS(Bank_Rates!$B$2:$B$501,Bank_Rates!$A$2:$A$501,H538,Bank_Rates!$B$2:$B$501,"&lt;="&amp;C538),m,COUNTIFS(Bank_Rates!$A$2:$A$501,H538,Bank_Rates!$B$2:$B$501,t,Bank_Rates!$D$2:$D$501,"&lt;="&amp;G538),IF(m=0,"",LET(d,MAXIFS(Bank_Rates!$D$2:$D$501,Bank_Rates!$A$2:$A$501,H538,Bank_Rates!$B$2:$B$501,t,Bank_Rates!$D$2:$D$501,"&lt;="&amp;G538),SUMIFS(Bank_Rates!$C$2:$C$501,Bank_Rates!$A$2:$A$501,H538,Bank_Rates!$B$2:$B$501,t,Bank_Rates!$D$2:$D$501,d)))))))</f>
        <v/>
      </c>
      <c r="K538" s="6" t="str">
        <f t="shared" si="16"/>
        <v/>
      </c>
    </row>
    <row r="539" spans="1:11">
      <c r="A539" s="18" t="str">
        <f t="shared" si="17"/>
        <v/>
      </c>
      <c r="B539" s="13"/>
      <c r="C539" s="14"/>
      <c r="D539" s="3"/>
      <c r="E539" s="3"/>
      <c r="F539" s="14"/>
      <c r="G539" s="7">
        <f>RawObservationsTable[[#This Row],[Maturity Date]]-RawObservationsTable[[#This Row],[Timestamp]]</f>
        <v>0</v>
      </c>
      <c r="H539" s="2"/>
      <c r="I539" s="4"/>
      <c r="J539" s="5" t="str">
        <f>IF(OR(H539="",G539="",C539=""),"",LET(n,COUNTIFS(Bank_Rates!$A$2:$A$501,H539,Bank_Rates!$B$2:$B$501,"&lt;="&amp;C539),IF(n=0,"",LET(t,MAXIFS(Bank_Rates!$B$2:$B$501,Bank_Rates!$A$2:$A$501,H539,Bank_Rates!$B$2:$B$501,"&lt;="&amp;C539),m,COUNTIFS(Bank_Rates!$A$2:$A$501,H539,Bank_Rates!$B$2:$B$501,t,Bank_Rates!$D$2:$D$501,"&lt;="&amp;G539),IF(m=0,"",LET(d,MAXIFS(Bank_Rates!$D$2:$D$501,Bank_Rates!$A$2:$A$501,H539,Bank_Rates!$B$2:$B$501,t,Bank_Rates!$D$2:$D$501,"&lt;="&amp;G539),SUMIFS(Bank_Rates!$C$2:$C$501,Bank_Rates!$A$2:$A$501,H539,Bank_Rates!$B$2:$B$501,t,Bank_Rates!$D$2:$D$501,d)))))))</f>
        <v/>
      </c>
      <c r="K539" s="6" t="str">
        <f t="shared" si="16"/>
        <v/>
      </c>
    </row>
    <row r="540" spans="1:11">
      <c r="A540" s="18" t="str">
        <f t="shared" si="17"/>
        <v/>
      </c>
      <c r="B540" s="13"/>
      <c r="C540" s="14"/>
      <c r="D540" s="3"/>
      <c r="E540" s="3"/>
      <c r="F540" s="14"/>
      <c r="G540" s="7">
        <f>RawObservationsTable[[#This Row],[Maturity Date]]-RawObservationsTable[[#This Row],[Timestamp]]</f>
        <v>0</v>
      </c>
      <c r="H540" s="2"/>
      <c r="I540" s="4"/>
      <c r="J540" s="5" t="str">
        <f>IF(OR(H540="",G540="",C540=""),"",LET(n,COUNTIFS(Bank_Rates!$A$2:$A$501,H540,Bank_Rates!$B$2:$B$501,"&lt;="&amp;C540),IF(n=0,"",LET(t,MAXIFS(Bank_Rates!$B$2:$B$501,Bank_Rates!$A$2:$A$501,H540,Bank_Rates!$B$2:$B$501,"&lt;="&amp;C540),m,COUNTIFS(Bank_Rates!$A$2:$A$501,H540,Bank_Rates!$B$2:$B$501,t,Bank_Rates!$D$2:$D$501,"&lt;="&amp;G540),IF(m=0,"",LET(d,MAXIFS(Bank_Rates!$D$2:$D$501,Bank_Rates!$A$2:$A$501,H540,Bank_Rates!$B$2:$B$501,t,Bank_Rates!$D$2:$D$501,"&lt;="&amp;G540),SUMIFS(Bank_Rates!$C$2:$C$501,Bank_Rates!$A$2:$A$501,H540,Bank_Rates!$B$2:$B$501,t,Bank_Rates!$D$2:$D$501,d)))))))</f>
        <v/>
      </c>
      <c r="K540" s="6" t="str">
        <f t="shared" si="16"/>
        <v/>
      </c>
    </row>
    <row r="541" spans="1:11">
      <c r="A541" s="18" t="str">
        <f t="shared" si="17"/>
        <v/>
      </c>
      <c r="B541" s="13"/>
      <c r="C541" s="14"/>
      <c r="D541" s="3"/>
      <c r="E541" s="3"/>
      <c r="F541" s="14"/>
      <c r="G541" s="7">
        <f>RawObservationsTable[[#This Row],[Maturity Date]]-RawObservationsTable[[#This Row],[Timestamp]]</f>
        <v>0</v>
      </c>
      <c r="H541" s="2"/>
      <c r="I541" s="4"/>
      <c r="J541" s="5" t="str">
        <f>IF(OR(H541="",G541="",C541=""),"",LET(n,COUNTIFS(Bank_Rates!$A$2:$A$501,H541,Bank_Rates!$B$2:$B$501,"&lt;="&amp;C541),IF(n=0,"",LET(t,MAXIFS(Bank_Rates!$B$2:$B$501,Bank_Rates!$A$2:$A$501,H541,Bank_Rates!$B$2:$B$501,"&lt;="&amp;C541),m,COUNTIFS(Bank_Rates!$A$2:$A$501,H541,Bank_Rates!$B$2:$B$501,t,Bank_Rates!$D$2:$D$501,"&lt;="&amp;G541),IF(m=0,"",LET(d,MAXIFS(Bank_Rates!$D$2:$D$501,Bank_Rates!$A$2:$A$501,H541,Bank_Rates!$B$2:$B$501,t,Bank_Rates!$D$2:$D$501,"&lt;="&amp;G541),SUMIFS(Bank_Rates!$C$2:$C$501,Bank_Rates!$A$2:$A$501,H541,Bank_Rates!$B$2:$B$501,t,Bank_Rates!$D$2:$D$501,d)))))))</f>
        <v/>
      </c>
      <c r="K541" s="6" t="str">
        <f t="shared" si="16"/>
        <v/>
      </c>
    </row>
    <row r="542" spans="1:11">
      <c r="A542" s="18" t="str">
        <f t="shared" si="17"/>
        <v/>
      </c>
      <c r="B542" s="13"/>
      <c r="C542" s="14"/>
      <c r="D542" s="3"/>
      <c r="E542" s="3"/>
      <c r="F542" s="14"/>
      <c r="G542" s="7">
        <f>RawObservationsTable[[#This Row],[Maturity Date]]-RawObservationsTable[[#This Row],[Timestamp]]</f>
        <v>0</v>
      </c>
      <c r="H542" s="2"/>
      <c r="I542" s="4"/>
      <c r="J542" s="5" t="str">
        <f>IF(OR(H542="",G542="",C542=""),"",LET(n,COUNTIFS(Bank_Rates!$A$2:$A$501,H542,Bank_Rates!$B$2:$B$501,"&lt;="&amp;C542),IF(n=0,"",LET(t,MAXIFS(Bank_Rates!$B$2:$B$501,Bank_Rates!$A$2:$A$501,H542,Bank_Rates!$B$2:$B$501,"&lt;="&amp;C542),m,COUNTIFS(Bank_Rates!$A$2:$A$501,H542,Bank_Rates!$B$2:$B$501,t,Bank_Rates!$D$2:$D$501,"&lt;="&amp;G542),IF(m=0,"",LET(d,MAXIFS(Bank_Rates!$D$2:$D$501,Bank_Rates!$A$2:$A$501,H542,Bank_Rates!$B$2:$B$501,t,Bank_Rates!$D$2:$D$501,"&lt;="&amp;G542),SUMIFS(Bank_Rates!$C$2:$C$501,Bank_Rates!$A$2:$A$501,H542,Bank_Rates!$B$2:$B$501,t,Bank_Rates!$D$2:$D$501,d)))))))</f>
        <v/>
      </c>
      <c r="K542" s="6" t="str">
        <f t="shared" si="16"/>
        <v/>
      </c>
    </row>
    <row r="543" spans="1:11">
      <c r="A543" s="18" t="str">
        <f t="shared" si="17"/>
        <v/>
      </c>
      <c r="B543" s="13"/>
      <c r="C543" s="14"/>
      <c r="D543" s="3"/>
      <c r="E543" s="3"/>
      <c r="F543" s="14"/>
      <c r="G543" s="7">
        <f>RawObservationsTable[[#This Row],[Maturity Date]]-RawObservationsTable[[#This Row],[Timestamp]]</f>
        <v>0</v>
      </c>
      <c r="H543" s="2"/>
      <c r="I543" s="4"/>
      <c r="J543" s="5" t="str">
        <f>IF(OR(H543="",G543="",C543=""),"",LET(n,COUNTIFS(Bank_Rates!$A$2:$A$501,H543,Bank_Rates!$B$2:$B$501,"&lt;="&amp;C543),IF(n=0,"",LET(t,MAXIFS(Bank_Rates!$B$2:$B$501,Bank_Rates!$A$2:$A$501,H543,Bank_Rates!$B$2:$B$501,"&lt;="&amp;C543),m,COUNTIFS(Bank_Rates!$A$2:$A$501,H543,Bank_Rates!$B$2:$B$501,t,Bank_Rates!$D$2:$D$501,"&lt;="&amp;G543),IF(m=0,"",LET(d,MAXIFS(Bank_Rates!$D$2:$D$501,Bank_Rates!$A$2:$A$501,H543,Bank_Rates!$B$2:$B$501,t,Bank_Rates!$D$2:$D$501,"&lt;="&amp;G543),SUMIFS(Bank_Rates!$C$2:$C$501,Bank_Rates!$A$2:$A$501,H543,Bank_Rates!$B$2:$B$501,t,Bank_Rates!$D$2:$D$501,d)))))))</f>
        <v/>
      </c>
      <c r="K543" s="6" t="str">
        <f t="shared" si="16"/>
        <v/>
      </c>
    </row>
    <row r="544" spans="1:11">
      <c r="A544" s="18" t="str">
        <f t="shared" si="17"/>
        <v/>
      </c>
      <c r="B544" s="13"/>
      <c r="C544" s="14"/>
      <c r="D544" s="3"/>
      <c r="E544" s="3"/>
      <c r="F544" s="14"/>
      <c r="G544" s="7">
        <f>RawObservationsTable[[#This Row],[Maturity Date]]-RawObservationsTable[[#This Row],[Timestamp]]</f>
        <v>0</v>
      </c>
      <c r="H544" s="2"/>
      <c r="I544" s="4"/>
      <c r="J544" s="5" t="str">
        <f>IF(OR(H544="",G544="",C544=""),"",LET(n,COUNTIFS(Bank_Rates!$A$2:$A$501,H544,Bank_Rates!$B$2:$B$501,"&lt;="&amp;C544),IF(n=0,"",LET(t,MAXIFS(Bank_Rates!$B$2:$B$501,Bank_Rates!$A$2:$A$501,H544,Bank_Rates!$B$2:$B$501,"&lt;="&amp;C544),m,COUNTIFS(Bank_Rates!$A$2:$A$501,H544,Bank_Rates!$B$2:$B$501,t,Bank_Rates!$D$2:$D$501,"&lt;="&amp;G544),IF(m=0,"",LET(d,MAXIFS(Bank_Rates!$D$2:$D$501,Bank_Rates!$A$2:$A$501,H544,Bank_Rates!$B$2:$B$501,t,Bank_Rates!$D$2:$D$501,"&lt;="&amp;G544),SUMIFS(Bank_Rates!$C$2:$C$501,Bank_Rates!$A$2:$A$501,H544,Bank_Rates!$B$2:$B$501,t,Bank_Rates!$D$2:$D$501,d)))))))</f>
        <v/>
      </c>
      <c r="K544" s="6" t="str">
        <f t="shared" si="16"/>
        <v/>
      </c>
    </row>
    <row r="545" spans="1:11">
      <c r="A545" s="18" t="str">
        <f t="shared" si="17"/>
        <v/>
      </c>
      <c r="B545" s="13"/>
      <c r="C545" s="14"/>
      <c r="D545" s="3"/>
      <c r="E545" s="3"/>
      <c r="F545" s="14"/>
      <c r="G545" s="7">
        <f>RawObservationsTable[[#This Row],[Maturity Date]]-RawObservationsTable[[#This Row],[Timestamp]]</f>
        <v>0</v>
      </c>
      <c r="H545" s="2"/>
      <c r="I545" s="4"/>
      <c r="J545" s="5" t="str">
        <f>IF(OR(H545="",G545="",C545=""),"",LET(n,COUNTIFS(Bank_Rates!$A$2:$A$501,H545,Bank_Rates!$B$2:$B$501,"&lt;="&amp;C545),IF(n=0,"",LET(t,MAXIFS(Bank_Rates!$B$2:$B$501,Bank_Rates!$A$2:$A$501,H545,Bank_Rates!$B$2:$B$501,"&lt;="&amp;C545),m,COUNTIFS(Bank_Rates!$A$2:$A$501,H545,Bank_Rates!$B$2:$B$501,t,Bank_Rates!$D$2:$D$501,"&lt;="&amp;G545),IF(m=0,"",LET(d,MAXIFS(Bank_Rates!$D$2:$D$501,Bank_Rates!$A$2:$A$501,H545,Bank_Rates!$B$2:$B$501,t,Bank_Rates!$D$2:$D$501,"&lt;="&amp;G545),SUMIFS(Bank_Rates!$C$2:$C$501,Bank_Rates!$A$2:$A$501,H545,Bank_Rates!$B$2:$B$501,t,Bank_Rates!$D$2:$D$501,d)))))))</f>
        <v/>
      </c>
      <c r="K545" s="6" t="str">
        <f t="shared" si="16"/>
        <v/>
      </c>
    </row>
    <row r="546" spans="1:11">
      <c r="A546" s="18" t="str">
        <f t="shared" si="17"/>
        <v/>
      </c>
      <c r="B546" s="13"/>
      <c r="C546" s="14"/>
      <c r="D546" s="3"/>
      <c r="E546" s="3"/>
      <c r="F546" s="14"/>
      <c r="G546" s="7">
        <f>RawObservationsTable[[#This Row],[Maturity Date]]-RawObservationsTable[[#This Row],[Timestamp]]</f>
        <v>0</v>
      </c>
      <c r="H546" s="2"/>
      <c r="I546" s="4"/>
      <c r="J546" s="5" t="str">
        <f>IF(OR(H546="",G546="",C546=""),"",LET(n,COUNTIFS(Bank_Rates!$A$2:$A$501,H546,Bank_Rates!$B$2:$B$501,"&lt;="&amp;C546),IF(n=0,"",LET(t,MAXIFS(Bank_Rates!$B$2:$B$501,Bank_Rates!$A$2:$A$501,H546,Bank_Rates!$B$2:$B$501,"&lt;="&amp;C546),m,COUNTIFS(Bank_Rates!$A$2:$A$501,H546,Bank_Rates!$B$2:$B$501,t,Bank_Rates!$D$2:$D$501,"&lt;="&amp;G546),IF(m=0,"",LET(d,MAXIFS(Bank_Rates!$D$2:$D$501,Bank_Rates!$A$2:$A$501,H546,Bank_Rates!$B$2:$B$501,t,Bank_Rates!$D$2:$D$501,"&lt;="&amp;G546),SUMIFS(Bank_Rates!$C$2:$C$501,Bank_Rates!$A$2:$A$501,H546,Bank_Rates!$B$2:$B$501,t,Bank_Rates!$D$2:$D$501,d)))))))</f>
        <v/>
      </c>
      <c r="K546" s="6" t="str">
        <f t="shared" si="16"/>
        <v/>
      </c>
    </row>
    <row r="547" spans="1:11">
      <c r="A547" s="18" t="str">
        <f t="shared" si="17"/>
        <v/>
      </c>
      <c r="B547" s="13"/>
      <c r="C547" s="14"/>
      <c r="D547" s="3"/>
      <c r="E547" s="3"/>
      <c r="F547" s="14"/>
      <c r="G547" s="7">
        <f>RawObservationsTable[[#This Row],[Maturity Date]]-RawObservationsTable[[#This Row],[Timestamp]]</f>
        <v>0</v>
      </c>
      <c r="H547" s="2"/>
      <c r="I547" s="4"/>
      <c r="J547" s="5" t="str">
        <f>IF(OR(H547="",G547="",C547=""),"",LET(n,COUNTIFS(Bank_Rates!$A$2:$A$501,H547,Bank_Rates!$B$2:$B$501,"&lt;="&amp;C547),IF(n=0,"",LET(t,MAXIFS(Bank_Rates!$B$2:$B$501,Bank_Rates!$A$2:$A$501,H547,Bank_Rates!$B$2:$B$501,"&lt;="&amp;C547),m,COUNTIFS(Bank_Rates!$A$2:$A$501,H547,Bank_Rates!$B$2:$B$501,t,Bank_Rates!$D$2:$D$501,"&lt;="&amp;G547),IF(m=0,"",LET(d,MAXIFS(Bank_Rates!$D$2:$D$501,Bank_Rates!$A$2:$A$501,H547,Bank_Rates!$B$2:$B$501,t,Bank_Rates!$D$2:$D$501,"&lt;="&amp;G547),SUMIFS(Bank_Rates!$C$2:$C$501,Bank_Rates!$A$2:$A$501,H547,Bank_Rates!$B$2:$B$501,t,Bank_Rates!$D$2:$D$501,d)))))))</f>
        <v/>
      </c>
      <c r="K547" s="6" t="str">
        <f t="shared" si="16"/>
        <v/>
      </c>
    </row>
    <row r="548" spans="1:11">
      <c r="A548" s="18" t="str">
        <f t="shared" si="17"/>
        <v/>
      </c>
      <c r="B548" s="13"/>
      <c r="C548" s="14"/>
      <c r="D548" s="3"/>
      <c r="E548" s="3"/>
      <c r="F548" s="14"/>
      <c r="G548" s="7">
        <f>RawObservationsTable[[#This Row],[Maturity Date]]-RawObservationsTable[[#This Row],[Timestamp]]</f>
        <v>0</v>
      </c>
      <c r="H548" s="2"/>
      <c r="I548" s="4"/>
      <c r="J548" s="5" t="str">
        <f>IF(OR(H548="",G548="",C548=""),"",LET(n,COUNTIFS(Bank_Rates!$A$2:$A$501,H548,Bank_Rates!$B$2:$B$501,"&lt;="&amp;C548),IF(n=0,"",LET(t,MAXIFS(Bank_Rates!$B$2:$B$501,Bank_Rates!$A$2:$A$501,H548,Bank_Rates!$B$2:$B$501,"&lt;="&amp;C548),m,COUNTIFS(Bank_Rates!$A$2:$A$501,H548,Bank_Rates!$B$2:$B$501,t,Bank_Rates!$D$2:$D$501,"&lt;="&amp;G548),IF(m=0,"",LET(d,MAXIFS(Bank_Rates!$D$2:$D$501,Bank_Rates!$A$2:$A$501,H548,Bank_Rates!$B$2:$B$501,t,Bank_Rates!$D$2:$D$501,"&lt;="&amp;G548),SUMIFS(Bank_Rates!$C$2:$C$501,Bank_Rates!$A$2:$A$501,H548,Bank_Rates!$B$2:$B$501,t,Bank_Rates!$D$2:$D$501,d)))))))</f>
        <v/>
      </c>
      <c r="K548" s="6" t="str">
        <f t="shared" si="16"/>
        <v/>
      </c>
    </row>
    <row r="549" spans="1:11">
      <c r="A549" s="18" t="str">
        <f t="shared" si="17"/>
        <v/>
      </c>
      <c r="B549" s="13"/>
      <c r="C549" s="14"/>
      <c r="D549" s="3"/>
      <c r="E549" s="3"/>
      <c r="F549" s="14"/>
      <c r="G549" s="7">
        <f>RawObservationsTable[[#This Row],[Maturity Date]]-RawObservationsTable[[#This Row],[Timestamp]]</f>
        <v>0</v>
      </c>
      <c r="H549" s="2"/>
      <c r="I549" s="4"/>
      <c r="J549" s="5" t="str">
        <f>IF(OR(H549="",G549="",C549=""),"",LET(n,COUNTIFS(Bank_Rates!$A$2:$A$501,H549,Bank_Rates!$B$2:$B$501,"&lt;="&amp;C549),IF(n=0,"",LET(t,MAXIFS(Bank_Rates!$B$2:$B$501,Bank_Rates!$A$2:$A$501,H549,Bank_Rates!$B$2:$B$501,"&lt;="&amp;C549),m,COUNTIFS(Bank_Rates!$A$2:$A$501,H549,Bank_Rates!$B$2:$B$501,t,Bank_Rates!$D$2:$D$501,"&lt;="&amp;G549),IF(m=0,"",LET(d,MAXIFS(Bank_Rates!$D$2:$D$501,Bank_Rates!$A$2:$A$501,H549,Bank_Rates!$B$2:$B$501,t,Bank_Rates!$D$2:$D$501,"&lt;="&amp;G549),SUMIFS(Bank_Rates!$C$2:$C$501,Bank_Rates!$A$2:$A$501,H549,Bank_Rates!$B$2:$B$501,t,Bank_Rates!$D$2:$D$501,d)))))))</f>
        <v/>
      </c>
      <c r="K549" s="6" t="str">
        <f t="shared" si="16"/>
        <v/>
      </c>
    </row>
    <row r="550" spans="1:11">
      <c r="A550" s="18" t="str">
        <f t="shared" si="17"/>
        <v/>
      </c>
      <c r="B550" s="13"/>
      <c r="C550" s="14"/>
      <c r="D550" s="3"/>
      <c r="E550" s="3"/>
      <c r="F550" s="14"/>
      <c r="G550" s="7">
        <f>RawObservationsTable[[#This Row],[Maturity Date]]-RawObservationsTable[[#This Row],[Timestamp]]</f>
        <v>0</v>
      </c>
      <c r="H550" s="2"/>
      <c r="I550" s="4"/>
      <c r="J550" s="5" t="str">
        <f>IF(OR(H550="",G550="",C550=""),"",LET(n,COUNTIFS(Bank_Rates!$A$2:$A$501,H550,Bank_Rates!$B$2:$B$501,"&lt;="&amp;C550),IF(n=0,"",LET(t,MAXIFS(Bank_Rates!$B$2:$B$501,Bank_Rates!$A$2:$A$501,H550,Bank_Rates!$B$2:$B$501,"&lt;="&amp;C550),m,COUNTIFS(Bank_Rates!$A$2:$A$501,H550,Bank_Rates!$B$2:$B$501,t,Bank_Rates!$D$2:$D$501,"&lt;="&amp;G550),IF(m=0,"",LET(d,MAXIFS(Bank_Rates!$D$2:$D$501,Bank_Rates!$A$2:$A$501,H550,Bank_Rates!$B$2:$B$501,t,Bank_Rates!$D$2:$D$501,"&lt;="&amp;G550),SUMIFS(Bank_Rates!$C$2:$C$501,Bank_Rates!$A$2:$A$501,H550,Bank_Rates!$B$2:$B$501,t,Bank_Rates!$D$2:$D$501,d)))))))</f>
        <v/>
      </c>
      <c r="K550" s="6" t="str">
        <f t="shared" si="16"/>
        <v/>
      </c>
    </row>
    <row r="551" spans="1:11">
      <c r="A551" s="18" t="str">
        <f t="shared" si="17"/>
        <v/>
      </c>
      <c r="B551" s="13"/>
      <c r="C551" s="14"/>
      <c r="D551" s="3"/>
      <c r="E551" s="3"/>
      <c r="F551" s="14"/>
      <c r="G551" s="7">
        <f>RawObservationsTable[[#This Row],[Maturity Date]]-RawObservationsTable[[#This Row],[Timestamp]]</f>
        <v>0</v>
      </c>
      <c r="H551" s="2"/>
      <c r="I551" s="4"/>
      <c r="J551" s="5" t="str">
        <f>IF(OR(H551="",G551="",C551=""),"",LET(n,COUNTIFS(Bank_Rates!$A$2:$A$501,H551,Bank_Rates!$B$2:$B$501,"&lt;="&amp;C551),IF(n=0,"",LET(t,MAXIFS(Bank_Rates!$B$2:$B$501,Bank_Rates!$A$2:$A$501,H551,Bank_Rates!$B$2:$B$501,"&lt;="&amp;C551),m,COUNTIFS(Bank_Rates!$A$2:$A$501,H551,Bank_Rates!$B$2:$B$501,t,Bank_Rates!$D$2:$D$501,"&lt;="&amp;G551),IF(m=0,"",LET(d,MAXIFS(Bank_Rates!$D$2:$D$501,Bank_Rates!$A$2:$A$501,H551,Bank_Rates!$B$2:$B$501,t,Bank_Rates!$D$2:$D$501,"&lt;="&amp;G551),SUMIFS(Bank_Rates!$C$2:$C$501,Bank_Rates!$A$2:$A$501,H551,Bank_Rates!$B$2:$B$501,t,Bank_Rates!$D$2:$D$501,d)))))))</f>
        <v/>
      </c>
      <c r="K551" s="6" t="str">
        <f t="shared" si="16"/>
        <v/>
      </c>
    </row>
    <row r="552" spans="1:11">
      <c r="A552" s="18" t="str">
        <f t="shared" si="17"/>
        <v/>
      </c>
      <c r="B552" s="13"/>
      <c r="C552" s="14"/>
      <c r="D552" s="3"/>
      <c r="E552" s="3"/>
      <c r="F552" s="14"/>
      <c r="G552" s="7">
        <f>RawObservationsTable[[#This Row],[Maturity Date]]-RawObservationsTable[[#This Row],[Timestamp]]</f>
        <v>0</v>
      </c>
      <c r="H552" s="2"/>
      <c r="I552" s="4"/>
      <c r="J552" s="5" t="str">
        <f>IF(OR(H552="",G552="",C552=""),"",LET(n,COUNTIFS(Bank_Rates!$A$2:$A$501,H552,Bank_Rates!$B$2:$B$501,"&lt;="&amp;C552),IF(n=0,"",LET(t,MAXIFS(Bank_Rates!$B$2:$B$501,Bank_Rates!$A$2:$A$501,H552,Bank_Rates!$B$2:$B$501,"&lt;="&amp;C552),m,COUNTIFS(Bank_Rates!$A$2:$A$501,H552,Bank_Rates!$B$2:$B$501,t,Bank_Rates!$D$2:$D$501,"&lt;="&amp;G552),IF(m=0,"",LET(d,MAXIFS(Bank_Rates!$D$2:$D$501,Bank_Rates!$A$2:$A$501,H552,Bank_Rates!$B$2:$B$501,t,Bank_Rates!$D$2:$D$501,"&lt;="&amp;G552),SUMIFS(Bank_Rates!$C$2:$C$501,Bank_Rates!$A$2:$A$501,H552,Bank_Rates!$B$2:$B$501,t,Bank_Rates!$D$2:$D$501,d)))))))</f>
        <v/>
      </c>
      <c r="K552" s="6" t="str">
        <f t="shared" si="16"/>
        <v/>
      </c>
    </row>
    <row r="553" spans="1:11">
      <c r="A553" s="18" t="str">
        <f t="shared" si="17"/>
        <v/>
      </c>
      <c r="B553" s="13"/>
      <c r="C553" s="14"/>
      <c r="D553" s="3"/>
      <c r="E553" s="3"/>
      <c r="F553" s="14"/>
      <c r="G553" s="7">
        <f>RawObservationsTable[[#This Row],[Maturity Date]]-RawObservationsTable[[#This Row],[Timestamp]]</f>
        <v>0</v>
      </c>
      <c r="H553" s="2"/>
      <c r="I553" s="4"/>
      <c r="J553" s="5" t="str">
        <f>IF(OR(H553="",G553="",C553=""),"",LET(n,COUNTIFS(Bank_Rates!$A$2:$A$501,H553,Bank_Rates!$B$2:$B$501,"&lt;="&amp;C553),IF(n=0,"",LET(t,MAXIFS(Bank_Rates!$B$2:$B$501,Bank_Rates!$A$2:$A$501,H553,Bank_Rates!$B$2:$B$501,"&lt;="&amp;C553),m,COUNTIFS(Bank_Rates!$A$2:$A$501,H553,Bank_Rates!$B$2:$B$501,t,Bank_Rates!$D$2:$D$501,"&lt;="&amp;G553),IF(m=0,"",LET(d,MAXIFS(Bank_Rates!$D$2:$D$501,Bank_Rates!$A$2:$A$501,H553,Bank_Rates!$B$2:$B$501,t,Bank_Rates!$D$2:$D$501,"&lt;="&amp;G553),SUMIFS(Bank_Rates!$C$2:$C$501,Bank_Rates!$A$2:$A$501,H553,Bank_Rates!$B$2:$B$501,t,Bank_Rates!$D$2:$D$501,d)))))))</f>
        <v/>
      </c>
      <c r="K553" s="6" t="str">
        <f t="shared" si="16"/>
        <v/>
      </c>
    </row>
    <row r="554" spans="1:11">
      <c r="A554" s="18" t="str">
        <f t="shared" si="17"/>
        <v/>
      </c>
      <c r="B554" s="13"/>
      <c r="C554" s="14"/>
      <c r="D554" s="3"/>
      <c r="E554" s="3"/>
      <c r="F554" s="14"/>
      <c r="G554" s="7">
        <f>RawObservationsTable[[#This Row],[Maturity Date]]-RawObservationsTable[[#This Row],[Timestamp]]</f>
        <v>0</v>
      </c>
      <c r="H554" s="2"/>
      <c r="I554" s="4"/>
      <c r="J554" s="5" t="str">
        <f>IF(OR(H554="",G554="",C554=""),"",LET(n,COUNTIFS(Bank_Rates!$A$2:$A$501,H554,Bank_Rates!$B$2:$B$501,"&lt;="&amp;C554),IF(n=0,"",LET(t,MAXIFS(Bank_Rates!$B$2:$B$501,Bank_Rates!$A$2:$A$501,H554,Bank_Rates!$B$2:$B$501,"&lt;="&amp;C554),m,COUNTIFS(Bank_Rates!$A$2:$A$501,H554,Bank_Rates!$B$2:$B$501,t,Bank_Rates!$D$2:$D$501,"&lt;="&amp;G554),IF(m=0,"",LET(d,MAXIFS(Bank_Rates!$D$2:$D$501,Bank_Rates!$A$2:$A$501,H554,Bank_Rates!$B$2:$B$501,t,Bank_Rates!$D$2:$D$501,"&lt;="&amp;G554),SUMIFS(Bank_Rates!$C$2:$C$501,Bank_Rates!$A$2:$A$501,H554,Bank_Rates!$B$2:$B$501,t,Bank_Rates!$D$2:$D$501,d)))))))</f>
        <v/>
      </c>
      <c r="K554" s="6" t="str">
        <f t="shared" si="16"/>
        <v/>
      </c>
    </row>
    <row r="555" spans="1:11">
      <c r="A555" s="18" t="str">
        <f t="shared" si="17"/>
        <v/>
      </c>
      <c r="B555" s="13"/>
      <c r="C555" s="14"/>
      <c r="D555" s="3"/>
      <c r="E555" s="3"/>
      <c r="F555" s="14"/>
      <c r="G555" s="7">
        <f>RawObservationsTable[[#This Row],[Maturity Date]]-RawObservationsTable[[#This Row],[Timestamp]]</f>
        <v>0</v>
      </c>
      <c r="H555" s="2"/>
      <c r="I555" s="4"/>
      <c r="J555" s="5" t="str">
        <f>IF(OR(H555="",G555="",C555=""),"",LET(n,COUNTIFS(Bank_Rates!$A$2:$A$501,H555,Bank_Rates!$B$2:$B$501,"&lt;="&amp;C555),IF(n=0,"",LET(t,MAXIFS(Bank_Rates!$B$2:$B$501,Bank_Rates!$A$2:$A$501,H555,Bank_Rates!$B$2:$B$501,"&lt;="&amp;C555),m,COUNTIFS(Bank_Rates!$A$2:$A$501,H555,Bank_Rates!$B$2:$B$501,t,Bank_Rates!$D$2:$D$501,"&lt;="&amp;G555),IF(m=0,"",LET(d,MAXIFS(Bank_Rates!$D$2:$D$501,Bank_Rates!$A$2:$A$501,H555,Bank_Rates!$B$2:$B$501,t,Bank_Rates!$D$2:$D$501,"&lt;="&amp;G555),SUMIFS(Bank_Rates!$C$2:$C$501,Bank_Rates!$A$2:$A$501,H555,Bank_Rates!$B$2:$B$501,t,Bank_Rates!$D$2:$D$501,d)))))))</f>
        <v/>
      </c>
      <c r="K555" s="6" t="str">
        <f t="shared" si="16"/>
        <v/>
      </c>
    </row>
    <row r="556" spans="1:11">
      <c r="A556" s="18" t="str">
        <f t="shared" si="17"/>
        <v/>
      </c>
      <c r="B556" s="13"/>
      <c r="C556" s="14"/>
      <c r="D556" s="3"/>
      <c r="E556" s="3"/>
      <c r="F556" s="14"/>
      <c r="G556" s="7">
        <f>RawObservationsTable[[#This Row],[Maturity Date]]-RawObservationsTable[[#This Row],[Timestamp]]</f>
        <v>0</v>
      </c>
      <c r="H556" s="2"/>
      <c r="I556" s="4"/>
      <c r="J556" s="5" t="str">
        <f>IF(OR(H556="",G556="",C556=""),"",LET(n,COUNTIFS(Bank_Rates!$A$2:$A$501,H556,Bank_Rates!$B$2:$B$501,"&lt;="&amp;C556),IF(n=0,"",LET(t,MAXIFS(Bank_Rates!$B$2:$B$501,Bank_Rates!$A$2:$A$501,H556,Bank_Rates!$B$2:$B$501,"&lt;="&amp;C556),m,COUNTIFS(Bank_Rates!$A$2:$A$501,H556,Bank_Rates!$B$2:$B$501,t,Bank_Rates!$D$2:$D$501,"&lt;="&amp;G556),IF(m=0,"",LET(d,MAXIFS(Bank_Rates!$D$2:$D$501,Bank_Rates!$A$2:$A$501,H556,Bank_Rates!$B$2:$B$501,t,Bank_Rates!$D$2:$D$501,"&lt;="&amp;G556),SUMIFS(Bank_Rates!$C$2:$C$501,Bank_Rates!$A$2:$A$501,H556,Bank_Rates!$B$2:$B$501,t,Bank_Rates!$D$2:$D$501,d)))))))</f>
        <v/>
      </c>
      <c r="K556" s="6" t="str">
        <f t="shared" si="16"/>
        <v/>
      </c>
    </row>
    <row r="557" spans="1:11">
      <c r="A557" s="18" t="str">
        <f t="shared" si="17"/>
        <v/>
      </c>
      <c r="B557" s="13"/>
      <c r="C557" s="14"/>
      <c r="D557" s="3"/>
      <c r="E557" s="3"/>
      <c r="F557" s="14"/>
      <c r="G557" s="7">
        <f>RawObservationsTable[[#This Row],[Maturity Date]]-RawObservationsTable[[#This Row],[Timestamp]]</f>
        <v>0</v>
      </c>
      <c r="H557" s="2"/>
      <c r="I557" s="4"/>
      <c r="J557" s="5" t="str">
        <f>IF(OR(H557="",G557="",C557=""),"",LET(n,COUNTIFS(Bank_Rates!$A$2:$A$501,H557,Bank_Rates!$B$2:$B$501,"&lt;="&amp;C557),IF(n=0,"",LET(t,MAXIFS(Bank_Rates!$B$2:$B$501,Bank_Rates!$A$2:$A$501,H557,Bank_Rates!$B$2:$B$501,"&lt;="&amp;C557),m,COUNTIFS(Bank_Rates!$A$2:$A$501,H557,Bank_Rates!$B$2:$B$501,t,Bank_Rates!$D$2:$D$501,"&lt;="&amp;G557),IF(m=0,"",LET(d,MAXIFS(Bank_Rates!$D$2:$D$501,Bank_Rates!$A$2:$A$501,H557,Bank_Rates!$B$2:$B$501,t,Bank_Rates!$D$2:$D$501,"&lt;="&amp;G557),SUMIFS(Bank_Rates!$C$2:$C$501,Bank_Rates!$A$2:$A$501,H557,Bank_Rates!$B$2:$B$501,t,Bank_Rates!$D$2:$D$501,d)))))))</f>
        <v/>
      </c>
      <c r="K557" s="6" t="str">
        <f t="shared" si="16"/>
        <v/>
      </c>
    </row>
    <row r="558" spans="1:11">
      <c r="A558" s="18" t="str">
        <f t="shared" si="17"/>
        <v/>
      </c>
      <c r="B558" s="13"/>
      <c r="C558" s="14"/>
      <c r="D558" s="3"/>
      <c r="E558" s="3"/>
      <c r="F558" s="14"/>
      <c r="G558" s="7">
        <f>RawObservationsTable[[#This Row],[Maturity Date]]-RawObservationsTable[[#This Row],[Timestamp]]</f>
        <v>0</v>
      </c>
      <c r="H558" s="2"/>
      <c r="I558" s="4"/>
      <c r="J558" s="5" t="str">
        <f>IF(OR(H558="",G558="",C558=""),"",LET(n,COUNTIFS(Bank_Rates!$A$2:$A$501,H558,Bank_Rates!$B$2:$B$501,"&lt;="&amp;C558),IF(n=0,"",LET(t,MAXIFS(Bank_Rates!$B$2:$B$501,Bank_Rates!$A$2:$A$501,H558,Bank_Rates!$B$2:$B$501,"&lt;="&amp;C558),m,COUNTIFS(Bank_Rates!$A$2:$A$501,H558,Bank_Rates!$B$2:$B$501,t,Bank_Rates!$D$2:$D$501,"&lt;="&amp;G558),IF(m=0,"",LET(d,MAXIFS(Bank_Rates!$D$2:$D$501,Bank_Rates!$A$2:$A$501,H558,Bank_Rates!$B$2:$B$501,t,Bank_Rates!$D$2:$D$501,"&lt;="&amp;G558),SUMIFS(Bank_Rates!$C$2:$C$501,Bank_Rates!$A$2:$A$501,H558,Bank_Rates!$B$2:$B$501,t,Bank_Rates!$D$2:$D$501,d)))))))</f>
        <v/>
      </c>
      <c r="K558" s="6" t="str">
        <f t="shared" si="16"/>
        <v/>
      </c>
    </row>
    <row r="559" spans="1:11">
      <c r="A559" s="18" t="str">
        <f t="shared" si="17"/>
        <v/>
      </c>
      <c r="B559" s="13"/>
      <c r="C559" s="14"/>
      <c r="D559" s="3"/>
      <c r="E559" s="3"/>
      <c r="F559" s="14"/>
      <c r="G559" s="7">
        <f>RawObservationsTable[[#This Row],[Maturity Date]]-RawObservationsTable[[#This Row],[Timestamp]]</f>
        <v>0</v>
      </c>
      <c r="H559" s="2"/>
      <c r="I559" s="4"/>
      <c r="J559" s="5" t="str">
        <f>IF(OR(H559="",G559="",C559=""),"",LET(n,COUNTIFS(Bank_Rates!$A$2:$A$501,H559,Bank_Rates!$B$2:$B$501,"&lt;="&amp;C559),IF(n=0,"",LET(t,MAXIFS(Bank_Rates!$B$2:$B$501,Bank_Rates!$A$2:$A$501,H559,Bank_Rates!$B$2:$B$501,"&lt;="&amp;C559),m,COUNTIFS(Bank_Rates!$A$2:$A$501,H559,Bank_Rates!$B$2:$B$501,t,Bank_Rates!$D$2:$D$501,"&lt;="&amp;G559),IF(m=0,"",LET(d,MAXIFS(Bank_Rates!$D$2:$D$501,Bank_Rates!$A$2:$A$501,H559,Bank_Rates!$B$2:$B$501,t,Bank_Rates!$D$2:$D$501,"&lt;="&amp;G559),SUMIFS(Bank_Rates!$C$2:$C$501,Bank_Rates!$A$2:$A$501,H559,Bank_Rates!$B$2:$B$501,t,Bank_Rates!$D$2:$D$501,d)))))))</f>
        <v/>
      </c>
      <c r="K559" s="6" t="str">
        <f t="shared" si="16"/>
        <v/>
      </c>
    </row>
    <row r="560" spans="1:11">
      <c r="A560" s="18" t="str">
        <f t="shared" si="17"/>
        <v/>
      </c>
      <c r="B560" s="13"/>
      <c r="C560" s="14"/>
      <c r="D560" s="3"/>
      <c r="E560" s="3"/>
      <c r="F560" s="14"/>
      <c r="G560" s="7">
        <f>RawObservationsTable[[#This Row],[Maturity Date]]-RawObservationsTable[[#This Row],[Timestamp]]</f>
        <v>0</v>
      </c>
      <c r="H560" s="2"/>
      <c r="I560" s="4"/>
      <c r="J560" s="5" t="str">
        <f>IF(OR(H560="",G560="",C560=""),"",LET(n,COUNTIFS(Bank_Rates!$A$2:$A$501,H560,Bank_Rates!$B$2:$B$501,"&lt;="&amp;C560),IF(n=0,"",LET(t,MAXIFS(Bank_Rates!$B$2:$B$501,Bank_Rates!$A$2:$A$501,H560,Bank_Rates!$B$2:$B$501,"&lt;="&amp;C560),m,COUNTIFS(Bank_Rates!$A$2:$A$501,H560,Bank_Rates!$B$2:$B$501,t,Bank_Rates!$D$2:$D$501,"&lt;="&amp;G560),IF(m=0,"",LET(d,MAXIFS(Bank_Rates!$D$2:$D$501,Bank_Rates!$A$2:$A$501,H560,Bank_Rates!$B$2:$B$501,t,Bank_Rates!$D$2:$D$501,"&lt;="&amp;G560),SUMIFS(Bank_Rates!$C$2:$C$501,Bank_Rates!$A$2:$A$501,H560,Bank_Rates!$B$2:$B$501,t,Bank_Rates!$D$2:$D$501,d)))))))</f>
        <v/>
      </c>
      <c r="K560" s="6" t="str">
        <f t="shared" si="16"/>
        <v/>
      </c>
    </row>
    <row r="561" spans="1:11">
      <c r="A561" s="18" t="str">
        <f t="shared" si="17"/>
        <v/>
      </c>
      <c r="B561" s="13"/>
      <c r="C561" s="14"/>
      <c r="D561" s="3"/>
      <c r="E561" s="3"/>
      <c r="F561" s="14"/>
      <c r="G561" s="7">
        <f>RawObservationsTable[[#This Row],[Maturity Date]]-RawObservationsTable[[#This Row],[Timestamp]]</f>
        <v>0</v>
      </c>
      <c r="H561" s="2"/>
      <c r="I561" s="4"/>
      <c r="J561" s="5" t="str">
        <f>IF(OR(H561="",G561="",C561=""),"",LET(n,COUNTIFS(Bank_Rates!$A$2:$A$501,H561,Bank_Rates!$B$2:$B$501,"&lt;="&amp;C561),IF(n=0,"",LET(t,MAXIFS(Bank_Rates!$B$2:$B$501,Bank_Rates!$A$2:$A$501,H561,Bank_Rates!$B$2:$B$501,"&lt;="&amp;C561),m,COUNTIFS(Bank_Rates!$A$2:$A$501,H561,Bank_Rates!$B$2:$B$501,t,Bank_Rates!$D$2:$D$501,"&lt;="&amp;G561),IF(m=0,"",LET(d,MAXIFS(Bank_Rates!$D$2:$D$501,Bank_Rates!$A$2:$A$501,H561,Bank_Rates!$B$2:$B$501,t,Bank_Rates!$D$2:$D$501,"&lt;="&amp;G561),SUMIFS(Bank_Rates!$C$2:$C$501,Bank_Rates!$A$2:$A$501,H561,Bank_Rates!$B$2:$B$501,t,Bank_Rates!$D$2:$D$501,d)))))))</f>
        <v/>
      </c>
      <c r="K561" s="6" t="str">
        <f t="shared" si="16"/>
        <v/>
      </c>
    </row>
    <row r="562" spans="1:11">
      <c r="A562" s="18" t="str">
        <f t="shared" si="17"/>
        <v/>
      </c>
      <c r="B562" s="13"/>
      <c r="C562" s="14"/>
      <c r="D562" s="3"/>
      <c r="E562" s="3"/>
      <c r="F562" s="14"/>
      <c r="G562" s="7">
        <f>RawObservationsTable[[#This Row],[Maturity Date]]-RawObservationsTable[[#This Row],[Timestamp]]</f>
        <v>0</v>
      </c>
      <c r="H562" s="2"/>
      <c r="I562" s="4"/>
      <c r="J562" s="5" t="str">
        <f>IF(OR(H562="",G562="",C562=""),"",LET(n,COUNTIFS(Bank_Rates!$A$2:$A$501,H562,Bank_Rates!$B$2:$B$501,"&lt;="&amp;C562),IF(n=0,"",LET(t,MAXIFS(Bank_Rates!$B$2:$B$501,Bank_Rates!$A$2:$A$501,H562,Bank_Rates!$B$2:$B$501,"&lt;="&amp;C562),m,COUNTIFS(Bank_Rates!$A$2:$A$501,H562,Bank_Rates!$B$2:$B$501,t,Bank_Rates!$D$2:$D$501,"&lt;="&amp;G562),IF(m=0,"",LET(d,MAXIFS(Bank_Rates!$D$2:$D$501,Bank_Rates!$A$2:$A$501,H562,Bank_Rates!$B$2:$B$501,t,Bank_Rates!$D$2:$D$501,"&lt;="&amp;G562),SUMIFS(Bank_Rates!$C$2:$C$501,Bank_Rates!$A$2:$A$501,H562,Bank_Rates!$B$2:$B$501,t,Bank_Rates!$D$2:$D$501,d)))))))</f>
        <v/>
      </c>
      <c r="K562" s="6" t="str">
        <f t="shared" si="16"/>
        <v/>
      </c>
    </row>
    <row r="563" spans="1:11">
      <c r="A563" s="18" t="str">
        <f t="shared" si="17"/>
        <v/>
      </c>
      <c r="B563" s="13"/>
      <c r="C563" s="14"/>
      <c r="D563" s="3"/>
      <c r="E563" s="3"/>
      <c r="F563" s="14"/>
      <c r="G563" s="7">
        <f>RawObservationsTable[[#This Row],[Maturity Date]]-RawObservationsTable[[#This Row],[Timestamp]]</f>
        <v>0</v>
      </c>
      <c r="H563" s="2"/>
      <c r="I563" s="4"/>
      <c r="J563" s="5" t="str">
        <f>IF(OR(H563="",G563="",C563=""),"",LET(n,COUNTIFS(Bank_Rates!$A$2:$A$501,H563,Bank_Rates!$B$2:$B$501,"&lt;="&amp;C563),IF(n=0,"",LET(t,MAXIFS(Bank_Rates!$B$2:$B$501,Bank_Rates!$A$2:$A$501,H563,Bank_Rates!$B$2:$B$501,"&lt;="&amp;C563),m,COUNTIFS(Bank_Rates!$A$2:$A$501,H563,Bank_Rates!$B$2:$B$501,t,Bank_Rates!$D$2:$D$501,"&lt;="&amp;G563),IF(m=0,"",LET(d,MAXIFS(Bank_Rates!$D$2:$D$501,Bank_Rates!$A$2:$A$501,H563,Bank_Rates!$B$2:$B$501,t,Bank_Rates!$D$2:$D$501,"&lt;="&amp;G563),SUMIFS(Bank_Rates!$C$2:$C$501,Bank_Rates!$A$2:$A$501,H563,Bank_Rates!$B$2:$B$501,t,Bank_Rates!$D$2:$D$501,d)))))))</f>
        <v/>
      </c>
      <c r="K563" s="6" t="str">
        <f t="shared" si="16"/>
        <v/>
      </c>
    </row>
    <row r="564" spans="1:11">
      <c r="A564" s="18" t="str">
        <f t="shared" si="17"/>
        <v/>
      </c>
      <c r="B564" s="13"/>
      <c r="C564" s="14"/>
      <c r="D564" s="3"/>
      <c r="E564" s="3"/>
      <c r="F564" s="14"/>
      <c r="G564" s="7">
        <f>RawObservationsTable[[#This Row],[Maturity Date]]-RawObservationsTable[[#This Row],[Timestamp]]</f>
        <v>0</v>
      </c>
      <c r="H564" s="2"/>
      <c r="I564" s="4"/>
      <c r="J564" s="5" t="str">
        <f>IF(OR(H564="",G564="",C564=""),"",LET(n,COUNTIFS(Bank_Rates!$A$2:$A$501,H564,Bank_Rates!$B$2:$B$501,"&lt;="&amp;C564),IF(n=0,"",LET(t,MAXIFS(Bank_Rates!$B$2:$B$501,Bank_Rates!$A$2:$A$501,H564,Bank_Rates!$B$2:$B$501,"&lt;="&amp;C564),m,COUNTIFS(Bank_Rates!$A$2:$A$501,H564,Bank_Rates!$B$2:$B$501,t,Bank_Rates!$D$2:$D$501,"&lt;="&amp;G564),IF(m=0,"",LET(d,MAXIFS(Bank_Rates!$D$2:$D$501,Bank_Rates!$A$2:$A$501,H564,Bank_Rates!$B$2:$B$501,t,Bank_Rates!$D$2:$D$501,"&lt;="&amp;G564),SUMIFS(Bank_Rates!$C$2:$C$501,Bank_Rates!$A$2:$A$501,H564,Bank_Rates!$B$2:$B$501,t,Bank_Rates!$D$2:$D$501,d)))))))</f>
        <v/>
      </c>
      <c r="K564" s="6" t="str">
        <f t="shared" si="16"/>
        <v/>
      </c>
    </row>
    <row r="565" spans="1:11">
      <c r="A565" s="18" t="str">
        <f t="shared" si="17"/>
        <v/>
      </c>
      <c r="B565" s="13"/>
      <c r="C565" s="14"/>
      <c r="D565" s="3"/>
      <c r="E565" s="3"/>
      <c r="F565" s="14"/>
      <c r="G565" s="7">
        <f>RawObservationsTable[[#This Row],[Maturity Date]]-RawObservationsTable[[#This Row],[Timestamp]]</f>
        <v>0</v>
      </c>
      <c r="H565" s="2"/>
      <c r="I565" s="4"/>
      <c r="J565" s="5" t="str">
        <f>IF(OR(H565="",G565="",C565=""),"",LET(n,COUNTIFS(Bank_Rates!$A$2:$A$501,H565,Bank_Rates!$B$2:$B$501,"&lt;="&amp;C565),IF(n=0,"",LET(t,MAXIFS(Bank_Rates!$B$2:$B$501,Bank_Rates!$A$2:$A$501,H565,Bank_Rates!$B$2:$B$501,"&lt;="&amp;C565),m,COUNTIFS(Bank_Rates!$A$2:$A$501,H565,Bank_Rates!$B$2:$B$501,t,Bank_Rates!$D$2:$D$501,"&lt;="&amp;G565),IF(m=0,"",LET(d,MAXIFS(Bank_Rates!$D$2:$D$501,Bank_Rates!$A$2:$A$501,H565,Bank_Rates!$B$2:$B$501,t,Bank_Rates!$D$2:$D$501,"&lt;="&amp;G565),SUMIFS(Bank_Rates!$C$2:$C$501,Bank_Rates!$A$2:$A$501,H565,Bank_Rates!$B$2:$B$501,t,Bank_Rates!$D$2:$D$501,d)))))))</f>
        <v/>
      </c>
      <c r="K565" s="6" t="str">
        <f t="shared" si="16"/>
        <v/>
      </c>
    </row>
    <row r="566" spans="1:11">
      <c r="A566" s="18" t="str">
        <f t="shared" si="17"/>
        <v/>
      </c>
      <c r="B566" s="13"/>
      <c r="C566" s="14"/>
      <c r="D566" s="3"/>
      <c r="E566" s="3"/>
      <c r="F566" s="14"/>
      <c r="G566" s="7">
        <f>RawObservationsTable[[#This Row],[Maturity Date]]-RawObservationsTable[[#This Row],[Timestamp]]</f>
        <v>0</v>
      </c>
      <c r="H566" s="2"/>
      <c r="I566" s="4"/>
      <c r="J566" s="5" t="str">
        <f>IF(OR(H566="",G566="",C566=""),"",LET(n,COUNTIFS(Bank_Rates!$A$2:$A$501,H566,Bank_Rates!$B$2:$B$501,"&lt;="&amp;C566),IF(n=0,"",LET(t,MAXIFS(Bank_Rates!$B$2:$B$501,Bank_Rates!$A$2:$A$501,H566,Bank_Rates!$B$2:$B$501,"&lt;="&amp;C566),m,COUNTIFS(Bank_Rates!$A$2:$A$501,H566,Bank_Rates!$B$2:$B$501,t,Bank_Rates!$D$2:$D$501,"&lt;="&amp;G566),IF(m=0,"",LET(d,MAXIFS(Bank_Rates!$D$2:$D$501,Bank_Rates!$A$2:$A$501,H566,Bank_Rates!$B$2:$B$501,t,Bank_Rates!$D$2:$D$501,"&lt;="&amp;G566),SUMIFS(Bank_Rates!$C$2:$C$501,Bank_Rates!$A$2:$A$501,H566,Bank_Rates!$B$2:$B$501,t,Bank_Rates!$D$2:$D$501,d)))))))</f>
        <v/>
      </c>
      <c r="K566" s="6" t="str">
        <f t="shared" si="16"/>
        <v/>
      </c>
    </row>
    <row r="567" spans="1:11">
      <c r="A567" s="18" t="str">
        <f t="shared" si="17"/>
        <v/>
      </c>
      <c r="B567" s="13"/>
      <c r="C567" s="14"/>
      <c r="D567" s="3"/>
      <c r="E567" s="3"/>
      <c r="F567" s="14"/>
      <c r="G567" s="7">
        <f>RawObservationsTable[[#This Row],[Maturity Date]]-RawObservationsTable[[#This Row],[Timestamp]]</f>
        <v>0</v>
      </c>
      <c r="H567" s="2"/>
      <c r="I567" s="4"/>
      <c r="J567" s="5" t="str">
        <f>IF(OR(H567="",G567="",C567=""),"",LET(n,COUNTIFS(Bank_Rates!$A$2:$A$501,H567,Bank_Rates!$B$2:$B$501,"&lt;="&amp;C567),IF(n=0,"",LET(t,MAXIFS(Bank_Rates!$B$2:$B$501,Bank_Rates!$A$2:$A$501,H567,Bank_Rates!$B$2:$B$501,"&lt;="&amp;C567),m,COUNTIFS(Bank_Rates!$A$2:$A$501,H567,Bank_Rates!$B$2:$B$501,t,Bank_Rates!$D$2:$D$501,"&lt;="&amp;G567),IF(m=0,"",LET(d,MAXIFS(Bank_Rates!$D$2:$D$501,Bank_Rates!$A$2:$A$501,H567,Bank_Rates!$B$2:$B$501,t,Bank_Rates!$D$2:$D$501,"&lt;="&amp;G567),SUMIFS(Bank_Rates!$C$2:$C$501,Bank_Rates!$A$2:$A$501,H567,Bank_Rates!$B$2:$B$501,t,Bank_Rates!$D$2:$D$501,d)))))))</f>
        <v/>
      </c>
      <c r="K567" s="6" t="str">
        <f t="shared" si="16"/>
        <v/>
      </c>
    </row>
    <row r="568" spans="1:11">
      <c r="A568" s="18" t="str">
        <f t="shared" si="17"/>
        <v/>
      </c>
      <c r="B568" s="13"/>
      <c r="C568" s="14"/>
      <c r="D568" s="3"/>
      <c r="E568" s="3"/>
      <c r="F568" s="14"/>
      <c r="G568" s="7">
        <f>RawObservationsTable[[#This Row],[Maturity Date]]-RawObservationsTable[[#This Row],[Timestamp]]</f>
        <v>0</v>
      </c>
      <c r="H568" s="2"/>
      <c r="I568" s="4"/>
      <c r="J568" s="5" t="str">
        <f>IF(OR(H568="",G568="",C568=""),"",LET(n,COUNTIFS(Bank_Rates!$A$2:$A$501,H568,Bank_Rates!$B$2:$B$501,"&lt;="&amp;C568),IF(n=0,"",LET(t,MAXIFS(Bank_Rates!$B$2:$B$501,Bank_Rates!$A$2:$A$501,H568,Bank_Rates!$B$2:$B$501,"&lt;="&amp;C568),m,COUNTIFS(Bank_Rates!$A$2:$A$501,H568,Bank_Rates!$B$2:$B$501,t,Bank_Rates!$D$2:$D$501,"&lt;="&amp;G568),IF(m=0,"",LET(d,MAXIFS(Bank_Rates!$D$2:$D$501,Bank_Rates!$A$2:$A$501,H568,Bank_Rates!$B$2:$B$501,t,Bank_Rates!$D$2:$D$501,"&lt;="&amp;G568),SUMIFS(Bank_Rates!$C$2:$C$501,Bank_Rates!$A$2:$A$501,H568,Bank_Rates!$B$2:$B$501,t,Bank_Rates!$D$2:$D$501,d)))))))</f>
        <v/>
      </c>
      <c r="K568" s="6" t="str">
        <f t="shared" si="16"/>
        <v/>
      </c>
    </row>
    <row r="569" spans="1:11">
      <c r="A569" s="18" t="str">
        <f t="shared" si="17"/>
        <v/>
      </c>
      <c r="B569" s="13"/>
      <c r="C569" s="14"/>
      <c r="D569" s="3"/>
      <c r="E569" s="3"/>
      <c r="F569" s="14"/>
      <c r="G569" s="7">
        <f>RawObservationsTable[[#This Row],[Maturity Date]]-RawObservationsTable[[#This Row],[Timestamp]]</f>
        <v>0</v>
      </c>
      <c r="H569" s="2"/>
      <c r="I569" s="4"/>
      <c r="J569" s="5" t="str">
        <f>IF(OR(H569="",G569="",C569=""),"",LET(n,COUNTIFS(Bank_Rates!$A$2:$A$501,H569,Bank_Rates!$B$2:$B$501,"&lt;="&amp;C569),IF(n=0,"",LET(t,MAXIFS(Bank_Rates!$B$2:$B$501,Bank_Rates!$A$2:$A$501,H569,Bank_Rates!$B$2:$B$501,"&lt;="&amp;C569),m,COUNTIFS(Bank_Rates!$A$2:$A$501,H569,Bank_Rates!$B$2:$B$501,t,Bank_Rates!$D$2:$D$501,"&lt;="&amp;G569),IF(m=0,"",LET(d,MAXIFS(Bank_Rates!$D$2:$D$501,Bank_Rates!$A$2:$A$501,H569,Bank_Rates!$B$2:$B$501,t,Bank_Rates!$D$2:$D$501,"&lt;="&amp;G569),SUMIFS(Bank_Rates!$C$2:$C$501,Bank_Rates!$A$2:$A$501,H569,Bank_Rates!$B$2:$B$501,t,Bank_Rates!$D$2:$D$501,d)))))))</f>
        <v/>
      </c>
      <c r="K569" s="6" t="str">
        <f t="shared" si="16"/>
        <v/>
      </c>
    </row>
    <row r="570" spans="1:11">
      <c r="A570" s="18" t="str">
        <f t="shared" si="17"/>
        <v/>
      </c>
      <c r="B570" s="13"/>
      <c r="C570" s="14"/>
      <c r="D570" s="3"/>
      <c r="E570" s="3"/>
      <c r="F570" s="14"/>
      <c r="G570" s="7">
        <f>RawObservationsTable[[#This Row],[Maturity Date]]-RawObservationsTable[[#This Row],[Timestamp]]</f>
        <v>0</v>
      </c>
      <c r="H570" s="2"/>
      <c r="I570" s="4"/>
      <c r="J570" s="5" t="str">
        <f>IF(OR(H570="",G570="",C570=""),"",LET(n,COUNTIFS(Bank_Rates!$A$2:$A$501,H570,Bank_Rates!$B$2:$B$501,"&lt;="&amp;C570),IF(n=0,"",LET(t,MAXIFS(Bank_Rates!$B$2:$B$501,Bank_Rates!$A$2:$A$501,H570,Bank_Rates!$B$2:$B$501,"&lt;="&amp;C570),m,COUNTIFS(Bank_Rates!$A$2:$A$501,H570,Bank_Rates!$B$2:$B$501,t,Bank_Rates!$D$2:$D$501,"&lt;="&amp;G570),IF(m=0,"",LET(d,MAXIFS(Bank_Rates!$D$2:$D$501,Bank_Rates!$A$2:$A$501,H570,Bank_Rates!$B$2:$B$501,t,Bank_Rates!$D$2:$D$501,"&lt;="&amp;G570),SUMIFS(Bank_Rates!$C$2:$C$501,Bank_Rates!$A$2:$A$501,H570,Bank_Rates!$B$2:$B$501,t,Bank_Rates!$D$2:$D$501,d)))))))</f>
        <v/>
      </c>
      <c r="K570" s="6" t="str">
        <f t="shared" si="16"/>
        <v/>
      </c>
    </row>
    <row r="571" spans="1:11">
      <c r="A571" s="18" t="str">
        <f t="shared" si="17"/>
        <v/>
      </c>
      <c r="B571" s="13"/>
      <c r="C571" s="14"/>
      <c r="D571" s="3"/>
      <c r="E571" s="3"/>
      <c r="F571" s="14"/>
      <c r="G571" s="7">
        <f>RawObservationsTable[[#This Row],[Maturity Date]]-RawObservationsTable[[#This Row],[Timestamp]]</f>
        <v>0</v>
      </c>
      <c r="H571" s="2"/>
      <c r="I571" s="4"/>
      <c r="J571" s="5" t="str">
        <f>IF(OR(H571="",G571="",C571=""),"",LET(n,COUNTIFS(Bank_Rates!$A$2:$A$501,H571,Bank_Rates!$B$2:$B$501,"&lt;="&amp;C571),IF(n=0,"",LET(t,MAXIFS(Bank_Rates!$B$2:$B$501,Bank_Rates!$A$2:$A$501,H571,Bank_Rates!$B$2:$B$501,"&lt;="&amp;C571),m,COUNTIFS(Bank_Rates!$A$2:$A$501,H571,Bank_Rates!$B$2:$B$501,t,Bank_Rates!$D$2:$D$501,"&lt;="&amp;G571),IF(m=0,"",LET(d,MAXIFS(Bank_Rates!$D$2:$D$501,Bank_Rates!$A$2:$A$501,H571,Bank_Rates!$B$2:$B$501,t,Bank_Rates!$D$2:$D$501,"&lt;="&amp;G571),SUMIFS(Bank_Rates!$C$2:$C$501,Bank_Rates!$A$2:$A$501,H571,Bank_Rates!$B$2:$B$501,t,Bank_Rates!$D$2:$D$501,d)))))))</f>
        <v/>
      </c>
      <c r="K571" s="6" t="str">
        <f t="shared" si="16"/>
        <v/>
      </c>
    </row>
    <row r="572" spans="1:11">
      <c r="A572" s="18" t="str">
        <f t="shared" si="17"/>
        <v/>
      </c>
      <c r="B572" s="13"/>
      <c r="C572" s="14"/>
      <c r="D572" s="3"/>
      <c r="E572" s="3"/>
      <c r="F572" s="14"/>
      <c r="G572" s="7">
        <f>RawObservationsTable[[#This Row],[Maturity Date]]-RawObservationsTable[[#This Row],[Timestamp]]</f>
        <v>0</v>
      </c>
      <c r="H572" s="2"/>
      <c r="I572" s="4"/>
      <c r="J572" s="5" t="str">
        <f>IF(OR(H572="",G572="",C572=""),"",LET(n,COUNTIFS(Bank_Rates!$A$2:$A$501,H572,Bank_Rates!$B$2:$B$501,"&lt;="&amp;C572),IF(n=0,"",LET(t,MAXIFS(Bank_Rates!$B$2:$B$501,Bank_Rates!$A$2:$A$501,H572,Bank_Rates!$B$2:$B$501,"&lt;="&amp;C572),m,COUNTIFS(Bank_Rates!$A$2:$A$501,H572,Bank_Rates!$B$2:$B$501,t,Bank_Rates!$D$2:$D$501,"&lt;="&amp;G572),IF(m=0,"",LET(d,MAXIFS(Bank_Rates!$D$2:$D$501,Bank_Rates!$A$2:$A$501,H572,Bank_Rates!$B$2:$B$501,t,Bank_Rates!$D$2:$D$501,"&lt;="&amp;G572),SUMIFS(Bank_Rates!$C$2:$C$501,Bank_Rates!$A$2:$A$501,H572,Bank_Rates!$B$2:$B$501,t,Bank_Rates!$D$2:$D$501,d)))))))</f>
        <v/>
      </c>
      <c r="K572" s="6" t="str">
        <f t="shared" si="16"/>
        <v/>
      </c>
    </row>
    <row r="573" spans="1:11">
      <c r="A573" s="18" t="str">
        <f t="shared" si="17"/>
        <v/>
      </c>
      <c r="B573" s="13"/>
      <c r="C573" s="14"/>
      <c r="D573" s="3"/>
      <c r="E573" s="3"/>
      <c r="F573" s="14"/>
      <c r="G573" s="7">
        <f>RawObservationsTable[[#This Row],[Maturity Date]]-RawObservationsTable[[#This Row],[Timestamp]]</f>
        <v>0</v>
      </c>
      <c r="H573" s="2"/>
      <c r="I573" s="4"/>
      <c r="J573" s="5" t="str">
        <f>IF(OR(H573="",G573="",C573=""),"",LET(n,COUNTIFS(Bank_Rates!$A$2:$A$501,H573,Bank_Rates!$B$2:$B$501,"&lt;="&amp;C573),IF(n=0,"",LET(t,MAXIFS(Bank_Rates!$B$2:$B$501,Bank_Rates!$A$2:$A$501,H573,Bank_Rates!$B$2:$B$501,"&lt;="&amp;C573),m,COUNTIFS(Bank_Rates!$A$2:$A$501,H573,Bank_Rates!$B$2:$B$501,t,Bank_Rates!$D$2:$D$501,"&lt;="&amp;G573),IF(m=0,"",LET(d,MAXIFS(Bank_Rates!$D$2:$D$501,Bank_Rates!$A$2:$A$501,H573,Bank_Rates!$B$2:$B$501,t,Bank_Rates!$D$2:$D$501,"&lt;="&amp;G573),SUMIFS(Bank_Rates!$C$2:$C$501,Bank_Rates!$A$2:$A$501,H573,Bank_Rates!$B$2:$B$501,t,Bank_Rates!$D$2:$D$501,d)))))))</f>
        <v/>
      </c>
      <c r="K573" s="6" t="str">
        <f t="shared" si="16"/>
        <v/>
      </c>
    </row>
    <row r="574" spans="1:11">
      <c r="A574" s="18" t="str">
        <f t="shared" si="17"/>
        <v/>
      </c>
      <c r="B574" s="13"/>
      <c r="C574" s="14"/>
      <c r="D574" s="3"/>
      <c r="E574" s="3"/>
      <c r="F574" s="14"/>
      <c r="G574" s="7">
        <f>RawObservationsTable[[#This Row],[Maturity Date]]-RawObservationsTable[[#This Row],[Timestamp]]</f>
        <v>0</v>
      </c>
      <c r="H574" s="2"/>
      <c r="I574" s="4"/>
      <c r="J574" s="5" t="str">
        <f>IF(OR(H574="",G574="",C574=""),"",LET(n,COUNTIFS(Bank_Rates!$A$2:$A$501,H574,Bank_Rates!$B$2:$B$501,"&lt;="&amp;C574),IF(n=0,"",LET(t,MAXIFS(Bank_Rates!$B$2:$B$501,Bank_Rates!$A$2:$A$501,H574,Bank_Rates!$B$2:$B$501,"&lt;="&amp;C574),m,COUNTIFS(Bank_Rates!$A$2:$A$501,H574,Bank_Rates!$B$2:$B$501,t,Bank_Rates!$D$2:$D$501,"&lt;="&amp;G574),IF(m=0,"",LET(d,MAXIFS(Bank_Rates!$D$2:$D$501,Bank_Rates!$A$2:$A$501,H574,Bank_Rates!$B$2:$B$501,t,Bank_Rates!$D$2:$D$501,"&lt;="&amp;G574),SUMIFS(Bank_Rates!$C$2:$C$501,Bank_Rates!$A$2:$A$501,H574,Bank_Rates!$B$2:$B$501,t,Bank_Rates!$D$2:$D$501,d)))))))</f>
        <v/>
      </c>
      <c r="K574" s="6" t="str">
        <f t="shared" si="16"/>
        <v/>
      </c>
    </row>
    <row r="575" spans="1:11">
      <c r="A575" s="18" t="str">
        <f t="shared" si="17"/>
        <v/>
      </c>
      <c r="B575" s="13"/>
      <c r="C575" s="14"/>
      <c r="D575" s="3"/>
      <c r="E575" s="3"/>
      <c r="F575" s="14"/>
      <c r="G575" s="7">
        <f>RawObservationsTable[[#This Row],[Maturity Date]]-RawObservationsTable[[#This Row],[Timestamp]]</f>
        <v>0</v>
      </c>
      <c r="H575" s="2"/>
      <c r="I575" s="4"/>
      <c r="J575" s="5" t="str">
        <f>IF(OR(H575="",G575="",C575=""),"",LET(n,COUNTIFS(Bank_Rates!$A$2:$A$501,H575,Bank_Rates!$B$2:$B$501,"&lt;="&amp;C575),IF(n=0,"",LET(t,MAXIFS(Bank_Rates!$B$2:$B$501,Bank_Rates!$A$2:$A$501,H575,Bank_Rates!$B$2:$B$501,"&lt;="&amp;C575),m,COUNTIFS(Bank_Rates!$A$2:$A$501,H575,Bank_Rates!$B$2:$B$501,t,Bank_Rates!$D$2:$D$501,"&lt;="&amp;G575),IF(m=0,"",LET(d,MAXIFS(Bank_Rates!$D$2:$D$501,Bank_Rates!$A$2:$A$501,H575,Bank_Rates!$B$2:$B$501,t,Bank_Rates!$D$2:$D$501,"&lt;="&amp;G575),SUMIFS(Bank_Rates!$C$2:$C$501,Bank_Rates!$A$2:$A$501,H575,Bank_Rates!$B$2:$B$501,t,Bank_Rates!$D$2:$D$501,d)))))))</f>
        <v/>
      </c>
      <c r="K575" s="6" t="str">
        <f t="shared" si="16"/>
        <v/>
      </c>
    </row>
    <row r="576" spans="1:11">
      <c r="A576" s="18" t="str">
        <f t="shared" si="17"/>
        <v/>
      </c>
      <c r="B576" s="13"/>
      <c r="C576" s="14"/>
      <c r="D576" s="3"/>
      <c r="E576" s="3"/>
      <c r="F576" s="14"/>
      <c r="G576" s="7">
        <f>RawObservationsTable[[#This Row],[Maturity Date]]-RawObservationsTable[[#This Row],[Timestamp]]</f>
        <v>0</v>
      </c>
      <c r="H576" s="2"/>
      <c r="I576" s="4"/>
      <c r="J576" s="5" t="str">
        <f>IF(OR(H576="",G576="",C576=""),"",LET(n,COUNTIFS(Bank_Rates!$A$2:$A$501,H576,Bank_Rates!$B$2:$B$501,"&lt;="&amp;C576),IF(n=0,"",LET(t,MAXIFS(Bank_Rates!$B$2:$B$501,Bank_Rates!$A$2:$A$501,H576,Bank_Rates!$B$2:$B$501,"&lt;="&amp;C576),m,COUNTIFS(Bank_Rates!$A$2:$A$501,H576,Bank_Rates!$B$2:$B$501,t,Bank_Rates!$D$2:$D$501,"&lt;="&amp;G576),IF(m=0,"",LET(d,MAXIFS(Bank_Rates!$D$2:$D$501,Bank_Rates!$A$2:$A$501,H576,Bank_Rates!$B$2:$B$501,t,Bank_Rates!$D$2:$D$501,"&lt;="&amp;G576),SUMIFS(Bank_Rates!$C$2:$C$501,Bank_Rates!$A$2:$A$501,H576,Bank_Rates!$B$2:$B$501,t,Bank_Rates!$D$2:$D$501,d)))))))</f>
        <v/>
      </c>
      <c r="K576" s="6" t="str">
        <f t="shared" si="16"/>
        <v/>
      </c>
    </row>
    <row r="577" spans="1:11">
      <c r="A577" s="18" t="str">
        <f t="shared" si="17"/>
        <v/>
      </c>
      <c r="B577" s="13"/>
      <c r="C577" s="14"/>
      <c r="D577" s="3"/>
      <c r="E577" s="3"/>
      <c r="F577" s="14"/>
      <c r="G577" s="7">
        <f>RawObservationsTable[[#This Row],[Maturity Date]]-RawObservationsTable[[#This Row],[Timestamp]]</f>
        <v>0</v>
      </c>
      <c r="H577" s="2"/>
      <c r="I577" s="4"/>
      <c r="J577" s="5" t="str">
        <f>IF(OR(H577="",G577="",C577=""),"",LET(n,COUNTIFS(Bank_Rates!$A$2:$A$501,H577,Bank_Rates!$B$2:$B$501,"&lt;="&amp;C577),IF(n=0,"",LET(t,MAXIFS(Bank_Rates!$B$2:$B$501,Bank_Rates!$A$2:$A$501,H577,Bank_Rates!$B$2:$B$501,"&lt;="&amp;C577),m,COUNTIFS(Bank_Rates!$A$2:$A$501,H577,Bank_Rates!$B$2:$B$501,t,Bank_Rates!$D$2:$D$501,"&lt;="&amp;G577),IF(m=0,"",LET(d,MAXIFS(Bank_Rates!$D$2:$D$501,Bank_Rates!$A$2:$A$501,H577,Bank_Rates!$B$2:$B$501,t,Bank_Rates!$D$2:$D$501,"&lt;="&amp;G577),SUMIFS(Bank_Rates!$C$2:$C$501,Bank_Rates!$A$2:$A$501,H577,Bank_Rates!$B$2:$B$501,t,Bank_Rates!$D$2:$D$501,d)))))))</f>
        <v/>
      </c>
      <c r="K577" s="6" t="str">
        <f t="shared" si="16"/>
        <v/>
      </c>
    </row>
    <row r="578" spans="1:11">
      <c r="A578" s="18" t="str">
        <f t="shared" si="17"/>
        <v/>
      </c>
      <c r="B578" s="13"/>
      <c r="C578" s="14"/>
      <c r="D578" s="3"/>
      <c r="E578" s="3"/>
      <c r="F578" s="14"/>
      <c r="G578" s="7">
        <f>RawObservationsTable[[#This Row],[Maturity Date]]-RawObservationsTable[[#This Row],[Timestamp]]</f>
        <v>0</v>
      </c>
      <c r="H578" s="2"/>
      <c r="I578" s="4"/>
      <c r="J578" s="5" t="str">
        <f>IF(OR(H578="",G578="",C578=""),"",LET(n,COUNTIFS(Bank_Rates!$A$2:$A$501,H578,Bank_Rates!$B$2:$B$501,"&lt;="&amp;C578),IF(n=0,"",LET(t,MAXIFS(Bank_Rates!$B$2:$B$501,Bank_Rates!$A$2:$A$501,H578,Bank_Rates!$B$2:$B$501,"&lt;="&amp;C578),m,COUNTIFS(Bank_Rates!$A$2:$A$501,H578,Bank_Rates!$B$2:$B$501,t,Bank_Rates!$D$2:$D$501,"&lt;="&amp;G578),IF(m=0,"",LET(d,MAXIFS(Bank_Rates!$D$2:$D$501,Bank_Rates!$A$2:$A$501,H578,Bank_Rates!$B$2:$B$501,t,Bank_Rates!$D$2:$D$501,"&lt;="&amp;G578),SUMIFS(Bank_Rates!$C$2:$C$501,Bank_Rates!$A$2:$A$501,H578,Bank_Rates!$B$2:$B$501,t,Bank_Rates!$D$2:$D$501,d)))))))</f>
        <v/>
      </c>
      <c r="K578" s="6" t="str">
        <f t="shared" ref="K578:K641" si="18">IF(OR(I578="",J578=""),"",I578-J578)</f>
        <v/>
      </c>
    </row>
    <row r="579" spans="1:11">
      <c r="A579" s="18" t="str">
        <f t="shared" ref="A579:A642" si="19">IF(B579&lt;&gt;"","L-"&amp;TEXT(ROW()-1,"0000"),"")</f>
        <v/>
      </c>
      <c r="B579" s="13"/>
      <c r="C579" s="14"/>
      <c r="D579" s="3"/>
      <c r="E579" s="3"/>
      <c r="F579" s="14"/>
      <c r="G579" s="7">
        <f>RawObservationsTable[[#This Row],[Maturity Date]]-RawObservationsTable[[#This Row],[Timestamp]]</f>
        <v>0</v>
      </c>
      <c r="H579" s="2"/>
      <c r="I579" s="4"/>
      <c r="J579" s="5" t="str">
        <f>IF(OR(H579="",G579="",C579=""),"",LET(n,COUNTIFS(Bank_Rates!$A$2:$A$501,H579,Bank_Rates!$B$2:$B$501,"&lt;="&amp;C579),IF(n=0,"",LET(t,MAXIFS(Bank_Rates!$B$2:$B$501,Bank_Rates!$A$2:$A$501,H579,Bank_Rates!$B$2:$B$501,"&lt;="&amp;C579),m,COUNTIFS(Bank_Rates!$A$2:$A$501,H579,Bank_Rates!$B$2:$B$501,t,Bank_Rates!$D$2:$D$501,"&lt;="&amp;G579),IF(m=0,"",LET(d,MAXIFS(Bank_Rates!$D$2:$D$501,Bank_Rates!$A$2:$A$501,H579,Bank_Rates!$B$2:$B$501,t,Bank_Rates!$D$2:$D$501,"&lt;="&amp;G579),SUMIFS(Bank_Rates!$C$2:$C$501,Bank_Rates!$A$2:$A$501,H579,Bank_Rates!$B$2:$B$501,t,Bank_Rates!$D$2:$D$501,d)))))))</f>
        <v/>
      </c>
      <c r="K579" s="6" t="str">
        <f t="shared" si="18"/>
        <v/>
      </c>
    </row>
    <row r="580" spans="1:11">
      <c r="A580" s="18" t="str">
        <f t="shared" si="19"/>
        <v/>
      </c>
      <c r="B580" s="13"/>
      <c r="C580" s="14"/>
      <c r="D580" s="3"/>
      <c r="E580" s="3"/>
      <c r="F580" s="14"/>
      <c r="G580" s="7">
        <f>RawObservationsTable[[#This Row],[Maturity Date]]-RawObservationsTable[[#This Row],[Timestamp]]</f>
        <v>0</v>
      </c>
      <c r="H580" s="2"/>
      <c r="I580" s="4"/>
      <c r="J580" s="5" t="str">
        <f>IF(OR(H580="",G580="",C580=""),"",LET(n,COUNTIFS(Bank_Rates!$A$2:$A$501,H580,Bank_Rates!$B$2:$B$501,"&lt;="&amp;C580),IF(n=0,"",LET(t,MAXIFS(Bank_Rates!$B$2:$B$501,Bank_Rates!$A$2:$A$501,H580,Bank_Rates!$B$2:$B$501,"&lt;="&amp;C580),m,COUNTIFS(Bank_Rates!$A$2:$A$501,H580,Bank_Rates!$B$2:$B$501,t,Bank_Rates!$D$2:$D$501,"&lt;="&amp;G580),IF(m=0,"",LET(d,MAXIFS(Bank_Rates!$D$2:$D$501,Bank_Rates!$A$2:$A$501,H580,Bank_Rates!$B$2:$B$501,t,Bank_Rates!$D$2:$D$501,"&lt;="&amp;G580),SUMIFS(Bank_Rates!$C$2:$C$501,Bank_Rates!$A$2:$A$501,H580,Bank_Rates!$B$2:$B$501,t,Bank_Rates!$D$2:$D$501,d)))))))</f>
        <v/>
      </c>
      <c r="K580" s="6" t="str">
        <f t="shared" si="18"/>
        <v/>
      </c>
    </row>
    <row r="581" spans="1:11">
      <c r="A581" s="18" t="str">
        <f t="shared" si="19"/>
        <v/>
      </c>
      <c r="B581" s="13"/>
      <c r="C581" s="14"/>
      <c r="D581" s="3"/>
      <c r="E581" s="3"/>
      <c r="F581" s="14"/>
      <c r="G581" s="7">
        <f>RawObservationsTable[[#This Row],[Maturity Date]]-RawObservationsTable[[#This Row],[Timestamp]]</f>
        <v>0</v>
      </c>
      <c r="H581" s="2"/>
      <c r="I581" s="4"/>
      <c r="J581" s="5" t="str">
        <f>IF(OR(H581="",G581="",C581=""),"",LET(n,COUNTIFS(Bank_Rates!$A$2:$A$501,H581,Bank_Rates!$B$2:$B$501,"&lt;="&amp;C581),IF(n=0,"",LET(t,MAXIFS(Bank_Rates!$B$2:$B$501,Bank_Rates!$A$2:$A$501,H581,Bank_Rates!$B$2:$B$501,"&lt;="&amp;C581),m,COUNTIFS(Bank_Rates!$A$2:$A$501,H581,Bank_Rates!$B$2:$B$501,t,Bank_Rates!$D$2:$D$501,"&lt;="&amp;G581),IF(m=0,"",LET(d,MAXIFS(Bank_Rates!$D$2:$D$501,Bank_Rates!$A$2:$A$501,H581,Bank_Rates!$B$2:$B$501,t,Bank_Rates!$D$2:$D$501,"&lt;="&amp;G581),SUMIFS(Bank_Rates!$C$2:$C$501,Bank_Rates!$A$2:$A$501,H581,Bank_Rates!$B$2:$B$501,t,Bank_Rates!$D$2:$D$501,d)))))))</f>
        <v/>
      </c>
      <c r="K581" s="6" t="str">
        <f t="shared" si="18"/>
        <v/>
      </c>
    </row>
    <row r="582" spans="1:11">
      <c r="A582" s="18" t="str">
        <f t="shared" si="19"/>
        <v/>
      </c>
      <c r="B582" s="13"/>
      <c r="C582" s="14"/>
      <c r="D582" s="3"/>
      <c r="E582" s="3"/>
      <c r="F582" s="14"/>
      <c r="G582" s="7">
        <f>RawObservationsTable[[#This Row],[Maturity Date]]-RawObservationsTable[[#This Row],[Timestamp]]</f>
        <v>0</v>
      </c>
      <c r="H582" s="2"/>
      <c r="I582" s="4"/>
      <c r="J582" s="5" t="str">
        <f>IF(OR(H582="",G582="",C582=""),"",LET(n,COUNTIFS(Bank_Rates!$A$2:$A$501,H582,Bank_Rates!$B$2:$B$501,"&lt;="&amp;C582),IF(n=0,"",LET(t,MAXIFS(Bank_Rates!$B$2:$B$501,Bank_Rates!$A$2:$A$501,H582,Bank_Rates!$B$2:$B$501,"&lt;="&amp;C582),m,COUNTIFS(Bank_Rates!$A$2:$A$501,H582,Bank_Rates!$B$2:$B$501,t,Bank_Rates!$D$2:$D$501,"&lt;="&amp;G582),IF(m=0,"",LET(d,MAXIFS(Bank_Rates!$D$2:$D$501,Bank_Rates!$A$2:$A$501,H582,Bank_Rates!$B$2:$B$501,t,Bank_Rates!$D$2:$D$501,"&lt;="&amp;G582),SUMIFS(Bank_Rates!$C$2:$C$501,Bank_Rates!$A$2:$A$501,H582,Bank_Rates!$B$2:$B$501,t,Bank_Rates!$D$2:$D$501,d)))))))</f>
        <v/>
      </c>
      <c r="K582" s="6" t="str">
        <f t="shared" si="18"/>
        <v/>
      </c>
    </row>
    <row r="583" spans="1:11">
      <c r="A583" s="18" t="str">
        <f t="shared" si="19"/>
        <v/>
      </c>
      <c r="B583" s="13"/>
      <c r="C583" s="14"/>
      <c r="D583" s="3"/>
      <c r="E583" s="3"/>
      <c r="F583" s="14"/>
      <c r="G583" s="7">
        <f>RawObservationsTable[[#This Row],[Maturity Date]]-RawObservationsTable[[#This Row],[Timestamp]]</f>
        <v>0</v>
      </c>
      <c r="H583" s="2"/>
      <c r="I583" s="4"/>
      <c r="J583" s="5" t="str">
        <f>IF(OR(H583="",G583="",C583=""),"",LET(n,COUNTIFS(Bank_Rates!$A$2:$A$501,H583,Bank_Rates!$B$2:$B$501,"&lt;="&amp;C583),IF(n=0,"",LET(t,MAXIFS(Bank_Rates!$B$2:$B$501,Bank_Rates!$A$2:$A$501,H583,Bank_Rates!$B$2:$B$501,"&lt;="&amp;C583),m,COUNTIFS(Bank_Rates!$A$2:$A$501,H583,Bank_Rates!$B$2:$B$501,t,Bank_Rates!$D$2:$D$501,"&lt;="&amp;G583),IF(m=0,"",LET(d,MAXIFS(Bank_Rates!$D$2:$D$501,Bank_Rates!$A$2:$A$501,H583,Bank_Rates!$B$2:$B$501,t,Bank_Rates!$D$2:$D$501,"&lt;="&amp;G583),SUMIFS(Bank_Rates!$C$2:$C$501,Bank_Rates!$A$2:$A$501,H583,Bank_Rates!$B$2:$B$501,t,Bank_Rates!$D$2:$D$501,d)))))))</f>
        <v/>
      </c>
      <c r="K583" s="6" t="str">
        <f t="shared" si="18"/>
        <v/>
      </c>
    </row>
    <row r="584" spans="1:11">
      <c r="A584" s="18" t="str">
        <f t="shared" si="19"/>
        <v/>
      </c>
      <c r="B584" s="13"/>
      <c r="C584" s="14"/>
      <c r="D584" s="3"/>
      <c r="E584" s="3"/>
      <c r="F584" s="14"/>
      <c r="G584" s="7">
        <f>RawObservationsTable[[#This Row],[Maturity Date]]-RawObservationsTable[[#This Row],[Timestamp]]</f>
        <v>0</v>
      </c>
      <c r="H584" s="2"/>
      <c r="I584" s="4"/>
      <c r="J584" s="5" t="str">
        <f>IF(OR(H584="",G584="",C584=""),"",LET(n,COUNTIFS(Bank_Rates!$A$2:$A$501,H584,Bank_Rates!$B$2:$B$501,"&lt;="&amp;C584),IF(n=0,"",LET(t,MAXIFS(Bank_Rates!$B$2:$B$501,Bank_Rates!$A$2:$A$501,H584,Bank_Rates!$B$2:$B$501,"&lt;="&amp;C584),m,COUNTIFS(Bank_Rates!$A$2:$A$501,H584,Bank_Rates!$B$2:$B$501,t,Bank_Rates!$D$2:$D$501,"&lt;="&amp;G584),IF(m=0,"",LET(d,MAXIFS(Bank_Rates!$D$2:$D$501,Bank_Rates!$A$2:$A$501,H584,Bank_Rates!$B$2:$B$501,t,Bank_Rates!$D$2:$D$501,"&lt;="&amp;G584),SUMIFS(Bank_Rates!$C$2:$C$501,Bank_Rates!$A$2:$A$501,H584,Bank_Rates!$B$2:$B$501,t,Bank_Rates!$D$2:$D$501,d)))))))</f>
        <v/>
      </c>
      <c r="K584" s="6" t="str">
        <f t="shared" si="18"/>
        <v/>
      </c>
    </row>
    <row r="585" spans="1:11">
      <c r="A585" s="18" t="str">
        <f t="shared" si="19"/>
        <v/>
      </c>
      <c r="B585" s="13"/>
      <c r="C585" s="14"/>
      <c r="D585" s="3"/>
      <c r="E585" s="3"/>
      <c r="F585" s="14"/>
      <c r="G585" s="7">
        <f>RawObservationsTable[[#This Row],[Maturity Date]]-RawObservationsTable[[#This Row],[Timestamp]]</f>
        <v>0</v>
      </c>
      <c r="H585" s="2"/>
      <c r="I585" s="4"/>
      <c r="J585" s="5" t="str">
        <f>IF(OR(H585="",G585="",C585=""),"",LET(n,COUNTIFS(Bank_Rates!$A$2:$A$501,H585,Bank_Rates!$B$2:$B$501,"&lt;="&amp;C585),IF(n=0,"",LET(t,MAXIFS(Bank_Rates!$B$2:$B$501,Bank_Rates!$A$2:$A$501,H585,Bank_Rates!$B$2:$B$501,"&lt;="&amp;C585),m,COUNTIFS(Bank_Rates!$A$2:$A$501,H585,Bank_Rates!$B$2:$B$501,t,Bank_Rates!$D$2:$D$501,"&lt;="&amp;G585),IF(m=0,"",LET(d,MAXIFS(Bank_Rates!$D$2:$D$501,Bank_Rates!$A$2:$A$501,H585,Bank_Rates!$B$2:$B$501,t,Bank_Rates!$D$2:$D$501,"&lt;="&amp;G585),SUMIFS(Bank_Rates!$C$2:$C$501,Bank_Rates!$A$2:$A$501,H585,Bank_Rates!$B$2:$B$501,t,Bank_Rates!$D$2:$D$501,d)))))))</f>
        <v/>
      </c>
      <c r="K585" s="6" t="str">
        <f t="shared" si="18"/>
        <v/>
      </c>
    </row>
    <row r="586" spans="1:11">
      <c r="A586" s="18" t="str">
        <f t="shared" si="19"/>
        <v/>
      </c>
      <c r="B586" s="13"/>
      <c r="C586" s="14"/>
      <c r="D586" s="3"/>
      <c r="E586" s="3"/>
      <c r="F586" s="14"/>
      <c r="G586" s="7">
        <f>RawObservationsTable[[#This Row],[Maturity Date]]-RawObservationsTable[[#This Row],[Timestamp]]</f>
        <v>0</v>
      </c>
      <c r="H586" s="2"/>
      <c r="I586" s="4"/>
      <c r="J586" s="5" t="str">
        <f>IF(OR(H586="",G586="",C586=""),"",LET(n,COUNTIFS(Bank_Rates!$A$2:$A$501,H586,Bank_Rates!$B$2:$B$501,"&lt;="&amp;C586),IF(n=0,"",LET(t,MAXIFS(Bank_Rates!$B$2:$B$501,Bank_Rates!$A$2:$A$501,H586,Bank_Rates!$B$2:$B$501,"&lt;="&amp;C586),m,COUNTIFS(Bank_Rates!$A$2:$A$501,H586,Bank_Rates!$B$2:$B$501,t,Bank_Rates!$D$2:$D$501,"&lt;="&amp;G586),IF(m=0,"",LET(d,MAXIFS(Bank_Rates!$D$2:$D$501,Bank_Rates!$A$2:$A$501,H586,Bank_Rates!$B$2:$B$501,t,Bank_Rates!$D$2:$D$501,"&lt;="&amp;G586),SUMIFS(Bank_Rates!$C$2:$C$501,Bank_Rates!$A$2:$A$501,H586,Bank_Rates!$B$2:$B$501,t,Bank_Rates!$D$2:$D$501,d)))))))</f>
        <v/>
      </c>
      <c r="K586" s="6" t="str">
        <f t="shared" si="18"/>
        <v/>
      </c>
    </row>
    <row r="587" spans="1:11">
      <c r="A587" s="18" t="str">
        <f t="shared" si="19"/>
        <v/>
      </c>
      <c r="B587" s="13"/>
      <c r="C587" s="14"/>
      <c r="D587" s="3"/>
      <c r="E587" s="3"/>
      <c r="F587" s="14"/>
      <c r="G587" s="7">
        <f>RawObservationsTable[[#This Row],[Maturity Date]]-RawObservationsTable[[#This Row],[Timestamp]]</f>
        <v>0</v>
      </c>
      <c r="H587" s="2"/>
      <c r="I587" s="4"/>
      <c r="J587" s="5" t="str">
        <f>IF(OR(H587="",G587="",C587=""),"",LET(n,COUNTIFS(Bank_Rates!$A$2:$A$501,H587,Bank_Rates!$B$2:$B$501,"&lt;="&amp;C587),IF(n=0,"",LET(t,MAXIFS(Bank_Rates!$B$2:$B$501,Bank_Rates!$A$2:$A$501,H587,Bank_Rates!$B$2:$B$501,"&lt;="&amp;C587),m,COUNTIFS(Bank_Rates!$A$2:$A$501,H587,Bank_Rates!$B$2:$B$501,t,Bank_Rates!$D$2:$D$501,"&lt;="&amp;G587),IF(m=0,"",LET(d,MAXIFS(Bank_Rates!$D$2:$D$501,Bank_Rates!$A$2:$A$501,H587,Bank_Rates!$B$2:$B$501,t,Bank_Rates!$D$2:$D$501,"&lt;="&amp;G587),SUMIFS(Bank_Rates!$C$2:$C$501,Bank_Rates!$A$2:$A$501,H587,Bank_Rates!$B$2:$B$501,t,Bank_Rates!$D$2:$D$501,d)))))))</f>
        <v/>
      </c>
      <c r="K587" s="6" t="str">
        <f t="shared" si="18"/>
        <v/>
      </c>
    </row>
    <row r="588" spans="1:11">
      <c r="A588" s="18" t="str">
        <f t="shared" si="19"/>
        <v/>
      </c>
      <c r="B588" s="13"/>
      <c r="C588" s="14"/>
      <c r="D588" s="3"/>
      <c r="E588" s="3"/>
      <c r="F588" s="14"/>
      <c r="G588" s="7">
        <f>RawObservationsTable[[#This Row],[Maturity Date]]-RawObservationsTable[[#This Row],[Timestamp]]</f>
        <v>0</v>
      </c>
      <c r="H588" s="2"/>
      <c r="I588" s="4"/>
      <c r="J588" s="5" t="str">
        <f>IF(OR(H588="",G588="",C588=""),"",LET(n,COUNTIFS(Bank_Rates!$A$2:$A$501,H588,Bank_Rates!$B$2:$B$501,"&lt;="&amp;C588),IF(n=0,"",LET(t,MAXIFS(Bank_Rates!$B$2:$B$501,Bank_Rates!$A$2:$A$501,H588,Bank_Rates!$B$2:$B$501,"&lt;="&amp;C588),m,COUNTIFS(Bank_Rates!$A$2:$A$501,H588,Bank_Rates!$B$2:$B$501,t,Bank_Rates!$D$2:$D$501,"&lt;="&amp;G588),IF(m=0,"",LET(d,MAXIFS(Bank_Rates!$D$2:$D$501,Bank_Rates!$A$2:$A$501,H588,Bank_Rates!$B$2:$B$501,t,Bank_Rates!$D$2:$D$501,"&lt;="&amp;G588),SUMIFS(Bank_Rates!$C$2:$C$501,Bank_Rates!$A$2:$A$501,H588,Bank_Rates!$B$2:$B$501,t,Bank_Rates!$D$2:$D$501,d)))))))</f>
        <v/>
      </c>
      <c r="K588" s="6" t="str">
        <f t="shared" si="18"/>
        <v/>
      </c>
    </row>
    <row r="589" spans="1:11">
      <c r="A589" s="18" t="str">
        <f t="shared" si="19"/>
        <v/>
      </c>
      <c r="B589" s="13"/>
      <c r="C589" s="14"/>
      <c r="D589" s="3"/>
      <c r="E589" s="3"/>
      <c r="F589" s="14"/>
      <c r="G589" s="7">
        <f>RawObservationsTable[[#This Row],[Maturity Date]]-RawObservationsTable[[#This Row],[Timestamp]]</f>
        <v>0</v>
      </c>
      <c r="H589" s="2"/>
      <c r="I589" s="4"/>
      <c r="J589" s="5" t="str">
        <f>IF(OR(H589="",G589="",C589=""),"",LET(n,COUNTIFS(Bank_Rates!$A$2:$A$501,H589,Bank_Rates!$B$2:$B$501,"&lt;="&amp;C589),IF(n=0,"",LET(t,MAXIFS(Bank_Rates!$B$2:$B$501,Bank_Rates!$A$2:$A$501,H589,Bank_Rates!$B$2:$B$501,"&lt;="&amp;C589),m,COUNTIFS(Bank_Rates!$A$2:$A$501,H589,Bank_Rates!$B$2:$B$501,t,Bank_Rates!$D$2:$D$501,"&lt;="&amp;G589),IF(m=0,"",LET(d,MAXIFS(Bank_Rates!$D$2:$D$501,Bank_Rates!$A$2:$A$501,H589,Bank_Rates!$B$2:$B$501,t,Bank_Rates!$D$2:$D$501,"&lt;="&amp;G589),SUMIFS(Bank_Rates!$C$2:$C$501,Bank_Rates!$A$2:$A$501,H589,Bank_Rates!$B$2:$B$501,t,Bank_Rates!$D$2:$D$501,d)))))))</f>
        <v/>
      </c>
      <c r="K589" s="6" t="str">
        <f t="shared" si="18"/>
        <v/>
      </c>
    </row>
    <row r="590" spans="1:11">
      <c r="A590" s="18" t="str">
        <f t="shared" si="19"/>
        <v/>
      </c>
      <c r="B590" s="13"/>
      <c r="C590" s="14"/>
      <c r="D590" s="3"/>
      <c r="E590" s="3"/>
      <c r="F590" s="14"/>
      <c r="G590" s="7">
        <f>RawObservationsTable[[#This Row],[Maturity Date]]-RawObservationsTable[[#This Row],[Timestamp]]</f>
        <v>0</v>
      </c>
      <c r="H590" s="2"/>
      <c r="I590" s="4"/>
      <c r="J590" s="5" t="str">
        <f>IF(OR(H590="",G590="",C590=""),"",LET(n,COUNTIFS(Bank_Rates!$A$2:$A$501,H590,Bank_Rates!$B$2:$B$501,"&lt;="&amp;C590),IF(n=0,"",LET(t,MAXIFS(Bank_Rates!$B$2:$B$501,Bank_Rates!$A$2:$A$501,H590,Bank_Rates!$B$2:$B$501,"&lt;="&amp;C590),m,COUNTIFS(Bank_Rates!$A$2:$A$501,H590,Bank_Rates!$B$2:$B$501,t,Bank_Rates!$D$2:$D$501,"&lt;="&amp;G590),IF(m=0,"",LET(d,MAXIFS(Bank_Rates!$D$2:$D$501,Bank_Rates!$A$2:$A$501,H590,Bank_Rates!$B$2:$B$501,t,Bank_Rates!$D$2:$D$501,"&lt;="&amp;G590),SUMIFS(Bank_Rates!$C$2:$C$501,Bank_Rates!$A$2:$A$501,H590,Bank_Rates!$B$2:$B$501,t,Bank_Rates!$D$2:$D$501,d)))))))</f>
        <v/>
      </c>
      <c r="K590" s="6" t="str">
        <f t="shared" si="18"/>
        <v/>
      </c>
    </row>
    <row r="591" spans="1:11">
      <c r="A591" s="18" t="str">
        <f t="shared" si="19"/>
        <v/>
      </c>
      <c r="B591" s="13"/>
      <c r="C591" s="14"/>
      <c r="D591" s="3"/>
      <c r="E591" s="3"/>
      <c r="F591" s="14"/>
      <c r="G591" s="7">
        <f>RawObservationsTable[[#This Row],[Maturity Date]]-RawObservationsTable[[#This Row],[Timestamp]]</f>
        <v>0</v>
      </c>
      <c r="H591" s="2"/>
      <c r="I591" s="4"/>
      <c r="J591" s="5" t="str">
        <f>IF(OR(H591="",G591="",C591=""),"",LET(n,COUNTIFS(Bank_Rates!$A$2:$A$501,H591,Bank_Rates!$B$2:$B$501,"&lt;="&amp;C591),IF(n=0,"",LET(t,MAXIFS(Bank_Rates!$B$2:$B$501,Bank_Rates!$A$2:$A$501,H591,Bank_Rates!$B$2:$B$501,"&lt;="&amp;C591),m,COUNTIFS(Bank_Rates!$A$2:$A$501,H591,Bank_Rates!$B$2:$B$501,t,Bank_Rates!$D$2:$D$501,"&lt;="&amp;G591),IF(m=0,"",LET(d,MAXIFS(Bank_Rates!$D$2:$D$501,Bank_Rates!$A$2:$A$501,H591,Bank_Rates!$B$2:$B$501,t,Bank_Rates!$D$2:$D$501,"&lt;="&amp;G591),SUMIFS(Bank_Rates!$C$2:$C$501,Bank_Rates!$A$2:$A$501,H591,Bank_Rates!$B$2:$B$501,t,Bank_Rates!$D$2:$D$501,d)))))))</f>
        <v/>
      </c>
      <c r="K591" s="6" t="str">
        <f t="shared" si="18"/>
        <v/>
      </c>
    </row>
    <row r="592" spans="1:11">
      <c r="A592" s="18" t="str">
        <f t="shared" si="19"/>
        <v/>
      </c>
      <c r="B592" s="13"/>
      <c r="C592" s="14"/>
      <c r="D592" s="3"/>
      <c r="E592" s="3"/>
      <c r="F592" s="14"/>
      <c r="G592" s="7">
        <f>RawObservationsTable[[#This Row],[Maturity Date]]-RawObservationsTable[[#This Row],[Timestamp]]</f>
        <v>0</v>
      </c>
      <c r="H592" s="2"/>
      <c r="I592" s="4"/>
      <c r="J592" s="5" t="str">
        <f>IF(OR(H592="",G592="",C592=""),"",LET(n,COUNTIFS(Bank_Rates!$A$2:$A$501,H592,Bank_Rates!$B$2:$B$501,"&lt;="&amp;C592),IF(n=0,"",LET(t,MAXIFS(Bank_Rates!$B$2:$B$501,Bank_Rates!$A$2:$A$501,H592,Bank_Rates!$B$2:$B$501,"&lt;="&amp;C592),m,COUNTIFS(Bank_Rates!$A$2:$A$501,H592,Bank_Rates!$B$2:$B$501,t,Bank_Rates!$D$2:$D$501,"&lt;="&amp;G592),IF(m=0,"",LET(d,MAXIFS(Bank_Rates!$D$2:$D$501,Bank_Rates!$A$2:$A$501,H592,Bank_Rates!$B$2:$B$501,t,Bank_Rates!$D$2:$D$501,"&lt;="&amp;G592),SUMIFS(Bank_Rates!$C$2:$C$501,Bank_Rates!$A$2:$A$501,H592,Bank_Rates!$B$2:$B$501,t,Bank_Rates!$D$2:$D$501,d)))))))</f>
        <v/>
      </c>
      <c r="K592" s="6" t="str">
        <f t="shared" si="18"/>
        <v/>
      </c>
    </row>
    <row r="593" spans="1:11">
      <c r="A593" s="18" t="str">
        <f t="shared" si="19"/>
        <v/>
      </c>
      <c r="B593" s="13"/>
      <c r="C593" s="14"/>
      <c r="D593" s="3"/>
      <c r="E593" s="3"/>
      <c r="F593" s="14"/>
      <c r="G593" s="7">
        <f>RawObservationsTable[[#This Row],[Maturity Date]]-RawObservationsTable[[#This Row],[Timestamp]]</f>
        <v>0</v>
      </c>
      <c r="H593" s="2"/>
      <c r="I593" s="4"/>
      <c r="J593" s="5" t="str">
        <f>IF(OR(H593="",G593="",C593=""),"",LET(n,COUNTIFS(Bank_Rates!$A$2:$A$501,H593,Bank_Rates!$B$2:$B$501,"&lt;="&amp;C593),IF(n=0,"",LET(t,MAXIFS(Bank_Rates!$B$2:$B$501,Bank_Rates!$A$2:$A$501,H593,Bank_Rates!$B$2:$B$501,"&lt;="&amp;C593),m,COUNTIFS(Bank_Rates!$A$2:$A$501,H593,Bank_Rates!$B$2:$B$501,t,Bank_Rates!$D$2:$D$501,"&lt;="&amp;G593),IF(m=0,"",LET(d,MAXIFS(Bank_Rates!$D$2:$D$501,Bank_Rates!$A$2:$A$501,H593,Bank_Rates!$B$2:$B$501,t,Bank_Rates!$D$2:$D$501,"&lt;="&amp;G593),SUMIFS(Bank_Rates!$C$2:$C$501,Bank_Rates!$A$2:$A$501,H593,Bank_Rates!$B$2:$B$501,t,Bank_Rates!$D$2:$D$501,d)))))))</f>
        <v/>
      </c>
      <c r="K593" s="6" t="str">
        <f t="shared" si="18"/>
        <v/>
      </c>
    </row>
    <row r="594" spans="1:11">
      <c r="A594" s="18" t="str">
        <f t="shared" si="19"/>
        <v/>
      </c>
      <c r="B594" s="13"/>
      <c r="C594" s="14"/>
      <c r="D594" s="3"/>
      <c r="E594" s="3"/>
      <c r="F594" s="14"/>
      <c r="G594" s="7">
        <f>RawObservationsTable[[#This Row],[Maturity Date]]-RawObservationsTable[[#This Row],[Timestamp]]</f>
        <v>0</v>
      </c>
      <c r="H594" s="2"/>
      <c r="I594" s="4"/>
      <c r="J594" s="5" t="str">
        <f>IF(OR(H594="",G594="",C594=""),"",LET(n,COUNTIFS(Bank_Rates!$A$2:$A$501,H594,Bank_Rates!$B$2:$B$501,"&lt;="&amp;C594),IF(n=0,"",LET(t,MAXIFS(Bank_Rates!$B$2:$B$501,Bank_Rates!$A$2:$A$501,H594,Bank_Rates!$B$2:$B$501,"&lt;="&amp;C594),m,COUNTIFS(Bank_Rates!$A$2:$A$501,H594,Bank_Rates!$B$2:$B$501,t,Bank_Rates!$D$2:$D$501,"&lt;="&amp;G594),IF(m=0,"",LET(d,MAXIFS(Bank_Rates!$D$2:$D$501,Bank_Rates!$A$2:$A$501,H594,Bank_Rates!$B$2:$B$501,t,Bank_Rates!$D$2:$D$501,"&lt;="&amp;G594),SUMIFS(Bank_Rates!$C$2:$C$501,Bank_Rates!$A$2:$A$501,H594,Bank_Rates!$B$2:$B$501,t,Bank_Rates!$D$2:$D$501,d)))))))</f>
        <v/>
      </c>
      <c r="K594" s="6" t="str">
        <f t="shared" si="18"/>
        <v/>
      </c>
    </row>
    <row r="595" spans="1:11">
      <c r="A595" s="18" t="str">
        <f t="shared" si="19"/>
        <v/>
      </c>
      <c r="B595" s="13"/>
      <c r="C595" s="14"/>
      <c r="D595" s="3"/>
      <c r="E595" s="3"/>
      <c r="F595" s="14"/>
      <c r="G595" s="7">
        <f>RawObservationsTable[[#This Row],[Maturity Date]]-RawObservationsTable[[#This Row],[Timestamp]]</f>
        <v>0</v>
      </c>
      <c r="H595" s="2"/>
      <c r="I595" s="4"/>
      <c r="J595" s="5" t="str">
        <f>IF(OR(H595="",G595="",C595=""),"",LET(n,COUNTIFS(Bank_Rates!$A$2:$A$501,H595,Bank_Rates!$B$2:$B$501,"&lt;="&amp;C595),IF(n=0,"",LET(t,MAXIFS(Bank_Rates!$B$2:$B$501,Bank_Rates!$A$2:$A$501,H595,Bank_Rates!$B$2:$B$501,"&lt;="&amp;C595),m,COUNTIFS(Bank_Rates!$A$2:$A$501,H595,Bank_Rates!$B$2:$B$501,t,Bank_Rates!$D$2:$D$501,"&lt;="&amp;G595),IF(m=0,"",LET(d,MAXIFS(Bank_Rates!$D$2:$D$501,Bank_Rates!$A$2:$A$501,H595,Bank_Rates!$B$2:$B$501,t,Bank_Rates!$D$2:$D$501,"&lt;="&amp;G595),SUMIFS(Bank_Rates!$C$2:$C$501,Bank_Rates!$A$2:$A$501,H595,Bank_Rates!$B$2:$B$501,t,Bank_Rates!$D$2:$D$501,d)))))))</f>
        <v/>
      </c>
      <c r="K595" s="6" t="str">
        <f t="shared" si="18"/>
        <v/>
      </c>
    </row>
    <row r="596" spans="1:11">
      <c r="A596" s="18" t="str">
        <f t="shared" si="19"/>
        <v/>
      </c>
      <c r="B596" s="13"/>
      <c r="C596" s="14"/>
      <c r="D596" s="3"/>
      <c r="E596" s="3"/>
      <c r="F596" s="14"/>
      <c r="G596" s="7">
        <f>RawObservationsTable[[#This Row],[Maturity Date]]-RawObservationsTable[[#This Row],[Timestamp]]</f>
        <v>0</v>
      </c>
      <c r="H596" s="2"/>
      <c r="I596" s="4"/>
      <c r="J596" s="5" t="str">
        <f>IF(OR(H596="",G596="",C596=""),"",LET(n,COUNTIFS(Bank_Rates!$A$2:$A$501,H596,Bank_Rates!$B$2:$B$501,"&lt;="&amp;C596),IF(n=0,"",LET(t,MAXIFS(Bank_Rates!$B$2:$B$501,Bank_Rates!$A$2:$A$501,H596,Bank_Rates!$B$2:$B$501,"&lt;="&amp;C596),m,COUNTIFS(Bank_Rates!$A$2:$A$501,H596,Bank_Rates!$B$2:$B$501,t,Bank_Rates!$D$2:$D$501,"&lt;="&amp;G596),IF(m=0,"",LET(d,MAXIFS(Bank_Rates!$D$2:$D$501,Bank_Rates!$A$2:$A$501,H596,Bank_Rates!$B$2:$B$501,t,Bank_Rates!$D$2:$D$501,"&lt;="&amp;G596),SUMIFS(Bank_Rates!$C$2:$C$501,Bank_Rates!$A$2:$A$501,H596,Bank_Rates!$B$2:$B$501,t,Bank_Rates!$D$2:$D$501,d)))))))</f>
        <v/>
      </c>
      <c r="K596" s="6" t="str">
        <f t="shared" si="18"/>
        <v/>
      </c>
    </row>
    <row r="597" spans="1:11">
      <c r="A597" s="18" t="str">
        <f t="shared" si="19"/>
        <v/>
      </c>
      <c r="B597" s="13"/>
      <c r="C597" s="14"/>
      <c r="D597" s="3"/>
      <c r="E597" s="3"/>
      <c r="F597" s="14"/>
      <c r="G597" s="7">
        <f>RawObservationsTable[[#This Row],[Maturity Date]]-RawObservationsTable[[#This Row],[Timestamp]]</f>
        <v>0</v>
      </c>
      <c r="H597" s="2"/>
      <c r="I597" s="4"/>
      <c r="J597" s="5" t="str">
        <f>IF(OR(H597="",G597="",C597=""),"",LET(n,COUNTIFS(Bank_Rates!$A$2:$A$501,H597,Bank_Rates!$B$2:$B$501,"&lt;="&amp;C597),IF(n=0,"",LET(t,MAXIFS(Bank_Rates!$B$2:$B$501,Bank_Rates!$A$2:$A$501,H597,Bank_Rates!$B$2:$B$501,"&lt;="&amp;C597),m,COUNTIFS(Bank_Rates!$A$2:$A$501,H597,Bank_Rates!$B$2:$B$501,t,Bank_Rates!$D$2:$D$501,"&lt;="&amp;G597),IF(m=0,"",LET(d,MAXIFS(Bank_Rates!$D$2:$D$501,Bank_Rates!$A$2:$A$501,H597,Bank_Rates!$B$2:$B$501,t,Bank_Rates!$D$2:$D$501,"&lt;="&amp;G597),SUMIFS(Bank_Rates!$C$2:$C$501,Bank_Rates!$A$2:$A$501,H597,Bank_Rates!$B$2:$B$501,t,Bank_Rates!$D$2:$D$501,d)))))))</f>
        <v/>
      </c>
      <c r="K597" s="6" t="str">
        <f t="shared" si="18"/>
        <v/>
      </c>
    </row>
    <row r="598" spans="1:11">
      <c r="A598" s="18" t="str">
        <f t="shared" si="19"/>
        <v/>
      </c>
      <c r="B598" s="13"/>
      <c r="C598" s="14"/>
      <c r="D598" s="3"/>
      <c r="E598" s="3"/>
      <c r="F598" s="14"/>
      <c r="G598" s="7">
        <f>RawObservationsTable[[#This Row],[Maturity Date]]-RawObservationsTable[[#This Row],[Timestamp]]</f>
        <v>0</v>
      </c>
      <c r="H598" s="2"/>
      <c r="I598" s="4"/>
      <c r="J598" s="5" t="str">
        <f>IF(OR(H598="",G598="",C598=""),"",LET(n,COUNTIFS(Bank_Rates!$A$2:$A$501,H598,Bank_Rates!$B$2:$B$501,"&lt;="&amp;C598),IF(n=0,"",LET(t,MAXIFS(Bank_Rates!$B$2:$B$501,Bank_Rates!$A$2:$A$501,H598,Bank_Rates!$B$2:$B$501,"&lt;="&amp;C598),m,COUNTIFS(Bank_Rates!$A$2:$A$501,H598,Bank_Rates!$B$2:$B$501,t,Bank_Rates!$D$2:$D$501,"&lt;="&amp;G598),IF(m=0,"",LET(d,MAXIFS(Bank_Rates!$D$2:$D$501,Bank_Rates!$A$2:$A$501,H598,Bank_Rates!$B$2:$B$501,t,Bank_Rates!$D$2:$D$501,"&lt;="&amp;G598),SUMIFS(Bank_Rates!$C$2:$C$501,Bank_Rates!$A$2:$A$501,H598,Bank_Rates!$B$2:$B$501,t,Bank_Rates!$D$2:$D$501,d)))))))</f>
        <v/>
      </c>
      <c r="K598" s="6" t="str">
        <f t="shared" si="18"/>
        <v/>
      </c>
    </row>
    <row r="599" spans="1:11">
      <c r="A599" s="18" t="str">
        <f t="shared" si="19"/>
        <v/>
      </c>
      <c r="B599" s="13"/>
      <c r="C599" s="14"/>
      <c r="D599" s="3"/>
      <c r="E599" s="3"/>
      <c r="F599" s="14"/>
      <c r="G599" s="7">
        <f>RawObservationsTable[[#This Row],[Maturity Date]]-RawObservationsTable[[#This Row],[Timestamp]]</f>
        <v>0</v>
      </c>
      <c r="H599" s="2"/>
      <c r="I599" s="4"/>
      <c r="J599" s="5" t="str">
        <f>IF(OR(H599="",G599="",C599=""),"",LET(n,COUNTIFS(Bank_Rates!$A$2:$A$501,H599,Bank_Rates!$B$2:$B$501,"&lt;="&amp;C599),IF(n=0,"",LET(t,MAXIFS(Bank_Rates!$B$2:$B$501,Bank_Rates!$A$2:$A$501,H599,Bank_Rates!$B$2:$B$501,"&lt;="&amp;C599),m,COUNTIFS(Bank_Rates!$A$2:$A$501,H599,Bank_Rates!$B$2:$B$501,t,Bank_Rates!$D$2:$D$501,"&lt;="&amp;G599),IF(m=0,"",LET(d,MAXIFS(Bank_Rates!$D$2:$D$501,Bank_Rates!$A$2:$A$501,H599,Bank_Rates!$B$2:$B$501,t,Bank_Rates!$D$2:$D$501,"&lt;="&amp;G599),SUMIFS(Bank_Rates!$C$2:$C$501,Bank_Rates!$A$2:$A$501,H599,Bank_Rates!$B$2:$B$501,t,Bank_Rates!$D$2:$D$501,d)))))))</f>
        <v/>
      </c>
      <c r="K599" s="6" t="str">
        <f t="shared" si="18"/>
        <v/>
      </c>
    </row>
    <row r="600" spans="1:11">
      <c r="A600" s="18" t="str">
        <f t="shared" si="19"/>
        <v/>
      </c>
      <c r="B600" s="13"/>
      <c r="C600" s="14"/>
      <c r="D600" s="3"/>
      <c r="E600" s="3"/>
      <c r="F600" s="14"/>
      <c r="G600" s="7">
        <f>RawObservationsTable[[#This Row],[Maturity Date]]-RawObservationsTable[[#This Row],[Timestamp]]</f>
        <v>0</v>
      </c>
      <c r="H600" s="2"/>
      <c r="I600" s="4"/>
      <c r="J600" s="5" t="str">
        <f>IF(OR(H600="",G600="",C600=""),"",LET(n,COUNTIFS(Bank_Rates!$A$2:$A$501,H600,Bank_Rates!$B$2:$B$501,"&lt;="&amp;C600),IF(n=0,"",LET(t,MAXIFS(Bank_Rates!$B$2:$B$501,Bank_Rates!$A$2:$A$501,H600,Bank_Rates!$B$2:$B$501,"&lt;="&amp;C600),m,COUNTIFS(Bank_Rates!$A$2:$A$501,H600,Bank_Rates!$B$2:$B$501,t,Bank_Rates!$D$2:$D$501,"&lt;="&amp;G600),IF(m=0,"",LET(d,MAXIFS(Bank_Rates!$D$2:$D$501,Bank_Rates!$A$2:$A$501,H600,Bank_Rates!$B$2:$B$501,t,Bank_Rates!$D$2:$D$501,"&lt;="&amp;G600),SUMIFS(Bank_Rates!$C$2:$C$501,Bank_Rates!$A$2:$A$501,H600,Bank_Rates!$B$2:$B$501,t,Bank_Rates!$D$2:$D$501,d)))))))</f>
        <v/>
      </c>
      <c r="K600" s="6" t="str">
        <f t="shared" si="18"/>
        <v/>
      </c>
    </row>
    <row r="601" spans="1:11">
      <c r="A601" s="18" t="str">
        <f t="shared" si="19"/>
        <v/>
      </c>
      <c r="B601" s="13"/>
      <c r="C601" s="14"/>
      <c r="D601" s="3"/>
      <c r="E601" s="3"/>
      <c r="F601" s="14"/>
      <c r="G601" s="7">
        <f>RawObservationsTable[[#This Row],[Maturity Date]]-RawObservationsTable[[#This Row],[Timestamp]]</f>
        <v>0</v>
      </c>
      <c r="H601" s="2"/>
      <c r="I601" s="4"/>
      <c r="J601" s="5" t="str">
        <f>IF(OR(H601="",G601="",C601=""),"",LET(n,COUNTIFS(Bank_Rates!$A$2:$A$501,H601,Bank_Rates!$B$2:$B$501,"&lt;="&amp;C601),IF(n=0,"",LET(t,MAXIFS(Bank_Rates!$B$2:$B$501,Bank_Rates!$A$2:$A$501,H601,Bank_Rates!$B$2:$B$501,"&lt;="&amp;C601),m,COUNTIFS(Bank_Rates!$A$2:$A$501,H601,Bank_Rates!$B$2:$B$501,t,Bank_Rates!$D$2:$D$501,"&lt;="&amp;G601),IF(m=0,"",LET(d,MAXIFS(Bank_Rates!$D$2:$D$501,Bank_Rates!$A$2:$A$501,H601,Bank_Rates!$B$2:$B$501,t,Bank_Rates!$D$2:$D$501,"&lt;="&amp;G601),SUMIFS(Bank_Rates!$C$2:$C$501,Bank_Rates!$A$2:$A$501,H601,Bank_Rates!$B$2:$B$501,t,Bank_Rates!$D$2:$D$501,d)))))))</f>
        <v/>
      </c>
      <c r="K601" s="6" t="str">
        <f t="shared" si="18"/>
        <v/>
      </c>
    </row>
    <row r="602" spans="1:11">
      <c r="A602" s="18" t="str">
        <f t="shared" si="19"/>
        <v/>
      </c>
      <c r="B602" s="13"/>
      <c r="C602" s="14"/>
      <c r="D602" s="3"/>
      <c r="E602" s="3"/>
      <c r="F602" s="14"/>
      <c r="G602" s="7">
        <f>RawObservationsTable[[#This Row],[Maturity Date]]-RawObservationsTable[[#This Row],[Timestamp]]</f>
        <v>0</v>
      </c>
      <c r="H602" s="2"/>
      <c r="I602" s="4"/>
      <c r="J602" s="5" t="str">
        <f>IF(OR(H602="",G602="",C602=""),"",LET(n,COUNTIFS(Bank_Rates!$A$2:$A$501,H602,Bank_Rates!$B$2:$B$501,"&lt;="&amp;C602),IF(n=0,"",LET(t,MAXIFS(Bank_Rates!$B$2:$B$501,Bank_Rates!$A$2:$A$501,H602,Bank_Rates!$B$2:$B$501,"&lt;="&amp;C602),m,COUNTIFS(Bank_Rates!$A$2:$A$501,H602,Bank_Rates!$B$2:$B$501,t,Bank_Rates!$D$2:$D$501,"&lt;="&amp;G602),IF(m=0,"",LET(d,MAXIFS(Bank_Rates!$D$2:$D$501,Bank_Rates!$A$2:$A$501,H602,Bank_Rates!$B$2:$B$501,t,Bank_Rates!$D$2:$D$501,"&lt;="&amp;G602),SUMIFS(Bank_Rates!$C$2:$C$501,Bank_Rates!$A$2:$A$501,H602,Bank_Rates!$B$2:$B$501,t,Bank_Rates!$D$2:$D$501,d)))))))</f>
        <v/>
      </c>
      <c r="K602" s="6" t="str">
        <f t="shared" si="18"/>
        <v/>
      </c>
    </row>
    <row r="603" spans="1:11">
      <c r="A603" s="18" t="str">
        <f t="shared" si="19"/>
        <v/>
      </c>
      <c r="B603" s="13"/>
      <c r="C603" s="14"/>
      <c r="D603" s="3"/>
      <c r="E603" s="3"/>
      <c r="F603" s="14"/>
      <c r="G603" s="7">
        <f>RawObservationsTable[[#This Row],[Maturity Date]]-RawObservationsTable[[#This Row],[Timestamp]]</f>
        <v>0</v>
      </c>
      <c r="H603" s="2"/>
      <c r="I603" s="4"/>
      <c r="J603" s="5" t="str">
        <f>IF(OR(H603="",G603="",C603=""),"",LET(n,COUNTIFS(Bank_Rates!$A$2:$A$501,H603,Bank_Rates!$B$2:$B$501,"&lt;="&amp;C603),IF(n=0,"",LET(t,MAXIFS(Bank_Rates!$B$2:$B$501,Bank_Rates!$A$2:$A$501,H603,Bank_Rates!$B$2:$B$501,"&lt;="&amp;C603),m,COUNTIFS(Bank_Rates!$A$2:$A$501,H603,Bank_Rates!$B$2:$B$501,t,Bank_Rates!$D$2:$D$501,"&lt;="&amp;G603),IF(m=0,"",LET(d,MAXIFS(Bank_Rates!$D$2:$D$501,Bank_Rates!$A$2:$A$501,H603,Bank_Rates!$B$2:$B$501,t,Bank_Rates!$D$2:$D$501,"&lt;="&amp;G603),SUMIFS(Bank_Rates!$C$2:$C$501,Bank_Rates!$A$2:$A$501,H603,Bank_Rates!$B$2:$B$501,t,Bank_Rates!$D$2:$D$501,d)))))))</f>
        <v/>
      </c>
      <c r="K603" s="6" t="str">
        <f t="shared" si="18"/>
        <v/>
      </c>
    </row>
    <row r="604" spans="1:11">
      <c r="A604" s="18" t="str">
        <f t="shared" si="19"/>
        <v/>
      </c>
      <c r="B604" s="13"/>
      <c r="C604" s="14"/>
      <c r="D604" s="3"/>
      <c r="E604" s="3"/>
      <c r="F604" s="14"/>
      <c r="G604" s="7">
        <f>RawObservationsTable[[#This Row],[Maturity Date]]-RawObservationsTable[[#This Row],[Timestamp]]</f>
        <v>0</v>
      </c>
      <c r="H604" s="2"/>
      <c r="I604" s="4"/>
      <c r="J604" s="5" t="str">
        <f>IF(OR(H604="",G604="",C604=""),"",LET(n,COUNTIFS(Bank_Rates!$A$2:$A$501,H604,Bank_Rates!$B$2:$B$501,"&lt;="&amp;C604),IF(n=0,"",LET(t,MAXIFS(Bank_Rates!$B$2:$B$501,Bank_Rates!$A$2:$A$501,H604,Bank_Rates!$B$2:$B$501,"&lt;="&amp;C604),m,COUNTIFS(Bank_Rates!$A$2:$A$501,H604,Bank_Rates!$B$2:$B$501,t,Bank_Rates!$D$2:$D$501,"&lt;="&amp;G604),IF(m=0,"",LET(d,MAXIFS(Bank_Rates!$D$2:$D$501,Bank_Rates!$A$2:$A$501,H604,Bank_Rates!$B$2:$B$501,t,Bank_Rates!$D$2:$D$501,"&lt;="&amp;G604),SUMIFS(Bank_Rates!$C$2:$C$501,Bank_Rates!$A$2:$A$501,H604,Bank_Rates!$B$2:$B$501,t,Bank_Rates!$D$2:$D$501,d)))))))</f>
        <v/>
      </c>
      <c r="K604" s="6" t="str">
        <f t="shared" si="18"/>
        <v/>
      </c>
    </row>
    <row r="605" spans="1:11">
      <c r="A605" s="18" t="str">
        <f t="shared" si="19"/>
        <v/>
      </c>
      <c r="B605" s="13"/>
      <c r="C605" s="14"/>
      <c r="D605" s="3"/>
      <c r="E605" s="3"/>
      <c r="F605" s="14"/>
      <c r="G605" s="7">
        <f>RawObservationsTable[[#This Row],[Maturity Date]]-RawObservationsTable[[#This Row],[Timestamp]]</f>
        <v>0</v>
      </c>
      <c r="H605" s="2"/>
      <c r="I605" s="4"/>
      <c r="J605" s="5" t="str">
        <f>IF(OR(H605="",G605="",C605=""),"",LET(n,COUNTIFS(Bank_Rates!$A$2:$A$501,H605,Bank_Rates!$B$2:$B$501,"&lt;="&amp;C605),IF(n=0,"",LET(t,MAXIFS(Bank_Rates!$B$2:$B$501,Bank_Rates!$A$2:$A$501,H605,Bank_Rates!$B$2:$B$501,"&lt;="&amp;C605),m,COUNTIFS(Bank_Rates!$A$2:$A$501,H605,Bank_Rates!$B$2:$B$501,t,Bank_Rates!$D$2:$D$501,"&lt;="&amp;G605),IF(m=0,"",LET(d,MAXIFS(Bank_Rates!$D$2:$D$501,Bank_Rates!$A$2:$A$501,H605,Bank_Rates!$B$2:$B$501,t,Bank_Rates!$D$2:$D$501,"&lt;="&amp;G605),SUMIFS(Bank_Rates!$C$2:$C$501,Bank_Rates!$A$2:$A$501,H605,Bank_Rates!$B$2:$B$501,t,Bank_Rates!$D$2:$D$501,d)))))))</f>
        <v/>
      </c>
      <c r="K605" s="6" t="str">
        <f t="shared" si="18"/>
        <v/>
      </c>
    </row>
    <row r="606" spans="1:11">
      <c r="A606" s="18" t="str">
        <f t="shared" si="19"/>
        <v/>
      </c>
      <c r="B606" s="13"/>
      <c r="C606" s="14"/>
      <c r="D606" s="3"/>
      <c r="E606" s="3"/>
      <c r="F606" s="14"/>
      <c r="G606" s="7">
        <f>RawObservationsTable[[#This Row],[Maturity Date]]-RawObservationsTable[[#This Row],[Timestamp]]</f>
        <v>0</v>
      </c>
      <c r="H606" s="2"/>
      <c r="I606" s="4"/>
      <c r="J606" s="5" t="str">
        <f>IF(OR(H606="",G606="",C606=""),"",LET(n,COUNTIFS(Bank_Rates!$A$2:$A$501,H606,Bank_Rates!$B$2:$B$501,"&lt;="&amp;C606),IF(n=0,"",LET(t,MAXIFS(Bank_Rates!$B$2:$B$501,Bank_Rates!$A$2:$A$501,H606,Bank_Rates!$B$2:$B$501,"&lt;="&amp;C606),m,COUNTIFS(Bank_Rates!$A$2:$A$501,H606,Bank_Rates!$B$2:$B$501,t,Bank_Rates!$D$2:$D$501,"&lt;="&amp;G606),IF(m=0,"",LET(d,MAXIFS(Bank_Rates!$D$2:$D$501,Bank_Rates!$A$2:$A$501,H606,Bank_Rates!$B$2:$B$501,t,Bank_Rates!$D$2:$D$501,"&lt;="&amp;G606),SUMIFS(Bank_Rates!$C$2:$C$501,Bank_Rates!$A$2:$A$501,H606,Bank_Rates!$B$2:$B$501,t,Bank_Rates!$D$2:$D$501,d)))))))</f>
        <v/>
      </c>
      <c r="K606" s="6" t="str">
        <f t="shared" si="18"/>
        <v/>
      </c>
    </row>
    <row r="607" spans="1:11">
      <c r="A607" s="18" t="str">
        <f t="shared" si="19"/>
        <v/>
      </c>
      <c r="B607" s="13"/>
      <c r="C607" s="14"/>
      <c r="D607" s="3"/>
      <c r="E607" s="3"/>
      <c r="F607" s="14"/>
      <c r="G607" s="7">
        <f>RawObservationsTable[[#This Row],[Maturity Date]]-RawObservationsTable[[#This Row],[Timestamp]]</f>
        <v>0</v>
      </c>
      <c r="H607" s="2"/>
      <c r="I607" s="4"/>
      <c r="J607" s="5" t="str">
        <f>IF(OR(H607="",G607="",C607=""),"",LET(n,COUNTIFS(Bank_Rates!$A$2:$A$501,H607,Bank_Rates!$B$2:$B$501,"&lt;="&amp;C607),IF(n=0,"",LET(t,MAXIFS(Bank_Rates!$B$2:$B$501,Bank_Rates!$A$2:$A$501,H607,Bank_Rates!$B$2:$B$501,"&lt;="&amp;C607),m,COUNTIFS(Bank_Rates!$A$2:$A$501,H607,Bank_Rates!$B$2:$B$501,t,Bank_Rates!$D$2:$D$501,"&lt;="&amp;G607),IF(m=0,"",LET(d,MAXIFS(Bank_Rates!$D$2:$D$501,Bank_Rates!$A$2:$A$501,H607,Bank_Rates!$B$2:$B$501,t,Bank_Rates!$D$2:$D$501,"&lt;="&amp;G607),SUMIFS(Bank_Rates!$C$2:$C$501,Bank_Rates!$A$2:$A$501,H607,Bank_Rates!$B$2:$B$501,t,Bank_Rates!$D$2:$D$501,d)))))))</f>
        <v/>
      </c>
      <c r="K607" s="6" t="str">
        <f t="shared" si="18"/>
        <v/>
      </c>
    </row>
    <row r="608" spans="1:11">
      <c r="A608" s="18" t="str">
        <f t="shared" si="19"/>
        <v/>
      </c>
      <c r="B608" s="13"/>
      <c r="C608" s="14"/>
      <c r="D608" s="3"/>
      <c r="E608" s="3"/>
      <c r="F608" s="14"/>
      <c r="G608" s="7">
        <f>RawObservationsTable[[#This Row],[Maturity Date]]-RawObservationsTable[[#This Row],[Timestamp]]</f>
        <v>0</v>
      </c>
      <c r="H608" s="2"/>
      <c r="I608" s="4"/>
      <c r="J608" s="5" t="str">
        <f>IF(OR(H608="",G608="",C608=""),"",LET(n,COUNTIFS(Bank_Rates!$A$2:$A$501,H608,Bank_Rates!$B$2:$B$501,"&lt;="&amp;C608),IF(n=0,"",LET(t,MAXIFS(Bank_Rates!$B$2:$B$501,Bank_Rates!$A$2:$A$501,H608,Bank_Rates!$B$2:$B$501,"&lt;="&amp;C608),m,COUNTIFS(Bank_Rates!$A$2:$A$501,H608,Bank_Rates!$B$2:$B$501,t,Bank_Rates!$D$2:$D$501,"&lt;="&amp;G608),IF(m=0,"",LET(d,MAXIFS(Bank_Rates!$D$2:$D$501,Bank_Rates!$A$2:$A$501,H608,Bank_Rates!$B$2:$B$501,t,Bank_Rates!$D$2:$D$501,"&lt;="&amp;G608),SUMIFS(Bank_Rates!$C$2:$C$501,Bank_Rates!$A$2:$A$501,H608,Bank_Rates!$B$2:$B$501,t,Bank_Rates!$D$2:$D$501,d)))))))</f>
        <v/>
      </c>
      <c r="K608" s="6" t="str">
        <f t="shared" si="18"/>
        <v/>
      </c>
    </row>
    <row r="609" spans="1:11">
      <c r="A609" s="18" t="str">
        <f t="shared" si="19"/>
        <v/>
      </c>
      <c r="B609" s="13"/>
      <c r="C609" s="14"/>
      <c r="D609" s="3"/>
      <c r="E609" s="3"/>
      <c r="F609" s="14"/>
      <c r="G609" s="7">
        <f>RawObservationsTable[[#This Row],[Maturity Date]]-RawObservationsTable[[#This Row],[Timestamp]]</f>
        <v>0</v>
      </c>
      <c r="H609" s="2"/>
      <c r="I609" s="4"/>
      <c r="J609" s="5" t="str">
        <f>IF(OR(H609="",G609="",C609=""),"",LET(n,COUNTIFS(Bank_Rates!$A$2:$A$501,H609,Bank_Rates!$B$2:$B$501,"&lt;="&amp;C609),IF(n=0,"",LET(t,MAXIFS(Bank_Rates!$B$2:$B$501,Bank_Rates!$A$2:$A$501,H609,Bank_Rates!$B$2:$B$501,"&lt;="&amp;C609),m,COUNTIFS(Bank_Rates!$A$2:$A$501,H609,Bank_Rates!$B$2:$B$501,t,Bank_Rates!$D$2:$D$501,"&lt;="&amp;G609),IF(m=0,"",LET(d,MAXIFS(Bank_Rates!$D$2:$D$501,Bank_Rates!$A$2:$A$501,H609,Bank_Rates!$B$2:$B$501,t,Bank_Rates!$D$2:$D$501,"&lt;="&amp;G609),SUMIFS(Bank_Rates!$C$2:$C$501,Bank_Rates!$A$2:$A$501,H609,Bank_Rates!$B$2:$B$501,t,Bank_Rates!$D$2:$D$501,d)))))))</f>
        <v/>
      </c>
      <c r="K609" s="6" t="str">
        <f t="shared" si="18"/>
        <v/>
      </c>
    </row>
    <row r="610" spans="1:11">
      <c r="A610" s="18" t="str">
        <f t="shared" si="19"/>
        <v/>
      </c>
      <c r="B610" s="13"/>
      <c r="C610" s="14"/>
      <c r="D610" s="3"/>
      <c r="E610" s="3"/>
      <c r="F610" s="14"/>
      <c r="G610" s="7">
        <f>RawObservationsTable[[#This Row],[Maturity Date]]-RawObservationsTable[[#This Row],[Timestamp]]</f>
        <v>0</v>
      </c>
      <c r="H610" s="2"/>
      <c r="I610" s="4"/>
      <c r="J610" s="5" t="str">
        <f>IF(OR(H610="",G610="",C610=""),"",LET(n,COUNTIFS(Bank_Rates!$A$2:$A$501,H610,Bank_Rates!$B$2:$B$501,"&lt;="&amp;C610),IF(n=0,"",LET(t,MAXIFS(Bank_Rates!$B$2:$B$501,Bank_Rates!$A$2:$A$501,H610,Bank_Rates!$B$2:$B$501,"&lt;="&amp;C610),m,COUNTIFS(Bank_Rates!$A$2:$A$501,H610,Bank_Rates!$B$2:$B$501,t,Bank_Rates!$D$2:$D$501,"&lt;="&amp;G610),IF(m=0,"",LET(d,MAXIFS(Bank_Rates!$D$2:$D$501,Bank_Rates!$A$2:$A$501,H610,Bank_Rates!$B$2:$B$501,t,Bank_Rates!$D$2:$D$501,"&lt;="&amp;G610),SUMIFS(Bank_Rates!$C$2:$C$501,Bank_Rates!$A$2:$A$501,H610,Bank_Rates!$B$2:$B$501,t,Bank_Rates!$D$2:$D$501,d)))))))</f>
        <v/>
      </c>
      <c r="K610" s="6" t="str">
        <f t="shared" si="18"/>
        <v/>
      </c>
    </row>
    <row r="611" spans="1:11">
      <c r="A611" s="18" t="str">
        <f t="shared" si="19"/>
        <v/>
      </c>
      <c r="B611" s="13"/>
      <c r="C611" s="14"/>
      <c r="D611" s="3"/>
      <c r="E611" s="3"/>
      <c r="F611" s="14"/>
      <c r="G611" s="7">
        <f>RawObservationsTable[[#This Row],[Maturity Date]]-RawObservationsTable[[#This Row],[Timestamp]]</f>
        <v>0</v>
      </c>
      <c r="H611" s="2"/>
      <c r="I611" s="4"/>
      <c r="J611" s="5" t="str">
        <f>IF(OR(H611="",G611="",C611=""),"",LET(n,COUNTIFS(Bank_Rates!$A$2:$A$501,H611,Bank_Rates!$B$2:$B$501,"&lt;="&amp;C611),IF(n=0,"",LET(t,MAXIFS(Bank_Rates!$B$2:$B$501,Bank_Rates!$A$2:$A$501,H611,Bank_Rates!$B$2:$B$501,"&lt;="&amp;C611),m,COUNTIFS(Bank_Rates!$A$2:$A$501,H611,Bank_Rates!$B$2:$B$501,t,Bank_Rates!$D$2:$D$501,"&lt;="&amp;G611),IF(m=0,"",LET(d,MAXIFS(Bank_Rates!$D$2:$D$501,Bank_Rates!$A$2:$A$501,H611,Bank_Rates!$B$2:$B$501,t,Bank_Rates!$D$2:$D$501,"&lt;="&amp;G611),SUMIFS(Bank_Rates!$C$2:$C$501,Bank_Rates!$A$2:$A$501,H611,Bank_Rates!$B$2:$B$501,t,Bank_Rates!$D$2:$D$501,d)))))))</f>
        <v/>
      </c>
      <c r="K611" s="6" t="str">
        <f t="shared" si="18"/>
        <v/>
      </c>
    </row>
    <row r="612" spans="1:11">
      <c r="A612" s="18" t="str">
        <f t="shared" si="19"/>
        <v/>
      </c>
      <c r="B612" s="13"/>
      <c r="C612" s="14"/>
      <c r="D612" s="3"/>
      <c r="E612" s="3"/>
      <c r="F612" s="14"/>
      <c r="G612" s="7">
        <f>RawObservationsTable[[#This Row],[Maturity Date]]-RawObservationsTable[[#This Row],[Timestamp]]</f>
        <v>0</v>
      </c>
      <c r="H612" s="2"/>
      <c r="I612" s="4"/>
      <c r="J612" s="5" t="str">
        <f>IF(OR(H612="",G612="",C612=""),"",LET(n,COUNTIFS(Bank_Rates!$A$2:$A$501,H612,Bank_Rates!$B$2:$B$501,"&lt;="&amp;C612),IF(n=0,"",LET(t,MAXIFS(Bank_Rates!$B$2:$B$501,Bank_Rates!$A$2:$A$501,H612,Bank_Rates!$B$2:$B$501,"&lt;="&amp;C612),m,COUNTIFS(Bank_Rates!$A$2:$A$501,H612,Bank_Rates!$B$2:$B$501,t,Bank_Rates!$D$2:$D$501,"&lt;="&amp;G612),IF(m=0,"",LET(d,MAXIFS(Bank_Rates!$D$2:$D$501,Bank_Rates!$A$2:$A$501,H612,Bank_Rates!$B$2:$B$501,t,Bank_Rates!$D$2:$D$501,"&lt;="&amp;G612),SUMIFS(Bank_Rates!$C$2:$C$501,Bank_Rates!$A$2:$A$501,H612,Bank_Rates!$B$2:$B$501,t,Bank_Rates!$D$2:$D$501,d)))))))</f>
        <v/>
      </c>
      <c r="K612" s="6" t="str">
        <f t="shared" si="18"/>
        <v/>
      </c>
    </row>
    <row r="613" spans="1:11">
      <c r="A613" s="18" t="str">
        <f t="shared" si="19"/>
        <v/>
      </c>
      <c r="B613" s="13"/>
      <c r="C613" s="14"/>
      <c r="D613" s="3"/>
      <c r="E613" s="3"/>
      <c r="F613" s="14"/>
      <c r="G613" s="7">
        <f>RawObservationsTable[[#This Row],[Maturity Date]]-RawObservationsTable[[#This Row],[Timestamp]]</f>
        <v>0</v>
      </c>
      <c r="H613" s="2"/>
      <c r="I613" s="4"/>
      <c r="J613" s="5" t="str">
        <f>IF(OR(H613="",G613="",C613=""),"",LET(n,COUNTIFS(Bank_Rates!$A$2:$A$501,H613,Bank_Rates!$B$2:$B$501,"&lt;="&amp;C613),IF(n=0,"",LET(t,MAXIFS(Bank_Rates!$B$2:$B$501,Bank_Rates!$A$2:$A$501,H613,Bank_Rates!$B$2:$B$501,"&lt;="&amp;C613),m,COUNTIFS(Bank_Rates!$A$2:$A$501,H613,Bank_Rates!$B$2:$B$501,t,Bank_Rates!$D$2:$D$501,"&lt;="&amp;G613),IF(m=0,"",LET(d,MAXIFS(Bank_Rates!$D$2:$D$501,Bank_Rates!$A$2:$A$501,H613,Bank_Rates!$B$2:$B$501,t,Bank_Rates!$D$2:$D$501,"&lt;="&amp;G613),SUMIFS(Bank_Rates!$C$2:$C$501,Bank_Rates!$A$2:$A$501,H613,Bank_Rates!$B$2:$B$501,t,Bank_Rates!$D$2:$D$501,d)))))))</f>
        <v/>
      </c>
      <c r="K613" s="6" t="str">
        <f t="shared" si="18"/>
        <v/>
      </c>
    </row>
    <row r="614" spans="1:11">
      <c r="A614" s="18" t="str">
        <f t="shared" si="19"/>
        <v/>
      </c>
      <c r="B614" s="13"/>
      <c r="C614" s="14"/>
      <c r="D614" s="3"/>
      <c r="E614" s="3"/>
      <c r="F614" s="14"/>
      <c r="G614" s="7">
        <f>RawObservationsTable[[#This Row],[Maturity Date]]-RawObservationsTable[[#This Row],[Timestamp]]</f>
        <v>0</v>
      </c>
      <c r="H614" s="2"/>
      <c r="I614" s="4"/>
      <c r="J614" s="5" t="str">
        <f>IF(OR(H614="",G614="",C614=""),"",LET(n,COUNTIFS(Bank_Rates!$A$2:$A$501,H614,Bank_Rates!$B$2:$B$501,"&lt;="&amp;C614),IF(n=0,"",LET(t,MAXIFS(Bank_Rates!$B$2:$B$501,Bank_Rates!$A$2:$A$501,H614,Bank_Rates!$B$2:$B$501,"&lt;="&amp;C614),m,COUNTIFS(Bank_Rates!$A$2:$A$501,H614,Bank_Rates!$B$2:$B$501,t,Bank_Rates!$D$2:$D$501,"&lt;="&amp;G614),IF(m=0,"",LET(d,MAXIFS(Bank_Rates!$D$2:$D$501,Bank_Rates!$A$2:$A$501,H614,Bank_Rates!$B$2:$B$501,t,Bank_Rates!$D$2:$D$501,"&lt;="&amp;G614),SUMIFS(Bank_Rates!$C$2:$C$501,Bank_Rates!$A$2:$A$501,H614,Bank_Rates!$B$2:$B$501,t,Bank_Rates!$D$2:$D$501,d)))))))</f>
        <v/>
      </c>
      <c r="K614" s="6" t="str">
        <f t="shared" si="18"/>
        <v/>
      </c>
    </row>
    <row r="615" spans="1:11">
      <c r="A615" s="18" t="str">
        <f t="shared" si="19"/>
        <v/>
      </c>
      <c r="B615" s="13"/>
      <c r="C615" s="14"/>
      <c r="D615" s="3"/>
      <c r="E615" s="3"/>
      <c r="F615" s="14"/>
      <c r="G615" s="7">
        <f>RawObservationsTable[[#This Row],[Maturity Date]]-RawObservationsTable[[#This Row],[Timestamp]]</f>
        <v>0</v>
      </c>
      <c r="H615" s="2"/>
      <c r="I615" s="4"/>
      <c r="J615" s="5" t="str">
        <f>IF(OR(H615="",G615="",C615=""),"",LET(n,COUNTIFS(Bank_Rates!$A$2:$A$501,H615,Bank_Rates!$B$2:$B$501,"&lt;="&amp;C615),IF(n=0,"",LET(t,MAXIFS(Bank_Rates!$B$2:$B$501,Bank_Rates!$A$2:$A$501,H615,Bank_Rates!$B$2:$B$501,"&lt;="&amp;C615),m,COUNTIFS(Bank_Rates!$A$2:$A$501,H615,Bank_Rates!$B$2:$B$501,t,Bank_Rates!$D$2:$D$501,"&lt;="&amp;G615),IF(m=0,"",LET(d,MAXIFS(Bank_Rates!$D$2:$D$501,Bank_Rates!$A$2:$A$501,H615,Bank_Rates!$B$2:$B$501,t,Bank_Rates!$D$2:$D$501,"&lt;="&amp;G615),SUMIFS(Bank_Rates!$C$2:$C$501,Bank_Rates!$A$2:$A$501,H615,Bank_Rates!$B$2:$B$501,t,Bank_Rates!$D$2:$D$501,d)))))))</f>
        <v/>
      </c>
      <c r="K615" s="6" t="str">
        <f t="shared" si="18"/>
        <v/>
      </c>
    </row>
    <row r="616" spans="1:11">
      <c r="A616" s="18" t="str">
        <f t="shared" si="19"/>
        <v/>
      </c>
      <c r="B616" s="13"/>
      <c r="C616" s="14"/>
      <c r="D616" s="3"/>
      <c r="E616" s="3"/>
      <c r="F616" s="14"/>
      <c r="G616" s="7">
        <f>RawObservationsTable[[#This Row],[Maturity Date]]-RawObservationsTable[[#This Row],[Timestamp]]</f>
        <v>0</v>
      </c>
      <c r="H616" s="2"/>
      <c r="I616" s="4"/>
      <c r="J616" s="5" t="str">
        <f>IF(OR(H616="",G616="",C616=""),"",LET(n,COUNTIFS(Bank_Rates!$A$2:$A$501,H616,Bank_Rates!$B$2:$B$501,"&lt;="&amp;C616),IF(n=0,"",LET(t,MAXIFS(Bank_Rates!$B$2:$B$501,Bank_Rates!$A$2:$A$501,H616,Bank_Rates!$B$2:$B$501,"&lt;="&amp;C616),m,COUNTIFS(Bank_Rates!$A$2:$A$501,H616,Bank_Rates!$B$2:$B$501,t,Bank_Rates!$D$2:$D$501,"&lt;="&amp;G616),IF(m=0,"",LET(d,MAXIFS(Bank_Rates!$D$2:$D$501,Bank_Rates!$A$2:$A$501,H616,Bank_Rates!$B$2:$B$501,t,Bank_Rates!$D$2:$D$501,"&lt;="&amp;G616),SUMIFS(Bank_Rates!$C$2:$C$501,Bank_Rates!$A$2:$A$501,H616,Bank_Rates!$B$2:$B$501,t,Bank_Rates!$D$2:$D$501,d)))))))</f>
        <v/>
      </c>
      <c r="K616" s="6" t="str">
        <f t="shared" si="18"/>
        <v/>
      </c>
    </row>
    <row r="617" spans="1:11">
      <c r="A617" s="18" t="str">
        <f t="shared" si="19"/>
        <v/>
      </c>
      <c r="B617" s="13"/>
      <c r="C617" s="14"/>
      <c r="D617" s="3"/>
      <c r="E617" s="3"/>
      <c r="F617" s="14"/>
      <c r="G617" s="7">
        <f>RawObservationsTable[[#This Row],[Maturity Date]]-RawObservationsTable[[#This Row],[Timestamp]]</f>
        <v>0</v>
      </c>
      <c r="H617" s="2"/>
      <c r="I617" s="4"/>
      <c r="J617" s="5" t="str">
        <f>IF(OR(H617="",G617="",C617=""),"",LET(n,COUNTIFS(Bank_Rates!$A$2:$A$501,H617,Bank_Rates!$B$2:$B$501,"&lt;="&amp;C617),IF(n=0,"",LET(t,MAXIFS(Bank_Rates!$B$2:$B$501,Bank_Rates!$A$2:$A$501,H617,Bank_Rates!$B$2:$B$501,"&lt;="&amp;C617),m,COUNTIFS(Bank_Rates!$A$2:$A$501,H617,Bank_Rates!$B$2:$B$501,t,Bank_Rates!$D$2:$D$501,"&lt;="&amp;G617),IF(m=0,"",LET(d,MAXIFS(Bank_Rates!$D$2:$D$501,Bank_Rates!$A$2:$A$501,H617,Bank_Rates!$B$2:$B$501,t,Bank_Rates!$D$2:$D$501,"&lt;="&amp;G617),SUMIFS(Bank_Rates!$C$2:$C$501,Bank_Rates!$A$2:$A$501,H617,Bank_Rates!$B$2:$B$501,t,Bank_Rates!$D$2:$D$501,d)))))))</f>
        <v/>
      </c>
      <c r="K617" s="6" t="str">
        <f t="shared" si="18"/>
        <v/>
      </c>
    </row>
    <row r="618" spans="1:11">
      <c r="A618" s="18" t="str">
        <f t="shared" si="19"/>
        <v/>
      </c>
      <c r="B618" s="13"/>
      <c r="C618" s="14"/>
      <c r="D618" s="3"/>
      <c r="E618" s="3"/>
      <c r="F618" s="14"/>
      <c r="G618" s="7">
        <f>RawObservationsTable[[#This Row],[Maturity Date]]-RawObservationsTable[[#This Row],[Timestamp]]</f>
        <v>0</v>
      </c>
      <c r="H618" s="2"/>
      <c r="I618" s="4"/>
      <c r="J618" s="5" t="str">
        <f>IF(OR(H618="",G618="",C618=""),"",LET(n,COUNTIFS(Bank_Rates!$A$2:$A$501,H618,Bank_Rates!$B$2:$B$501,"&lt;="&amp;C618),IF(n=0,"",LET(t,MAXIFS(Bank_Rates!$B$2:$B$501,Bank_Rates!$A$2:$A$501,H618,Bank_Rates!$B$2:$B$501,"&lt;="&amp;C618),m,COUNTIFS(Bank_Rates!$A$2:$A$501,H618,Bank_Rates!$B$2:$B$501,t,Bank_Rates!$D$2:$D$501,"&lt;="&amp;G618),IF(m=0,"",LET(d,MAXIFS(Bank_Rates!$D$2:$D$501,Bank_Rates!$A$2:$A$501,H618,Bank_Rates!$B$2:$B$501,t,Bank_Rates!$D$2:$D$501,"&lt;="&amp;G618),SUMIFS(Bank_Rates!$C$2:$C$501,Bank_Rates!$A$2:$A$501,H618,Bank_Rates!$B$2:$B$501,t,Bank_Rates!$D$2:$D$501,d)))))))</f>
        <v/>
      </c>
      <c r="K618" s="6" t="str">
        <f t="shared" si="18"/>
        <v/>
      </c>
    </row>
    <row r="619" spans="1:11">
      <c r="A619" s="18" t="str">
        <f t="shared" si="19"/>
        <v/>
      </c>
      <c r="B619" s="13"/>
      <c r="C619" s="14"/>
      <c r="D619" s="3"/>
      <c r="E619" s="3"/>
      <c r="F619" s="14"/>
      <c r="G619" s="7">
        <f>RawObservationsTable[[#This Row],[Maturity Date]]-RawObservationsTable[[#This Row],[Timestamp]]</f>
        <v>0</v>
      </c>
      <c r="H619" s="2"/>
      <c r="I619" s="4"/>
      <c r="J619" s="5" t="str">
        <f>IF(OR(H619="",G619="",C619=""),"",LET(n,COUNTIFS(Bank_Rates!$A$2:$A$501,H619,Bank_Rates!$B$2:$B$501,"&lt;="&amp;C619),IF(n=0,"",LET(t,MAXIFS(Bank_Rates!$B$2:$B$501,Bank_Rates!$A$2:$A$501,H619,Bank_Rates!$B$2:$B$501,"&lt;="&amp;C619),m,COUNTIFS(Bank_Rates!$A$2:$A$501,H619,Bank_Rates!$B$2:$B$501,t,Bank_Rates!$D$2:$D$501,"&lt;="&amp;G619),IF(m=0,"",LET(d,MAXIFS(Bank_Rates!$D$2:$D$501,Bank_Rates!$A$2:$A$501,H619,Bank_Rates!$B$2:$B$501,t,Bank_Rates!$D$2:$D$501,"&lt;="&amp;G619),SUMIFS(Bank_Rates!$C$2:$C$501,Bank_Rates!$A$2:$A$501,H619,Bank_Rates!$B$2:$B$501,t,Bank_Rates!$D$2:$D$501,d)))))))</f>
        <v/>
      </c>
      <c r="K619" s="6" t="str">
        <f t="shared" si="18"/>
        <v/>
      </c>
    </row>
    <row r="620" spans="1:11">
      <c r="A620" s="18" t="str">
        <f t="shared" si="19"/>
        <v/>
      </c>
      <c r="B620" s="13"/>
      <c r="C620" s="14"/>
      <c r="D620" s="3"/>
      <c r="E620" s="3"/>
      <c r="F620" s="14"/>
      <c r="G620" s="7">
        <f>RawObservationsTable[[#This Row],[Maturity Date]]-RawObservationsTable[[#This Row],[Timestamp]]</f>
        <v>0</v>
      </c>
      <c r="H620" s="2"/>
      <c r="I620" s="4"/>
      <c r="J620" s="5" t="str">
        <f>IF(OR(H620="",G620="",C620=""),"",LET(n,COUNTIFS(Bank_Rates!$A$2:$A$501,H620,Bank_Rates!$B$2:$B$501,"&lt;="&amp;C620),IF(n=0,"",LET(t,MAXIFS(Bank_Rates!$B$2:$B$501,Bank_Rates!$A$2:$A$501,H620,Bank_Rates!$B$2:$B$501,"&lt;="&amp;C620),m,COUNTIFS(Bank_Rates!$A$2:$A$501,H620,Bank_Rates!$B$2:$B$501,t,Bank_Rates!$D$2:$D$501,"&lt;="&amp;G620),IF(m=0,"",LET(d,MAXIFS(Bank_Rates!$D$2:$D$501,Bank_Rates!$A$2:$A$501,H620,Bank_Rates!$B$2:$B$501,t,Bank_Rates!$D$2:$D$501,"&lt;="&amp;G620),SUMIFS(Bank_Rates!$C$2:$C$501,Bank_Rates!$A$2:$A$501,H620,Bank_Rates!$B$2:$B$501,t,Bank_Rates!$D$2:$D$501,d)))))))</f>
        <v/>
      </c>
      <c r="K620" s="6" t="str">
        <f t="shared" si="18"/>
        <v/>
      </c>
    </row>
    <row r="621" spans="1:11">
      <c r="A621" s="18" t="str">
        <f t="shared" si="19"/>
        <v/>
      </c>
      <c r="B621" s="13"/>
      <c r="C621" s="14"/>
      <c r="D621" s="3"/>
      <c r="E621" s="3"/>
      <c r="F621" s="14"/>
      <c r="G621" s="7">
        <f>RawObservationsTable[[#This Row],[Maturity Date]]-RawObservationsTable[[#This Row],[Timestamp]]</f>
        <v>0</v>
      </c>
      <c r="H621" s="2"/>
      <c r="I621" s="4"/>
      <c r="J621" s="5" t="str">
        <f>IF(OR(H621="",G621="",C621=""),"",LET(n,COUNTIFS(Bank_Rates!$A$2:$A$501,H621,Bank_Rates!$B$2:$B$501,"&lt;="&amp;C621),IF(n=0,"",LET(t,MAXIFS(Bank_Rates!$B$2:$B$501,Bank_Rates!$A$2:$A$501,H621,Bank_Rates!$B$2:$B$501,"&lt;="&amp;C621),m,COUNTIFS(Bank_Rates!$A$2:$A$501,H621,Bank_Rates!$B$2:$B$501,t,Bank_Rates!$D$2:$D$501,"&lt;="&amp;G621),IF(m=0,"",LET(d,MAXIFS(Bank_Rates!$D$2:$D$501,Bank_Rates!$A$2:$A$501,H621,Bank_Rates!$B$2:$B$501,t,Bank_Rates!$D$2:$D$501,"&lt;="&amp;G621),SUMIFS(Bank_Rates!$C$2:$C$501,Bank_Rates!$A$2:$A$501,H621,Bank_Rates!$B$2:$B$501,t,Bank_Rates!$D$2:$D$501,d)))))))</f>
        <v/>
      </c>
      <c r="K621" s="6" t="str">
        <f t="shared" si="18"/>
        <v/>
      </c>
    </row>
    <row r="622" spans="1:11">
      <c r="A622" s="18" t="str">
        <f t="shared" si="19"/>
        <v/>
      </c>
      <c r="B622" s="13"/>
      <c r="C622" s="14"/>
      <c r="D622" s="3"/>
      <c r="E622" s="3"/>
      <c r="F622" s="14"/>
      <c r="G622" s="7">
        <f>RawObservationsTable[[#This Row],[Maturity Date]]-RawObservationsTable[[#This Row],[Timestamp]]</f>
        <v>0</v>
      </c>
      <c r="H622" s="2"/>
      <c r="I622" s="4"/>
      <c r="J622" s="5" t="str">
        <f>IF(OR(H622="",G622="",C622=""),"",LET(n,COUNTIFS(Bank_Rates!$A$2:$A$501,H622,Bank_Rates!$B$2:$B$501,"&lt;="&amp;C622),IF(n=0,"",LET(t,MAXIFS(Bank_Rates!$B$2:$B$501,Bank_Rates!$A$2:$A$501,H622,Bank_Rates!$B$2:$B$501,"&lt;="&amp;C622),m,COUNTIFS(Bank_Rates!$A$2:$A$501,H622,Bank_Rates!$B$2:$B$501,t,Bank_Rates!$D$2:$D$501,"&lt;="&amp;G622),IF(m=0,"",LET(d,MAXIFS(Bank_Rates!$D$2:$D$501,Bank_Rates!$A$2:$A$501,H622,Bank_Rates!$B$2:$B$501,t,Bank_Rates!$D$2:$D$501,"&lt;="&amp;G622),SUMIFS(Bank_Rates!$C$2:$C$501,Bank_Rates!$A$2:$A$501,H622,Bank_Rates!$B$2:$B$501,t,Bank_Rates!$D$2:$D$501,d)))))))</f>
        <v/>
      </c>
      <c r="K622" s="6" t="str">
        <f t="shared" si="18"/>
        <v/>
      </c>
    </row>
    <row r="623" spans="1:11">
      <c r="A623" s="18" t="str">
        <f t="shared" si="19"/>
        <v/>
      </c>
      <c r="B623" s="13"/>
      <c r="C623" s="14"/>
      <c r="D623" s="3"/>
      <c r="E623" s="3"/>
      <c r="F623" s="14"/>
      <c r="G623" s="7">
        <f>RawObservationsTable[[#This Row],[Maturity Date]]-RawObservationsTable[[#This Row],[Timestamp]]</f>
        <v>0</v>
      </c>
      <c r="H623" s="2"/>
      <c r="I623" s="4"/>
      <c r="J623" s="5" t="str">
        <f>IF(OR(H623="",G623="",C623=""),"",LET(n,COUNTIFS(Bank_Rates!$A$2:$A$501,H623,Bank_Rates!$B$2:$B$501,"&lt;="&amp;C623),IF(n=0,"",LET(t,MAXIFS(Bank_Rates!$B$2:$B$501,Bank_Rates!$A$2:$A$501,H623,Bank_Rates!$B$2:$B$501,"&lt;="&amp;C623),m,COUNTIFS(Bank_Rates!$A$2:$A$501,H623,Bank_Rates!$B$2:$B$501,t,Bank_Rates!$D$2:$D$501,"&lt;="&amp;G623),IF(m=0,"",LET(d,MAXIFS(Bank_Rates!$D$2:$D$501,Bank_Rates!$A$2:$A$501,H623,Bank_Rates!$B$2:$B$501,t,Bank_Rates!$D$2:$D$501,"&lt;="&amp;G623),SUMIFS(Bank_Rates!$C$2:$C$501,Bank_Rates!$A$2:$A$501,H623,Bank_Rates!$B$2:$B$501,t,Bank_Rates!$D$2:$D$501,d)))))))</f>
        <v/>
      </c>
      <c r="K623" s="6" t="str">
        <f t="shared" si="18"/>
        <v/>
      </c>
    </row>
    <row r="624" spans="1:11">
      <c r="A624" s="18" t="str">
        <f t="shared" si="19"/>
        <v/>
      </c>
      <c r="B624" s="13"/>
      <c r="C624" s="14"/>
      <c r="D624" s="3"/>
      <c r="E624" s="3"/>
      <c r="F624" s="14"/>
      <c r="G624" s="7">
        <f>RawObservationsTable[[#This Row],[Maturity Date]]-RawObservationsTable[[#This Row],[Timestamp]]</f>
        <v>0</v>
      </c>
      <c r="H624" s="2"/>
      <c r="I624" s="4"/>
      <c r="J624" s="5" t="str">
        <f>IF(OR(H624="",G624="",C624=""),"",LET(n,COUNTIFS(Bank_Rates!$A$2:$A$501,H624,Bank_Rates!$B$2:$B$501,"&lt;="&amp;C624),IF(n=0,"",LET(t,MAXIFS(Bank_Rates!$B$2:$B$501,Bank_Rates!$A$2:$A$501,H624,Bank_Rates!$B$2:$B$501,"&lt;="&amp;C624),m,COUNTIFS(Bank_Rates!$A$2:$A$501,H624,Bank_Rates!$B$2:$B$501,t,Bank_Rates!$D$2:$D$501,"&lt;="&amp;G624),IF(m=0,"",LET(d,MAXIFS(Bank_Rates!$D$2:$D$501,Bank_Rates!$A$2:$A$501,H624,Bank_Rates!$B$2:$B$501,t,Bank_Rates!$D$2:$D$501,"&lt;="&amp;G624),SUMIFS(Bank_Rates!$C$2:$C$501,Bank_Rates!$A$2:$A$501,H624,Bank_Rates!$B$2:$B$501,t,Bank_Rates!$D$2:$D$501,d)))))))</f>
        <v/>
      </c>
      <c r="K624" s="6" t="str">
        <f t="shared" si="18"/>
        <v/>
      </c>
    </row>
    <row r="625" spans="1:11">
      <c r="A625" s="18" t="str">
        <f t="shared" si="19"/>
        <v/>
      </c>
      <c r="B625" s="13"/>
      <c r="C625" s="14"/>
      <c r="D625" s="3"/>
      <c r="E625" s="3"/>
      <c r="F625" s="14"/>
      <c r="G625" s="7">
        <f>RawObservationsTable[[#This Row],[Maturity Date]]-RawObservationsTable[[#This Row],[Timestamp]]</f>
        <v>0</v>
      </c>
      <c r="H625" s="2"/>
      <c r="I625" s="4"/>
      <c r="J625" s="5" t="str">
        <f>IF(OR(H625="",G625="",C625=""),"",LET(n,COUNTIFS(Bank_Rates!$A$2:$A$501,H625,Bank_Rates!$B$2:$B$501,"&lt;="&amp;C625),IF(n=0,"",LET(t,MAXIFS(Bank_Rates!$B$2:$B$501,Bank_Rates!$A$2:$A$501,H625,Bank_Rates!$B$2:$B$501,"&lt;="&amp;C625),m,COUNTIFS(Bank_Rates!$A$2:$A$501,H625,Bank_Rates!$B$2:$B$501,t,Bank_Rates!$D$2:$D$501,"&lt;="&amp;G625),IF(m=0,"",LET(d,MAXIFS(Bank_Rates!$D$2:$D$501,Bank_Rates!$A$2:$A$501,H625,Bank_Rates!$B$2:$B$501,t,Bank_Rates!$D$2:$D$501,"&lt;="&amp;G625),SUMIFS(Bank_Rates!$C$2:$C$501,Bank_Rates!$A$2:$A$501,H625,Bank_Rates!$B$2:$B$501,t,Bank_Rates!$D$2:$D$501,d)))))))</f>
        <v/>
      </c>
      <c r="K625" s="6" t="str">
        <f t="shared" si="18"/>
        <v/>
      </c>
    </row>
    <row r="626" spans="1:11">
      <c r="A626" s="18" t="str">
        <f t="shared" si="19"/>
        <v/>
      </c>
      <c r="B626" s="13"/>
      <c r="C626" s="14"/>
      <c r="D626" s="3"/>
      <c r="E626" s="3"/>
      <c r="F626" s="14"/>
      <c r="G626" s="7">
        <f>RawObservationsTable[[#This Row],[Maturity Date]]-RawObservationsTable[[#This Row],[Timestamp]]</f>
        <v>0</v>
      </c>
      <c r="H626" s="2"/>
      <c r="I626" s="4"/>
      <c r="J626" s="5" t="str">
        <f>IF(OR(H626="",G626="",C626=""),"",LET(n,COUNTIFS(Bank_Rates!$A$2:$A$501,H626,Bank_Rates!$B$2:$B$501,"&lt;="&amp;C626),IF(n=0,"",LET(t,MAXIFS(Bank_Rates!$B$2:$B$501,Bank_Rates!$A$2:$A$501,H626,Bank_Rates!$B$2:$B$501,"&lt;="&amp;C626),m,COUNTIFS(Bank_Rates!$A$2:$A$501,H626,Bank_Rates!$B$2:$B$501,t,Bank_Rates!$D$2:$D$501,"&lt;="&amp;G626),IF(m=0,"",LET(d,MAXIFS(Bank_Rates!$D$2:$D$501,Bank_Rates!$A$2:$A$501,H626,Bank_Rates!$B$2:$B$501,t,Bank_Rates!$D$2:$D$501,"&lt;="&amp;G626),SUMIFS(Bank_Rates!$C$2:$C$501,Bank_Rates!$A$2:$A$501,H626,Bank_Rates!$B$2:$B$501,t,Bank_Rates!$D$2:$D$501,d)))))))</f>
        <v/>
      </c>
      <c r="K626" s="6" t="str">
        <f t="shared" si="18"/>
        <v/>
      </c>
    </row>
    <row r="627" spans="1:11">
      <c r="A627" s="18" t="str">
        <f t="shared" si="19"/>
        <v/>
      </c>
      <c r="B627" s="13"/>
      <c r="C627" s="14"/>
      <c r="D627" s="3"/>
      <c r="E627" s="3"/>
      <c r="F627" s="14"/>
      <c r="G627" s="7">
        <f>RawObservationsTable[[#This Row],[Maturity Date]]-RawObservationsTable[[#This Row],[Timestamp]]</f>
        <v>0</v>
      </c>
      <c r="H627" s="2"/>
      <c r="I627" s="4"/>
      <c r="J627" s="5" t="str">
        <f>IF(OR(H627="",G627="",C627=""),"",LET(n,COUNTIFS(Bank_Rates!$A$2:$A$501,H627,Bank_Rates!$B$2:$B$501,"&lt;="&amp;C627),IF(n=0,"",LET(t,MAXIFS(Bank_Rates!$B$2:$B$501,Bank_Rates!$A$2:$A$501,H627,Bank_Rates!$B$2:$B$501,"&lt;="&amp;C627),m,COUNTIFS(Bank_Rates!$A$2:$A$501,H627,Bank_Rates!$B$2:$B$501,t,Bank_Rates!$D$2:$D$501,"&lt;="&amp;G627),IF(m=0,"",LET(d,MAXIFS(Bank_Rates!$D$2:$D$501,Bank_Rates!$A$2:$A$501,H627,Bank_Rates!$B$2:$B$501,t,Bank_Rates!$D$2:$D$501,"&lt;="&amp;G627),SUMIFS(Bank_Rates!$C$2:$C$501,Bank_Rates!$A$2:$A$501,H627,Bank_Rates!$B$2:$B$501,t,Bank_Rates!$D$2:$D$501,d)))))))</f>
        <v/>
      </c>
      <c r="K627" s="6" t="str">
        <f t="shared" si="18"/>
        <v/>
      </c>
    </row>
    <row r="628" spans="1:11">
      <c r="A628" s="18" t="str">
        <f t="shared" si="19"/>
        <v/>
      </c>
      <c r="B628" s="13"/>
      <c r="C628" s="14"/>
      <c r="D628" s="3"/>
      <c r="E628" s="3"/>
      <c r="F628" s="14"/>
      <c r="G628" s="7">
        <f>RawObservationsTable[[#This Row],[Maturity Date]]-RawObservationsTable[[#This Row],[Timestamp]]</f>
        <v>0</v>
      </c>
      <c r="H628" s="2"/>
      <c r="I628" s="4"/>
      <c r="J628" s="5" t="str">
        <f>IF(OR(H628="",G628="",C628=""),"",LET(n,COUNTIFS(Bank_Rates!$A$2:$A$501,H628,Bank_Rates!$B$2:$B$501,"&lt;="&amp;C628),IF(n=0,"",LET(t,MAXIFS(Bank_Rates!$B$2:$B$501,Bank_Rates!$A$2:$A$501,H628,Bank_Rates!$B$2:$B$501,"&lt;="&amp;C628),m,COUNTIFS(Bank_Rates!$A$2:$A$501,H628,Bank_Rates!$B$2:$B$501,t,Bank_Rates!$D$2:$D$501,"&lt;="&amp;G628),IF(m=0,"",LET(d,MAXIFS(Bank_Rates!$D$2:$D$501,Bank_Rates!$A$2:$A$501,H628,Bank_Rates!$B$2:$B$501,t,Bank_Rates!$D$2:$D$501,"&lt;="&amp;G628),SUMIFS(Bank_Rates!$C$2:$C$501,Bank_Rates!$A$2:$A$501,H628,Bank_Rates!$B$2:$B$501,t,Bank_Rates!$D$2:$D$501,d)))))))</f>
        <v/>
      </c>
      <c r="K628" s="6" t="str">
        <f t="shared" si="18"/>
        <v/>
      </c>
    </row>
    <row r="629" spans="1:11">
      <c r="A629" s="18" t="str">
        <f t="shared" si="19"/>
        <v/>
      </c>
      <c r="B629" s="13"/>
      <c r="C629" s="14"/>
      <c r="D629" s="3"/>
      <c r="E629" s="3"/>
      <c r="F629" s="14"/>
      <c r="G629" s="7">
        <f>RawObservationsTable[[#This Row],[Maturity Date]]-RawObservationsTable[[#This Row],[Timestamp]]</f>
        <v>0</v>
      </c>
      <c r="H629" s="2"/>
      <c r="I629" s="4"/>
      <c r="J629" s="5" t="str">
        <f>IF(OR(H629="",G629="",C629=""),"",LET(n,COUNTIFS(Bank_Rates!$A$2:$A$501,H629,Bank_Rates!$B$2:$B$501,"&lt;="&amp;C629),IF(n=0,"",LET(t,MAXIFS(Bank_Rates!$B$2:$B$501,Bank_Rates!$A$2:$A$501,H629,Bank_Rates!$B$2:$B$501,"&lt;="&amp;C629),m,COUNTIFS(Bank_Rates!$A$2:$A$501,H629,Bank_Rates!$B$2:$B$501,t,Bank_Rates!$D$2:$D$501,"&lt;="&amp;G629),IF(m=0,"",LET(d,MAXIFS(Bank_Rates!$D$2:$D$501,Bank_Rates!$A$2:$A$501,H629,Bank_Rates!$B$2:$B$501,t,Bank_Rates!$D$2:$D$501,"&lt;="&amp;G629),SUMIFS(Bank_Rates!$C$2:$C$501,Bank_Rates!$A$2:$A$501,H629,Bank_Rates!$B$2:$B$501,t,Bank_Rates!$D$2:$D$501,d)))))))</f>
        <v/>
      </c>
      <c r="K629" s="6" t="str">
        <f t="shared" si="18"/>
        <v/>
      </c>
    </row>
    <row r="630" spans="1:11">
      <c r="A630" s="18" t="str">
        <f t="shared" si="19"/>
        <v/>
      </c>
      <c r="B630" s="13"/>
      <c r="C630" s="14"/>
      <c r="D630" s="3"/>
      <c r="E630" s="3"/>
      <c r="F630" s="14"/>
      <c r="G630" s="7">
        <f>RawObservationsTable[[#This Row],[Maturity Date]]-RawObservationsTable[[#This Row],[Timestamp]]</f>
        <v>0</v>
      </c>
      <c r="H630" s="2"/>
      <c r="I630" s="4"/>
      <c r="J630" s="5" t="str">
        <f>IF(OR(H630="",G630="",C630=""),"",LET(n,COUNTIFS(Bank_Rates!$A$2:$A$501,H630,Bank_Rates!$B$2:$B$501,"&lt;="&amp;C630),IF(n=0,"",LET(t,MAXIFS(Bank_Rates!$B$2:$B$501,Bank_Rates!$A$2:$A$501,H630,Bank_Rates!$B$2:$B$501,"&lt;="&amp;C630),m,COUNTIFS(Bank_Rates!$A$2:$A$501,H630,Bank_Rates!$B$2:$B$501,t,Bank_Rates!$D$2:$D$501,"&lt;="&amp;G630),IF(m=0,"",LET(d,MAXIFS(Bank_Rates!$D$2:$D$501,Bank_Rates!$A$2:$A$501,H630,Bank_Rates!$B$2:$B$501,t,Bank_Rates!$D$2:$D$501,"&lt;="&amp;G630),SUMIFS(Bank_Rates!$C$2:$C$501,Bank_Rates!$A$2:$A$501,H630,Bank_Rates!$B$2:$B$501,t,Bank_Rates!$D$2:$D$501,d)))))))</f>
        <v/>
      </c>
      <c r="K630" s="6" t="str">
        <f t="shared" si="18"/>
        <v/>
      </c>
    </row>
    <row r="631" spans="1:11">
      <c r="A631" s="18" t="str">
        <f t="shared" si="19"/>
        <v/>
      </c>
      <c r="B631" s="13"/>
      <c r="C631" s="14"/>
      <c r="D631" s="3"/>
      <c r="E631" s="3"/>
      <c r="F631" s="14"/>
      <c r="G631" s="7">
        <f>RawObservationsTable[[#This Row],[Maturity Date]]-RawObservationsTable[[#This Row],[Timestamp]]</f>
        <v>0</v>
      </c>
      <c r="H631" s="2"/>
      <c r="I631" s="4"/>
      <c r="J631" s="5" t="str">
        <f>IF(OR(H631="",G631="",C631=""),"",LET(n,COUNTIFS(Bank_Rates!$A$2:$A$501,H631,Bank_Rates!$B$2:$B$501,"&lt;="&amp;C631),IF(n=0,"",LET(t,MAXIFS(Bank_Rates!$B$2:$B$501,Bank_Rates!$A$2:$A$501,H631,Bank_Rates!$B$2:$B$501,"&lt;="&amp;C631),m,COUNTIFS(Bank_Rates!$A$2:$A$501,H631,Bank_Rates!$B$2:$B$501,t,Bank_Rates!$D$2:$D$501,"&lt;="&amp;G631),IF(m=0,"",LET(d,MAXIFS(Bank_Rates!$D$2:$D$501,Bank_Rates!$A$2:$A$501,H631,Bank_Rates!$B$2:$B$501,t,Bank_Rates!$D$2:$D$501,"&lt;="&amp;G631),SUMIFS(Bank_Rates!$C$2:$C$501,Bank_Rates!$A$2:$A$501,H631,Bank_Rates!$B$2:$B$501,t,Bank_Rates!$D$2:$D$501,d)))))))</f>
        <v/>
      </c>
      <c r="K631" s="6" t="str">
        <f t="shared" si="18"/>
        <v/>
      </c>
    </row>
    <row r="632" spans="1:11">
      <c r="A632" s="18" t="str">
        <f t="shared" si="19"/>
        <v/>
      </c>
      <c r="B632" s="13"/>
      <c r="C632" s="14"/>
      <c r="D632" s="3"/>
      <c r="E632" s="3"/>
      <c r="F632" s="14"/>
      <c r="G632" s="7">
        <f>RawObservationsTable[[#This Row],[Maturity Date]]-RawObservationsTable[[#This Row],[Timestamp]]</f>
        <v>0</v>
      </c>
      <c r="H632" s="2"/>
      <c r="I632" s="4"/>
      <c r="J632" s="5" t="str">
        <f>IF(OR(H632="",G632="",C632=""),"",LET(n,COUNTIFS(Bank_Rates!$A$2:$A$501,H632,Bank_Rates!$B$2:$B$501,"&lt;="&amp;C632),IF(n=0,"",LET(t,MAXIFS(Bank_Rates!$B$2:$B$501,Bank_Rates!$A$2:$A$501,H632,Bank_Rates!$B$2:$B$501,"&lt;="&amp;C632),m,COUNTIFS(Bank_Rates!$A$2:$A$501,H632,Bank_Rates!$B$2:$B$501,t,Bank_Rates!$D$2:$D$501,"&lt;="&amp;G632),IF(m=0,"",LET(d,MAXIFS(Bank_Rates!$D$2:$D$501,Bank_Rates!$A$2:$A$501,H632,Bank_Rates!$B$2:$B$501,t,Bank_Rates!$D$2:$D$501,"&lt;="&amp;G632),SUMIFS(Bank_Rates!$C$2:$C$501,Bank_Rates!$A$2:$A$501,H632,Bank_Rates!$B$2:$B$501,t,Bank_Rates!$D$2:$D$501,d)))))))</f>
        <v/>
      </c>
      <c r="K632" s="6" t="str">
        <f t="shared" si="18"/>
        <v/>
      </c>
    </row>
    <row r="633" spans="1:11">
      <c r="A633" s="18" t="str">
        <f t="shared" si="19"/>
        <v/>
      </c>
      <c r="B633" s="13"/>
      <c r="C633" s="14"/>
      <c r="D633" s="3"/>
      <c r="E633" s="3"/>
      <c r="F633" s="14"/>
      <c r="G633" s="7">
        <f>RawObservationsTable[[#This Row],[Maturity Date]]-RawObservationsTable[[#This Row],[Timestamp]]</f>
        <v>0</v>
      </c>
      <c r="H633" s="2"/>
      <c r="I633" s="4"/>
      <c r="J633" s="5" t="str">
        <f>IF(OR(H633="",G633="",C633=""),"",LET(n,COUNTIFS(Bank_Rates!$A$2:$A$501,H633,Bank_Rates!$B$2:$B$501,"&lt;="&amp;C633),IF(n=0,"",LET(t,MAXIFS(Bank_Rates!$B$2:$B$501,Bank_Rates!$A$2:$A$501,H633,Bank_Rates!$B$2:$B$501,"&lt;="&amp;C633),m,COUNTIFS(Bank_Rates!$A$2:$A$501,H633,Bank_Rates!$B$2:$B$501,t,Bank_Rates!$D$2:$D$501,"&lt;="&amp;G633),IF(m=0,"",LET(d,MAXIFS(Bank_Rates!$D$2:$D$501,Bank_Rates!$A$2:$A$501,H633,Bank_Rates!$B$2:$B$501,t,Bank_Rates!$D$2:$D$501,"&lt;="&amp;G633),SUMIFS(Bank_Rates!$C$2:$C$501,Bank_Rates!$A$2:$A$501,H633,Bank_Rates!$B$2:$B$501,t,Bank_Rates!$D$2:$D$501,d)))))))</f>
        <v/>
      </c>
      <c r="K633" s="6" t="str">
        <f t="shared" si="18"/>
        <v/>
      </c>
    </row>
    <row r="634" spans="1:11">
      <c r="A634" s="18" t="str">
        <f t="shared" si="19"/>
        <v/>
      </c>
      <c r="B634" s="13"/>
      <c r="C634" s="14"/>
      <c r="D634" s="3"/>
      <c r="E634" s="3"/>
      <c r="F634" s="14"/>
      <c r="G634" s="7">
        <f>RawObservationsTable[[#This Row],[Maturity Date]]-RawObservationsTable[[#This Row],[Timestamp]]</f>
        <v>0</v>
      </c>
      <c r="H634" s="2"/>
      <c r="I634" s="4"/>
      <c r="J634" s="5" t="str">
        <f>IF(OR(H634="",G634="",C634=""),"",LET(n,COUNTIFS(Bank_Rates!$A$2:$A$501,H634,Bank_Rates!$B$2:$B$501,"&lt;="&amp;C634),IF(n=0,"",LET(t,MAXIFS(Bank_Rates!$B$2:$B$501,Bank_Rates!$A$2:$A$501,H634,Bank_Rates!$B$2:$B$501,"&lt;="&amp;C634),m,COUNTIFS(Bank_Rates!$A$2:$A$501,H634,Bank_Rates!$B$2:$B$501,t,Bank_Rates!$D$2:$D$501,"&lt;="&amp;G634),IF(m=0,"",LET(d,MAXIFS(Bank_Rates!$D$2:$D$501,Bank_Rates!$A$2:$A$501,H634,Bank_Rates!$B$2:$B$501,t,Bank_Rates!$D$2:$D$501,"&lt;="&amp;G634),SUMIFS(Bank_Rates!$C$2:$C$501,Bank_Rates!$A$2:$A$501,H634,Bank_Rates!$B$2:$B$501,t,Bank_Rates!$D$2:$D$501,d)))))))</f>
        <v/>
      </c>
      <c r="K634" s="6" t="str">
        <f t="shared" si="18"/>
        <v/>
      </c>
    </row>
    <row r="635" spans="1:11">
      <c r="A635" s="18" t="str">
        <f t="shared" si="19"/>
        <v/>
      </c>
      <c r="B635" s="13"/>
      <c r="C635" s="14"/>
      <c r="D635" s="3"/>
      <c r="E635" s="3"/>
      <c r="F635" s="14"/>
      <c r="G635" s="7">
        <f>RawObservationsTable[[#This Row],[Maturity Date]]-RawObservationsTable[[#This Row],[Timestamp]]</f>
        <v>0</v>
      </c>
      <c r="H635" s="2"/>
      <c r="I635" s="4"/>
      <c r="J635" s="5" t="str">
        <f>IF(OR(H635="",G635="",C635=""),"",LET(n,COUNTIFS(Bank_Rates!$A$2:$A$501,H635,Bank_Rates!$B$2:$B$501,"&lt;="&amp;C635),IF(n=0,"",LET(t,MAXIFS(Bank_Rates!$B$2:$B$501,Bank_Rates!$A$2:$A$501,H635,Bank_Rates!$B$2:$B$501,"&lt;="&amp;C635),m,COUNTIFS(Bank_Rates!$A$2:$A$501,H635,Bank_Rates!$B$2:$B$501,t,Bank_Rates!$D$2:$D$501,"&lt;="&amp;G635),IF(m=0,"",LET(d,MAXIFS(Bank_Rates!$D$2:$D$501,Bank_Rates!$A$2:$A$501,H635,Bank_Rates!$B$2:$B$501,t,Bank_Rates!$D$2:$D$501,"&lt;="&amp;G635),SUMIFS(Bank_Rates!$C$2:$C$501,Bank_Rates!$A$2:$A$501,H635,Bank_Rates!$B$2:$B$501,t,Bank_Rates!$D$2:$D$501,d)))))))</f>
        <v/>
      </c>
      <c r="K635" s="6" t="str">
        <f t="shared" si="18"/>
        <v/>
      </c>
    </row>
    <row r="636" spans="1:11">
      <c r="A636" s="18" t="str">
        <f t="shared" si="19"/>
        <v/>
      </c>
      <c r="B636" s="13"/>
      <c r="C636" s="14"/>
      <c r="D636" s="3"/>
      <c r="E636" s="3"/>
      <c r="F636" s="14"/>
      <c r="G636" s="7">
        <f>RawObservationsTable[[#This Row],[Maturity Date]]-RawObservationsTable[[#This Row],[Timestamp]]</f>
        <v>0</v>
      </c>
      <c r="H636" s="2"/>
      <c r="I636" s="4"/>
      <c r="J636" s="5" t="str">
        <f>IF(OR(H636="",G636="",C636=""),"",LET(n,COUNTIFS(Bank_Rates!$A$2:$A$501,H636,Bank_Rates!$B$2:$B$501,"&lt;="&amp;C636),IF(n=0,"",LET(t,MAXIFS(Bank_Rates!$B$2:$B$501,Bank_Rates!$A$2:$A$501,H636,Bank_Rates!$B$2:$B$501,"&lt;="&amp;C636),m,COUNTIFS(Bank_Rates!$A$2:$A$501,H636,Bank_Rates!$B$2:$B$501,t,Bank_Rates!$D$2:$D$501,"&lt;="&amp;G636),IF(m=0,"",LET(d,MAXIFS(Bank_Rates!$D$2:$D$501,Bank_Rates!$A$2:$A$501,H636,Bank_Rates!$B$2:$B$501,t,Bank_Rates!$D$2:$D$501,"&lt;="&amp;G636),SUMIFS(Bank_Rates!$C$2:$C$501,Bank_Rates!$A$2:$A$501,H636,Bank_Rates!$B$2:$B$501,t,Bank_Rates!$D$2:$D$501,d)))))))</f>
        <v/>
      </c>
      <c r="K636" s="6" t="str">
        <f t="shared" si="18"/>
        <v/>
      </c>
    </row>
    <row r="637" spans="1:11">
      <c r="A637" s="18" t="str">
        <f t="shared" si="19"/>
        <v/>
      </c>
      <c r="B637" s="13"/>
      <c r="C637" s="14"/>
      <c r="D637" s="3"/>
      <c r="E637" s="3"/>
      <c r="F637" s="14"/>
      <c r="G637" s="7">
        <f>RawObservationsTable[[#This Row],[Maturity Date]]-RawObservationsTable[[#This Row],[Timestamp]]</f>
        <v>0</v>
      </c>
      <c r="H637" s="2"/>
      <c r="I637" s="4"/>
      <c r="J637" s="5" t="str">
        <f>IF(OR(H637="",G637="",C637=""),"",LET(n,COUNTIFS(Bank_Rates!$A$2:$A$501,H637,Bank_Rates!$B$2:$B$501,"&lt;="&amp;C637),IF(n=0,"",LET(t,MAXIFS(Bank_Rates!$B$2:$B$501,Bank_Rates!$A$2:$A$501,H637,Bank_Rates!$B$2:$B$501,"&lt;="&amp;C637),m,COUNTIFS(Bank_Rates!$A$2:$A$501,H637,Bank_Rates!$B$2:$B$501,t,Bank_Rates!$D$2:$D$501,"&lt;="&amp;G637),IF(m=0,"",LET(d,MAXIFS(Bank_Rates!$D$2:$D$501,Bank_Rates!$A$2:$A$501,H637,Bank_Rates!$B$2:$B$501,t,Bank_Rates!$D$2:$D$501,"&lt;="&amp;G637),SUMIFS(Bank_Rates!$C$2:$C$501,Bank_Rates!$A$2:$A$501,H637,Bank_Rates!$B$2:$B$501,t,Bank_Rates!$D$2:$D$501,d)))))))</f>
        <v/>
      </c>
      <c r="K637" s="6" t="str">
        <f t="shared" si="18"/>
        <v/>
      </c>
    </row>
    <row r="638" spans="1:11">
      <c r="A638" s="18" t="str">
        <f t="shared" si="19"/>
        <v/>
      </c>
      <c r="B638" s="13"/>
      <c r="C638" s="14"/>
      <c r="D638" s="3"/>
      <c r="E638" s="3"/>
      <c r="F638" s="14"/>
      <c r="G638" s="7">
        <f>RawObservationsTable[[#This Row],[Maturity Date]]-RawObservationsTable[[#This Row],[Timestamp]]</f>
        <v>0</v>
      </c>
      <c r="H638" s="2"/>
      <c r="I638" s="4"/>
      <c r="J638" s="5" t="str">
        <f>IF(OR(H638="",G638="",C638=""),"",LET(n,COUNTIFS(Bank_Rates!$A$2:$A$501,H638,Bank_Rates!$B$2:$B$501,"&lt;="&amp;C638),IF(n=0,"",LET(t,MAXIFS(Bank_Rates!$B$2:$B$501,Bank_Rates!$A$2:$A$501,H638,Bank_Rates!$B$2:$B$501,"&lt;="&amp;C638),m,COUNTIFS(Bank_Rates!$A$2:$A$501,H638,Bank_Rates!$B$2:$B$501,t,Bank_Rates!$D$2:$D$501,"&lt;="&amp;G638),IF(m=0,"",LET(d,MAXIFS(Bank_Rates!$D$2:$D$501,Bank_Rates!$A$2:$A$501,H638,Bank_Rates!$B$2:$B$501,t,Bank_Rates!$D$2:$D$501,"&lt;="&amp;G638),SUMIFS(Bank_Rates!$C$2:$C$501,Bank_Rates!$A$2:$A$501,H638,Bank_Rates!$B$2:$B$501,t,Bank_Rates!$D$2:$D$501,d)))))))</f>
        <v/>
      </c>
      <c r="K638" s="6" t="str">
        <f t="shared" si="18"/>
        <v/>
      </c>
    </row>
    <row r="639" spans="1:11">
      <c r="A639" s="18" t="str">
        <f t="shared" si="19"/>
        <v/>
      </c>
      <c r="B639" s="13"/>
      <c r="C639" s="14"/>
      <c r="D639" s="3"/>
      <c r="E639" s="3"/>
      <c r="F639" s="14"/>
      <c r="G639" s="7">
        <f>RawObservationsTable[[#This Row],[Maturity Date]]-RawObservationsTable[[#This Row],[Timestamp]]</f>
        <v>0</v>
      </c>
      <c r="H639" s="2"/>
      <c r="I639" s="4"/>
      <c r="J639" s="5" t="str">
        <f>IF(OR(H639="",G639="",C639=""),"",LET(n,COUNTIFS(Bank_Rates!$A$2:$A$501,H639,Bank_Rates!$B$2:$B$501,"&lt;="&amp;C639),IF(n=0,"",LET(t,MAXIFS(Bank_Rates!$B$2:$B$501,Bank_Rates!$A$2:$A$501,H639,Bank_Rates!$B$2:$B$501,"&lt;="&amp;C639),m,COUNTIFS(Bank_Rates!$A$2:$A$501,H639,Bank_Rates!$B$2:$B$501,t,Bank_Rates!$D$2:$D$501,"&lt;="&amp;G639),IF(m=0,"",LET(d,MAXIFS(Bank_Rates!$D$2:$D$501,Bank_Rates!$A$2:$A$501,H639,Bank_Rates!$B$2:$B$501,t,Bank_Rates!$D$2:$D$501,"&lt;="&amp;G639),SUMIFS(Bank_Rates!$C$2:$C$501,Bank_Rates!$A$2:$A$501,H639,Bank_Rates!$B$2:$B$501,t,Bank_Rates!$D$2:$D$501,d)))))))</f>
        <v/>
      </c>
      <c r="K639" s="6" t="str">
        <f t="shared" si="18"/>
        <v/>
      </c>
    </row>
    <row r="640" spans="1:11">
      <c r="A640" s="18" t="str">
        <f t="shared" si="19"/>
        <v/>
      </c>
      <c r="B640" s="13"/>
      <c r="C640" s="14"/>
      <c r="D640" s="3"/>
      <c r="E640" s="3"/>
      <c r="F640" s="14"/>
      <c r="G640" s="7">
        <f>RawObservationsTable[[#This Row],[Maturity Date]]-RawObservationsTable[[#This Row],[Timestamp]]</f>
        <v>0</v>
      </c>
      <c r="H640" s="2"/>
      <c r="I640" s="4"/>
      <c r="J640" s="5" t="str">
        <f>IF(OR(H640="",G640="",C640=""),"",LET(n,COUNTIFS(Bank_Rates!$A$2:$A$501,H640,Bank_Rates!$B$2:$B$501,"&lt;="&amp;C640),IF(n=0,"",LET(t,MAXIFS(Bank_Rates!$B$2:$B$501,Bank_Rates!$A$2:$A$501,H640,Bank_Rates!$B$2:$B$501,"&lt;="&amp;C640),m,COUNTIFS(Bank_Rates!$A$2:$A$501,H640,Bank_Rates!$B$2:$B$501,t,Bank_Rates!$D$2:$D$501,"&lt;="&amp;G640),IF(m=0,"",LET(d,MAXIFS(Bank_Rates!$D$2:$D$501,Bank_Rates!$A$2:$A$501,H640,Bank_Rates!$B$2:$B$501,t,Bank_Rates!$D$2:$D$501,"&lt;="&amp;G640),SUMIFS(Bank_Rates!$C$2:$C$501,Bank_Rates!$A$2:$A$501,H640,Bank_Rates!$B$2:$B$501,t,Bank_Rates!$D$2:$D$501,d)))))))</f>
        <v/>
      </c>
      <c r="K640" s="6" t="str">
        <f t="shared" si="18"/>
        <v/>
      </c>
    </row>
    <row r="641" spans="1:11">
      <c r="A641" s="18" t="str">
        <f t="shared" si="19"/>
        <v/>
      </c>
      <c r="B641" s="13"/>
      <c r="C641" s="14"/>
      <c r="D641" s="3"/>
      <c r="E641" s="3"/>
      <c r="F641" s="14"/>
      <c r="G641" s="7">
        <f>RawObservationsTable[[#This Row],[Maturity Date]]-RawObservationsTable[[#This Row],[Timestamp]]</f>
        <v>0</v>
      </c>
      <c r="H641" s="2"/>
      <c r="I641" s="4"/>
      <c r="J641" s="5" t="str">
        <f>IF(OR(H641="",G641="",C641=""),"",LET(n,COUNTIFS(Bank_Rates!$A$2:$A$501,H641,Bank_Rates!$B$2:$B$501,"&lt;="&amp;C641),IF(n=0,"",LET(t,MAXIFS(Bank_Rates!$B$2:$B$501,Bank_Rates!$A$2:$A$501,H641,Bank_Rates!$B$2:$B$501,"&lt;="&amp;C641),m,COUNTIFS(Bank_Rates!$A$2:$A$501,H641,Bank_Rates!$B$2:$B$501,t,Bank_Rates!$D$2:$D$501,"&lt;="&amp;G641),IF(m=0,"",LET(d,MAXIFS(Bank_Rates!$D$2:$D$501,Bank_Rates!$A$2:$A$501,H641,Bank_Rates!$B$2:$B$501,t,Bank_Rates!$D$2:$D$501,"&lt;="&amp;G641),SUMIFS(Bank_Rates!$C$2:$C$501,Bank_Rates!$A$2:$A$501,H641,Bank_Rates!$B$2:$B$501,t,Bank_Rates!$D$2:$D$501,d)))))))</f>
        <v/>
      </c>
      <c r="K641" s="6" t="str">
        <f t="shared" si="18"/>
        <v/>
      </c>
    </row>
    <row r="642" spans="1:11">
      <c r="A642" s="18" t="str">
        <f t="shared" si="19"/>
        <v/>
      </c>
      <c r="B642" s="13"/>
      <c r="C642" s="14"/>
      <c r="D642" s="3"/>
      <c r="E642" s="3"/>
      <c r="F642" s="14"/>
      <c r="G642" s="7">
        <f>RawObservationsTable[[#This Row],[Maturity Date]]-RawObservationsTable[[#This Row],[Timestamp]]</f>
        <v>0</v>
      </c>
      <c r="H642" s="2"/>
      <c r="I642" s="4"/>
      <c r="J642" s="5" t="str">
        <f>IF(OR(H642="",G642="",C642=""),"",LET(n,COUNTIFS(Bank_Rates!$A$2:$A$501,H642,Bank_Rates!$B$2:$B$501,"&lt;="&amp;C642),IF(n=0,"",LET(t,MAXIFS(Bank_Rates!$B$2:$B$501,Bank_Rates!$A$2:$A$501,H642,Bank_Rates!$B$2:$B$501,"&lt;="&amp;C642),m,COUNTIFS(Bank_Rates!$A$2:$A$501,H642,Bank_Rates!$B$2:$B$501,t,Bank_Rates!$D$2:$D$501,"&lt;="&amp;G642),IF(m=0,"",LET(d,MAXIFS(Bank_Rates!$D$2:$D$501,Bank_Rates!$A$2:$A$501,H642,Bank_Rates!$B$2:$B$501,t,Bank_Rates!$D$2:$D$501,"&lt;="&amp;G642),SUMIFS(Bank_Rates!$C$2:$C$501,Bank_Rates!$A$2:$A$501,H642,Bank_Rates!$B$2:$B$501,t,Bank_Rates!$D$2:$D$501,d)))))))</f>
        <v/>
      </c>
      <c r="K642" s="6" t="str">
        <f t="shared" ref="K642:K705" si="20">IF(OR(I642="",J642=""),"",I642-J642)</f>
        <v/>
      </c>
    </row>
    <row r="643" spans="1:11">
      <c r="A643" s="18" t="str">
        <f t="shared" ref="A643:A706" si="21">IF(B643&lt;&gt;"","L-"&amp;TEXT(ROW()-1,"0000"),"")</f>
        <v/>
      </c>
      <c r="B643" s="13"/>
      <c r="C643" s="14"/>
      <c r="D643" s="3"/>
      <c r="E643" s="3"/>
      <c r="F643" s="14"/>
      <c r="G643" s="7">
        <f>RawObservationsTable[[#This Row],[Maturity Date]]-RawObservationsTable[[#This Row],[Timestamp]]</f>
        <v>0</v>
      </c>
      <c r="H643" s="2"/>
      <c r="I643" s="4"/>
      <c r="J643" s="5" t="str">
        <f>IF(OR(H643="",G643="",C643=""),"",LET(n,COUNTIFS(Bank_Rates!$A$2:$A$501,H643,Bank_Rates!$B$2:$B$501,"&lt;="&amp;C643),IF(n=0,"",LET(t,MAXIFS(Bank_Rates!$B$2:$B$501,Bank_Rates!$A$2:$A$501,H643,Bank_Rates!$B$2:$B$501,"&lt;="&amp;C643),m,COUNTIFS(Bank_Rates!$A$2:$A$501,H643,Bank_Rates!$B$2:$B$501,t,Bank_Rates!$D$2:$D$501,"&lt;="&amp;G643),IF(m=0,"",LET(d,MAXIFS(Bank_Rates!$D$2:$D$501,Bank_Rates!$A$2:$A$501,H643,Bank_Rates!$B$2:$B$501,t,Bank_Rates!$D$2:$D$501,"&lt;="&amp;G643),SUMIFS(Bank_Rates!$C$2:$C$501,Bank_Rates!$A$2:$A$501,H643,Bank_Rates!$B$2:$B$501,t,Bank_Rates!$D$2:$D$501,d)))))))</f>
        <v/>
      </c>
      <c r="K643" s="6" t="str">
        <f t="shared" si="20"/>
        <v/>
      </c>
    </row>
    <row r="644" spans="1:11">
      <c r="A644" s="18" t="str">
        <f t="shared" si="21"/>
        <v/>
      </c>
      <c r="B644" s="13"/>
      <c r="C644" s="14"/>
      <c r="D644" s="3"/>
      <c r="E644" s="3"/>
      <c r="F644" s="14"/>
      <c r="G644" s="7">
        <f>RawObservationsTable[[#This Row],[Maturity Date]]-RawObservationsTable[[#This Row],[Timestamp]]</f>
        <v>0</v>
      </c>
      <c r="H644" s="2"/>
      <c r="I644" s="4"/>
      <c r="J644" s="5" t="str">
        <f>IF(OR(H644="",G644="",C644=""),"",LET(n,COUNTIFS(Bank_Rates!$A$2:$A$501,H644,Bank_Rates!$B$2:$B$501,"&lt;="&amp;C644),IF(n=0,"",LET(t,MAXIFS(Bank_Rates!$B$2:$B$501,Bank_Rates!$A$2:$A$501,H644,Bank_Rates!$B$2:$B$501,"&lt;="&amp;C644),m,COUNTIFS(Bank_Rates!$A$2:$A$501,H644,Bank_Rates!$B$2:$B$501,t,Bank_Rates!$D$2:$D$501,"&lt;="&amp;G644),IF(m=0,"",LET(d,MAXIFS(Bank_Rates!$D$2:$D$501,Bank_Rates!$A$2:$A$501,H644,Bank_Rates!$B$2:$B$501,t,Bank_Rates!$D$2:$D$501,"&lt;="&amp;G644),SUMIFS(Bank_Rates!$C$2:$C$501,Bank_Rates!$A$2:$A$501,H644,Bank_Rates!$B$2:$B$501,t,Bank_Rates!$D$2:$D$501,d)))))))</f>
        <v/>
      </c>
      <c r="K644" s="6" t="str">
        <f t="shared" si="20"/>
        <v/>
      </c>
    </row>
    <row r="645" spans="1:11">
      <c r="A645" s="18" t="str">
        <f t="shared" si="21"/>
        <v/>
      </c>
      <c r="B645" s="13"/>
      <c r="C645" s="14"/>
      <c r="D645" s="3"/>
      <c r="E645" s="3"/>
      <c r="F645" s="14"/>
      <c r="G645" s="7">
        <f>RawObservationsTable[[#This Row],[Maturity Date]]-RawObservationsTable[[#This Row],[Timestamp]]</f>
        <v>0</v>
      </c>
      <c r="H645" s="2"/>
      <c r="I645" s="4"/>
      <c r="J645" s="5" t="str">
        <f>IF(OR(H645="",G645="",C645=""),"",LET(n,COUNTIFS(Bank_Rates!$A$2:$A$501,H645,Bank_Rates!$B$2:$B$501,"&lt;="&amp;C645),IF(n=0,"",LET(t,MAXIFS(Bank_Rates!$B$2:$B$501,Bank_Rates!$A$2:$A$501,H645,Bank_Rates!$B$2:$B$501,"&lt;="&amp;C645),m,COUNTIFS(Bank_Rates!$A$2:$A$501,H645,Bank_Rates!$B$2:$B$501,t,Bank_Rates!$D$2:$D$501,"&lt;="&amp;G645),IF(m=0,"",LET(d,MAXIFS(Bank_Rates!$D$2:$D$501,Bank_Rates!$A$2:$A$501,H645,Bank_Rates!$B$2:$B$501,t,Bank_Rates!$D$2:$D$501,"&lt;="&amp;G645),SUMIFS(Bank_Rates!$C$2:$C$501,Bank_Rates!$A$2:$A$501,H645,Bank_Rates!$B$2:$B$501,t,Bank_Rates!$D$2:$D$501,d)))))))</f>
        <v/>
      </c>
      <c r="K645" s="6" t="str">
        <f t="shared" si="20"/>
        <v/>
      </c>
    </row>
    <row r="646" spans="1:11">
      <c r="A646" s="18" t="str">
        <f t="shared" si="21"/>
        <v/>
      </c>
      <c r="B646" s="13"/>
      <c r="C646" s="14"/>
      <c r="D646" s="3"/>
      <c r="E646" s="3"/>
      <c r="F646" s="14"/>
      <c r="G646" s="7">
        <f>RawObservationsTable[[#This Row],[Maturity Date]]-RawObservationsTable[[#This Row],[Timestamp]]</f>
        <v>0</v>
      </c>
      <c r="H646" s="2"/>
      <c r="I646" s="4"/>
      <c r="J646" s="5" t="str">
        <f>IF(OR(H646="",G646="",C646=""),"",LET(n,COUNTIFS(Bank_Rates!$A$2:$A$501,H646,Bank_Rates!$B$2:$B$501,"&lt;="&amp;C646),IF(n=0,"",LET(t,MAXIFS(Bank_Rates!$B$2:$B$501,Bank_Rates!$A$2:$A$501,H646,Bank_Rates!$B$2:$B$501,"&lt;="&amp;C646),m,COUNTIFS(Bank_Rates!$A$2:$A$501,H646,Bank_Rates!$B$2:$B$501,t,Bank_Rates!$D$2:$D$501,"&lt;="&amp;G646),IF(m=0,"",LET(d,MAXIFS(Bank_Rates!$D$2:$D$501,Bank_Rates!$A$2:$A$501,H646,Bank_Rates!$B$2:$B$501,t,Bank_Rates!$D$2:$D$501,"&lt;="&amp;G646),SUMIFS(Bank_Rates!$C$2:$C$501,Bank_Rates!$A$2:$A$501,H646,Bank_Rates!$B$2:$B$501,t,Bank_Rates!$D$2:$D$501,d)))))))</f>
        <v/>
      </c>
      <c r="K646" s="6" t="str">
        <f t="shared" si="20"/>
        <v/>
      </c>
    </row>
    <row r="647" spans="1:11">
      <c r="A647" s="18" t="str">
        <f t="shared" si="21"/>
        <v/>
      </c>
      <c r="B647" s="13"/>
      <c r="C647" s="14"/>
      <c r="D647" s="3"/>
      <c r="E647" s="3"/>
      <c r="F647" s="14"/>
      <c r="G647" s="7">
        <f>RawObservationsTable[[#This Row],[Maturity Date]]-RawObservationsTable[[#This Row],[Timestamp]]</f>
        <v>0</v>
      </c>
      <c r="H647" s="2"/>
      <c r="I647" s="4"/>
      <c r="J647" s="5" t="str">
        <f>IF(OR(H647="",G647="",C647=""),"",LET(n,COUNTIFS(Bank_Rates!$A$2:$A$501,H647,Bank_Rates!$B$2:$B$501,"&lt;="&amp;C647),IF(n=0,"",LET(t,MAXIFS(Bank_Rates!$B$2:$B$501,Bank_Rates!$A$2:$A$501,H647,Bank_Rates!$B$2:$B$501,"&lt;="&amp;C647),m,COUNTIFS(Bank_Rates!$A$2:$A$501,H647,Bank_Rates!$B$2:$B$501,t,Bank_Rates!$D$2:$D$501,"&lt;="&amp;G647),IF(m=0,"",LET(d,MAXIFS(Bank_Rates!$D$2:$D$501,Bank_Rates!$A$2:$A$501,H647,Bank_Rates!$B$2:$B$501,t,Bank_Rates!$D$2:$D$501,"&lt;="&amp;G647),SUMIFS(Bank_Rates!$C$2:$C$501,Bank_Rates!$A$2:$A$501,H647,Bank_Rates!$B$2:$B$501,t,Bank_Rates!$D$2:$D$501,d)))))))</f>
        <v/>
      </c>
      <c r="K647" s="6" t="str">
        <f t="shared" si="20"/>
        <v/>
      </c>
    </row>
    <row r="648" spans="1:11">
      <c r="A648" s="18" t="str">
        <f t="shared" si="21"/>
        <v/>
      </c>
      <c r="B648" s="13"/>
      <c r="C648" s="14"/>
      <c r="D648" s="3"/>
      <c r="E648" s="3"/>
      <c r="F648" s="14"/>
      <c r="G648" s="7">
        <f>RawObservationsTable[[#This Row],[Maturity Date]]-RawObservationsTable[[#This Row],[Timestamp]]</f>
        <v>0</v>
      </c>
      <c r="H648" s="2"/>
      <c r="I648" s="4"/>
      <c r="J648" s="5" t="str">
        <f>IF(OR(H648="",G648="",C648=""),"",LET(n,COUNTIFS(Bank_Rates!$A$2:$A$501,H648,Bank_Rates!$B$2:$B$501,"&lt;="&amp;C648),IF(n=0,"",LET(t,MAXIFS(Bank_Rates!$B$2:$B$501,Bank_Rates!$A$2:$A$501,H648,Bank_Rates!$B$2:$B$501,"&lt;="&amp;C648),m,COUNTIFS(Bank_Rates!$A$2:$A$501,H648,Bank_Rates!$B$2:$B$501,t,Bank_Rates!$D$2:$D$501,"&lt;="&amp;G648),IF(m=0,"",LET(d,MAXIFS(Bank_Rates!$D$2:$D$501,Bank_Rates!$A$2:$A$501,H648,Bank_Rates!$B$2:$B$501,t,Bank_Rates!$D$2:$D$501,"&lt;="&amp;G648),SUMIFS(Bank_Rates!$C$2:$C$501,Bank_Rates!$A$2:$A$501,H648,Bank_Rates!$B$2:$B$501,t,Bank_Rates!$D$2:$D$501,d)))))))</f>
        <v/>
      </c>
      <c r="K648" s="6" t="str">
        <f t="shared" si="20"/>
        <v/>
      </c>
    </row>
    <row r="649" spans="1:11">
      <c r="A649" s="18" t="str">
        <f t="shared" si="21"/>
        <v/>
      </c>
      <c r="B649" s="13"/>
      <c r="C649" s="14"/>
      <c r="D649" s="3"/>
      <c r="E649" s="3"/>
      <c r="F649" s="14"/>
      <c r="G649" s="7">
        <f>RawObservationsTable[[#This Row],[Maturity Date]]-RawObservationsTable[[#This Row],[Timestamp]]</f>
        <v>0</v>
      </c>
      <c r="H649" s="2"/>
      <c r="I649" s="4"/>
      <c r="J649" s="5" t="str">
        <f>IF(OR(H649="",G649="",C649=""),"",LET(n,COUNTIFS(Bank_Rates!$A$2:$A$501,H649,Bank_Rates!$B$2:$B$501,"&lt;="&amp;C649),IF(n=0,"",LET(t,MAXIFS(Bank_Rates!$B$2:$B$501,Bank_Rates!$A$2:$A$501,H649,Bank_Rates!$B$2:$B$501,"&lt;="&amp;C649),m,COUNTIFS(Bank_Rates!$A$2:$A$501,H649,Bank_Rates!$B$2:$B$501,t,Bank_Rates!$D$2:$D$501,"&lt;="&amp;G649),IF(m=0,"",LET(d,MAXIFS(Bank_Rates!$D$2:$D$501,Bank_Rates!$A$2:$A$501,H649,Bank_Rates!$B$2:$B$501,t,Bank_Rates!$D$2:$D$501,"&lt;="&amp;G649),SUMIFS(Bank_Rates!$C$2:$C$501,Bank_Rates!$A$2:$A$501,H649,Bank_Rates!$B$2:$B$501,t,Bank_Rates!$D$2:$D$501,d)))))))</f>
        <v/>
      </c>
      <c r="K649" s="6" t="str">
        <f t="shared" si="20"/>
        <v/>
      </c>
    </row>
    <row r="650" spans="1:11">
      <c r="A650" s="18" t="str">
        <f t="shared" si="21"/>
        <v/>
      </c>
      <c r="B650" s="13"/>
      <c r="C650" s="14"/>
      <c r="D650" s="3"/>
      <c r="E650" s="3"/>
      <c r="F650" s="14"/>
      <c r="G650" s="7">
        <f>RawObservationsTable[[#This Row],[Maturity Date]]-RawObservationsTable[[#This Row],[Timestamp]]</f>
        <v>0</v>
      </c>
      <c r="H650" s="2"/>
      <c r="I650" s="4"/>
      <c r="J650" s="5" t="str">
        <f>IF(OR(H650="",G650="",C650=""),"",LET(n,COUNTIFS(Bank_Rates!$A$2:$A$501,H650,Bank_Rates!$B$2:$B$501,"&lt;="&amp;C650),IF(n=0,"",LET(t,MAXIFS(Bank_Rates!$B$2:$B$501,Bank_Rates!$A$2:$A$501,H650,Bank_Rates!$B$2:$B$501,"&lt;="&amp;C650),m,COUNTIFS(Bank_Rates!$A$2:$A$501,H650,Bank_Rates!$B$2:$B$501,t,Bank_Rates!$D$2:$D$501,"&lt;="&amp;G650),IF(m=0,"",LET(d,MAXIFS(Bank_Rates!$D$2:$D$501,Bank_Rates!$A$2:$A$501,H650,Bank_Rates!$B$2:$B$501,t,Bank_Rates!$D$2:$D$501,"&lt;="&amp;G650),SUMIFS(Bank_Rates!$C$2:$C$501,Bank_Rates!$A$2:$A$501,H650,Bank_Rates!$B$2:$B$501,t,Bank_Rates!$D$2:$D$501,d)))))))</f>
        <v/>
      </c>
      <c r="K650" s="6" t="str">
        <f t="shared" si="20"/>
        <v/>
      </c>
    </row>
    <row r="651" spans="1:11">
      <c r="A651" s="18" t="str">
        <f t="shared" si="21"/>
        <v/>
      </c>
      <c r="B651" s="13"/>
      <c r="C651" s="14"/>
      <c r="D651" s="3"/>
      <c r="E651" s="3"/>
      <c r="F651" s="14"/>
      <c r="G651" s="7">
        <f>RawObservationsTable[[#This Row],[Maturity Date]]-RawObservationsTable[[#This Row],[Timestamp]]</f>
        <v>0</v>
      </c>
      <c r="H651" s="2"/>
      <c r="I651" s="4"/>
      <c r="J651" s="5" t="str">
        <f>IF(OR(H651="",G651="",C651=""),"",LET(n,COUNTIFS(Bank_Rates!$A$2:$A$501,H651,Bank_Rates!$B$2:$B$501,"&lt;="&amp;C651),IF(n=0,"",LET(t,MAXIFS(Bank_Rates!$B$2:$B$501,Bank_Rates!$A$2:$A$501,H651,Bank_Rates!$B$2:$B$501,"&lt;="&amp;C651),m,COUNTIFS(Bank_Rates!$A$2:$A$501,H651,Bank_Rates!$B$2:$B$501,t,Bank_Rates!$D$2:$D$501,"&lt;="&amp;G651),IF(m=0,"",LET(d,MAXIFS(Bank_Rates!$D$2:$D$501,Bank_Rates!$A$2:$A$501,H651,Bank_Rates!$B$2:$B$501,t,Bank_Rates!$D$2:$D$501,"&lt;="&amp;G651),SUMIFS(Bank_Rates!$C$2:$C$501,Bank_Rates!$A$2:$A$501,H651,Bank_Rates!$B$2:$B$501,t,Bank_Rates!$D$2:$D$501,d)))))))</f>
        <v/>
      </c>
      <c r="K651" s="6" t="str">
        <f t="shared" si="20"/>
        <v/>
      </c>
    </row>
    <row r="652" spans="1:11">
      <c r="A652" s="18" t="str">
        <f t="shared" si="21"/>
        <v/>
      </c>
      <c r="B652" s="13"/>
      <c r="C652" s="14"/>
      <c r="D652" s="3"/>
      <c r="E652" s="3"/>
      <c r="F652" s="14"/>
      <c r="G652" s="7">
        <f>RawObservationsTable[[#This Row],[Maturity Date]]-RawObservationsTable[[#This Row],[Timestamp]]</f>
        <v>0</v>
      </c>
      <c r="H652" s="2"/>
      <c r="I652" s="4"/>
      <c r="J652" s="5" t="str">
        <f>IF(OR(H652="",G652="",C652=""),"",LET(n,COUNTIFS(Bank_Rates!$A$2:$A$501,H652,Bank_Rates!$B$2:$B$501,"&lt;="&amp;C652),IF(n=0,"",LET(t,MAXIFS(Bank_Rates!$B$2:$B$501,Bank_Rates!$A$2:$A$501,H652,Bank_Rates!$B$2:$B$501,"&lt;="&amp;C652),m,COUNTIFS(Bank_Rates!$A$2:$A$501,H652,Bank_Rates!$B$2:$B$501,t,Bank_Rates!$D$2:$D$501,"&lt;="&amp;G652),IF(m=0,"",LET(d,MAXIFS(Bank_Rates!$D$2:$D$501,Bank_Rates!$A$2:$A$501,H652,Bank_Rates!$B$2:$B$501,t,Bank_Rates!$D$2:$D$501,"&lt;="&amp;G652),SUMIFS(Bank_Rates!$C$2:$C$501,Bank_Rates!$A$2:$A$501,H652,Bank_Rates!$B$2:$B$501,t,Bank_Rates!$D$2:$D$501,d)))))))</f>
        <v/>
      </c>
      <c r="K652" s="6" t="str">
        <f t="shared" si="20"/>
        <v/>
      </c>
    </row>
    <row r="653" spans="1:11">
      <c r="A653" s="18" t="str">
        <f t="shared" si="21"/>
        <v/>
      </c>
      <c r="B653" s="13"/>
      <c r="C653" s="14"/>
      <c r="D653" s="3"/>
      <c r="E653" s="3"/>
      <c r="F653" s="14"/>
      <c r="G653" s="7">
        <f>RawObservationsTable[[#This Row],[Maturity Date]]-RawObservationsTable[[#This Row],[Timestamp]]</f>
        <v>0</v>
      </c>
      <c r="H653" s="2"/>
      <c r="I653" s="4"/>
      <c r="J653" s="5" t="str">
        <f>IF(OR(H653="",G653="",C653=""),"",LET(n,COUNTIFS(Bank_Rates!$A$2:$A$501,H653,Bank_Rates!$B$2:$B$501,"&lt;="&amp;C653),IF(n=0,"",LET(t,MAXIFS(Bank_Rates!$B$2:$B$501,Bank_Rates!$A$2:$A$501,H653,Bank_Rates!$B$2:$B$501,"&lt;="&amp;C653),m,COUNTIFS(Bank_Rates!$A$2:$A$501,H653,Bank_Rates!$B$2:$B$501,t,Bank_Rates!$D$2:$D$501,"&lt;="&amp;G653),IF(m=0,"",LET(d,MAXIFS(Bank_Rates!$D$2:$D$501,Bank_Rates!$A$2:$A$501,H653,Bank_Rates!$B$2:$B$501,t,Bank_Rates!$D$2:$D$501,"&lt;="&amp;G653),SUMIFS(Bank_Rates!$C$2:$C$501,Bank_Rates!$A$2:$A$501,H653,Bank_Rates!$B$2:$B$501,t,Bank_Rates!$D$2:$D$501,d)))))))</f>
        <v/>
      </c>
      <c r="K653" s="6" t="str">
        <f t="shared" si="20"/>
        <v/>
      </c>
    </row>
    <row r="654" spans="1:11">
      <c r="A654" s="18" t="str">
        <f t="shared" si="21"/>
        <v/>
      </c>
      <c r="B654" s="13"/>
      <c r="C654" s="14"/>
      <c r="D654" s="3"/>
      <c r="E654" s="3"/>
      <c r="F654" s="14"/>
      <c r="G654" s="7">
        <f>RawObservationsTable[[#This Row],[Maturity Date]]-RawObservationsTable[[#This Row],[Timestamp]]</f>
        <v>0</v>
      </c>
      <c r="H654" s="2"/>
      <c r="I654" s="4"/>
      <c r="J654" s="5" t="str">
        <f>IF(OR(H654="",G654="",C654=""),"",LET(n,COUNTIFS(Bank_Rates!$A$2:$A$501,H654,Bank_Rates!$B$2:$B$501,"&lt;="&amp;C654),IF(n=0,"",LET(t,MAXIFS(Bank_Rates!$B$2:$B$501,Bank_Rates!$A$2:$A$501,H654,Bank_Rates!$B$2:$B$501,"&lt;="&amp;C654),m,COUNTIFS(Bank_Rates!$A$2:$A$501,H654,Bank_Rates!$B$2:$B$501,t,Bank_Rates!$D$2:$D$501,"&lt;="&amp;G654),IF(m=0,"",LET(d,MAXIFS(Bank_Rates!$D$2:$D$501,Bank_Rates!$A$2:$A$501,H654,Bank_Rates!$B$2:$B$501,t,Bank_Rates!$D$2:$D$501,"&lt;="&amp;G654),SUMIFS(Bank_Rates!$C$2:$C$501,Bank_Rates!$A$2:$A$501,H654,Bank_Rates!$B$2:$B$501,t,Bank_Rates!$D$2:$D$501,d)))))))</f>
        <v/>
      </c>
      <c r="K654" s="6" t="str">
        <f t="shared" si="20"/>
        <v/>
      </c>
    </row>
    <row r="655" spans="1:11">
      <c r="A655" s="18" t="str">
        <f t="shared" si="21"/>
        <v/>
      </c>
      <c r="B655" s="13"/>
      <c r="C655" s="14"/>
      <c r="D655" s="3"/>
      <c r="E655" s="3"/>
      <c r="F655" s="14"/>
      <c r="G655" s="7">
        <f>RawObservationsTable[[#This Row],[Maturity Date]]-RawObservationsTable[[#This Row],[Timestamp]]</f>
        <v>0</v>
      </c>
      <c r="H655" s="2"/>
      <c r="I655" s="4"/>
      <c r="J655" s="5" t="str">
        <f>IF(OR(H655="",G655="",C655=""),"",LET(n,COUNTIFS(Bank_Rates!$A$2:$A$501,H655,Bank_Rates!$B$2:$B$501,"&lt;="&amp;C655),IF(n=0,"",LET(t,MAXIFS(Bank_Rates!$B$2:$B$501,Bank_Rates!$A$2:$A$501,H655,Bank_Rates!$B$2:$B$501,"&lt;="&amp;C655),m,COUNTIFS(Bank_Rates!$A$2:$A$501,H655,Bank_Rates!$B$2:$B$501,t,Bank_Rates!$D$2:$D$501,"&lt;="&amp;G655),IF(m=0,"",LET(d,MAXIFS(Bank_Rates!$D$2:$D$501,Bank_Rates!$A$2:$A$501,H655,Bank_Rates!$B$2:$B$501,t,Bank_Rates!$D$2:$D$501,"&lt;="&amp;G655),SUMIFS(Bank_Rates!$C$2:$C$501,Bank_Rates!$A$2:$A$501,H655,Bank_Rates!$B$2:$B$501,t,Bank_Rates!$D$2:$D$501,d)))))))</f>
        <v/>
      </c>
      <c r="K655" s="6" t="str">
        <f t="shared" si="20"/>
        <v/>
      </c>
    </row>
    <row r="656" spans="1:11">
      <c r="A656" s="18" t="str">
        <f t="shared" si="21"/>
        <v/>
      </c>
      <c r="B656" s="13"/>
      <c r="C656" s="14"/>
      <c r="D656" s="3"/>
      <c r="E656" s="3"/>
      <c r="F656" s="14"/>
      <c r="G656" s="7">
        <f>RawObservationsTable[[#This Row],[Maturity Date]]-RawObservationsTable[[#This Row],[Timestamp]]</f>
        <v>0</v>
      </c>
      <c r="H656" s="2"/>
      <c r="I656" s="4"/>
      <c r="J656" s="5" t="str">
        <f>IF(OR(H656="",G656="",C656=""),"",LET(n,COUNTIFS(Bank_Rates!$A$2:$A$501,H656,Bank_Rates!$B$2:$B$501,"&lt;="&amp;C656),IF(n=0,"",LET(t,MAXIFS(Bank_Rates!$B$2:$B$501,Bank_Rates!$A$2:$A$501,H656,Bank_Rates!$B$2:$B$501,"&lt;="&amp;C656),m,COUNTIFS(Bank_Rates!$A$2:$A$501,H656,Bank_Rates!$B$2:$B$501,t,Bank_Rates!$D$2:$D$501,"&lt;="&amp;G656),IF(m=0,"",LET(d,MAXIFS(Bank_Rates!$D$2:$D$501,Bank_Rates!$A$2:$A$501,H656,Bank_Rates!$B$2:$B$501,t,Bank_Rates!$D$2:$D$501,"&lt;="&amp;G656),SUMIFS(Bank_Rates!$C$2:$C$501,Bank_Rates!$A$2:$A$501,H656,Bank_Rates!$B$2:$B$501,t,Bank_Rates!$D$2:$D$501,d)))))))</f>
        <v/>
      </c>
      <c r="K656" s="6" t="str">
        <f t="shared" si="20"/>
        <v/>
      </c>
    </row>
    <row r="657" spans="1:11">
      <c r="A657" s="18" t="str">
        <f t="shared" si="21"/>
        <v/>
      </c>
      <c r="B657" s="13"/>
      <c r="C657" s="14"/>
      <c r="D657" s="3"/>
      <c r="E657" s="3"/>
      <c r="F657" s="14"/>
      <c r="G657" s="7">
        <f>RawObservationsTable[[#This Row],[Maturity Date]]-RawObservationsTable[[#This Row],[Timestamp]]</f>
        <v>0</v>
      </c>
      <c r="H657" s="2"/>
      <c r="I657" s="4"/>
      <c r="J657" s="5" t="str">
        <f>IF(OR(H657="",G657="",C657=""),"",LET(n,COUNTIFS(Bank_Rates!$A$2:$A$501,H657,Bank_Rates!$B$2:$B$501,"&lt;="&amp;C657),IF(n=0,"",LET(t,MAXIFS(Bank_Rates!$B$2:$B$501,Bank_Rates!$A$2:$A$501,H657,Bank_Rates!$B$2:$B$501,"&lt;="&amp;C657),m,COUNTIFS(Bank_Rates!$A$2:$A$501,H657,Bank_Rates!$B$2:$B$501,t,Bank_Rates!$D$2:$D$501,"&lt;="&amp;G657),IF(m=0,"",LET(d,MAXIFS(Bank_Rates!$D$2:$D$501,Bank_Rates!$A$2:$A$501,H657,Bank_Rates!$B$2:$B$501,t,Bank_Rates!$D$2:$D$501,"&lt;="&amp;G657),SUMIFS(Bank_Rates!$C$2:$C$501,Bank_Rates!$A$2:$A$501,H657,Bank_Rates!$B$2:$B$501,t,Bank_Rates!$D$2:$D$501,d)))))))</f>
        <v/>
      </c>
      <c r="K657" s="6" t="str">
        <f t="shared" si="20"/>
        <v/>
      </c>
    </row>
    <row r="658" spans="1:11">
      <c r="A658" s="18" t="str">
        <f t="shared" si="21"/>
        <v/>
      </c>
      <c r="B658" s="13"/>
      <c r="C658" s="14"/>
      <c r="D658" s="3"/>
      <c r="E658" s="3"/>
      <c r="F658" s="14"/>
      <c r="G658" s="7">
        <f>RawObservationsTable[[#This Row],[Maturity Date]]-RawObservationsTable[[#This Row],[Timestamp]]</f>
        <v>0</v>
      </c>
      <c r="H658" s="2"/>
      <c r="I658" s="4"/>
      <c r="J658" s="5" t="str">
        <f>IF(OR(H658="",G658="",C658=""),"",LET(n,COUNTIFS(Bank_Rates!$A$2:$A$501,H658,Bank_Rates!$B$2:$B$501,"&lt;="&amp;C658),IF(n=0,"",LET(t,MAXIFS(Bank_Rates!$B$2:$B$501,Bank_Rates!$A$2:$A$501,H658,Bank_Rates!$B$2:$B$501,"&lt;="&amp;C658),m,COUNTIFS(Bank_Rates!$A$2:$A$501,H658,Bank_Rates!$B$2:$B$501,t,Bank_Rates!$D$2:$D$501,"&lt;="&amp;G658),IF(m=0,"",LET(d,MAXIFS(Bank_Rates!$D$2:$D$501,Bank_Rates!$A$2:$A$501,H658,Bank_Rates!$B$2:$B$501,t,Bank_Rates!$D$2:$D$501,"&lt;="&amp;G658),SUMIFS(Bank_Rates!$C$2:$C$501,Bank_Rates!$A$2:$A$501,H658,Bank_Rates!$B$2:$B$501,t,Bank_Rates!$D$2:$D$501,d)))))))</f>
        <v/>
      </c>
      <c r="K658" s="6" t="str">
        <f t="shared" si="20"/>
        <v/>
      </c>
    </row>
    <row r="659" spans="1:11">
      <c r="A659" s="18" t="str">
        <f t="shared" si="21"/>
        <v/>
      </c>
      <c r="B659" s="13"/>
      <c r="C659" s="14"/>
      <c r="D659" s="3"/>
      <c r="E659" s="3"/>
      <c r="F659" s="14"/>
      <c r="G659" s="7">
        <f>RawObservationsTable[[#This Row],[Maturity Date]]-RawObservationsTable[[#This Row],[Timestamp]]</f>
        <v>0</v>
      </c>
      <c r="H659" s="2"/>
      <c r="I659" s="4"/>
      <c r="J659" s="5" t="str">
        <f>IF(OR(H659="",G659="",C659=""),"",LET(n,COUNTIFS(Bank_Rates!$A$2:$A$501,H659,Bank_Rates!$B$2:$B$501,"&lt;="&amp;C659),IF(n=0,"",LET(t,MAXIFS(Bank_Rates!$B$2:$B$501,Bank_Rates!$A$2:$A$501,H659,Bank_Rates!$B$2:$B$501,"&lt;="&amp;C659),m,COUNTIFS(Bank_Rates!$A$2:$A$501,H659,Bank_Rates!$B$2:$B$501,t,Bank_Rates!$D$2:$D$501,"&lt;="&amp;G659),IF(m=0,"",LET(d,MAXIFS(Bank_Rates!$D$2:$D$501,Bank_Rates!$A$2:$A$501,H659,Bank_Rates!$B$2:$B$501,t,Bank_Rates!$D$2:$D$501,"&lt;="&amp;G659),SUMIFS(Bank_Rates!$C$2:$C$501,Bank_Rates!$A$2:$A$501,H659,Bank_Rates!$B$2:$B$501,t,Bank_Rates!$D$2:$D$501,d)))))))</f>
        <v/>
      </c>
      <c r="K659" s="6" t="str">
        <f t="shared" si="20"/>
        <v/>
      </c>
    </row>
    <row r="660" spans="1:11">
      <c r="A660" s="18" t="str">
        <f t="shared" si="21"/>
        <v/>
      </c>
      <c r="B660" s="13"/>
      <c r="C660" s="14"/>
      <c r="D660" s="3"/>
      <c r="E660" s="3"/>
      <c r="F660" s="14"/>
      <c r="G660" s="7">
        <f>RawObservationsTable[[#This Row],[Maturity Date]]-RawObservationsTable[[#This Row],[Timestamp]]</f>
        <v>0</v>
      </c>
      <c r="H660" s="2"/>
      <c r="I660" s="4"/>
      <c r="J660" s="5" t="str">
        <f>IF(OR(H660="",G660="",C660=""),"",LET(n,COUNTIFS(Bank_Rates!$A$2:$A$501,H660,Bank_Rates!$B$2:$B$501,"&lt;="&amp;C660),IF(n=0,"",LET(t,MAXIFS(Bank_Rates!$B$2:$B$501,Bank_Rates!$A$2:$A$501,H660,Bank_Rates!$B$2:$B$501,"&lt;="&amp;C660),m,COUNTIFS(Bank_Rates!$A$2:$A$501,H660,Bank_Rates!$B$2:$B$501,t,Bank_Rates!$D$2:$D$501,"&lt;="&amp;G660),IF(m=0,"",LET(d,MAXIFS(Bank_Rates!$D$2:$D$501,Bank_Rates!$A$2:$A$501,H660,Bank_Rates!$B$2:$B$501,t,Bank_Rates!$D$2:$D$501,"&lt;="&amp;G660),SUMIFS(Bank_Rates!$C$2:$C$501,Bank_Rates!$A$2:$A$501,H660,Bank_Rates!$B$2:$B$501,t,Bank_Rates!$D$2:$D$501,d)))))))</f>
        <v/>
      </c>
      <c r="K660" s="6" t="str">
        <f t="shared" si="20"/>
        <v/>
      </c>
    </row>
    <row r="661" spans="1:11">
      <c r="A661" s="18" t="str">
        <f t="shared" si="21"/>
        <v/>
      </c>
      <c r="B661" s="13"/>
      <c r="C661" s="14"/>
      <c r="D661" s="3"/>
      <c r="E661" s="3"/>
      <c r="F661" s="14"/>
      <c r="G661" s="7">
        <f>RawObservationsTable[[#This Row],[Maturity Date]]-RawObservationsTable[[#This Row],[Timestamp]]</f>
        <v>0</v>
      </c>
      <c r="H661" s="2"/>
      <c r="I661" s="4"/>
      <c r="J661" s="5" t="str">
        <f>IF(OR(H661="",G661="",C661=""),"",LET(n,COUNTIFS(Bank_Rates!$A$2:$A$501,H661,Bank_Rates!$B$2:$B$501,"&lt;="&amp;C661),IF(n=0,"",LET(t,MAXIFS(Bank_Rates!$B$2:$B$501,Bank_Rates!$A$2:$A$501,H661,Bank_Rates!$B$2:$B$501,"&lt;="&amp;C661),m,COUNTIFS(Bank_Rates!$A$2:$A$501,H661,Bank_Rates!$B$2:$B$501,t,Bank_Rates!$D$2:$D$501,"&lt;="&amp;G661),IF(m=0,"",LET(d,MAXIFS(Bank_Rates!$D$2:$D$501,Bank_Rates!$A$2:$A$501,H661,Bank_Rates!$B$2:$B$501,t,Bank_Rates!$D$2:$D$501,"&lt;="&amp;G661),SUMIFS(Bank_Rates!$C$2:$C$501,Bank_Rates!$A$2:$A$501,H661,Bank_Rates!$B$2:$B$501,t,Bank_Rates!$D$2:$D$501,d)))))))</f>
        <v/>
      </c>
      <c r="K661" s="6" t="str">
        <f t="shared" si="20"/>
        <v/>
      </c>
    </row>
    <row r="662" spans="1:11">
      <c r="A662" s="18" t="str">
        <f t="shared" si="21"/>
        <v/>
      </c>
      <c r="B662" s="13"/>
      <c r="C662" s="14"/>
      <c r="D662" s="3"/>
      <c r="E662" s="3"/>
      <c r="F662" s="14"/>
      <c r="G662" s="7">
        <f>RawObservationsTable[[#This Row],[Maturity Date]]-RawObservationsTable[[#This Row],[Timestamp]]</f>
        <v>0</v>
      </c>
      <c r="H662" s="2"/>
      <c r="I662" s="4"/>
      <c r="J662" s="5" t="str">
        <f>IF(OR(H662="",G662="",C662=""),"",LET(n,COUNTIFS(Bank_Rates!$A$2:$A$501,H662,Bank_Rates!$B$2:$B$501,"&lt;="&amp;C662),IF(n=0,"",LET(t,MAXIFS(Bank_Rates!$B$2:$B$501,Bank_Rates!$A$2:$A$501,H662,Bank_Rates!$B$2:$B$501,"&lt;="&amp;C662),m,COUNTIFS(Bank_Rates!$A$2:$A$501,H662,Bank_Rates!$B$2:$B$501,t,Bank_Rates!$D$2:$D$501,"&lt;="&amp;G662),IF(m=0,"",LET(d,MAXIFS(Bank_Rates!$D$2:$D$501,Bank_Rates!$A$2:$A$501,H662,Bank_Rates!$B$2:$B$501,t,Bank_Rates!$D$2:$D$501,"&lt;="&amp;G662),SUMIFS(Bank_Rates!$C$2:$C$501,Bank_Rates!$A$2:$A$501,H662,Bank_Rates!$B$2:$B$501,t,Bank_Rates!$D$2:$D$501,d)))))))</f>
        <v/>
      </c>
      <c r="K662" s="6" t="str">
        <f t="shared" si="20"/>
        <v/>
      </c>
    </row>
    <row r="663" spans="1:11">
      <c r="A663" s="18" t="str">
        <f t="shared" si="21"/>
        <v/>
      </c>
      <c r="B663" s="13"/>
      <c r="C663" s="14"/>
      <c r="D663" s="3"/>
      <c r="E663" s="3"/>
      <c r="F663" s="14"/>
      <c r="G663" s="7">
        <f>RawObservationsTable[[#This Row],[Maturity Date]]-RawObservationsTable[[#This Row],[Timestamp]]</f>
        <v>0</v>
      </c>
      <c r="H663" s="2"/>
      <c r="I663" s="4"/>
      <c r="J663" s="5" t="str">
        <f>IF(OR(H663="",G663="",C663=""),"",LET(n,COUNTIFS(Bank_Rates!$A$2:$A$501,H663,Bank_Rates!$B$2:$B$501,"&lt;="&amp;C663),IF(n=0,"",LET(t,MAXIFS(Bank_Rates!$B$2:$B$501,Bank_Rates!$A$2:$A$501,H663,Bank_Rates!$B$2:$B$501,"&lt;="&amp;C663),m,COUNTIFS(Bank_Rates!$A$2:$A$501,H663,Bank_Rates!$B$2:$B$501,t,Bank_Rates!$D$2:$D$501,"&lt;="&amp;G663),IF(m=0,"",LET(d,MAXIFS(Bank_Rates!$D$2:$D$501,Bank_Rates!$A$2:$A$501,H663,Bank_Rates!$B$2:$B$501,t,Bank_Rates!$D$2:$D$501,"&lt;="&amp;G663),SUMIFS(Bank_Rates!$C$2:$C$501,Bank_Rates!$A$2:$A$501,H663,Bank_Rates!$B$2:$B$501,t,Bank_Rates!$D$2:$D$501,d)))))))</f>
        <v/>
      </c>
      <c r="K663" s="6" t="str">
        <f t="shared" si="20"/>
        <v/>
      </c>
    </row>
    <row r="664" spans="1:11">
      <c r="A664" s="18" t="str">
        <f t="shared" si="21"/>
        <v/>
      </c>
      <c r="B664" s="13"/>
      <c r="C664" s="14"/>
      <c r="D664" s="3"/>
      <c r="E664" s="3"/>
      <c r="F664" s="14"/>
      <c r="G664" s="7">
        <f>RawObservationsTable[[#This Row],[Maturity Date]]-RawObservationsTable[[#This Row],[Timestamp]]</f>
        <v>0</v>
      </c>
      <c r="H664" s="2"/>
      <c r="I664" s="4"/>
      <c r="J664" s="5" t="str">
        <f>IF(OR(H664="",G664="",C664=""),"",LET(n,COUNTIFS(Bank_Rates!$A$2:$A$501,H664,Bank_Rates!$B$2:$B$501,"&lt;="&amp;C664),IF(n=0,"",LET(t,MAXIFS(Bank_Rates!$B$2:$B$501,Bank_Rates!$A$2:$A$501,H664,Bank_Rates!$B$2:$B$501,"&lt;="&amp;C664),m,COUNTIFS(Bank_Rates!$A$2:$A$501,H664,Bank_Rates!$B$2:$B$501,t,Bank_Rates!$D$2:$D$501,"&lt;="&amp;G664),IF(m=0,"",LET(d,MAXIFS(Bank_Rates!$D$2:$D$501,Bank_Rates!$A$2:$A$501,H664,Bank_Rates!$B$2:$B$501,t,Bank_Rates!$D$2:$D$501,"&lt;="&amp;G664),SUMIFS(Bank_Rates!$C$2:$C$501,Bank_Rates!$A$2:$A$501,H664,Bank_Rates!$B$2:$B$501,t,Bank_Rates!$D$2:$D$501,d)))))))</f>
        <v/>
      </c>
      <c r="K664" s="6" t="str">
        <f t="shared" si="20"/>
        <v/>
      </c>
    </row>
    <row r="665" spans="1:11">
      <c r="A665" s="18" t="str">
        <f t="shared" si="21"/>
        <v/>
      </c>
      <c r="B665" s="13"/>
      <c r="C665" s="14"/>
      <c r="D665" s="3"/>
      <c r="E665" s="3"/>
      <c r="F665" s="14"/>
      <c r="G665" s="7">
        <f>RawObservationsTable[[#This Row],[Maturity Date]]-RawObservationsTable[[#This Row],[Timestamp]]</f>
        <v>0</v>
      </c>
      <c r="H665" s="2"/>
      <c r="I665" s="4"/>
      <c r="J665" s="5" t="str">
        <f>IF(OR(H665="",G665="",C665=""),"",LET(n,COUNTIFS(Bank_Rates!$A$2:$A$501,H665,Bank_Rates!$B$2:$B$501,"&lt;="&amp;C665),IF(n=0,"",LET(t,MAXIFS(Bank_Rates!$B$2:$B$501,Bank_Rates!$A$2:$A$501,H665,Bank_Rates!$B$2:$B$501,"&lt;="&amp;C665),m,COUNTIFS(Bank_Rates!$A$2:$A$501,H665,Bank_Rates!$B$2:$B$501,t,Bank_Rates!$D$2:$D$501,"&lt;="&amp;G665),IF(m=0,"",LET(d,MAXIFS(Bank_Rates!$D$2:$D$501,Bank_Rates!$A$2:$A$501,H665,Bank_Rates!$B$2:$B$501,t,Bank_Rates!$D$2:$D$501,"&lt;="&amp;G665),SUMIFS(Bank_Rates!$C$2:$C$501,Bank_Rates!$A$2:$A$501,H665,Bank_Rates!$B$2:$B$501,t,Bank_Rates!$D$2:$D$501,d)))))))</f>
        <v/>
      </c>
      <c r="K665" s="6" t="str">
        <f t="shared" si="20"/>
        <v/>
      </c>
    </row>
    <row r="666" spans="1:11">
      <c r="A666" s="18" t="str">
        <f t="shared" si="21"/>
        <v/>
      </c>
      <c r="B666" s="13"/>
      <c r="C666" s="14"/>
      <c r="D666" s="3"/>
      <c r="E666" s="3"/>
      <c r="F666" s="14"/>
      <c r="G666" s="7">
        <f>RawObservationsTable[[#This Row],[Maturity Date]]-RawObservationsTable[[#This Row],[Timestamp]]</f>
        <v>0</v>
      </c>
      <c r="H666" s="2"/>
      <c r="I666" s="4"/>
      <c r="J666" s="5" t="str">
        <f>IF(OR(H666="",G666="",C666=""),"",LET(n,COUNTIFS(Bank_Rates!$A$2:$A$501,H666,Bank_Rates!$B$2:$B$501,"&lt;="&amp;C666),IF(n=0,"",LET(t,MAXIFS(Bank_Rates!$B$2:$B$501,Bank_Rates!$A$2:$A$501,H666,Bank_Rates!$B$2:$B$501,"&lt;="&amp;C666),m,COUNTIFS(Bank_Rates!$A$2:$A$501,H666,Bank_Rates!$B$2:$B$501,t,Bank_Rates!$D$2:$D$501,"&lt;="&amp;G666),IF(m=0,"",LET(d,MAXIFS(Bank_Rates!$D$2:$D$501,Bank_Rates!$A$2:$A$501,H666,Bank_Rates!$B$2:$B$501,t,Bank_Rates!$D$2:$D$501,"&lt;="&amp;G666),SUMIFS(Bank_Rates!$C$2:$C$501,Bank_Rates!$A$2:$A$501,H666,Bank_Rates!$B$2:$B$501,t,Bank_Rates!$D$2:$D$501,d)))))))</f>
        <v/>
      </c>
      <c r="K666" s="6" t="str">
        <f t="shared" si="20"/>
        <v/>
      </c>
    </row>
    <row r="667" spans="1:11">
      <c r="A667" s="18" t="str">
        <f t="shared" si="21"/>
        <v/>
      </c>
      <c r="B667" s="13"/>
      <c r="C667" s="14"/>
      <c r="D667" s="3"/>
      <c r="E667" s="3"/>
      <c r="F667" s="14"/>
      <c r="G667" s="7">
        <f>RawObservationsTable[[#This Row],[Maturity Date]]-RawObservationsTable[[#This Row],[Timestamp]]</f>
        <v>0</v>
      </c>
      <c r="H667" s="2"/>
      <c r="I667" s="4"/>
      <c r="J667" s="5" t="str">
        <f>IF(OR(H667="",G667="",C667=""),"",LET(n,COUNTIFS(Bank_Rates!$A$2:$A$501,H667,Bank_Rates!$B$2:$B$501,"&lt;="&amp;C667),IF(n=0,"",LET(t,MAXIFS(Bank_Rates!$B$2:$B$501,Bank_Rates!$A$2:$A$501,H667,Bank_Rates!$B$2:$B$501,"&lt;="&amp;C667),m,COUNTIFS(Bank_Rates!$A$2:$A$501,H667,Bank_Rates!$B$2:$B$501,t,Bank_Rates!$D$2:$D$501,"&lt;="&amp;G667),IF(m=0,"",LET(d,MAXIFS(Bank_Rates!$D$2:$D$501,Bank_Rates!$A$2:$A$501,H667,Bank_Rates!$B$2:$B$501,t,Bank_Rates!$D$2:$D$501,"&lt;="&amp;G667),SUMIFS(Bank_Rates!$C$2:$C$501,Bank_Rates!$A$2:$A$501,H667,Bank_Rates!$B$2:$B$501,t,Bank_Rates!$D$2:$D$501,d)))))))</f>
        <v/>
      </c>
      <c r="K667" s="6" t="str">
        <f t="shared" si="20"/>
        <v/>
      </c>
    </row>
    <row r="668" spans="1:11">
      <c r="A668" s="18" t="str">
        <f t="shared" si="21"/>
        <v/>
      </c>
      <c r="B668" s="13"/>
      <c r="C668" s="14"/>
      <c r="D668" s="3"/>
      <c r="E668" s="3"/>
      <c r="F668" s="14"/>
      <c r="G668" s="7">
        <f>RawObservationsTable[[#This Row],[Maturity Date]]-RawObservationsTable[[#This Row],[Timestamp]]</f>
        <v>0</v>
      </c>
      <c r="H668" s="2"/>
      <c r="I668" s="4"/>
      <c r="J668" s="5" t="str">
        <f>IF(OR(H668="",G668="",C668=""),"",LET(n,COUNTIFS(Bank_Rates!$A$2:$A$501,H668,Bank_Rates!$B$2:$B$501,"&lt;="&amp;C668),IF(n=0,"",LET(t,MAXIFS(Bank_Rates!$B$2:$B$501,Bank_Rates!$A$2:$A$501,H668,Bank_Rates!$B$2:$B$501,"&lt;="&amp;C668),m,COUNTIFS(Bank_Rates!$A$2:$A$501,H668,Bank_Rates!$B$2:$B$501,t,Bank_Rates!$D$2:$D$501,"&lt;="&amp;G668),IF(m=0,"",LET(d,MAXIFS(Bank_Rates!$D$2:$D$501,Bank_Rates!$A$2:$A$501,H668,Bank_Rates!$B$2:$B$501,t,Bank_Rates!$D$2:$D$501,"&lt;="&amp;G668),SUMIFS(Bank_Rates!$C$2:$C$501,Bank_Rates!$A$2:$A$501,H668,Bank_Rates!$B$2:$B$501,t,Bank_Rates!$D$2:$D$501,d)))))))</f>
        <v/>
      </c>
      <c r="K668" s="6" t="str">
        <f t="shared" si="20"/>
        <v/>
      </c>
    </row>
    <row r="669" spans="1:11">
      <c r="A669" s="18" t="str">
        <f t="shared" si="21"/>
        <v/>
      </c>
      <c r="B669" s="13"/>
      <c r="C669" s="14"/>
      <c r="D669" s="3"/>
      <c r="E669" s="3"/>
      <c r="F669" s="14"/>
      <c r="G669" s="7">
        <f>RawObservationsTable[[#This Row],[Maturity Date]]-RawObservationsTable[[#This Row],[Timestamp]]</f>
        <v>0</v>
      </c>
      <c r="H669" s="2"/>
      <c r="I669" s="4"/>
      <c r="J669" s="5" t="str">
        <f>IF(OR(H669="",G669="",C669=""),"",LET(n,COUNTIFS(Bank_Rates!$A$2:$A$501,H669,Bank_Rates!$B$2:$B$501,"&lt;="&amp;C669),IF(n=0,"",LET(t,MAXIFS(Bank_Rates!$B$2:$B$501,Bank_Rates!$A$2:$A$501,H669,Bank_Rates!$B$2:$B$501,"&lt;="&amp;C669),m,COUNTIFS(Bank_Rates!$A$2:$A$501,H669,Bank_Rates!$B$2:$B$501,t,Bank_Rates!$D$2:$D$501,"&lt;="&amp;G669),IF(m=0,"",LET(d,MAXIFS(Bank_Rates!$D$2:$D$501,Bank_Rates!$A$2:$A$501,H669,Bank_Rates!$B$2:$B$501,t,Bank_Rates!$D$2:$D$501,"&lt;="&amp;G669),SUMIFS(Bank_Rates!$C$2:$C$501,Bank_Rates!$A$2:$A$501,H669,Bank_Rates!$B$2:$B$501,t,Bank_Rates!$D$2:$D$501,d)))))))</f>
        <v/>
      </c>
      <c r="K669" s="6" t="str">
        <f t="shared" si="20"/>
        <v/>
      </c>
    </row>
    <row r="670" spans="1:11">
      <c r="A670" s="18" t="str">
        <f t="shared" si="21"/>
        <v/>
      </c>
      <c r="B670" s="13"/>
      <c r="C670" s="14"/>
      <c r="D670" s="3"/>
      <c r="E670" s="3"/>
      <c r="F670" s="14"/>
      <c r="G670" s="7">
        <f>RawObservationsTable[[#This Row],[Maturity Date]]-RawObservationsTable[[#This Row],[Timestamp]]</f>
        <v>0</v>
      </c>
      <c r="H670" s="2"/>
      <c r="I670" s="4"/>
      <c r="J670" s="5" t="str">
        <f>IF(OR(H670="",G670="",C670=""),"",LET(n,COUNTIFS(Bank_Rates!$A$2:$A$501,H670,Bank_Rates!$B$2:$B$501,"&lt;="&amp;C670),IF(n=0,"",LET(t,MAXIFS(Bank_Rates!$B$2:$B$501,Bank_Rates!$A$2:$A$501,H670,Bank_Rates!$B$2:$B$501,"&lt;="&amp;C670),m,COUNTIFS(Bank_Rates!$A$2:$A$501,H670,Bank_Rates!$B$2:$B$501,t,Bank_Rates!$D$2:$D$501,"&lt;="&amp;G670),IF(m=0,"",LET(d,MAXIFS(Bank_Rates!$D$2:$D$501,Bank_Rates!$A$2:$A$501,H670,Bank_Rates!$B$2:$B$501,t,Bank_Rates!$D$2:$D$501,"&lt;="&amp;G670),SUMIFS(Bank_Rates!$C$2:$C$501,Bank_Rates!$A$2:$A$501,H670,Bank_Rates!$B$2:$B$501,t,Bank_Rates!$D$2:$D$501,d)))))))</f>
        <v/>
      </c>
      <c r="K670" s="6" t="str">
        <f t="shared" si="20"/>
        <v/>
      </c>
    </row>
    <row r="671" spans="1:11">
      <c r="A671" s="18" t="str">
        <f t="shared" si="21"/>
        <v/>
      </c>
      <c r="B671" s="13"/>
      <c r="C671" s="14"/>
      <c r="D671" s="3"/>
      <c r="E671" s="3"/>
      <c r="F671" s="14"/>
      <c r="G671" s="7">
        <f>RawObservationsTable[[#This Row],[Maturity Date]]-RawObservationsTable[[#This Row],[Timestamp]]</f>
        <v>0</v>
      </c>
      <c r="H671" s="2"/>
      <c r="I671" s="4"/>
      <c r="J671" s="5" t="str">
        <f>IF(OR(H671="",G671="",C671=""),"",LET(n,COUNTIFS(Bank_Rates!$A$2:$A$501,H671,Bank_Rates!$B$2:$B$501,"&lt;="&amp;C671),IF(n=0,"",LET(t,MAXIFS(Bank_Rates!$B$2:$B$501,Bank_Rates!$A$2:$A$501,H671,Bank_Rates!$B$2:$B$501,"&lt;="&amp;C671),m,COUNTIFS(Bank_Rates!$A$2:$A$501,H671,Bank_Rates!$B$2:$B$501,t,Bank_Rates!$D$2:$D$501,"&lt;="&amp;G671),IF(m=0,"",LET(d,MAXIFS(Bank_Rates!$D$2:$D$501,Bank_Rates!$A$2:$A$501,H671,Bank_Rates!$B$2:$B$501,t,Bank_Rates!$D$2:$D$501,"&lt;="&amp;G671),SUMIFS(Bank_Rates!$C$2:$C$501,Bank_Rates!$A$2:$A$501,H671,Bank_Rates!$B$2:$B$501,t,Bank_Rates!$D$2:$D$501,d)))))))</f>
        <v/>
      </c>
      <c r="K671" s="6" t="str">
        <f t="shared" si="20"/>
        <v/>
      </c>
    </row>
    <row r="672" spans="1:11">
      <c r="A672" s="18" t="str">
        <f t="shared" si="21"/>
        <v/>
      </c>
      <c r="B672" s="13"/>
      <c r="C672" s="14"/>
      <c r="D672" s="3"/>
      <c r="E672" s="3"/>
      <c r="F672" s="14"/>
      <c r="G672" s="7">
        <f>RawObservationsTable[[#This Row],[Maturity Date]]-RawObservationsTable[[#This Row],[Timestamp]]</f>
        <v>0</v>
      </c>
      <c r="H672" s="2"/>
      <c r="I672" s="4"/>
      <c r="J672" s="5" t="str">
        <f>IF(OR(H672="",G672="",C672=""),"",LET(n,COUNTIFS(Bank_Rates!$A$2:$A$501,H672,Bank_Rates!$B$2:$B$501,"&lt;="&amp;C672),IF(n=0,"",LET(t,MAXIFS(Bank_Rates!$B$2:$B$501,Bank_Rates!$A$2:$A$501,H672,Bank_Rates!$B$2:$B$501,"&lt;="&amp;C672),m,COUNTIFS(Bank_Rates!$A$2:$A$501,H672,Bank_Rates!$B$2:$B$501,t,Bank_Rates!$D$2:$D$501,"&lt;="&amp;G672),IF(m=0,"",LET(d,MAXIFS(Bank_Rates!$D$2:$D$501,Bank_Rates!$A$2:$A$501,H672,Bank_Rates!$B$2:$B$501,t,Bank_Rates!$D$2:$D$501,"&lt;="&amp;G672),SUMIFS(Bank_Rates!$C$2:$C$501,Bank_Rates!$A$2:$A$501,H672,Bank_Rates!$B$2:$B$501,t,Bank_Rates!$D$2:$D$501,d)))))))</f>
        <v/>
      </c>
      <c r="K672" s="6" t="str">
        <f t="shared" si="20"/>
        <v/>
      </c>
    </row>
    <row r="673" spans="1:11">
      <c r="A673" s="18" t="str">
        <f t="shared" si="21"/>
        <v/>
      </c>
      <c r="B673" s="13"/>
      <c r="C673" s="14"/>
      <c r="D673" s="3"/>
      <c r="E673" s="3"/>
      <c r="F673" s="14"/>
      <c r="G673" s="7">
        <f>RawObservationsTable[[#This Row],[Maturity Date]]-RawObservationsTable[[#This Row],[Timestamp]]</f>
        <v>0</v>
      </c>
      <c r="H673" s="2"/>
      <c r="I673" s="4"/>
      <c r="J673" s="5" t="str">
        <f>IF(OR(H673="",G673="",C673=""),"",LET(n,COUNTIFS(Bank_Rates!$A$2:$A$501,H673,Bank_Rates!$B$2:$B$501,"&lt;="&amp;C673),IF(n=0,"",LET(t,MAXIFS(Bank_Rates!$B$2:$B$501,Bank_Rates!$A$2:$A$501,H673,Bank_Rates!$B$2:$B$501,"&lt;="&amp;C673),m,COUNTIFS(Bank_Rates!$A$2:$A$501,H673,Bank_Rates!$B$2:$B$501,t,Bank_Rates!$D$2:$D$501,"&lt;="&amp;G673),IF(m=0,"",LET(d,MAXIFS(Bank_Rates!$D$2:$D$501,Bank_Rates!$A$2:$A$501,H673,Bank_Rates!$B$2:$B$501,t,Bank_Rates!$D$2:$D$501,"&lt;="&amp;G673),SUMIFS(Bank_Rates!$C$2:$C$501,Bank_Rates!$A$2:$A$501,H673,Bank_Rates!$B$2:$B$501,t,Bank_Rates!$D$2:$D$501,d)))))))</f>
        <v/>
      </c>
      <c r="K673" s="6" t="str">
        <f t="shared" si="20"/>
        <v/>
      </c>
    </row>
    <row r="674" spans="1:11">
      <c r="A674" s="18" t="str">
        <f t="shared" si="21"/>
        <v/>
      </c>
      <c r="B674" s="13"/>
      <c r="C674" s="14"/>
      <c r="D674" s="3"/>
      <c r="E674" s="3"/>
      <c r="F674" s="14"/>
      <c r="G674" s="7">
        <f>RawObservationsTable[[#This Row],[Maturity Date]]-RawObservationsTable[[#This Row],[Timestamp]]</f>
        <v>0</v>
      </c>
      <c r="H674" s="2"/>
      <c r="I674" s="4"/>
      <c r="J674" s="5" t="str">
        <f>IF(OR(H674="",G674="",C674=""),"",LET(n,COUNTIFS(Bank_Rates!$A$2:$A$501,H674,Bank_Rates!$B$2:$B$501,"&lt;="&amp;C674),IF(n=0,"",LET(t,MAXIFS(Bank_Rates!$B$2:$B$501,Bank_Rates!$A$2:$A$501,H674,Bank_Rates!$B$2:$B$501,"&lt;="&amp;C674),m,COUNTIFS(Bank_Rates!$A$2:$A$501,H674,Bank_Rates!$B$2:$B$501,t,Bank_Rates!$D$2:$D$501,"&lt;="&amp;G674),IF(m=0,"",LET(d,MAXIFS(Bank_Rates!$D$2:$D$501,Bank_Rates!$A$2:$A$501,H674,Bank_Rates!$B$2:$B$501,t,Bank_Rates!$D$2:$D$501,"&lt;="&amp;G674),SUMIFS(Bank_Rates!$C$2:$C$501,Bank_Rates!$A$2:$A$501,H674,Bank_Rates!$B$2:$B$501,t,Bank_Rates!$D$2:$D$501,d)))))))</f>
        <v/>
      </c>
      <c r="K674" s="6" t="str">
        <f t="shared" si="20"/>
        <v/>
      </c>
    </row>
    <row r="675" spans="1:11">
      <c r="A675" s="18" t="str">
        <f t="shared" si="21"/>
        <v/>
      </c>
      <c r="B675" s="13"/>
      <c r="C675" s="14"/>
      <c r="D675" s="3"/>
      <c r="E675" s="3"/>
      <c r="F675" s="14"/>
      <c r="G675" s="7">
        <f>RawObservationsTable[[#This Row],[Maturity Date]]-RawObservationsTable[[#This Row],[Timestamp]]</f>
        <v>0</v>
      </c>
      <c r="H675" s="2"/>
      <c r="I675" s="4"/>
      <c r="J675" s="5" t="str">
        <f>IF(OR(H675="",G675="",C675=""),"",LET(n,COUNTIFS(Bank_Rates!$A$2:$A$501,H675,Bank_Rates!$B$2:$B$501,"&lt;="&amp;C675),IF(n=0,"",LET(t,MAXIFS(Bank_Rates!$B$2:$B$501,Bank_Rates!$A$2:$A$501,H675,Bank_Rates!$B$2:$B$501,"&lt;="&amp;C675),m,COUNTIFS(Bank_Rates!$A$2:$A$501,H675,Bank_Rates!$B$2:$B$501,t,Bank_Rates!$D$2:$D$501,"&lt;="&amp;G675),IF(m=0,"",LET(d,MAXIFS(Bank_Rates!$D$2:$D$501,Bank_Rates!$A$2:$A$501,H675,Bank_Rates!$B$2:$B$501,t,Bank_Rates!$D$2:$D$501,"&lt;="&amp;G675),SUMIFS(Bank_Rates!$C$2:$C$501,Bank_Rates!$A$2:$A$501,H675,Bank_Rates!$B$2:$B$501,t,Bank_Rates!$D$2:$D$501,d)))))))</f>
        <v/>
      </c>
      <c r="K675" s="6" t="str">
        <f t="shared" si="20"/>
        <v/>
      </c>
    </row>
    <row r="676" spans="1:11">
      <c r="A676" s="18" t="str">
        <f t="shared" si="21"/>
        <v/>
      </c>
      <c r="B676" s="13"/>
      <c r="C676" s="14"/>
      <c r="D676" s="3"/>
      <c r="E676" s="3"/>
      <c r="F676" s="14"/>
      <c r="G676" s="7">
        <f>RawObservationsTable[[#This Row],[Maturity Date]]-RawObservationsTable[[#This Row],[Timestamp]]</f>
        <v>0</v>
      </c>
      <c r="H676" s="2"/>
      <c r="I676" s="4"/>
      <c r="J676" s="5" t="str">
        <f>IF(OR(H676="",G676="",C676=""),"",LET(n,COUNTIFS(Bank_Rates!$A$2:$A$501,H676,Bank_Rates!$B$2:$B$501,"&lt;="&amp;C676),IF(n=0,"",LET(t,MAXIFS(Bank_Rates!$B$2:$B$501,Bank_Rates!$A$2:$A$501,H676,Bank_Rates!$B$2:$B$501,"&lt;="&amp;C676),m,COUNTIFS(Bank_Rates!$A$2:$A$501,H676,Bank_Rates!$B$2:$B$501,t,Bank_Rates!$D$2:$D$501,"&lt;="&amp;G676),IF(m=0,"",LET(d,MAXIFS(Bank_Rates!$D$2:$D$501,Bank_Rates!$A$2:$A$501,H676,Bank_Rates!$B$2:$B$501,t,Bank_Rates!$D$2:$D$501,"&lt;="&amp;G676),SUMIFS(Bank_Rates!$C$2:$C$501,Bank_Rates!$A$2:$A$501,H676,Bank_Rates!$B$2:$B$501,t,Bank_Rates!$D$2:$D$501,d)))))))</f>
        <v/>
      </c>
      <c r="K676" s="6" t="str">
        <f t="shared" si="20"/>
        <v/>
      </c>
    </row>
    <row r="677" spans="1:11">
      <c r="A677" s="18" t="str">
        <f t="shared" si="21"/>
        <v/>
      </c>
      <c r="B677" s="13"/>
      <c r="C677" s="14"/>
      <c r="D677" s="3"/>
      <c r="E677" s="3"/>
      <c r="F677" s="14"/>
      <c r="G677" s="7">
        <f>RawObservationsTable[[#This Row],[Maturity Date]]-RawObservationsTable[[#This Row],[Timestamp]]</f>
        <v>0</v>
      </c>
      <c r="H677" s="2"/>
      <c r="I677" s="4"/>
      <c r="J677" s="5" t="str">
        <f>IF(OR(H677="",G677="",C677=""),"",LET(n,COUNTIFS(Bank_Rates!$A$2:$A$501,H677,Bank_Rates!$B$2:$B$501,"&lt;="&amp;C677),IF(n=0,"",LET(t,MAXIFS(Bank_Rates!$B$2:$B$501,Bank_Rates!$A$2:$A$501,H677,Bank_Rates!$B$2:$B$501,"&lt;="&amp;C677),m,COUNTIFS(Bank_Rates!$A$2:$A$501,H677,Bank_Rates!$B$2:$B$501,t,Bank_Rates!$D$2:$D$501,"&lt;="&amp;G677),IF(m=0,"",LET(d,MAXIFS(Bank_Rates!$D$2:$D$501,Bank_Rates!$A$2:$A$501,H677,Bank_Rates!$B$2:$B$501,t,Bank_Rates!$D$2:$D$501,"&lt;="&amp;G677),SUMIFS(Bank_Rates!$C$2:$C$501,Bank_Rates!$A$2:$A$501,H677,Bank_Rates!$B$2:$B$501,t,Bank_Rates!$D$2:$D$501,d)))))))</f>
        <v/>
      </c>
      <c r="K677" s="6" t="str">
        <f t="shared" si="20"/>
        <v/>
      </c>
    </row>
    <row r="678" spans="1:11">
      <c r="A678" s="18" t="str">
        <f t="shared" si="21"/>
        <v/>
      </c>
      <c r="B678" s="13"/>
      <c r="C678" s="14"/>
      <c r="D678" s="3"/>
      <c r="E678" s="3"/>
      <c r="F678" s="14"/>
      <c r="G678" s="7">
        <f>RawObservationsTable[[#This Row],[Maturity Date]]-RawObservationsTable[[#This Row],[Timestamp]]</f>
        <v>0</v>
      </c>
      <c r="H678" s="2"/>
      <c r="I678" s="4"/>
      <c r="J678" s="5" t="str">
        <f>IF(OR(H678="",G678="",C678=""),"",LET(n,COUNTIFS(Bank_Rates!$A$2:$A$501,H678,Bank_Rates!$B$2:$B$501,"&lt;="&amp;C678),IF(n=0,"",LET(t,MAXIFS(Bank_Rates!$B$2:$B$501,Bank_Rates!$A$2:$A$501,H678,Bank_Rates!$B$2:$B$501,"&lt;="&amp;C678),m,COUNTIFS(Bank_Rates!$A$2:$A$501,H678,Bank_Rates!$B$2:$B$501,t,Bank_Rates!$D$2:$D$501,"&lt;="&amp;G678),IF(m=0,"",LET(d,MAXIFS(Bank_Rates!$D$2:$D$501,Bank_Rates!$A$2:$A$501,H678,Bank_Rates!$B$2:$B$501,t,Bank_Rates!$D$2:$D$501,"&lt;="&amp;G678),SUMIFS(Bank_Rates!$C$2:$C$501,Bank_Rates!$A$2:$A$501,H678,Bank_Rates!$B$2:$B$501,t,Bank_Rates!$D$2:$D$501,d)))))))</f>
        <v/>
      </c>
      <c r="K678" s="6" t="str">
        <f t="shared" si="20"/>
        <v/>
      </c>
    </row>
    <row r="679" spans="1:11">
      <c r="A679" s="18" t="str">
        <f t="shared" si="21"/>
        <v/>
      </c>
      <c r="B679" s="13"/>
      <c r="C679" s="14"/>
      <c r="D679" s="3"/>
      <c r="E679" s="3"/>
      <c r="F679" s="14"/>
      <c r="G679" s="7">
        <f>RawObservationsTable[[#This Row],[Maturity Date]]-RawObservationsTable[[#This Row],[Timestamp]]</f>
        <v>0</v>
      </c>
      <c r="H679" s="2"/>
      <c r="I679" s="4"/>
      <c r="J679" s="5" t="str">
        <f>IF(OR(H679="",G679="",C679=""),"",LET(n,COUNTIFS(Bank_Rates!$A$2:$A$501,H679,Bank_Rates!$B$2:$B$501,"&lt;="&amp;C679),IF(n=0,"",LET(t,MAXIFS(Bank_Rates!$B$2:$B$501,Bank_Rates!$A$2:$A$501,H679,Bank_Rates!$B$2:$B$501,"&lt;="&amp;C679),m,COUNTIFS(Bank_Rates!$A$2:$A$501,H679,Bank_Rates!$B$2:$B$501,t,Bank_Rates!$D$2:$D$501,"&lt;="&amp;G679),IF(m=0,"",LET(d,MAXIFS(Bank_Rates!$D$2:$D$501,Bank_Rates!$A$2:$A$501,H679,Bank_Rates!$B$2:$B$501,t,Bank_Rates!$D$2:$D$501,"&lt;="&amp;G679),SUMIFS(Bank_Rates!$C$2:$C$501,Bank_Rates!$A$2:$A$501,H679,Bank_Rates!$B$2:$B$501,t,Bank_Rates!$D$2:$D$501,d)))))))</f>
        <v/>
      </c>
      <c r="K679" s="6" t="str">
        <f t="shared" si="20"/>
        <v/>
      </c>
    </row>
    <row r="680" spans="1:11">
      <c r="A680" s="18" t="str">
        <f t="shared" si="21"/>
        <v/>
      </c>
      <c r="B680" s="13"/>
      <c r="C680" s="14"/>
      <c r="D680" s="3"/>
      <c r="E680" s="3"/>
      <c r="F680" s="14"/>
      <c r="G680" s="7">
        <f>RawObservationsTable[[#This Row],[Maturity Date]]-RawObservationsTable[[#This Row],[Timestamp]]</f>
        <v>0</v>
      </c>
      <c r="H680" s="2"/>
      <c r="I680" s="4"/>
      <c r="J680" s="5" t="str">
        <f>IF(OR(H680="",G680="",C680=""),"",LET(n,COUNTIFS(Bank_Rates!$A$2:$A$501,H680,Bank_Rates!$B$2:$B$501,"&lt;="&amp;C680),IF(n=0,"",LET(t,MAXIFS(Bank_Rates!$B$2:$B$501,Bank_Rates!$A$2:$A$501,H680,Bank_Rates!$B$2:$B$501,"&lt;="&amp;C680),m,COUNTIFS(Bank_Rates!$A$2:$A$501,H680,Bank_Rates!$B$2:$B$501,t,Bank_Rates!$D$2:$D$501,"&lt;="&amp;G680),IF(m=0,"",LET(d,MAXIFS(Bank_Rates!$D$2:$D$501,Bank_Rates!$A$2:$A$501,H680,Bank_Rates!$B$2:$B$501,t,Bank_Rates!$D$2:$D$501,"&lt;="&amp;G680),SUMIFS(Bank_Rates!$C$2:$C$501,Bank_Rates!$A$2:$A$501,H680,Bank_Rates!$B$2:$B$501,t,Bank_Rates!$D$2:$D$501,d)))))))</f>
        <v/>
      </c>
      <c r="K680" s="6" t="str">
        <f t="shared" si="20"/>
        <v/>
      </c>
    </row>
    <row r="681" spans="1:11">
      <c r="A681" s="18" t="str">
        <f t="shared" si="21"/>
        <v/>
      </c>
      <c r="B681" s="13"/>
      <c r="C681" s="14"/>
      <c r="D681" s="3"/>
      <c r="E681" s="3"/>
      <c r="F681" s="14"/>
      <c r="G681" s="7">
        <f>RawObservationsTable[[#This Row],[Maturity Date]]-RawObservationsTable[[#This Row],[Timestamp]]</f>
        <v>0</v>
      </c>
      <c r="H681" s="2"/>
      <c r="I681" s="4"/>
      <c r="J681" s="5" t="str">
        <f>IF(OR(H681="",G681="",C681=""),"",LET(n,COUNTIFS(Bank_Rates!$A$2:$A$501,H681,Bank_Rates!$B$2:$B$501,"&lt;="&amp;C681),IF(n=0,"",LET(t,MAXIFS(Bank_Rates!$B$2:$B$501,Bank_Rates!$A$2:$A$501,H681,Bank_Rates!$B$2:$B$501,"&lt;="&amp;C681),m,COUNTIFS(Bank_Rates!$A$2:$A$501,H681,Bank_Rates!$B$2:$B$501,t,Bank_Rates!$D$2:$D$501,"&lt;="&amp;G681),IF(m=0,"",LET(d,MAXIFS(Bank_Rates!$D$2:$D$501,Bank_Rates!$A$2:$A$501,H681,Bank_Rates!$B$2:$B$501,t,Bank_Rates!$D$2:$D$501,"&lt;="&amp;G681),SUMIFS(Bank_Rates!$C$2:$C$501,Bank_Rates!$A$2:$A$501,H681,Bank_Rates!$B$2:$B$501,t,Bank_Rates!$D$2:$D$501,d)))))))</f>
        <v/>
      </c>
      <c r="K681" s="6" t="str">
        <f t="shared" si="20"/>
        <v/>
      </c>
    </row>
    <row r="682" spans="1:11">
      <c r="A682" s="18" t="str">
        <f t="shared" si="21"/>
        <v/>
      </c>
      <c r="B682" s="13"/>
      <c r="C682" s="14"/>
      <c r="D682" s="3"/>
      <c r="E682" s="3"/>
      <c r="F682" s="14"/>
      <c r="G682" s="7">
        <f>RawObservationsTable[[#This Row],[Maturity Date]]-RawObservationsTable[[#This Row],[Timestamp]]</f>
        <v>0</v>
      </c>
      <c r="H682" s="2"/>
      <c r="I682" s="4"/>
      <c r="J682" s="5" t="str">
        <f>IF(OR(H682="",G682="",C682=""),"",LET(n,COUNTIFS(Bank_Rates!$A$2:$A$501,H682,Bank_Rates!$B$2:$B$501,"&lt;="&amp;C682),IF(n=0,"",LET(t,MAXIFS(Bank_Rates!$B$2:$B$501,Bank_Rates!$A$2:$A$501,H682,Bank_Rates!$B$2:$B$501,"&lt;="&amp;C682),m,COUNTIFS(Bank_Rates!$A$2:$A$501,H682,Bank_Rates!$B$2:$B$501,t,Bank_Rates!$D$2:$D$501,"&lt;="&amp;G682),IF(m=0,"",LET(d,MAXIFS(Bank_Rates!$D$2:$D$501,Bank_Rates!$A$2:$A$501,H682,Bank_Rates!$B$2:$B$501,t,Bank_Rates!$D$2:$D$501,"&lt;="&amp;G682),SUMIFS(Bank_Rates!$C$2:$C$501,Bank_Rates!$A$2:$A$501,H682,Bank_Rates!$B$2:$B$501,t,Bank_Rates!$D$2:$D$501,d)))))))</f>
        <v/>
      </c>
      <c r="K682" s="6" t="str">
        <f t="shared" si="20"/>
        <v/>
      </c>
    </row>
    <row r="683" spans="1:11">
      <c r="A683" s="18" t="str">
        <f t="shared" si="21"/>
        <v/>
      </c>
      <c r="B683" s="13"/>
      <c r="C683" s="14"/>
      <c r="D683" s="3"/>
      <c r="E683" s="3"/>
      <c r="F683" s="14"/>
      <c r="G683" s="7">
        <f>RawObservationsTable[[#This Row],[Maturity Date]]-RawObservationsTable[[#This Row],[Timestamp]]</f>
        <v>0</v>
      </c>
      <c r="H683" s="2"/>
      <c r="I683" s="4"/>
      <c r="J683" s="5" t="str">
        <f>IF(OR(H683="",G683="",C683=""),"",LET(n,COUNTIFS(Bank_Rates!$A$2:$A$501,H683,Bank_Rates!$B$2:$B$501,"&lt;="&amp;C683),IF(n=0,"",LET(t,MAXIFS(Bank_Rates!$B$2:$B$501,Bank_Rates!$A$2:$A$501,H683,Bank_Rates!$B$2:$B$501,"&lt;="&amp;C683),m,COUNTIFS(Bank_Rates!$A$2:$A$501,H683,Bank_Rates!$B$2:$B$501,t,Bank_Rates!$D$2:$D$501,"&lt;="&amp;G683),IF(m=0,"",LET(d,MAXIFS(Bank_Rates!$D$2:$D$501,Bank_Rates!$A$2:$A$501,H683,Bank_Rates!$B$2:$B$501,t,Bank_Rates!$D$2:$D$501,"&lt;="&amp;G683),SUMIFS(Bank_Rates!$C$2:$C$501,Bank_Rates!$A$2:$A$501,H683,Bank_Rates!$B$2:$B$501,t,Bank_Rates!$D$2:$D$501,d)))))))</f>
        <v/>
      </c>
      <c r="K683" s="6" t="str">
        <f t="shared" si="20"/>
        <v/>
      </c>
    </row>
    <row r="684" spans="1:11">
      <c r="A684" s="18" t="str">
        <f t="shared" si="21"/>
        <v/>
      </c>
      <c r="B684" s="13"/>
      <c r="C684" s="14"/>
      <c r="D684" s="3"/>
      <c r="E684" s="3"/>
      <c r="F684" s="14"/>
      <c r="G684" s="7">
        <f>RawObservationsTable[[#This Row],[Maturity Date]]-RawObservationsTable[[#This Row],[Timestamp]]</f>
        <v>0</v>
      </c>
      <c r="H684" s="2"/>
      <c r="I684" s="4"/>
      <c r="J684" s="5" t="str">
        <f>IF(OR(H684="",G684="",C684=""),"",LET(n,COUNTIFS(Bank_Rates!$A$2:$A$501,H684,Bank_Rates!$B$2:$B$501,"&lt;="&amp;C684),IF(n=0,"",LET(t,MAXIFS(Bank_Rates!$B$2:$B$501,Bank_Rates!$A$2:$A$501,H684,Bank_Rates!$B$2:$B$501,"&lt;="&amp;C684),m,COUNTIFS(Bank_Rates!$A$2:$A$501,H684,Bank_Rates!$B$2:$B$501,t,Bank_Rates!$D$2:$D$501,"&lt;="&amp;G684),IF(m=0,"",LET(d,MAXIFS(Bank_Rates!$D$2:$D$501,Bank_Rates!$A$2:$A$501,H684,Bank_Rates!$B$2:$B$501,t,Bank_Rates!$D$2:$D$501,"&lt;="&amp;G684),SUMIFS(Bank_Rates!$C$2:$C$501,Bank_Rates!$A$2:$A$501,H684,Bank_Rates!$B$2:$B$501,t,Bank_Rates!$D$2:$D$501,d)))))))</f>
        <v/>
      </c>
      <c r="K684" s="6" t="str">
        <f t="shared" si="20"/>
        <v/>
      </c>
    </row>
    <row r="685" spans="1:11">
      <c r="A685" s="18" t="str">
        <f t="shared" si="21"/>
        <v/>
      </c>
      <c r="B685" s="13"/>
      <c r="C685" s="14"/>
      <c r="D685" s="3"/>
      <c r="E685" s="3"/>
      <c r="F685" s="14"/>
      <c r="G685" s="7">
        <f>RawObservationsTable[[#This Row],[Maturity Date]]-RawObservationsTable[[#This Row],[Timestamp]]</f>
        <v>0</v>
      </c>
      <c r="H685" s="2"/>
      <c r="I685" s="4"/>
      <c r="J685" s="5" t="str">
        <f>IF(OR(H685="",G685="",C685=""),"",LET(n,COUNTIFS(Bank_Rates!$A$2:$A$501,H685,Bank_Rates!$B$2:$B$501,"&lt;="&amp;C685),IF(n=0,"",LET(t,MAXIFS(Bank_Rates!$B$2:$B$501,Bank_Rates!$A$2:$A$501,H685,Bank_Rates!$B$2:$B$501,"&lt;="&amp;C685),m,COUNTIFS(Bank_Rates!$A$2:$A$501,H685,Bank_Rates!$B$2:$B$501,t,Bank_Rates!$D$2:$D$501,"&lt;="&amp;G685),IF(m=0,"",LET(d,MAXIFS(Bank_Rates!$D$2:$D$501,Bank_Rates!$A$2:$A$501,H685,Bank_Rates!$B$2:$B$501,t,Bank_Rates!$D$2:$D$501,"&lt;="&amp;G685),SUMIFS(Bank_Rates!$C$2:$C$501,Bank_Rates!$A$2:$A$501,H685,Bank_Rates!$B$2:$B$501,t,Bank_Rates!$D$2:$D$501,d)))))))</f>
        <v/>
      </c>
      <c r="K685" s="6" t="str">
        <f t="shared" si="20"/>
        <v/>
      </c>
    </row>
    <row r="686" spans="1:11">
      <c r="A686" s="18" t="str">
        <f t="shared" si="21"/>
        <v/>
      </c>
      <c r="B686" s="13"/>
      <c r="C686" s="14"/>
      <c r="D686" s="3"/>
      <c r="E686" s="3"/>
      <c r="F686" s="14"/>
      <c r="G686" s="7">
        <f>RawObservationsTable[[#This Row],[Maturity Date]]-RawObservationsTable[[#This Row],[Timestamp]]</f>
        <v>0</v>
      </c>
      <c r="H686" s="2"/>
      <c r="I686" s="4"/>
      <c r="J686" s="5" t="str">
        <f>IF(OR(H686="",G686="",C686=""),"",LET(n,COUNTIFS(Bank_Rates!$A$2:$A$501,H686,Bank_Rates!$B$2:$B$501,"&lt;="&amp;C686),IF(n=0,"",LET(t,MAXIFS(Bank_Rates!$B$2:$B$501,Bank_Rates!$A$2:$A$501,H686,Bank_Rates!$B$2:$B$501,"&lt;="&amp;C686),m,COUNTIFS(Bank_Rates!$A$2:$A$501,H686,Bank_Rates!$B$2:$B$501,t,Bank_Rates!$D$2:$D$501,"&lt;="&amp;G686),IF(m=0,"",LET(d,MAXIFS(Bank_Rates!$D$2:$D$501,Bank_Rates!$A$2:$A$501,H686,Bank_Rates!$B$2:$B$501,t,Bank_Rates!$D$2:$D$501,"&lt;="&amp;G686),SUMIFS(Bank_Rates!$C$2:$C$501,Bank_Rates!$A$2:$A$501,H686,Bank_Rates!$B$2:$B$501,t,Bank_Rates!$D$2:$D$501,d)))))))</f>
        <v/>
      </c>
      <c r="K686" s="6" t="str">
        <f t="shared" si="20"/>
        <v/>
      </c>
    </row>
    <row r="687" spans="1:11">
      <c r="A687" s="18" t="str">
        <f t="shared" si="21"/>
        <v/>
      </c>
      <c r="B687" s="13"/>
      <c r="C687" s="14"/>
      <c r="D687" s="3"/>
      <c r="E687" s="3"/>
      <c r="F687" s="14"/>
      <c r="G687" s="7">
        <f>RawObservationsTable[[#This Row],[Maturity Date]]-RawObservationsTable[[#This Row],[Timestamp]]</f>
        <v>0</v>
      </c>
      <c r="H687" s="2"/>
      <c r="I687" s="4"/>
      <c r="J687" s="5" t="str">
        <f>IF(OR(H687="",G687="",C687=""),"",LET(n,COUNTIFS(Bank_Rates!$A$2:$A$501,H687,Bank_Rates!$B$2:$B$501,"&lt;="&amp;C687),IF(n=0,"",LET(t,MAXIFS(Bank_Rates!$B$2:$B$501,Bank_Rates!$A$2:$A$501,H687,Bank_Rates!$B$2:$B$501,"&lt;="&amp;C687),m,COUNTIFS(Bank_Rates!$A$2:$A$501,H687,Bank_Rates!$B$2:$B$501,t,Bank_Rates!$D$2:$D$501,"&lt;="&amp;G687),IF(m=0,"",LET(d,MAXIFS(Bank_Rates!$D$2:$D$501,Bank_Rates!$A$2:$A$501,H687,Bank_Rates!$B$2:$B$501,t,Bank_Rates!$D$2:$D$501,"&lt;="&amp;G687),SUMIFS(Bank_Rates!$C$2:$C$501,Bank_Rates!$A$2:$A$501,H687,Bank_Rates!$B$2:$B$501,t,Bank_Rates!$D$2:$D$501,d)))))))</f>
        <v/>
      </c>
      <c r="K687" s="6" t="str">
        <f t="shared" si="20"/>
        <v/>
      </c>
    </row>
    <row r="688" spans="1:11">
      <c r="A688" s="18" t="str">
        <f t="shared" si="21"/>
        <v/>
      </c>
      <c r="B688" s="13"/>
      <c r="C688" s="14"/>
      <c r="D688" s="3"/>
      <c r="E688" s="3"/>
      <c r="F688" s="14"/>
      <c r="G688" s="7">
        <f>RawObservationsTable[[#This Row],[Maturity Date]]-RawObservationsTable[[#This Row],[Timestamp]]</f>
        <v>0</v>
      </c>
      <c r="H688" s="2"/>
      <c r="I688" s="4"/>
      <c r="J688" s="5" t="str">
        <f>IF(OR(H688="",G688="",C688=""),"",LET(n,COUNTIFS(Bank_Rates!$A$2:$A$501,H688,Bank_Rates!$B$2:$B$501,"&lt;="&amp;C688),IF(n=0,"",LET(t,MAXIFS(Bank_Rates!$B$2:$B$501,Bank_Rates!$A$2:$A$501,H688,Bank_Rates!$B$2:$B$501,"&lt;="&amp;C688),m,COUNTIFS(Bank_Rates!$A$2:$A$501,H688,Bank_Rates!$B$2:$B$501,t,Bank_Rates!$D$2:$D$501,"&lt;="&amp;G688),IF(m=0,"",LET(d,MAXIFS(Bank_Rates!$D$2:$D$501,Bank_Rates!$A$2:$A$501,H688,Bank_Rates!$B$2:$B$501,t,Bank_Rates!$D$2:$D$501,"&lt;="&amp;G688),SUMIFS(Bank_Rates!$C$2:$C$501,Bank_Rates!$A$2:$A$501,H688,Bank_Rates!$B$2:$B$501,t,Bank_Rates!$D$2:$D$501,d)))))))</f>
        <v/>
      </c>
      <c r="K688" s="6" t="str">
        <f t="shared" si="20"/>
        <v/>
      </c>
    </row>
    <row r="689" spans="1:11">
      <c r="A689" s="18" t="str">
        <f t="shared" si="21"/>
        <v/>
      </c>
      <c r="B689" s="13"/>
      <c r="C689" s="14"/>
      <c r="D689" s="3"/>
      <c r="E689" s="3"/>
      <c r="F689" s="14"/>
      <c r="G689" s="7">
        <f>RawObservationsTable[[#This Row],[Maturity Date]]-RawObservationsTable[[#This Row],[Timestamp]]</f>
        <v>0</v>
      </c>
      <c r="H689" s="2"/>
      <c r="I689" s="4"/>
      <c r="J689" s="5" t="str">
        <f>IF(OR(H689="",G689="",C689=""),"",LET(n,COUNTIFS(Bank_Rates!$A$2:$A$501,H689,Bank_Rates!$B$2:$B$501,"&lt;="&amp;C689),IF(n=0,"",LET(t,MAXIFS(Bank_Rates!$B$2:$B$501,Bank_Rates!$A$2:$A$501,H689,Bank_Rates!$B$2:$B$501,"&lt;="&amp;C689),m,COUNTIFS(Bank_Rates!$A$2:$A$501,H689,Bank_Rates!$B$2:$B$501,t,Bank_Rates!$D$2:$D$501,"&lt;="&amp;G689),IF(m=0,"",LET(d,MAXIFS(Bank_Rates!$D$2:$D$501,Bank_Rates!$A$2:$A$501,H689,Bank_Rates!$B$2:$B$501,t,Bank_Rates!$D$2:$D$501,"&lt;="&amp;G689),SUMIFS(Bank_Rates!$C$2:$C$501,Bank_Rates!$A$2:$A$501,H689,Bank_Rates!$B$2:$B$501,t,Bank_Rates!$D$2:$D$501,d)))))))</f>
        <v/>
      </c>
      <c r="K689" s="6" t="str">
        <f t="shared" si="20"/>
        <v/>
      </c>
    </row>
    <row r="690" spans="1:11">
      <c r="A690" s="18" t="str">
        <f t="shared" si="21"/>
        <v/>
      </c>
      <c r="B690" s="13"/>
      <c r="C690" s="14"/>
      <c r="D690" s="3"/>
      <c r="E690" s="3"/>
      <c r="F690" s="14"/>
      <c r="G690" s="7">
        <f>RawObservationsTable[[#This Row],[Maturity Date]]-RawObservationsTable[[#This Row],[Timestamp]]</f>
        <v>0</v>
      </c>
      <c r="H690" s="2"/>
      <c r="I690" s="4"/>
      <c r="J690" s="5" t="str">
        <f>IF(OR(H690="",G690="",C690=""),"",LET(n,COUNTIFS(Bank_Rates!$A$2:$A$501,H690,Bank_Rates!$B$2:$B$501,"&lt;="&amp;C690),IF(n=0,"",LET(t,MAXIFS(Bank_Rates!$B$2:$B$501,Bank_Rates!$A$2:$A$501,H690,Bank_Rates!$B$2:$B$501,"&lt;="&amp;C690),m,COUNTIFS(Bank_Rates!$A$2:$A$501,H690,Bank_Rates!$B$2:$B$501,t,Bank_Rates!$D$2:$D$501,"&lt;="&amp;G690),IF(m=0,"",LET(d,MAXIFS(Bank_Rates!$D$2:$D$501,Bank_Rates!$A$2:$A$501,H690,Bank_Rates!$B$2:$B$501,t,Bank_Rates!$D$2:$D$501,"&lt;="&amp;G690),SUMIFS(Bank_Rates!$C$2:$C$501,Bank_Rates!$A$2:$A$501,H690,Bank_Rates!$B$2:$B$501,t,Bank_Rates!$D$2:$D$501,d)))))))</f>
        <v/>
      </c>
      <c r="K690" s="6" t="str">
        <f t="shared" si="20"/>
        <v/>
      </c>
    </row>
    <row r="691" spans="1:11">
      <c r="A691" s="18" t="str">
        <f t="shared" si="21"/>
        <v/>
      </c>
      <c r="B691" s="13"/>
      <c r="C691" s="14"/>
      <c r="D691" s="3"/>
      <c r="E691" s="3"/>
      <c r="F691" s="14"/>
      <c r="G691" s="7">
        <f>RawObservationsTable[[#This Row],[Maturity Date]]-RawObservationsTable[[#This Row],[Timestamp]]</f>
        <v>0</v>
      </c>
      <c r="H691" s="2"/>
      <c r="I691" s="4"/>
      <c r="J691" s="5" t="str">
        <f>IF(OR(H691="",G691="",C691=""),"",LET(n,COUNTIFS(Bank_Rates!$A$2:$A$501,H691,Bank_Rates!$B$2:$B$501,"&lt;="&amp;C691),IF(n=0,"",LET(t,MAXIFS(Bank_Rates!$B$2:$B$501,Bank_Rates!$A$2:$A$501,H691,Bank_Rates!$B$2:$B$501,"&lt;="&amp;C691),m,COUNTIFS(Bank_Rates!$A$2:$A$501,H691,Bank_Rates!$B$2:$B$501,t,Bank_Rates!$D$2:$D$501,"&lt;="&amp;G691),IF(m=0,"",LET(d,MAXIFS(Bank_Rates!$D$2:$D$501,Bank_Rates!$A$2:$A$501,H691,Bank_Rates!$B$2:$B$501,t,Bank_Rates!$D$2:$D$501,"&lt;="&amp;G691),SUMIFS(Bank_Rates!$C$2:$C$501,Bank_Rates!$A$2:$A$501,H691,Bank_Rates!$B$2:$B$501,t,Bank_Rates!$D$2:$D$501,d)))))))</f>
        <v/>
      </c>
      <c r="K691" s="6" t="str">
        <f t="shared" si="20"/>
        <v/>
      </c>
    </row>
    <row r="692" spans="1:11">
      <c r="A692" s="18" t="str">
        <f t="shared" si="21"/>
        <v/>
      </c>
      <c r="B692" s="13"/>
      <c r="C692" s="14"/>
      <c r="D692" s="3"/>
      <c r="E692" s="3"/>
      <c r="F692" s="14"/>
      <c r="G692" s="7">
        <f>RawObservationsTable[[#This Row],[Maturity Date]]-RawObservationsTable[[#This Row],[Timestamp]]</f>
        <v>0</v>
      </c>
      <c r="H692" s="2"/>
      <c r="I692" s="4"/>
      <c r="J692" s="5" t="str">
        <f>IF(OR(H692="",G692="",C692=""),"",LET(n,COUNTIFS(Bank_Rates!$A$2:$A$501,H692,Bank_Rates!$B$2:$B$501,"&lt;="&amp;C692),IF(n=0,"",LET(t,MAXIFS(Bank_Rates!$B$2:$B$501,Bank_Rates!$A$2:$A$501,H692,Bank_Rates!$B$2:$B$501,"&lt;="&amp;C692),m,COUNTIFS(Bank_Rates!$A$2:$A$501,H692,Bank_Rates!$B$2:$B$501,t,Bank_Rates!$D$2:$D$501,"&lt;="&amp;G692),IF(m=0,"",LET(d,MAXIFS(Bank_Rates!$D$2:$D$501,Bank_Rates!$A$2:$A$501,H692,Bank_Rates!$B$2:$B$501,t,Bank_Rates!$D$2:$D$501,"&lt;="&amp;G692),SUMIFS(Bank_Rates!$C$2:$C$501,Bank_Rates!$A$2:$A$501,H692,Bank_Rates!$B$2:$B$501,t,Bank_Rates!$D$2:$D$501,d)))))))</f>
        <v/>
      </c>
      <c r="K692" s="6" t="str">
        <f t="shared" si="20"/>
        <v/>
      </c>
    </row>
    <row r="693" spans="1:11">
      <c r="A693" s="18" t="str">
        <f t="shared" si="21"/>
        <v/>
      </c>
      <c r="B693" s="13"/>
      <c r="C693" s="14"/>
      <c r="D693" s="3"/>
      <c r="E693" s="3"/>
      <c r="F693" s="14"/>
      <c r="G693" s="7">
        <f>RawObservationsTable[[#This Row],[Maturity Date]]-RawObservationsTable[[#This Row],[Timestamp]]</f>
        <v>0</v>
      </c>
      <c r="H693" s="2"/>
      <c r="I693" s="4"/>
      <c r="J693" s="5" t="str">
        <f>IF(OR(H693="",G693="",C693=""),"",LET(n,COUNTIFS(Bank_Rates!$A$2:$A$501,H693,Bank_Rates!$B$2:$B$501,"&lt;="&amp;C693),IF(n=0,"",LET(t,MAXIFS(Bank_Rates!$B$2:$B$501,Bank_Rates!$A$2:$A$501,H693,Bank_Rates!$B$2:$B$501,"&lt;="&amp;C693),m,COUNTIFS(Bank_Rates!$A$2:$A$501,H693,Bank_Rates!$B$2:$B$501,t,Bank_Rates!$D$2:$D$501,"&lt;="&amp;G693),IF(m=0,"",LET(d,MAXIFS(Bank_Rates!$D$2:$D$501,Bank_Rates!$A$2:$A$501,H693,Bank_Rates!$B$2:$B$501,t,Bank_Rates!$D$2:$D$501,"&lt;="&amp;G693),SUMIFS(Bank_Rates!$C$2:$C$501,Bank_Rates!$A$2:$A$501,H693,Bank_Rates!$B$2:$B$501,t,Bank_Rates!$D$2:$D$501,d)))))))</f>
        <v/>
      </c>
      <c r="K693" s="6" t="str">
        <f t="shared" si="20"/>
        <v/>
      </c>
    </row>
    <row r="694" spans="1:11">
      <c r="A694" s="18" t="str">
        <f t="shared" si="21"/>
        <v/>
      </c>
      <c r="B694" s="13"/>
      <c r="C694" s="14"/>
      <c r="D694" s="3"/>
      <c r="E694" s="3"/>
      <c r="F694" s="14"/>
      <c r="G694" s="7">
        <f>RawObservationsTable[[#This Row],[Maturity Date]]-RawObservationsTable[[#This Row],[Timestamp]]</f>
        <v>0</v>
      </c>
      <c r="H694" s="2"/>
      <c r="I694" s="4"/>
      <c r="J694" s="5" t="str">
        <f>IF(OR(H694="",G694="",C694=""),"",LET(n,COUNTIFS(Bank_Rates!$A$2:$A$501,H694,Bank_Rates!$B$2:$B$501,"&lt;="&amp;C694),IF(n=0,"",LET(t,MAXIFS(Bank_Rates!$B$2:$B$501,Bank_Rates!$A$2:$A$501,H694,Bank_Rates!$B$2:$B$501,"&lt;="&amp;C694),m,COUNTIFS(Bank_Rates!$A$2:$A$501,H694,Bank_Rates!$B$2:$B$501,t,Bank_Rates!$D$2:$D$501,"&lt;="&amp;G694),IF(m=0,"",LET(d,MAXIFS(Bank_Rates!$D$2:$D$501,Bank_Rates!$A$2:$A$501,H694,Bank_Rates!$B$2:$B$501,t,Bank_Rates!$D$2:$D$501,"&lt;="&amp;G694),SUMIFS(Bank_Rates!$C$2:$C$501,Bank_Rates!$A$2:$A$501,H694,Bank_Rates!$B$2:$B$501,t,Bank_Rates!$D$2:$D$501,d)))))))</f>
        <v/>
      </c>
      <c r="K694" s="6" t="str">
        <f t="shared" si="20"/>
        <v/>
      </c>
    </row>
    <row r="695" spans="1:11">
      <c r="A695" s="18" t="str">
        <f t="shared" si="21"/>
        <v/>
      </c>
      <c r="B695" s="13"/>
      <c r="C695" s="14"/>
      <c r="D695" s="3"/>
      <c r="E695" s="3"/>
      <c r="F695" s="14"/>
      <c r="G695" s="7">
        <f>RawObservationsTable[[#This Row],[Maturity Date]]-RawObservationsTable[[#This Row],[Timestamp]]</f>
        <v>0</v>
      </c>
      <c r="H695" s="2"/>
      <c r="I695" s="4"/>
      <c r="J695" s="5" t="str">
        <f>IF(OR(H695="",G695="",C695=""),"",LET(n,COUNTIFS(Bank_Rates!$A$2:$A$501,H695,Bank_Rates!$B$2:$B$501,"&lt;="&amp;C695),IF(n=0,"",LET(t,MAXIFS(Bank_Rates!$B$2:$B$501,Bank_Rates!$A$2:$A$501,H695,Bank_Rates!$B$2:$B$501,"&lt;="&amp;C695),m,COUNTIFS(Bank_Rates!$A$2:$A$501,H695,Bank_Rates!$B$2:$B$501,t,Bank_Rates!$D$2:$D$501,"&lt;="&amp;G695),IF(m=0,"",LET(d,MAXIFS(Bank_Rates!$D$2:$D$501,Bank_Rates!$A$2:$A$501,H695,Bank_Rates!$B$2:$B$501,t,Bank_Rates!$D$2:$D$501,"&lt;="&amp;G695),SUMIFS(Bank_Rates!$C$2:$C$501,Bank_Rates!$A$2:$A$501,H695,Bank_Rates!$B$2:$B$501,t,Bank_Rates!$D$2:$D$501,d)))))))</f>
        <v/>
      </c>
      <c r="K695" s="6" t="str">
        <f t="shared" si="20"/>
        <v/>
      </c>
    </row>
    <row r="696" spans="1:11">
      <c r="A696" s="18" t="str">
        <f t="shared" si="21"/>
        <v/>
      </c>
      <c r="B696" s="13"/>
      <c r="C696" s="14"/>
      <c r="D696" s="3"/>
      <c r="E696" s="3"/>
      <c r="F696" s="14"/>
      <c r="G696" s="7">
        <f>RawObservationsTable[[#This Row],[Maturity Date]]-RawObservationsTable[[#This Row],[Timestamp]]</f>
        <v>0</v>
      </c>
      <c r="H696" s="2"/>
      <c r="I696" s="4"/>
      <c r="J696" s="5" t="str">
        <f>IF(OR(H696="",G696="",C696=""),"",LET(n,COUNTIFS(Bank_Rates!$A$2:$A$501,H696,Bank_Rates!$B$2:$B$501,"&lt;="&amp;C696),IF(n=0,"",LET(t,MAXIFS(Bank_Rates!$B$2:$B$501,Bank_Rates!$A$2:$A$501,H696,Bank_Rates!$B$2:$B$501,"&lt;="&amp;C696),m,COUNTIFS(Bank_Rates!$A$2:$A$501,H696,Bank_Rates!$B$2:$B$501,t,Bank_Rates!$D$2:$D$501,"&lt;="&amp;G696),IF(m=0,"",LET(d,MAXIFS(Bank_Rates!$D$2:$D$501,Bank_Rates!$A$2:$A$501,H696,Bank_Rates!$B$2:$B$501,t,Bank_Rates!$D$2:$D$501,"&lt;="&amp;G696),SUMIFS(Bank_Rates!$C$2:$C$501,Bank_Rates!$A$2:$A$501,H696,Bank_Rates!$B$2:$B$501,t,Bank_Rates!$D$2:$D$501,d)))))))</f>
        <v/>
      </c>
      <c r="K696" s="6" t="str">
        <f t="shared" si="20"/>
        <v/>
      </c>
    </row>
    <row r="697" spans="1:11">
      <c r="A697" s="18" t="str">
        <f t="shared" si="21"/>
        <v/>
      </c>
      <c r="B697" s="13"/>
      <c r="C697" s="14"/>
      <c r="D697" s="3"/>
      <c r="E697" s="3"/>
      <c r="F697" s="14"/>
      <c r="G697" s="7">
        <f>RawObservationsTable[[#This Row],[Maturity Date]]-RawObservationsTable[[#This Row],[Timestamp]]</f>
        <v>0</v>
      </c>
      <c r="H697" s="2"/>
      <c r="I697" s="4"/>
      <c r="J697" s="5" t="str">
        <f>IF(OR(H697="",G697="",C697=""),"",LET(n,COUNTIFS(Bank_Rates!$A$2:$A$501,H697,Bank_Rates!$B$2:$B$501,"&lt;="&amp;C697),IF(n=0,"",LET(t,MAXIFS(Bank_Rates!$B$2:$B$501,Bank_Rates!$A$2:$A$501,H697,Bank_Rates!$B$2:$B$501,"&lt;="&amp;C697),m,COUNTIFS(Bank_Rates!$A$2:$A$501,H697,Bank_Rates!$B$2:$B$501,t,Bank_Rates!$D$2:$D$501,"&lt;="&amp;G697),IF(m=0,"",LET(d,MAXIFS(Bank_Rates!$D$2:$D$501,Bank_Rates!$A$2:$A$501,H697,Bank_Rates!$B$2:$B$501,t,Bank_Rates!$D$2:$D$501,"&lt;="&amp;G697),SUMIFS(Bank_Rates!$C$2:$C$501,Bank_Rates!$A$2:$A$501,H697,Bank_Rates!$B$2:$B$501,t,Bank_Rates!$D$2:$D$501,d)))))))</f>
        <v/>
      </c>
      <c r="K697" s="6" t="str">
        <f t="shared" si="20"/>
        <v/>
      </c>
    </row>
    <row r="698" spans="1:11">
      <c r="A698" s="18" t="str">
        <f t="shared" si="21"/>
        <v/>
      </c>
      <c r="B698" s="13"/>
      <c r="C698" s="14"/>
      <c r="D698" s="3"/>
      <c r="E698" s="3"/>
      <c r="F698" s="14"/>
      <c r="G698" s="7">
        <f>RawObservationsTable[[#This Row],[Maturity Date]]-RawObservationsTable[[#This Row],[Timestamp]]</f>
        <v>0</v>
      </c>
      <c r="H698" s="2"/>
      <c r="I698" s="4"/>
      <c r="J698" s="5" t="str">
        <f>IF(OR(H698="",G698="",C698=""),"",LET(n,COUNTIFS(Bank_Rates!$A$2:$A$501,H698,Bank_Rates!$B$2:$B$501,"&lt;="&amp;C698),IF(n=0,"",LET(t,MAXIFS(Bank_Rates!$B$2:$B$501,Bank_Rates!$A$2:$A$501,H698,Bank_Rates!$B$2:$B$501,"&lt;="&amp;C698),m,COUNTIFS(Bank_Rates!$A$2:$A$501,H698,Bank_Rates!$B$2:$B$501,t,Bank_Rates!$D$2:$D$501,"&lt;="&amp;G698),IF(m=0,"",LET(d,MAXIFS(Bank_Rates!$D$2:$D$501,Bank_Rates!$A$2:$A$501,H698,Bank_Rates!$B$2:$B$501,t,Bank_Rates!$D$2:$D$501,"&lt;="&amp;G698),SUMIFS(Bank_Rates!$C$2:$C$501,Bank_Rates!$A$2:$A$501,H698,Bank_Rates!$B$2:$B$501,t,Bank_Rates!$D$2:$D$501,d)))))))</f>
        <v/>
      </c>
      <c r="K698" s="6" t="str">
        <f t="shared" si="20"/>
        <v/>
      </c>
    </row>
    <row r="699" spans="1:11">
      <c r="A699" s="18" t="str">
        <f t="shared" si="21"/>
        <v/>
      </c>
      <c r="B699" s="13"/>
      <c r="C699" s="14"/>
      <c r="D699" s="3"/>
      <c r="E699" s="3"/>
      <c r="F699" s="14"/>
      <c r="G699" s="7">
        <f>RawObservationsTable[[#This Row],[Maturity Date]]-RawObservationsTable[[#This Row],[Timestamp]]</f>
        <v>0</v>
      </c>
      <c r="H699" s="2"/>
      <c r="I699" s="4"/>
      <c r="J699" s="5" t="str">
        <f>IF(OR(H699="",G699="",C699=""),"",LET(n,COUNTIFS(Bank_Rates!$A$2:$A$501,H699,Bank_Rates!$B$2:$B$501,"&lt;="&amp;C699),IF(n=0,"",LET(t,MAXIFS(Bank_Rates!$B$2:$B$501,Bank_Rates!$A$2:$A$501,H699,Bank_Rates!$B$2:$B$501,"&lt;="&amp;C699),m,COUNTIFS(Bank_Rates!$A$2:$A$501,H699,Bank_Rates!$B$2:$B$501,t,Bank_Rates!$D$2:$D$501,"&lt;="&amp;G699),IF(m=0,"",LET(d,MAXIFS(Bank_Rates!$D$2:$D$501,Bank_Rates!$A$2:$A$501,H699,Bank_Rates!$B$2:$B$501,t,Bank_Rates!$D$2:$D$501,"&lt;="&amp;G699),SUMIFS(Bank_Rates!$C$2:$C$501,Bank_Rates!$A$2:$A$501,H699,Bank_Rates!$B$2:$B$501,t,Bank_Rates!$D$2:$D$501,d)))))))</f>
        <v/>
      </c>
      <c r="K699" s="6" t="str">
        <f t="shared" si="20"/>
        <v/>
      </c>
    </row>
    <row r="700" spans="1:11">
      <c r="A700" s="18" t="str">
        <f t="shared" si="21"/>
        <v/>
      </c>
      <c r="B700" s="13"/>
      <c r="C700" s="14"/>
      <c r="D700" s="3"/>
      <c r="E700" s="3"/>
      <c r="F700" s="14"/>
      <c r="G700" s="7">
        <f>RawObservationsTable[[#This Row],[Maturity Date]]-RawObservationsTable[[#This Row],[Timestamp]]</f>
        <v>0</v>
      </c>
      <c r="H700" s="2"/>
      <c r="I700" s="4"/>
      <c r="J700" s="5" t="str">
        <f>IF(OR(H700="",G700="",C700=""),"",LET(n,COUNTIFS(Bank_Rates!$A$2:$A$501,H700,Bank_Rates!$B$2:$B$501,"&lt;="&amp;C700),IF(n=0,"",LET(t,MAXIFS(Bank_Rates!$B$2:$B$501,Bank_Rates!$A$2:$A$501,H700,Bank_Rates!$B$2:$B$501,"&lt;="&amp;C700),m,COUNTIFS(Bank_Rates!$A$2:$A$501,H700,Bank_Rates!$B$2:$B$501,t,Bank_Rates!$D$2:$D$501,"&lt;="&amp;G700),IF(m=0,"",LET(d,MAXIFS(Bank_Rates!$D$2:$D$501,Bank_Rates!$A$2:$A$501,H700,Bank_Rates!$B$2:$B$501,t,Bank_Rates!$D$2:$D$501,"&lt;="&amp;G700),SUMIFS(Bank_Rates!$C$2:$C$501,Bank_Rates!$A$2:$A$501,H700,Bank_Rates!$B$2:$B$501,t,Bank_Rates!$D$2:$D$501,d)))))))</f>
        <v/>
      </c>
      <c r="K700" s="6" t="str">
        <f t="shared" si="20"/>
        <v/>
      </c>
    </row>
    <row r="701" spans="1:11">
      <c r="A701" s="18" t="str">
        <f t="shared" si="21"/>
        <v/>
      </c>
      <c r="B701" s="13"/>
      <c r="C701" s="14"/>
      <c r="D701" s="3"/>
      <c r="E701" s="3"/>
      <c r="F701" s="14"/>
      <c r="G701" s="7">
        <f>RawObservationsTable[[#This Row],[Maturity Date]]-RawObservationsTable[[#This Row],[Timestamp]]</f>
        <v>0</v>
      </c>
      <c r="H701" s="2"/>
      <c r="I701" s="4"/>
      <c r="J701" s="5" t="str">
        <f>IF(OR(H701="",G701="",C701=""),"",LET(n,COUNTIFS(Bank_Rates!$A$2:$A$501,H701,Bank_Rates!$B$2:$B$501,"&lt;="&amp;C701),IF(n=0,"",LET(t,MAXIFS(Bank_Rates!$B$2:$B$501,Bank_Rates!$A$2:$A$501,H701,Bank_Rates!$B$2:$B$501,"&lt;="&amp;C701),m,COUNTIFS(Bank_Rates!$A$2:$A$501,H701,Bank_Rates!$B$2:$B$501,t,Bank_Rates!$D$2:$D$501,"&lt;="&amp;G701),IF(m=0,"",LET(d,MAXIFS(Bank_Rates!$D$2:$D$501,Bank_Rates!$A$2:$A$501,H701,Bank_Rates!$B$2:$B$501,t,Bank_Rates!$D$2:$D$501,"&lt;="&amp;G701),SUMIFS(Bank_Rates!$C$2:$C$501,Bank_Rates!$A$2:$A$501,H701,Bank_Rates!$B$2:$B$501,t,Bank_Rates!$D$2:$D$501,d)))))))</f>
        <v/>
      </c>
      <c r="K701" s="6" t="str">
        <f t="shared" si="20"/>
        <v/>
      </c>
    </row>
    <row r="702" spans="1:11">
      <c r="A702" s="18" t="str">
        <f t="shared" si="21"/>
        <v/>
      </c>
      <c r="B702" s="13"/>
      <c r="C702" s="14"/>
      <c r="D702" s="3"/>
      <c r="E702" s="3"/>
      <c r="F702" s="14"/>
      <c r="G702" s="7">
        <f>RawObservationsTable[[#This Row],[Maturity Date]]-RawObservationsTable[[#This Row],[Timestamp]]</f>
        <v>0</v>
      </c>
      <c r="H702" s="2"/>
      <c r="I702" s="4"/>
      <c r="J702" s="5" t="str">
        <f>IF(OR(H702="",G702="",C702=""),"",LET(n,COUNTIFS(Bank_Rates!$A$2:$A$501,H702,Bank_Rates!$B$2:$B$501,"&lt;="&amp;C702),IF(n=0,"",LET(t,MAXIFS(Bank_Rates!$B$2:$B$501,Bank_Rates!$A$2:$A$501,H702,Bank_Rates!$B$2:$B$501,"&lt;="&amp;C702),m,COUNTIFS(Bank_Rates!$A$2:$A$501,H702,Bank_Rates!$B$2:$B$501,t,Bank_Rates!$D$2:$D$501,"&lt;="&amp;G702),IF(m=0,"",LET(d,MAXIFS(Bank_Rates!$D$2:$D$501,Bank_Rates!$A$2:$A$501,H702,Bank_Rates!$B$2:$B$501,t,Bank_Rates!$D$2:$D$501,"&lt;="&amp;G702),SUMIFS(Bank_Rates!$C$2:$C$501,Bank_Rates!$A$2:$A$501,H702,Bank_Rates!$B$2:$B$501,t,Bank_Rates!$D$2:$D$501,d)))))))</f>
        <v/>
      </c>
      <c r="K702" s="6" t="str">
        <f t="shared" si="20"/>
        <v/>
      </c>
    </row>
    <row r="703" spans="1:11">
      <c r="A703" s="18" t="str">
        <f t="shared" si="21"/>
        <v/>
      </c>
      <c r="B703" s="13"/>
      <c r="C703" s="14"/>
      <c r="D703" s="3"/>
      <c r="E703" s="3"/>
      <c r="F703" s="14"/>
      <c r="G703" s="7">
        <f>RawObservationsTable[[#This Row],[Maturity Date]]-RawObservationsTable[[#This Row],[Timestamp]]</f>
        <v>0</v>
      </c>
      <c r="H703" s="2"/>
      <c r="I703" s="4"/>
      <c r="J703" s="5" t="str">
        <f>IF(OR(H703="",G703="",C703=""),"",LET(n,COUNTIFS(Bank_Rates!$A$2:$A$501,H703,Bank_Rates!$B$2:$B$501,"&lt;="&amp;C703),IF(n=0,"",LET(t,MAXIFS(Bank_Rates!$B$2:$B$501,Bank_Rates!$A$2:$A$501,H703,Bank_Rates!$B$2:$B$501,"&lt;="&amp;C703),m,COUNTIFS(Bank_Rates!$A$2:$A$501,H703,Bank_Rates!$B$2:$B$501,t,Bank_Rates!$D$2:$D$501,"&lt;="&amp;G703),IF(m=0,"",LET(d,MAXIFS(Bank_Rates!$D$2:$D$501,Bank_Rates!$A$2:$A$501,H703,Bank_Rates!$B$2:$B$501,t,Bank_Rates!$D$2:$D$501,"&lt;="&amp;G703),SUMIFS(Bank_Rates!$C$2:$C$501,Bank_Rates!$A$2:$A$501,H703,Bank_Rates!$B$2:$B$501,t,Bank_Rates!$D$2:$D$501,d)))))))</f>
        <v/>
      </c>
      <c r="K703" s="6" t="str">
        <f t="shared" si="20"/>
        <v/>
      </c>
    </row>
    <row r="704" spans="1:11">
      <c r="A704" s="18" t="str">
        <f t="shared" si="21"/>
        <v/>
      </c>
      <c r="B704" s="13"/>
      <c r="C704" s="14"/>
      <c r="D704" s="3"/>
      <c r="E704" s="3"/>
      <c r="F704" s="14"/>
      <c r="G704" s="7">
        <f>RawObservationsTable[[#This Row],[Maturity Date]]-RawObservationsTable[[#This Row],[Timestamp]]</f>
        <v>0</v>
      </c>
      <c r="H704" s="2"/>
      <c r="I704" s="4"/>
      <c r="J704" s="5" t="str">
        <f>IF(OR(H704="",G704="",C704=""),"",LET(n,COUNTIFS(Bank_Rates!$A$2:$A$501,H704,Bank_Rates!$B$2:$B$501,"&lt;="&amp;C704),IF(n=0,"",LET(t,MAXIFS(Bank_Rates!$B$2:$B$501,Bank_Rates!$A$2:$A$501,H704,Bank_Rates!$B$2:$B$501,"&lt;="&amp;C704),m,COUNTIFS(Bank_Rates!$A$2:$A$501,H704,Bank_Rates!$B$2:$B$501,t,Bank_Rates!$D$2:$D$501,"&lt;="&amp;G704),IF(m=0,"",LET(d,MAXIFS(Bank_Rates!$D$2:$D$501,Bank_Rates!$A$2:$A$501,H704,Bank_Rates!$B$2:$B$501,t,Bank_Rates!$D$2:$D$501,"&lt;="&amp;G704),SUMIFS(Bank_Rates!$C$2:$C$501,Bank_Rates!$A$2:$A$501,H704,Bank_Rates!$B$2:$B$501,t,Bank_Rates!$D$2:$D$501,d)))))))</f>
        <v/>
      </c>
      <c r="K704" s="6" t="str">
        <f t="shared" si="20"/>
        <v/>
      </c>
    </row>
    <row r="705" spans="1:11">
      <c r="A705" s="18" t="str">
        <f t="shared" si="21"/>
        <v/>
      </c>
      <c r="B705" s="13"/>
      <c r="C705" s="14"/>
      <c r="D705" s="3"/>
      <c r="E705" s="3"/>
      <c r="F705" s="14"/>
      <c r="G705" s="7">
        <f>RawObservationsTable[[#This Row],[Maturity Date]]-RawObservationsTable[[#This Row],[Timestamp]]</f>
        <v>0</v>
      </c>
      <c r="H705" s="2"/>
      <c r="I705" s="4"/>
      <c r="J705" s="5" t="str">
        <f>IF(OR(H705="",G705="",C705=""),"",LET(n,COUNTIFS(Bank_Rates!$A$2:$A$501,H705,Bank_Rates!$B$2:$B$501,"&lt;="&amp;C705),IF(n=0,"",LET(t,MAXIFS(Bank_Rates!$B$2:$B$501,Bank_Rates!$A$2:$A$501,H705,Bank_Rates!$B$2:$B$501,"&lt;="&amp;C705),m,COUNTIFS(Bank_Rates!$A$2:$A$501,H705,Bank_Rates!$B$2:$B$501,t,Bank_Rates!$D$2:$D$501,"&lt;="&amp;G705),IF(m=0,"",LET(d,MAXIFS(Bank_Rates!$D$2:$D$501,Bank_Rates!$A$2:$A$501,H705,Bank_Rates!$B$2:$B$501,t,Bank_Rates!$D$2:$D$501,"&lt;="&amp;G705),SUMIFS(Bank_Rates!$C$2:$C$501,Bank_Rates!$A$2:$A$501,H705,Bank_Rates!$B$2:$B$501,t,Bank_Rates!$D$2:$D$501,d)))))))</f>
        <v/>
      </c>
      <c r="K705" s="6" t="str">
        <f t="shared" si="20"/>
        <v/>
      </c>
    </row>
    <row r="706" spans="1:11">
      <c r="A706" s="18" t="str">
        <f t="shared" si="21"/>
        <v/>
      </c>
      <c r="B706" s="13"/>
      <c r="C706" s="14"/>
      <c r="D706" s="3"/>
      <c r="E706" s="3"/>
      <c r="F706" s="14"/>
      <c r="G706" s="7">
        <f>RawObservationsTable[[#This Row],[Maturity Date]]-RawObservationsTable[[#This Row],[Timestamp]]</f>
        <v>0</v>
      </c>
      <c r="H706" s="2"/>
      <c r="I706" s="4"/>
      <c r="J706" s="5" t="str">
        <f>IF(OR(H706="",G706="",C706=""),"",LET(n,COUNTIFS(Bank_Rates!$A$2:$A$501,H706,Bank_Rates!$B$2:$B$501,"&lt;="&amp;C706),IF(n=0,"",LET(t,MAXIFS(Bank_Rates!$B$2:$B$501,Bank_Rates!$A$2:$A$501,H706,Bank_Rates!$B$2:$B$501,"&lt;="&amp;C706),m,COUNTIFS(Bank_Rates!$A$2:$A$501,H706,Bank_Rates!$B$2:$B$501,t,Bank_Rates!$D$2:$D$501,"&lt;="&amp;G706),IF(m=0,"",LET(d,MAXIFS(Bank_Rates!$D$2:$D$501,Bank_Rates!$A$2:$A$501,H706,Bank_Rates!$B$2:$B$501,t,Bank_Rates!$D$2:$D$501,"&lt;="&amp;G706),SUMIFS(Bank_Rates!$C$2:$C$501,Bank_Rates!$A$2:$A$501,H706,Bank_Rates!$B$2:$B$501,t,Bank_Rates!$D$2:$D$501,d)))))))</f>
        <v/>
      </c>
      <c r="K706" s="6" t="str">
        <f t="shared" ref="K706:K769" si="22">IF(OR(I706="",J706=""),"",I706-J706)</f>
        <v/>
      </c>
    </row>
    <row r="707" spans="1:11">
      <c r="A707" s="18" t="str">
        <f t="shared" ref="A707:A770" si="23">IF(B707&lt;&gt;"","L-"&amp;TEXT(ROW()-1,"0000"),"")</f>
        <v/>
      </c>
      <c r="B707" s="13"/>
      <c r="C707" s="14"/>
      <c r="D707" s="3"/>
      <c r="E707" s="3"/>
      <c r="F707" s="14"/>
      <c r="G707" s="7">
        <f>RawObservationsTable[[#This Row],[Maturity Date]]-RawObservationsTable[[#This Row],[Timestamp]]</f>
        <v>0</v>
      </c>
      <c r="H707" s="2"/>
      <c r="I707" s="4"/>
      <c r="J707" s="5" t="str">
        <f>IF(OR(H707="",G707="",C707=""),"",LET(n,COUNTIFS(Bank_Rates!$A$2:$A$501,H707,Bank_Rates!$B$2:$B$501,"&lt;="&amp;C707),IF(n=0,"",LET(t,MAXIFS(Bank_Rates!$B$2:$B$501,Bank_Rates!$A$2:$A$501,H707,Bank_Rates!$B$2:$B$501,"&lt;="&amp;C707),m,COUNTIFS(Bank_Rates!$A$2:$A$501,H707,Bank_Rates!$B$2:$B$501,t,Bank_Rates!$D$2:$D$501,"&lt;="&amp;G707),IF(m=0,"",LET(d,MAXIFS(Bank_Rates!$D$2:$D$501,Bank_Rates!$A$2:$A$501,H707,Bank_Rates!$B$2:$B$501,t,Bank_Rates!$D$2:$D$501,"&lt;="&amp;G707),SUMIFS(Bank_Rates!$C$2:$C$501,Bank_Rates!$A$2:$A$501,H707,Bank_Rates!$B$2:$B$501,t,Bank_Rates!$D$2:$D$501,d)))))))</f>
        <v/>
      </c>
      <c r="K707" s="6" t="str">
        <f t="shared" si="22"/>
        <v/>
      </c>
    </row>
    <row r="708" spans="1:11">
      <c r="A708" s="18" t="str">
        <f t="shared" si="23"/>
        <v/>
      </c>
      <c r="B708" s="13"/>
      <c r="C708" s="14"/>
      <c r="D708" s="3"/>
      <c r="E708" s="3"/>
      <c r="F708" s="14"/>
      <c r="G708" s="7">
        <f>RawObservationsTable[[#This Row],[Maturity Date]]-RawObservationsTable[[#This Row],[Timestamp]]</f>
        <v>0</v>
      </c>
      <c r="H708" s="2"/>
      <c r="I708" s="4"/>
      <c r="J708" s="5" t="str">
        <f>IF(OR(H708="",G708="",C708=""),"",LET(n,COUNTIFS(Bank_Rates!$A$2:$A$501,H708,Bank_Rates!$B$2:$B$501,"&lt;="&amp;C708),IF(n=0,"",LET(t,MAXIFS(Bank_Rates!$B$2:$B$501,Bank_Rates!$A$2:$A$501,H708,Bank_Rates!$B$2:$B$501,"&lt;="&amp;C708),m,COUNTIFS(Bank_Rates!$A$2:$A$501,H708,Bank_Rates!$B$2:$B$501,t,Bank_Rates!$D$2:$D$501,"&lt;="&amp;G708),IF(m=0,"",LET(d,MAXIFS(Bank_Rates!$D$2:$D$501,Bank_Rates!$A$2:$A$501,H708,Bank_Rates!$B$2:$B$501,t,Bank_Rates!$D$2:$D$501,"&lt;="&amp;G708),SUMIFS(Bank_Rates!$C$2:$C$501,Bank_Rates!$A$2:$A$501,H708,Bank_Rates!$B$2:$B$501,t,Bank_Rates!$D$2:$D$501,d)))))))</f>
        <v/>
      </c>
      <c r="K708" s="6" t="str">
        <f t="shared" si="22"/>
        <v/>
      </c>
    </row>
    <row r="709" spans="1:11">
      <c r="A709" s="18" t="str">
        <f t="shared" si="23"/>
        <v/>
      </c>
      <c r="B709" s="13"/>
      <c r="C709" s="14"/>
      <c r="D709" s="3"/>
      <c r="E709" s="3"/>
      <c r="F709" s="14"/>
      <c r="G709" s="7">
        <f>RawObservationsTable[[#This Row],[Maturity Date]]-RawObservationsTable[[#This Row],[Timestamp]]</f>
        <v>0</v>
      </c>
      <c r="H709" s="2"/>
      <c r="I709" s="4"/>
      <c r="J709" s="5" t="str">
        <f>IF(OR(H709="",G709="",C709=""),"",LET(n,COUNTIFS(Bank_Rates!$A$2:$A$501,H709,Bank_Rates!$B$2:$B$501,"&lt;="&amp;C709),IF(n=0,"",LET(t,MAXIFS(Bank_Rates!$B$2:$B$501,Bank_Rates!$A$2:$A$501,H709,Bank_Rates!$B$2:$B$501,"&lt;="&amp;C709),m,COUNTIFS(Bank_Rates!$A$2:$A$501,H709,Bank_Rates!$B$2:$B$501,t,Bank_Rates!$D$2:$D$501,"&lt;="&amp;G709),IF(m=0,"",LET(d,MAXIFS(Bank_Rates!$D$2:$D$501,Bank_Rates!$A$2:$A$501,H709,Bank_Rates!$B$2:$B$501,t,Bank_Rates!$D$2:$D$501,"&lt;="&amp;G709),SUMIFS(Bank_Rates!$C$2:$C$501,Bank_Rates!$A$2:$A$501,H709,Bank_Rates!$B$2:$B$501,t,Bank_Rates!$D$2:$D$501,d)))))))</f>
        <v/>
      </c>
      <c r="K709" s="6" t="str">
        <f t="shared" si="22"/>
        <v/>
      </c>
    </row>
    <row r="710" spans="1:11">
      <c r="A710" s="18" t="str">
        <f t="shared" si="23"/>
        <v/>
      </c>
      <c r="B710" s="13"/>
      <c r="C710" s="14"/>
      <c r="D710" s="3"/>
      <c r="E710" s="3"/>
      <c r="F710" s="14"/>
      <c r="G710" s="7">
        <f>RawObservationsTable[[#This Row],[Maturity Date]]-RawObservationsTable[[#This Row],[Timestamp]]</f>
        <v>0</v>
      </c>
      <c r="H710" s="2"/>
      <c r="I710" s="4"/>
      <c r="J710" s="5" t="str">
        <f>IF(OR(H710="",G710="",C710=""),"",LET(n,COUNTIFS(Bank_Rates!$A$2:$A$501,H710,Bank_Rates!$B$2:$B$501,"&lt;="&amp;C710),IF(n=0,"",LET(t,MAXIFS(Bank_Rates!$B$2:$B$501,Bank_Rates!$A$2:$A$501,H710,Bank_Rates!$B$2:$B$501,"&lt;="&amp;C710),m,COUNTIFS(Bank_Rates!$A$2:$A$501,H710,Bank_Rates!$B$2:$B$501,t,Bank_Rates!$D$2:$D$501,"&lt;="&amp;G710),IF(m=0,"",LET(d,MAXIFS(Bank_Rates!$D$2:$D$501,Bank_Rates!$A$2:$A$501,H710,Bank_Rates!$B$2:$B$501,t,Bank_Rates!$D$2:$D$501,"&lt;="&amp;G710),SUMIFS(Bank_Rates!$C$2:$C$501,Bank_Rates!$A$2:$A$501,H710,Bank_Rates!$B$2:$B$501,t,Bank_Rates!$D$2:$D$501,d)))))))</f>
        <v/>
      </c>
      <c r="K710" s="6" t="str">
        <f t="shared" si="22"/>
        <v/>
      </c>
    </row>
    <row r="711" spans="1:11">
      <c r="A711" s="18" t="str">
        <f t="shared" si="23"/>
        <v/>
      </c>
      <c r="B711" s="13"/>
      <c r="C711" s="14"/>
      <c r="D711" s="3"/>
      <c r="E711" s="3"/>
      <c r="F711" s="14"/>
      <c r="G711" s="7">
        <f>RawObservationsTable[[#This Row],[Maturity Date]]-RawObservationsTable[[#This Row],[Timestamp]]</f>
        <v>0</v>
      </c>
      <c r="H711" s="2"/>
      <c r="I711" s="4"/>
      <c r="J711" s="5" t="str">
        <f>IF(OR(H711="",G711="",C711=""),"",LET(n,COUNTIFS(Bank_Rates!$A$2:$A$501,H711,Bank_Rates!$B$2:$B$501,"&lt;="&amp;C711),IF(n=0,"",LET(t,MAXIFS(Bank_Rates!$B$2:$B$501,Bank_Rates!$A$2:$A$501,H711,Bank_Rates!$B$2:$B$501,"&lt;="&amp;C711),m,COUNTIFS(Bank_Rates!$A$2:$A$501,H711,Bank_Rates!$B$2:$B$501,t,Bank_Rates!$D$2:$D$501,"&lt;="&amp;G711),IF(m=0,"",LET(d,MAXIFS(Bank_Rates!$D$2:$D$501,Bank_Rates!$A$2:$A$501,H711,Bank_Rates!$B$2:$B$501,t,Bank_Rates!$D$2:$D$501,"&lt;="&amp;G711),SUMIFS(Bank_Rates!$C$2:$C$501,Bank_Rates!$A$2:$A$501,H711,Bank_Rates!$B$2:$B$501,t,Bank_Rates!$D$2:$D$501,d)))))))</f>
        <v/>
      </c>
      <c r="K711" s="6" t="str">
        <f t="shared" si="22"/>
        <v/>
      </c>
    </row>
    <row r="712" spans="1:11">
      <c r="A712" s="18" t="str">
        <f t="shared" si="23"/>
        <v/>
      </c>
      <c r="B712" s="13"/>
      <c r="C712" s="14"/>
      <c r="D712" s="3"/>
      <c r="E712" s="3"/>
      <c r="F712" s="14"/>
      <c r="G712" s="7">
        <f>RawObservationsTable[[#This Row],[Maturity Date]]-RawObservationsTable[[#This Row],[Timestamp]]</f>
        <v>0</v>
      </c>
      <c r="H712" s="2"/>
      <c r="I712" s="4"/>
      <c r="J712" s="5" t="str">
        <f>IF(OR(H712="",G712="",C712=""),"",LET(n,COUNTIFS(Bank_Rates!$A$2:$A$501,H712,Bank_Rates!$B$2:$B$501,"&lt;="&amp;C712),IF(n=0,"",LET(t,MAXIFS(Bank_Rates!$B$2:$B$501,Bank_Rates!$A$2:$A$501,H712,Bank_Rates!$B$2:$B$501,"&lt;="&amp;C712),m,COUNTIFS(Bank_Rates!$A$2:$A$501,H712,Bank_Rates!$B$2:$B$501,t,Bank_Rates!$D$2:$D$501,"&lt;="&amp;G712),IF(m=0,"",LET(d,MAXIFS(Bank_Rates!$D$2:$D$501,Bank_Rates!$A$2:$A$501,H712,Bank_Rates!$B$2:$B$501,t,Bank_Rates!$D$2:$D$501,"&lt;="&amp;G712),SUMIFS(Bank_Rates!$C$2:$C$501,Bank_Rates!$A$2:$A$501,H712,Bank_Rates!$B$2:$B$501,t,Bank_Rates!$D$2:$D$501,d)))))))</f>
        <v/>
      </c>
      <c r="K712" s="6" t="str">
        <f t="shared" si="22"/>
        <v/>
      </c>
    </row>
    <row r="713" spans="1:11">
      <c r="A713" s="18" t="str">
        <f t="shared" si="23"/>
        <v/>
      </c>
      <c r="B713" s="13"/>
      <c r="C713" s="14"/>
      <c r="D713" s="3"/>
      <c r="E713" s="3"/>
      <c r="F713" s="14"/>
      <c r="G713" s="7">
        <f>RawObservationsTable[[#This Row],[Maturity Date]]-RawObservationsTable[[#This Row],[Timestamp]]</f>
        <v>0</v>
      </c>
      <c r="H713" s="2"/>
      <c r="I713" s="4"/>
      <c r="J713" s="5" t="str">
        <f>IF(OR(H713="",G713="",C713=""),"",LET(n,COUNTIFS(Bank_Rates!$A$2:$A$501,H713,Bank_Rates!$B$2:$B$501,"&lt;="&amp;C713),IF(n=0,"",LET(t,MAXIFS(Bank_Rates!$B$2:$B$501,Bank_Rates!$A$2:$A$501,H713,Bank_Rates!$B$2:$B$501,"&lt;="&amp;C713),m,COUNTIFS(Bank_Rates!$A$2:$A$501,H713,Bank_Rates!$B$2:$B$501,t,Bank_Rates!$D$2:$D$501,"&lt;="&amp;G713),IF(m=0,"",LET(d,MAXIFS(Bank_Rates!$D$2:$D$501,Bank_Rates!$A$2:$A$501,H713,Bank_Rates!$B$2:$B$501,t,Bank_Rates!$D$2:$D$501,"&lt;="&amp;G713),SUMIFS(Bank_Rates!$C$2:$C$501,Bank_Rates!$A$2:$A$501,H713,Bank_Rates!$B$2:$B$501,t,Bank_Rates!$D$2:$D$501,d)))))))</f>
        <v/>
      </c>
      <c r="K713" s="6" t="str">
        <f t="shared" si="22"/>
        <v/>
      </c>
    </row>
    <row r="714" spans="1:11">
      <c r="A714" s="18" t="str">
        <f t="shared" si="23"/>
        <v/>
      </c>
      <c r="B714" s="13"/>
      <c r="C714" s="14"/>
      <c r="D714" s="3"/>
      <c r="E714" s="3"/>
      <c r="F714" s="14"/>
      <c r="G714" s="7">
        <f>RawObservationsTable[[#This Row],[Maturity Date]]-RawObservationsTable[[#This Row],[Timestamp]]</f>
        <v>0</v>
      </c>
      <c r="H714" s="2"/>
      <c r="I714" s="4"/>
      <c r="J714" s="5" t="str">
        <f>IF(OR(H714="",G714="",C714=""),"",LET(n,COUNTIFS(Bank_Rates!$A$2:$A$501,H714,Bank_Rates!$B$2:$B$501,"&lt;="&amp;C714),IF(n=0,"",LET(t,MAXIFS(Bank_Rates!$B$2:$B$501,Bank_Rates!$A$2:$A$501,H714,Bank_Rates!$B$2:$B$501,"&lt;="&amp;C714),m,COUNTIFS(Bank_Rates!$A$2:$A$501,H714,Bank_Rates!$B$2:$B$501,t,Bank_Rates!$D$2:$D$501,"&lt;="&amp;G714),IF(m=0,"",LET(d,MAXIFS(Bank_Rates!$D$2:$D$501,Bank_Rates!$A$2:$A$501,H714,Bank_Rates!$B$2:$B$501,t,Bank_Rates!$D$2:$D$501,"&lt;="&amp;G714),SUMIFS(Bank_Rates!$C$2:$C$501,Bank_Rates!$A$2:$A$501,H714,Bank_Rates!$B$2:$B$501,t,Bank_Rates!$D$2:$D$501,d)))))))</f>
        <v/>
      </c>
      <c r="K714" s="6" t="str">
        <f t="shared" si="22"/>
        <v/>
      </c>
    </row>
    <row r="715" spans="1:11">
      <c r="A715" s="18" t="str">
        <f t="shared" si="23"/>
        <v/>
      </c>
      <c r="B715" s="13"/>
      <c r="C715" s="14"/>
      <c r="D715" s="3"/>
      <c r="E715" s="3"/>
      <c r="F715" s="14"/>
      <c r="G715" s="7">
        <f>RawObservationsTable[[#This Row],[Maturity Date]]-RawObservationsTable[[#This Row],[Timestamp]]</f>
        <v>0</v>
      </c>
      <c r="H715" s="2"/>
      <c r="I715" s="4"/>
      <c r="J715" s="5" t="str">
        <f>IF(OR(H715="",G715="",C715=""),"",LET(n,COUNTIFS(Bank_Rates!$A$2:$A$501,H715,Bank_Rates!$B$2:$B$501,"&lt;="&amp;C715),IF(n=0,"",LET(t,MAXIFS(Bank_Rates!$B$2:$B$501,Bank_Rates!$A$2:$A$501,H715,Bank_Rates!$B$2:$B$501,"&lt;="&amp;C715),m,COUNTIFS(Bank_Rates!$A$2:$A$501,H715,Bank_Rates!$B$2:$B$501,t,Bank_Rates!$D$2:$D$501,"&lt;="&amp;G715),IF(m=0,"",LET(d,MAXIFS(Bank_Rates!$D$2:$D$501,Bank_Rates!$A$2:$A$501,H715,Bank_Rates!$B$2:$B$501,t,Bank_Rates!$D$2:$D$501,"&lt;="&amp;G715),SUMIFS(Bank_Rates!$C$2:$C$501,Bank_Rates!$A$2:$A$501,H715,Bank_Rates!$B$2:$B$501,t,Bank_Rates!$D$2:$D$501,d)))))))</f>
        <v/>
      </c>
      <c r="K715" s="6" t="str">
        <f t="shared" si="22"/>
        <v/>
      </c>
    </row>
    <row r="716" spans="1:11">
      <c r="A716" s="18" t="str">
        <f t="shared" si="23"/>
        <v/>
      </c>
      <c r="B716" s="13"/>
      <c r="C716" s="14"/>
      <c r="D716" s="3"/>
      <c r="E716" s="3"/>
      <c r="F716" s="14"/>
      <c r="G716" s="7">
        <f>RawObservationsTable[[#This Row],[Maturity Date]]-RawObservationsTable[[#This Row],[Timestamp]]</f>
        <v>0</v>
      </c>
      <c r="H716" s="2"/>
      <c r="I716" s="4"/>
      <c r="J716" s="5" t="str">
        <f>IF(OR(H716="",G716="",C716=""),"",LET(n,COUNTIFS(Bank_Rates!$A$2:$A$501,H716,Bank_Rates!$B$2:$B$501,"&lt;="&amp;C716),IF(n=0,"",LET(t,MAXIFS(Bank_Rates!$B$2:$B$501,Bank_Rates!$A$2:$A$501,H716,Bank_Rates!$B$2:$B$501,"&lt;="&amp;C716),m,COUNTIFS(Bank_Rates!$A$2:$A$501,H716,Bank_Rates!$B$2:$B$501,t,Bank_Rates!$D$2:$D$501,"&lt;="&amp;G716),IF(m=0,"",LET(d,MAXIFS(Bank_Rates!$D$2:$D$501,Bank_Rates!$A$2:$A$501,H716,Bank_Rates!$B$2:$B$501,t,Bank_Rates!$D$2:$D$501,"&lt;="&amp;G716),SUMIFS(Bank_Rates!$C$2:$C$501,Bank_Rates!$A$2:$A$501,H716,Bank_Rates!$B$2:$B$501,t,Bank_Rates!$D$2:$D$501,d)))))))</f>
        <v/>
      </c>
      <c r="K716" s="6" t="str">
        <f t="shared" si="22"/>
        <v/>
      </c>
    </row>
    <row r="717" spans="1:11">
      <c r="A717" s="18" t="str">
        <f t="shared" si="23"/>
        <v/>
      </c>
      <c r="B717" s="13"/>
      <c r="C717" s="14"/>
      <c r="D717" s="3"/>
      <c r="E717" s="3"/>
      <c r="F717" s="14"/>
      <c r="G717" s="7">
        <f>RawObservationsTable[[#This Row],[Maturity Date]]-RawObservationsTable[[#This Row],[Timestamp]]</f>
        <v>0</v>
      </c>
      <c r="H717" s="2"/>
      <c r="I717" s="4"/>
      <c r="J717" s="5" t="str">
        <f>IF(OR(H717="",G717="",C717=""),"",LET(n,COUNTIFS(Bank_Rates!$A$2:$A$501,H717,Bank_Rates!$B$2:$B$501,"&lt;="&amp;C717),IF(n=0,"",LET(t,MAXIFS(Bank_Rates!$B$2:$B$501,Bank_Rates!$A$2:$A$501,H717,Bank_Rates!$B$2:$B$501,"&lt;="&amp;C717),m,COUNTIFS(Bank_Rates!$A$2:$A$501,H717,Bank_Rates!$B$2:$B$501,t,Bank_Rates!$D$2:$D$501,"&lt;="&amp;G717),IF(m=0,"",LET(d,MAXIFS(Bank_Rates!$D$2:$D$501,Bank_Rates!$A$2:$A$501,H717,Bank_Rates!$B$2:$B$501,t,Bank_Rates!$D$2:$D$501,"&lt;="&amp;G717),SUMIFS(Bank_Rates!$C$2:$C$501,Bank_Rates!$A$2:$A$501,H717,Bank_Rates!$B$2:$B$501,t,Bank_Rates!$D$2:$D$501,d)))))))</f>
        <v/>
      </c>
      <c r="K717" s="6" t="str">
        <f t="shared" si="22"/>
        <v/>
      </c>
    </row>
    <row r="718" spans="1:11">
      <c r="A718" s="18" t="str">
        <f t="shared" si="23"/>
        <v/>
      </c>
      <c r="B718" s="13"/>
      <c r="C718" s="14"/>
      <c r="D718" s="3"/>
      <c r="E718" s="3"/>
      <c r="F718" s="14"/>
      <c r="G718" s="7">
        <f>RawObservationsTable[[#This Row],[Maturity Date]]-RawObservationsTable[[#This Row],[Timestamp]]</f>
        <v>0</v>
      </c>
      <c r="H718" s="2"/>
      <c r="I718" s="4"/>
      <c r="J718" s="5" t="str">
        <f>IF(OR(H718="",G718="",C718=""),"",LET(n,COUNTIFS(Bank_Rates!$A$2:$A$501,H718,Bank_Rates!$B$2:$B$501,"&lt;="&amp;C718),IF(n=0,"",LET(t,MAXIFS(Bank_Rates!$B$2:$B$501,Bank_Rates!$A$2:$A$501,H718,Bank_Rates!$B$2:$B$501,"&lt;="&amp;C718),m,COUNTIFS(Bank_Rates!$A$2:$A$501,H718,Bank_Rates!$B$2:$B$501,t,Bank_Rates!$D$2:$D$501,"&lt;="&amp;G718),IF(m=0,"",LET(d,MAXIFS(Bank_Rates!$D$2:$D$501,Bank_Rates!$A$2:$A$501,H718,Bank_Rates!$B$2:$B$501,t,Bank_Rates!$D$2:$D$501,"&lt;="&amp;G718),SUMIFS(Bank_Rates!$C$2:$C$501,Bank_Rates!$A$2:$A$501,H718,Bank_Rates!$B$2:$B$501,t,Bank_Rates!$D$2:$D$501,d)))))))</f>
        <v/>
      </c>
      <c r="K718" s="6" t="str">
        <f t="shared" si="22"/>
        <v/>
      </c>
    </row>
    <row r="719" spans="1:11">
      <c r="A719" s="18" t="str">
        <f t="shared" si="23"/>
        <v/>
      </c>
      <c r="B719" s="13"/>
      <c r="C719" s="14"/>
      <c r="D719" s="3"/>
      <c r="E719" s="3"/>
      <c r="F719" s="14"/>
      <c r="G719" s="7">
        <f>RawObservationsTable[[#This Row],[Maturity Date]]-RawObservationsTable[[#This Row],[Timestamp]]</f>
        <v>0</v>
      </c>
      <c r="H719" s="2"/>
      <c r="I719" s="4"/>
      <c r="J719" s="5" t="str">
        <f>IF(OR(H719="",G719="",C719=""),"",LET(n,COUNTIFS(Bank_Rates!$A$2:$A$501,H719,Bank_Rates!$B$2:$B$501,"&lt;="&amp;C719),IF(n=0,"",LET(t,MAXIFS(Bank_Rates!$B$2:$B$501,Bank_Rates!$A$2:$A$501,H719,Bank_Rates!$B$2:$B$501,"&lt;="&amp;C719),m,COUNTIFS(Bank_Rates!$A$2:$A$501,H719,Bank_Rates!$B$2:$B$501,t,Bank_Rates!$D$2:$D$501,"&lt;="&amp;G719),IF(m=0,"",LET(d,MAXIFS(Bank_Rates!$D$2:$D$501,Bank_Rates!$A$2:$A$501,H719,Bank_Rates!$B$2:$B$501,t,Bank_Rates!$D$2:$D$501,"&lt;="&amp;G719),SUMIFS(Bank_Rates!$C$2:$C$501,Bank_Rates!$A$2:$A$501,H719,Bank_Rates!$B$2:$B$501,t,Bank_Rates!$D$2:$D$501,d)))))))</f>
        <v/>
      </c>
      <c r="K719" s="6" t="str">
        <f t="shared" si="22"/>
        <v/>
      </c>
    </row>
    <row r="720" spans="1:11">
      <c r="A720" s="18" t="str">
        <f t="shared" si="23"/>
        <v/>
      </c>
      <c r="B720" s="13"/>
      <c r="C720" s="14"/>
      <c r="D720" s="3"/>
      <c r="E720" s="3"/>
      <c r="F720" s="14"/>
      <c r="G720" s="7">
        <f>RawObservationsTable[[#This Row],[Maturity Date]]-RawObservationsTable[[#This Row],[Timestamp]]</f>
        <v>0</v>
      </c>
      <c r="H720" s="2"/>
      <c r="I720" s="4"/>
      <c r="J720" s="5" t="str">
        <f>IF(OR(H720="",G720="",C720=""),"",LET(n,COUNTIFS(Bank_Rates!$A$2:$A$501,H720,Bank_Rates!$B$2:$B$501,"&lt;="&amp;C720),IF(n=0,"",LET(t,MAXIFS(Bank_Rates!$B$2:$B$501,Bank_Rates!$A$2:$A$501,H720,Bank_Rates!$B$2:$B$501,"&lt;="&amp;C720),m,COUNTIFS(Bank_Rates!$A$2:$A$501,H720,Bank_Rates!$B$2:$B$501,t,Bank_Rates!$D$2:$D$501,"&lt;="&amp;G720),IF(m=0,"",LET(d,MAXIFS(Bank_Rates!$D$2:$D$501,Bank_Rates!$A$2:$A$501,H720,Bank_Rates!$B$2:$B$501,t,Bank_Rates!$D$2:$D$501,"&lt;="&amp;G720),SUMIFS(Bank_Rates!$C$2:$C$501,Bank_Rates!$A$2:$A$501,H720,Bank_Rates!$B$2:$B$501,t,Bank_Rates!$D$2:$D$501,d)))))))</f>
        <v/>
      </c>
      <c r="K720" s="6" t="str">
        <f t="shared" si="22"/>
        <v/>
      </c>
    </row>
    <row r="721" spans="1:11">
      <c r="A721" s="18" t="str">
        <f t="shared" si="23"/>
        <v/>
      </c>
      <c r="B721" s="13"/>
      <c r="C721" s="14"/>
      <c r="D721" s="3"/>
      <c r="E721" s="3"/>
      <c r="F721" s="14"/>
      <c r="G721" s="7">
        <f>RawObservationsTable[[#This Row],[Maturity Date]]-RawObservationsTable[[#This Row],[Timestamp]]</f>
        <v>0</v>
      </c>
      <c r="H721" s="2"/>
      <c r="I721" s="4"/>
      <c r="J721" s="5" t="str">
        <f>IF(OR(H721="",G721="",C721=""),"",LET(n,COUNTIFS(Bank_Rates!$A$2:$A$501,H721,Bank_Rates!$B$2:$B$501,"&lt;="&amp;C721),IF(n=0,"",LET(t,MAXIFS(Bank_Rates!$B$2:$B$501,Bank_Rates!$A$2:$A$501,H721,Bank_Rates!$B$2:$B$501,"&lt;="&amp;C721),m,COUNTIFS(Bank_Rates!$A$2:$A$501,H721,Bank_Rates!$B$2:$B$501,t,Bank_Rates!$D$2:$D$501,"&lt;="&amp;G721),IF(m=0,"",LET(d,MAXIFS(Bank_Rates!$D$2:$D$501,Bank_Rates!$A$2:$A$501,H721,Bank_Rates!$B$2:$B$501,t,Bank_Rates!$D$2:$D$501,"&lt;="&amp;G721),SUMIFS(Bank_Rates!$C$2:$C$501,Bank_Rates!$A$2:$A$501,H721,Bank_Rates!$B$2:$B$501,t,Bank_Rates!$D$2:$D$501,d)))))))</f>
        <v/>
      </c>
      <c r="K721" s="6" t="str">
        <f t="shared" si="22"/>
        <v/>
      </c>
    </row>
    <row r="722" spans="1:11">
      <c r="A722" s="18" t="str">
        <f t="shared" si="23"/>
        <v/>
      </c>
      <c r="B722" s="13"/>
      <c r="C722" s="14"/>
      <c r="D722" s="3"/>
      <c r="E722" s="3"/>
      <c r="F722" s="14"/>
      <c r="G722" s="7">
        <f>RawObservationsTable[[#This Row],[Maturity Date]]-RawObservationsTable[[#This Row],[Timestamp]]</f>
        <v>0</v>
      </c>
      <c r="H722" s="2"/>
      <c r="I722" s="4"/>
      <c r="J722" s="5" t="str">
        <f>IF(OR(H722="",G722="",C722=""),"",LET(n,COUNTIFS(Bank_Rates!$A$2:$A$501,H722,Bank_Rates!$B$2:$B$501,"&lt;="&amp;C722),IF(n=0,"",LET(t,MAXIFS(Bank_Rates!$B$2:$B$501,Bank_Rates!$A$2:$A$501,H722,Bank_Rates!$B$2:$B$501,"&lt;="&amp;C722),m,COUNTIFS(Bank_Rates!$A$2:$A$501,H722,Bank_Rates!$B$2:$B$501,t,Bank_Rates!$D$2:$D$501,"&lt;="&amp;G722),IF(m=0,"",LET(d,MAXIFS(Bank_Rates!$D$2:$D$501,Bank_Rates!$A$2:$A$501,H722,Bank_Rates!$B$2:$B$501,t,Bank_Rates!$D$2:$D$501,"&lt;="&amp;G722),SUMIFS(Bank_Rates!$C$2:$C$501,Bank_Rates!$A$2:$A$501,H722,Bank_Rates!$B$2:$B$501,t,Bank_Rates!$D$2:$D$501,d)))))))</f>
        <v/>
      </c>
      <c r="K722" s="6" t="str">
        <f t="shared" si="22"/>
        <v/>
      </c>
    </row>
    <row r="723" spans="1:11">
      <c r="A723" s="18" t="str">
        <f t="shared" si="23"/>
        <v/>
      </c>
      <c r="B723" s="13"/>
      <c r="C723" s="14"/>
      <c r="D723" s="3"/>
      <c r="E723" s="3"/>
      <c r="F723" s="14"/>
      <c r="G723" s="7">
        <f>RawObservationsTable[[#This Row],[Maturity Date]]-RawObservationsTable[[#This Row],[Timestamp]]</f>
        <v>0</v>
      </c>
      <c r="H723" s="2"/>
      <c r="I723" s="4"/>
      <c r="J723" s="5" t="str">
        <f>IF(OR(H723="",G723="",C723=""),"",LET(n,COUNTIFS(Bank_Rates!$A$2:$A$501,H723,Bank_Rates!$B$2:$B$501,"&lt;="&amp;C723),IF(n=0,"",LET(t,MAXIFS(Bank_Rates!$B$2:$B$501,Bank_Rates!$A$2:$A$501,H723,Bank_Rates!$B$2:$B$501,"&lt;="&amp;C723),m,COUNTIFS(Bank_Rates!$A$2:$A$501,H723,Bank_Rates!$B$2:$B$501,t,Bank_Rates!$D$2:$D$501,"&lt;="&amp;G723),IF(m=0,"",LET(d,MAXIFS(Bank_Rates!$D$2:$D$501,Bank_Rates!$A$2:$A$501,H723,Bank_Rates!$B$2:$B$501,t,Bank_Rates!$D$2:$D$501,"&lt;="&amp;G723),SUMIFS(Bank_Rates!$C$2:$C$501,Bank_Rates!$A$2:$A$501,H723,Bank_Rates!$B$2:$B$501,t,Bank_Rates!$D$2:$D$501,d)))))))</f>
        <v/>
      </c>
      <c r="K723" s="6" t="str">
        <f t="shared" si="22"/>
        <v/>
      </c>
    </row>
    <row r="724" spans="1:11">
      <c r="A724" s="18" t="str">
        <f t="shared" si="23"/>
        <v/>
      </c>
      <c r="B724" s="13"/>
      <c r="C724" s="14"/>
      <c r="D724" s="3"/>
      <c r="E724" s="3"/>
      <c r="F724" s="14"/>
      <c r="G724" s="7">
        <f>RawObservationsTable[[#This Row],[Maturity Date]]-RawObservationsTable[[#This Row],[Timestamp]]</f>
        <v>0</v>
      </c>
      <c r="H724" s="2"/>
      <c r="I724" s="4"/>
      <c r="J724" s="5" t="str">
        <f>IF(OR(H724="",G724="",C724=""),"",LET(n,COUNTIFS(Bank_Rates!$A$2:$A$501,H724,Bank_Rates!$B$2:$B$501,"&lt;="&amp;C724),IF(n=0,"",LET(t,MAXIFS(Bank_Rates!$B$2:$B$501,Bank_Rates!$A$2:$A$501,H724,Bank_Rates!$B$2:$B$501,"&lt;="&amp;C724),m,COUNTIFS(Bank_Rates!$A$2:$A$501,H724,Bank_Rates!$B$2:$B$501,t,Bank_Rates!$D$2:$D$501,"&lt;="&amp;G724),IF(m=0,"",LET(d,MAXIFS(Bank_Rates!$D$2:$D$501,Bank_Rates!$A$2:$A$501,H724,Bank_Rates!$B$2:$B$501,t,Bank_Rates!$D$2:$D$501,"&lt;="&amp;G724),SUMIFS(Bank_Rates!$C$2:$C$501,Bank_Rates!$A$2:$A$501,H724,Bank_Rates!$B$2:$B$501,t,Bank_Rates!$D$2:$D$501,d)))))))</f>
        <v/>
      </c>
      <c r="K724" s="6" t="str">
        <f t="shared" si="22"/>
        <v/>
      </c>
    </row>
    <row r="725" spans="1:11">
      <c r="A725" s="18" t="str">
        <f t="shared" si="23"/>
        <v/>
      </c>
      <c r="B725" s="13"/>
      <c r="C725" s="14"/>
      <c r="D725" s="3"/>
      <c r="E725" s="3"/>
      <c r="F725" s="14"/>
      <c r="G725" s="7">
        <f>RawObservationsTable[[#This Row],[Maturity Date]]-RawObservationsTable[[#This Row],[Timestamp]]</f>
        <v>0</v>
      </c>
      <c r="H725" s="2"/>
      <c r="I725" s="4"/>
      <c r="J725" s="5" t="str">
        <f>IF(OR(H725="",G725="",C725=""),"",LET(n,COUNTIFS(Bank_Rates!$A$2:$A$501,H725,Bank_Rates!$B$2:$B$501,"&lt;="&amp;C725),IF(n=0,"",LET(t,MAXIFS(Bank_Rates!$B$2:$B$501,Bank_Rates!$A$2:$A$501,H725,Bank_Rates!$B$2:$B$501,"&lt;="&amp;C725),m,COUNTIFS(Bank_Rates!$A$2:$A$501,H725,Bank_Rates!$B$2:$B$501,t,Bank_Rates!$D$2:$D$501,"&lt;="&amp;G725),IF(m=0,"",LET(d,MAXIFS(Bank_Rates!$D$2:$D$501,Bank_Rates!$A$2:$A$501,H725,Bank_Rates!$B$2:$B$501,t,Bank_Rates!$D$2:$D$501,"&lt;="&amp;G725),SUMIFS(Bank_Rates!$C$2:$C$501,Bank_Rates!$A$2:$A$501,H725,Bank_Rates!$B$2:$B$501,t,Bank_Rates!$D$2:$D$501,d)))))))</f>
        <v/>
      </c>
      <c r="K725" s="6" t="str">
        <f t="shared" si="22"/>
        <v/>
      </c>
    </row>
    <row r="726" spans="1:11">
      <c r="A726" s="18" t="str">
        <f t="shared" si="23"/>
        <v/>
      </c>
      <c r="B726" s="13"/>
      <c r="C726" s="14"/>
      <c r="D726" s="3"/>
      <c r="E726" s="3"/>
      <c r="F726" s="14"/>
      <c r="G726" s="7">
        <f>RawObservationsTable[[#This Row],[Maturity Date]]-RawObservationsTable[[#This Row],[Timestamp]]</f>
        <v>0</v>
      </c>
      <c r="H726" s="2"/>
      <c r="I726" s="4"/>
      <c r="J726" s="5" t="str">
        <f>IF(OR(H726="",G726="",C726=""),"",LET(n,COUNTIFS(Bank_Rates!$A$2:$A$501,H726,Bank_Rates!$B$2:$B$501,"&lt;="&amp;C726),IF(n=0,"",LET(t,MAXIFS(Bank_Rates!$B$2:$B$501,Bank_Rates!$A$2:$A$501,H726,Bank_Rates!$B$2:$B$501,"&lt;="&amp;C726),m,COUNTIFS(Bank_Rates!$A$2:$A$501,H726,Bank_Rates!$B$2:$B$501,t,Bank_Rates!$D$2:$D$501,"&lt;="&amp;G726),IF(m=0,"",LET(d,MAXIFS(Bank_Rates!$D$2:$D$501,Bank_Rates!$A$2:$A$501,H726,Bank_Rates!$B$2:$B$501,t,Bank_Rates!$D$2:$D$501,"&lt;="&amp;G726),SUMIFS(Bank_Rates!$C$2:$C$501,Bank_Rates!$A$2:$A$501,H726,Bank_Rates!$B$2:$B$501,t,Bank_Rates!$D$2:$D$501,d)))))))</f>
        <v/>
      </c>
      <c r="K726" s="6" t="str">
        <f t="shared" si="22"/>
        <v/>
      </c>
    </row>
    <row r="727" spans="1:11">
      <c r="A727" s="18" t="str">
        <f t="shared" si="23"/>
        <v/>
      </c>
      <c r="B727" s="13"/>
      <c r="C727" s="14"/>
      <c r="D727" s="3"/>
      <c r="E727" s="3"/>
      <c r="F727" s="14"/>
      <c r="G727" s="7">
        <f>RawObservationsTable[[#This Row],[Maturity Date]]-RawObservationsTable[[#This Row],[Timestamp]]</f>
        <v>0</v>
      </c>
      <c r="H727" s="2"/>
      <c r="I727" s="4"/>
      <c r="J727" s="5" t="str">
        <f>IF(OR(H727="",G727="",C727=""),"",LET(n,COUNTIFS(Bank_Rates!$A$2:$A$501,H727,Bank_Rates!$B$2:$B$501,"&lt;="&amp;C727),IF(n=0,"",LET(t,MAXIFS(Bank_Rates!$B$2:$B$501,Bank_Rates!$A$2:$A$501,H727,Bank_Rates!$B$2:$B$501,"&lt;="&amp;C727),m,COUNTIFS(Bank_Rates!$A$2:$A$501,H727,Bank_Rates!$B$2:$B$501,t,Bank_Rates!$D$2:$D$501,"&lt;="&amp;G727),IF(m=0,"",LET(d,MAXIFS(Bank_Rates!$D$2:$D$501,Bank_Rates!$A$2:$A$501,H727,Bank_Rates!$B$2:$B$501,t,Bank_Rates!$D$2:$D$501,"&lt;="&amp;G727),SUMIFS(Bank_Rates!$C$2:$C$501,Bank_Rates!$A$2:$A$501,H727,Bank_Rates!$B$2:$B$501,t,Bank_Rates!$D$2:$D$501,d)))))))</f>
        <v/>
      </c>
      <c r="K727" s="6" t="str">
        <f t="shared" si="22"/>
        <v/>
      </c>
    </row>
    <row r="728" spans="1:11">
      <c r="A728" s="18" t="str">
        <f t="shared" si="23"/>
        <v/>
      </c>
      <c r="B728" s="13"/>
      <c r="C728" s="14"/>
      <c r="D728" s="3"/>
      <c r="E728" s="3"/>
      <c r="F728" s="14"/>
      <c r="G728" s="7">
        <f>RawObservationsTable[[#This Row],[Maturity Date]]-RawObservationsTable[[#This Row],[Timestamp]]</f>
        <v>0</v>
      </c>
      <c r="H728" s="2"/>
      <c r="I728" s="4"/>
      <c r="J728" s="5" t="str">
        <f>IF(OR(H728="",G728="",C728=""),"",LET(n,COUNTIFS(Bank_Rates!$A$2:$A$501,H728,Bank_Rates!$B$2:$B$501,"&lt;="&amp;C728),IF(n=0,"",LET(t,MAXIFS(Bank_Rates!$B$2:$B$501,Bank_Rates!$A$2:$A$501,H728,Bank_Rates!$B$2:$B$501,"&lt;="&amp;C728),m,COUNTIFS(Bank_Rates!$A$2:$A$501,H728,Bank_Rates!$B$2:$B$501,t,Bank_Rates!$D$2:$D$501,"&lt;="&amp;G728),IF(m=0,"",LET(d,MAXIFS(Bank_Rates!$D$2:$D$501,Bank_Rates!$A$2:$A$501,H728,Bank_Rates!$B$2:$B$501,t,Bank_Rates!$D$2:$D$501,"&lt;="&amp;G728),SUMIFS(Bank_Rates!$C$2:$C$501,Bank_Rates!$A$2:$A$501,H728,Bank_Rates!$B$2:$B$501,t,Bank_Rates!$D$2:$D$501,d)))))))</f>
        <v/>
      </c>
      <c r="K728" s="6" t="str">
        <f t="shared" si="22"/>
        <v/>
      </c>
    </row>
    <row r="729" spans="1:11">
      <c r="A729" s="18" t="str">
        <f t="shared" si="23"/>
        <v/>
      </c>
      <c r="B729" s="13"/>
      <c r="C729" s="14"/>
      <c r="D729" s="3"/>
      <c r="E729" s="3"/>
      <c r="F729" s="14"/>
      <c r="G729" s="7">
        <f>RawObservationsTable[[#This Row],[Maturity Date]]-RawObservationsTable[[#This Row],[Timestamp]]</f>
        <v>0</v>
      </c>
      <c r="H729" s="2"/>
      <c r="I729" s="4"/>
      <c r="J729" s="5" t="str">
        <f>IF(OR(H729="",G729="",C729=""),"",LET(n,COUNTIFS(Bank_Rates!$A$2:$A$501,H729,Bank_Rates!$B$2:$B$501,"&lt;="&amp;C729),IF(n=0,"",LET(t,MAXIFS(Bank_Rates!$B$2:$B$501,Bank_Rates!$A$2:$A$501,H729,Bank_Rates!$B$2:$B$501,"&lt;="&amp;C729),m,COUNTIFS(Bank_Rates!$A$2:$A$501,H729,Bank_Rates!$B$2:$B$501,t,Bank_Rates!$D$2:$D$501,"&lt;="&amp;G729),IF(m=0,"",LET(d,MAXIFS(Bank_Rates!$D$2:$D$501,Bank_Rates!$A$2:$A$501,H729,Bank_Rates!$B$2:$B$501,t,Bank_Rates!$D$2:$D$501,"&lt;="&amp;G729),SUMIFS(Bank_Rates!$C$2:$C$501,Bank_Rates!$A$2:$A$501,H729,Bank_Rates!$B$2:$B$501,t,Bank_Rates!$D$2:$D$501,d)))))))</f>
        <v/>
      </c>
      <c r="K729" s="6" t="str">
        <f t="shared" si="22"/>
        <v/>
      </c>
    </row>
    <row r="730" spans="1:11">
      <c r="A730" s="18" t="str">
        <f t="shared" si="23"/>
        <v/>
      </c>
      <c r="B730" s="13"/>
      <c r="C730" s="14"/>
      <c r="D730" s="3"/>
      <c r="E730" s="3"/>
      <c r="F730" s="14"/>
      <c r="G730" s="7">
        <f>RawObservationsTable[[#This Row],[Maturity Date]]-RawObservationsTable[[#This Row],[Timestamp]]</f>
        <v>0</v>
      </c>
      <c r="H730" s="2"/>
      <c r="I730" s="4"/>
      <c r="J730" s="5" t="str">
        <f>IF(OR(H730="",G730="",C730=""),"",LET(n,COUNTIFS(Bank_Rates!$A$2:$A$501,H730,Bank_Rates!$B$2:$B$501,"&lt;="&amp;C730),IF(n=0,"",LET(t,MAXIFS(Bank_Rates!$B$2:$B$501,Bank_Rates!$A$2:$A$501,H730,Bank_Rates!$B$2:$B$501,"&lt;="&amp;C730),m,COUNTIFS(Bank_Rates!$A$2:$A$501,H730,Bank_Rates!$B$2:$B$501,t,Bank_Rates!$D$2:$D$501,"&lt;="&amp;G730),IF(m=0,"",LET(d,MAXIFS(Bank_Rates!$D$2:$D$501,Bank_Rates!$A$2:$A$501,H730,Bank_Rates!$B$2:$B$501,t,Bank_Rates!$D$2:$D$501,"&lt;="&amp;G730),SUMIFS(Bank_Rates!$C$2:$C$501,Bank_Rates!$A$2:$A$501,H730,Bank_Rates!$B$2:$B$501,t,Bank_Rates!$D$2:$D$501,d)))))))</f>
        <v/>
      </c>
      <c r="K730" s="6" t="str">
        <f t="shared" si="22"/>
        <v/>
      </c>
    </row>
    <row r="731" spans="1:11">
      <c r="A731" s="18" t="str">
        <f t="shared" si="23"/>
        <v/>
      </c>
      <c r="B731" s="13"/>
      <c r="C731" s="14"/>
      <c r="D731" s="3"/>
      <c r="E731" s="3"/>
      <c r="F731" s="14"/>
      <c r="G731" s="7">
        <f>RawObservationsTable[[#This Row],[Maturity Date]]-RawObservationsTable[[#This Row],[Timestamp]]</f>
        <v>0</v>
      </c>
      <c r="H731" s="2"/>
      <c r="I731" s="4"/>
      <c r="J731" s="5" t="str">
        <f>IF(OR(H731="",G731="",C731=""),"",LET(n,COUNTIFS(Bank_Rates!$A$2:$A$501,H731,Bank_Rates!$B$2:$B$501,"&lt;="&amp;C731),IF(n=0,"",LET(t,MAXIFS(Bank_Rates!$B$2:$B$501,Bank_Rates!$A$2:$A$501,H731,Bank_Rates!$B$2:$B$501,"&lt;="&amp;C731),m,COUNTIFS(Bank_Rates!$A$2:$A$501,H731,Bank_Rates!$B$2:$B$501,t,Bank_Rates!$D$2:$D$501,"&lt;="&amp;G731),IF(m=0,"",LET(d,MAXIFS(Bank_Rates!$D$2:$D$501,Bank_Rates!$A$2:$A$501,H731,Bank_Rates!$B$2:$B$501,t,Bank_Rates!$D$2:$D$501,"&lt;="&amp;G731),SUMIFS(Bank_Rates!$C$2:$C$501,Bank_Rates!$A$2:$A$501,H731,Bank_Rates!$B$2:$B$501,t,Bank_Rates!$D$2:$D$501,d)))))))</f>
        <v/>
      </c>
      <c r="K731" s="6" t="str">
        <f t="shared" si="22"/>
        <v/>
      </c>
    </row>
    <row r="732" spans="1:11">
      <c r="A732" s="18" t="str">
        <f t="shared" si="23"/>
        <v/>
      </c>
      <c r="B732" s="13"/>
      <c r="C732" s="14"/>
      <c r="D732" s="3"/>
      <c r="E732" s="3"/>
      <c r="F732" s="14"/>
      <c r="G732" s="7">
        <f>RawObservationsTable[[#This Row],[Maturity Date]]-RawObservationsTable[[#This Row],[Timestamp]]</f>
        <v>0</v>
      </c>
      <c r="H732" s="2"/>
      <c r="I732" s="4"/>
      <c r="J732" s="5" t="str">
        <f>IF(OR(H732="",G732="",C732=""),"",LET(n,COUNTIFS(Bank_Rates!$A$2:$A$501,H732,Bank_Rates!$B$2:$B$501,"&lt;="&amp;C732),IF(n=0,"",LET(t,MAXIFS(Bank_Rates!$B$2:$B$501,Bank_Rates!$A$2:$A$501,H732,Bank_Rates!$B$2:$B$501,"&lt;="&amp;C732),m,COUNTIFS(Bank_Rates!$A$2:$A$501,H732,Bank_Rates!$B$2:$B$501,t,Bank_Rates!$D$2:$D$501,"&lt;="&amp;G732),IF(m=0,"",LET(d,MAXIFS(Bank_Rates!$D$2:$D$501,Bank_Rates!$A$2:$A$501,H732,Bank_Rates!$B$2:$B$501,t,Bank_Rates!$D$2:$D$501,"&lt;="&amp;G732),SUMIFS(Bank_Rates!$C$2:$C$501,Bank_Rates!$A$2:$A$501,H732,Bank_Rates!$B$2:$B$501,t,Bank_Rates!$D$2:$D$501,d)))))))</f>
        <v/>
      </c>
      <c r="K732" s="6" t="str">
        <f t="shared" si="22"/>
        <v/>
      </c>
    </row>
    <row r="733" spans="1:11">
      <c r="A733" s="18" t="str">
        <f t="shared" si="23"/>
        <v/>
      </c>
      <c r="B733" s="13"/>
      <c r="C733" s="14"/>
      <c r="D733" s="3"/>
      <c r="E733" s="3"/>
      <c r="F733" s="14"/>
      <c r="G733" s="7">
        <f>RawObservationsTable[[#This Row],[Maturity Date]]-RawObservationsTable[[#This Row],[Timestamp]]</f>
        <v>0</v>
      </c>
      <c r="H733" s="2"/>
      <c r="I733" s="4"/>
      <c r="J733" s="5" t="str">
        <f>IF(OR(H733="",G733="",C733=""),"",LET(n,COUNTIFS(Bank_Rates!$A$2:$A$501,H733,Bank_Rates!$B$2:$B$501,"&lt;="&amp;C733),IF(n=0,"",LET(t,MAXIFS(Bank_Rates!$B$2:$B$501,Bank_Rates!$A$2:$A$501,H733,Bank_Rates!$B$2:$B$501,"&lt;="&amp;C733),m,COUNTIFS(Bank_Rates!$A$2:$A$501,H733,Bank_Rates!$B$2:$B$501,t,Bank_Rates!$D$2:$D$501,"&lt;="&amp;G733),IF(m=0,"",LET(d,MAXIFS(Bank_Rates!$D$2:$D$501,Bank_Rates!$A$2:$A$501,H733,Bank_Rates!$B$2:$B$501,t,Bank_Rates!$D$2:$D$501,"&lt;="&amp;G733),SUMIFS(Bank_Rates!$C$2:$C$501,Bank_Rates!$A$2:$A$501,H733,Bank_Rates!$B$2:$B$501,t,Bank_Rates!$D$2:$D$501,d)))))))</f>
        <v/>
      </c>
      <c r="K733" s="6" t="str">
        <f t="shared" si="22"/>
        <v/>
      </c>
    </row>
    <row r="734" spans="1:11">
      <c r="A734" s="18" t="str">
        <f t="shared" si="23"/>
        <v/>
      </c>
      <c r="B734" s="13"/>
      <c r="C734" s="14"/>
      <c r="D734" s="3"/>
      <c r="E734" s="3"/>
      <c r="F734" s="14"/>
      <c r="G734" s="7">
        <f>RawObservationsTable[[#This Row],[Maturity Date]]-RawObservationsTable[[#This Row],[Timestamp]]</f>
        <v>0</v>
      </c>
      <c r="H734" s="2"/>
      <c r="I734" s="4"/>
      <c r="J734" s="5" t="str">
        <f>IF(OR(H734="",G734="",C734=""),"",LET(n,COUNTIFS(Bank_Rates!$A$2:$A$501,H734,Bank_Rates!$B$2:$B$501,"&lt;="&amp;C734),IF(n=0,"",LET(t,MAXIFS(Bank_Rates!$B$2:$B$501,Bank_Rates!$A$2:$A$501,H734,Bank_Rates!$B$2:$B$501,"&lt;="&amp;C734),m,COUNTIFS(Bank_Rates!$A$2:$A$501,H734,Bank_Rates!$B$2:$B$501,t,Bank_Rates!$D$2:$D$501,"&lt;="&amp;G734),IF(m=0,"",LET(d,MAXIFS(Bank_Rates!$D$2:$D$501,Bank_Rates!$A$2:$A$501,H734,Bank_Rates!$B$2:$B$501,t,Bank_Rates!$D$2:$D$501,"&lt;="&amp;G734),SUMIFS(Bank_Rates!$C$2:$C$501,Bank_Rates!$A$2:$A$501,H734,Bank_Rates!$B$2:$B$501,t,Bank_Rates!$D$2:$D$501,d)))))))</f>
        <v/>
      </c>
      <c r="K734" s="6" t="str">
        <f t="shared" si="22"/>
        <v/>
      </c>
    </row>
    <row r="735" spans="1:11">
      <c r="A735" s="18" t="str">
        <f t="shared" si="23"/>
        <v/>
      </c>
      <c r="B735" s="13"/>
      <c r="C735" s="14"/>
      <c r="D735" s="3"/>
      <c r="E735" s="3"/>
      <c r="F735" s="14"/>
      <c r="G735" s="7">
        <f>RawObservationsTable[[#This Row],[Maturity Date]]-RawObservationsTable[[#This Row],[Timestamp]]</f>
        <v>0</v>
      </c>
      <c r="H735" s="2"/>
      <c r="I735" s="4"/>
      <c r="J735" s="5" t="str">
        <f>IF(OR(H735="",G735="",C735=""),"",LET(n,COUNTIFS(Bank_Rates!$A$2:$A$501,H735,Bank_Rates!$B$2:$B$501,"&lt;="&amp;C735),IF(n=0,"",LET(t,MAXIFS(Bank_Rates!$B$2:$B$501,Bank_Rates!$A$2:$A$501,H735,Bank_Rates!$B$2:$B$501,"&lt;="&amp;C735),m,COUNTIFS(Bank_Rates!$A$2:$A$501,H735,Bank_Rates!$B$2:$B$501,t,Bank_Rates!$D$2:$D$501,"&lt;="&amp;G735),IF(m=0,"",LET(d,MAXIFS(Bank_Rates!$D$2:$D$501,Bank_Rates!$A$2:$A$501,H735,Bank_Rates!$B$2:$B$501,t,Bank_Rates!$D$2:$D$501,"&lt;="&amp;G735),SUMIFS(Bank_Rates!$C$2:$C$501,Bank_Rates!$A$2:$A$501,H735,Bank_Rates!$B$2:$B$501,t,Bank_Rates!$D$2:$D$501,d)))))))</f>
        <v/>
      </c>
      <c r="K735" s="6" t="str">
        <f t="shared" si="22"/>
        <v/>
      </c>
    </row>
    <row r="736" spans="1:11">
      <c r="A736" s="18" t="str">
        <f t="shared" si="23"/>
        <v/>
      </c>
      <c r="B736" s="13"/>
      <c r="C736" s="14"/>
      <c r="D736" s="3"/>
      <c r="E736" s="3"/>
      <c r="F736" s="14"/>
      <c r="G736" s="7">
        <f>RawObservationsTable[[#This Row],[Maturity Date]]-RawObservationsTable[[#This Row],[Timestamp]]</f>
        <v>0</v>
      </c>
      <c r="H736" s="2"/>
      <c r="I736" s="4"/>
      <c r="J736" s="5" t="str">
        <f>IF(OR(H736="",G736="",C736=""),"",LET(n,COUNTIFS(Bank_Rates!$A$2:$A$501,H736,Bank_Rates!$B$2:$B$501,"&lt;="&amp;C736),IF(n=0,"",LET(t,MAXIFS(Bank_Rates!$B$2:$B$501,Bank_Rates!$A$2:$A$501,H736,Bank_Rates!$B$2:$B$501,"&lt;="&amp;C736),m,COUNTIFS(Bank_Rates!$A$2:$A$501,H736,Bank_Rates!$B$2:$B$501,t,Bank_Rates!$D$2:$D$501,"&lt;="&amp;G736),IF(m=0,"",LET(d,MAXIFS(Bank_Rates!$D$2:$D$501,Bank_Rates!$A$2:$A$501,H736,Bank_Rates!$B$2:$B$501,t,Bank_Rates!$D$2:$D$501,"&lt;="&amp;G736),SUMIFS(Bank_Rates!$C$2:$C$501,Bank_Rates!$A$2:$A$501,H736,Bank_Rates!$B$2:$B$501,t,Bank_Rates!$D$2:$D$501,d)))))))</f>
        <v/>
      </c>
      <c r="K736" s="6" t="str">
        <f t="shared" si="22"/>
        <v/>
      </c>
    </row>
    <row r="737" spans="1:11">
      <c r="A737" s="18" t="str">
        <f t="shared" si="23"/>
        <v/>
      </c>
      <c r="B737" s="13"/>
      <c r="C737" s="14"/>
      <c r="D737" s="3"/>
      <c r="E737" s="3"/>
      <c r="F737" s="14"/>
      <c r="G737" s="7">
        <f>RawObservationsTable[[#This Row],[Maturity Date]]-RawObservationsTable[[#This Row],[Timestamp]]</f>
        <v>0</v>
      </c>
      <c r="H737" s="2"/>
      <c r="I737" s="4"/>
      <c r="J737" s="5" t="str">
        <f>IF(OR(H737="",G737="",C737=""),"",LET(n,COUNTIFS(Bank_Rates!$A$2:$A$501,H737,Bank_Rates!$B$2:$B$501,"&lt;="&amp;C737),IF(n=0,"",LET(t,MAXIFS(Bank_Rates!$B$2:$B$501,Bank_Rates!$A$2:$A$501,H737,Bank_Rates!$B$2:$B$501,"&lt;="&amp;C737),m,COUNTIFS(Bank_Rates!$A$2:$A$501,H737,Bank_Rates!$B$2:$B$501,t,Bank_Rates!$D$2:$D$501,"&lt;="&amp;G737),IF(m=0,"",LET(d,MAXIFS(Bank_Rates!$D$2:$D$501,Bank_Rates!$A$2:$A$501,H737,Bank_Rates!$B$2:$B$501,t,Bank_Rates!$D$2:$D$501,"&lt;="&amp;G737),SUMIFS(Bank_Rates!$C$2:$C$501,Bank_Rates!$A$2:$A$501,H737,Bank_Rates!$B$2:$B$501,t,Bank_Rates!$D$2:$D$501,d)))))))</f>
        <v/>
      </c>
      <c r="K737" s="6" t="str">
        <f t="shared" si="22"/>
        <v/>
      </c>
    </row>
    <row r="738" spans="1:11">
      <c r="A738" s="18" t="str">
        <f t="shared" si="23"/>
        <v/>
      </c>
      <c r="B738" s="13"/>
      <c r="C738" s="14"/>
      <c r="D738" s="3"/>
      <c r="E738" s="3"/>
      <c r="F738" s="14"/>
      <c r="G738" s="7">
        <f>RawObservationsTable[[#This Row],[Maturity Date]]-RawObservationsTable[[#This Row],[Timestamp]]</f>
        <v>0</v>
      </c>
      <c r="H738" s="2"/>
      <c r="I738" s="4"/>
      <c r="J738" s="5" t="str">
        <f>IF(OR(H738="",G738="",C738=""),"",LET(n,COUNTIFS(Bank_Rates!$A$2:$A$501,H738,Bank_Rates!$B$2:$B$501,"&lt;="&amp;C738),IF(n=0,"",LET(t,MAXIFS(Bank_Rates!$B$2:$B$501,Bank_Rates!$A$2:$A$501,H738,Bank_Rates!$B$2:$B$501,"&lt;="&amp;C738),m,COUNTIFS(Bank_Rates!$A$2:$A$501,H738,Bank_Rates!$B$2:$B$501,t,Bank_Rates!$D$2:$D$501,"&lt;="&amp;G738),IF(m=0,"",LET(d,MAXIFS(Bank_Rates!$D$2:$D$501,Bank_Rates!$A$2:$A$501,H738,Bank_Rates!$B$2:$B$501,t,Bank_Rates!$D$2:$D$501,"&lt;="&amp;G738),SUMIFS(Bank_Rates!$C$2:$C$501,Bank_Rates!$A$2:$A$501,H738,Bank_Rates!$B$2:$B$501,t,Bank_Rates!$D$2:$D$501,d)))))))</f>
        <v/>
      </c>
      <c r="K738" s="6" t="str">
        <f t="shared" si="22"/>
        <v/>
      </c>
    </row>
    <row r="739" spans="1:11">
      <c r="A739" s="18" t="str">
        <f t="shared" si="23"/>
        <v/>
      </c>
      <c r="B739" s="13"/>
      <c r="C739" s="14"/>
      <c r="D739" s="3"/>
      <c r="E739" s="3"/>
      <c r="F739" s="14"/>
      <c r="G739" s="7">
        <f>RawObservationsTable[[#This Row],[Maturity Date]]-RawObservationsTable[[#This Row],[Timestamp]]</f>
        <v>0</v>
      </c>
      <c r="H739" s="2"/>
      <c r="I739" s="4"/>
      <c r="J739" s="5" t="str">
        <f>IF(OR(H739="",G739="",C739=""),"",LET(n,COUNTIFS(Bank_Rates!$A$2:$A$501,H739,Bank_Rates!$B$2:$B$501,"&lt;="&amp;C739),IF(n=0,"",LET(t,MAXIFS(Bank_Rates!$B$2:$B$501,Bank_Rates!$A$2:$A$501,H739,Bank_Rates!$B$2:$B$501,"&lt;="&amp;C739),m,COUNTIFS(Bank_Rates!$A$2:$A$501,H739,Bank_Rates!$B$2:$B$501,t,Bank_Rates!$D$2:$D$501,"&lt;="&amp;G739),IF(m=0,"",LET(d,MAXIFS(Bank_Rates!$D$2:$D$501,Bank_Rates!$A$2:$A$501,H739,Bank_Rates!$B$2:$B$501,t,Bank_Rates!$D$2:$D$501,"&lt;="&amp;G739),SUMIFS(Bank_Rates!$C$2:$C$501,Bank_Rates!$A$2:$A$501,H739,Bank_Rates!$B$2:$B$501,t,Bank_Rates!$D$2:$D$501,d)))))))</f>
        <v/>
      </c>
      <c r="K739" s="6" t="str">
        <f t="shared" si="22"/>
        <v/>
      </c>
    </row>
    <row r="740" spans="1:11">
      <c r="A740" s="18" t="str">
        <f t="shared" si="23"/>
        <v/>
      </c>
      <c r="B740" s="13"/>
      <c r="C740" s="14"/>
      <c r="D740" s="3"/>
      <c r="E740" s="3"/>
      <c r="F740" s="14"/>
      <c r="G740" s="7">
        <f>RawObservationsTable[[#This Row],[Maturity Date]]-RawObservationsTable[[#This Row],[Timestamp]]</f>
        <v>0</v>
      </c>
      <c r="H740" s="2"/>
      <c r="I740" s="4"/>
      <c r="J740" s="5" t="str">
        <f>IF(OR(H740="",G740="",C740=""),"",LET(n,COUNTIFS(Bank_Rates!$A$2:$A$501,H740,Bank_Rates!$B$2:$B$501,"&lt;="&amp;C740),IF(n=0,"",LET(t,MAXIFS(Bank_Rates!$B$2:$B$501,Bank_Rates!$A$2:$A$501,H740,Bank_Rates!$B$2:$B$501,"&lt;="&amp;C740),m,COUNTIFS(Bank_Rates!$A$2:$A$501,H740,Bank_Rates!$B$2:$B$501,t,Bank_Rates!$D$2:$D$501,"&lt;="&amp;G740),IF(m=0,"",LET(d,MAXIFS(Bank_Rates!$D$2:$D$501,Bank_Rates!$A$2:$A$501,H740,Bank_Rates!$B$2:$B$501,t,Bank_Rates!$D$2:$D$501,"&lt;="&amp;G740),SUMIFS(Bank_Rates!$C$2:$C$501,Bank_Rates!$A$2:$A$501,H740,Bank_Rates!$B$2:$B$501,t,Bank_Rates!$D$2:$D$501,d)))))))</f>
        <v/>
      </c>
      <c r="K740" s="6" t="str">
        <f t="shared" si="22"/>
        <v/>
      </c>
    </row>
    <row r="741" spans="1:11">
      <c r="A741" s="18" t="str">
        <f t="shared" si="23"/>
        <v/>
      </c>
      <c r="B741" s="13"/>
      <c r="C741" s="14"/>
      <c r="D741" s="3"/>
      <c r="E741" s="3"/>
      <c r="F741" s="14"/>
      <c r="G741" s="7">
        <f>RawObservationsTable[[#This Row],[Maturity Date]]-RawObservationsTable[[#This Row],[Timestamp]]</f>
        <v>0</v>
      </c>
      <c r="H741" s="2"/>
      <c r="I741" s="4"/>
      <c r="J741" s="5" t="str">
        <f>IF(OR(H741="",G741="",C741=""),"",LET(n,COUNTIFS(Bank_Rates!$A$2:$A$501,H741,Bank_Rates!$B$2:$B$501,"&lt;="&amp;C741),IF(n=0,"",LET(t,MAXIFS(Bank_Rates!$B$2:$B$501,Bank_Rates!$A$2:$A$501,H741,Bank_Rates!$B$2:$B$501,"&lt;="&amp;C741),m,COUNTIFS(Bank_Rates!$A$2:$A$501,H741,Bank_Rates!$B$2:$B$501,t,Bank_Rates!$D$2:$D$501,"&lt;="&amp;G741),IF(m=0,"",LET(d,MAXIFS(Bank_Rates!$D$2:$D$501,Bank_Rates!$A$2:$A$501,H741,Bank_Rates!$B$2:$B$501,t,Bank_Rates!$D$2:$D$501,"&lt;="&amp;G741),SUMIFS(Bank_Rates!$C$2:$C$501,Bank_Rates!$A$2:$A$501,H741,Bank_Rates!$B$2:$B$501,t,Bank_Rates!$D$2:$D$501,d)))))))</f>
        <v/>
      </c>
      <c r="K741" s="6" t="str">
        <f t="shared" si="22"/>
        <v/>
      </c>
    </row>
    <row r="742" spans="1:11">
      <c r="A742" s="18" t="str">
        <f t="shared" si="23"/>
        <v/>
      </c>
      <c r="B742" s="13"/>
      <c r="C742" s="14"/>
      <c r="D742" s="3"/>
      <c r="E742" s="3"/>
      <c r="F742" s="14"/>
      <c r="G742" s="7">
        <f>RawObservationsTable[[#This Row],[Maturity Date]]-RawObservationsTable[[#This Row],[Timestamp]]</f>
        <v>0</v>
      </c>
      <c r="H742" s="2"/>
      <c r="I742" s="4"/>
      <c r="J742" s="5" t="str">
        <f>IF(OR(H742="",G742="",C742=""),"",LET(n,COUNTIFS(Bank_Rates!$A$2:$A$501,H742,Bank_Rates!$B$2:$B$501,"&lt;="&amp;C742),IF(n=0,"",LET(t,MAXIFS(Bank_Rates!$B$2:$B$501,Bank_Rates!$A$2:$A$501,H742,Bank_Rates!$B$2:$B$501,"&lt;="&amp;C742),m,COUNTIFS(Bank_Rates!$A$2:$A$501,H742,Bank_Rates!$B$2:$B$501,t,Bank_Rates!$D$2:$D$501,"&lt;="&amp;G742),IF(m=0,"",LET(d,MAXIFS(Bank_Rates!$D$2:$D$501,Bank_Rates!$A$2:$A$501,H742,Bank_Rates!$B$2:$B$501,t,Bank_Rates!$D$2:$D$501,"&lt;="&amp;G742),SUMIFS(Bank_Rates!$C$2:$C$501,Bank_Rates!$A$2:$A$501,H742,Bank_Rates!$B$2:$B$501,t,Bank_Rates!$D$2:$D$501,d)))))))</f>
        <v/>
      </c>
      <c r="K742" s="6" t="str">
        <f t="shared" si="22"/>
        <v/>
      </c>
    </row>
    <row r="743" spans="1:11">
      <c r="A743" s="18" t="str">
        <f t="shared" si="23"/>
        <v/>
      </c>
      <c r="B743" s="13"/>
      <c r="C743" s="14"/>
      <c r="D743" s="3"/>
      <c r="E743" s="3"/>
      <c r="F743" s="14"/>
      <c r="G743" s="7">
        <f>RawObservationsTable[[#This Row],[Maturity Date]]-RawObservationsTable[[#This Row],[Timestamp]]</f>
        <v>0</v>
      </c>
      <c r="H743" s="2"/>
      <c r="I743" s="4"/>
      <c r="J743" s="5" t="str">
        <f>IF(OR(H743="",G743="",C743=""),"",LET(n,COUNTIFS(Bank_Rates!$A$2:$A$501,H743,Bank_Rates!$B$2:$B$501,"&lt;="&amp;C743),IF(n=0,"",LET(t,MAXIFS(Bank_Rates!$B$2:$B$501,Bank_Rates!$A$2:$A$501,H743,Bank_Rates!$B$2:$B$501,"&lt;="&amp;C743),m,COUNTIFS(Bank_Rates!$A$2:$A$501,H743,Bank_Rates!$B$2:$B$501,t,Bank_Rates!$D$2:$D$501,"&lt;="&amp;G743),IF(m=0,"",LET(d,MAXIFS(Bank_Rates!$D$2:$D$501,Bank_Rates!$A$2:$A$501,H743,Bank_Rates!$B$2:$B$501,t,Bank_Rates!$D$2:$D$501,"&lt;="&amp;G743),SUMIFS(Bank_Rates!$C$2:$C$501,Bank_Rates!$A$2:$A$501,H743,Bank_Rates!$B$2:$B$501,t,Bank_Rates!$D$2:$D$501,d)))))))</f>
        <v/>
      </c>
      <c r="K743" s="6" t="str">
        <f t="shared" si="22"/>
        <v/>
      </c>
    </row>
    <row r="744" spans="1:11">
      <c r="A744" s="18" t="str">
        <f t="shared" si="23"/>
        <v/>
      </c>
      <c r="B744" s="13"/>
      <c r="C744" s="14"/>
      <c r="D744" s="3"/>
      <c r="E744" s="3"/>
      <c r="F744" s="14"/>
      <c r="G744" s="7">
        <f>RawObservationsTable[[#This Row],[Maturity Date]]-RawObservationsTable[[#This Row],[Timestamp]]</f>
        <v>0</v>
      </c>
      <c r="H744" s="2"/>
      <c r="I744" s="4"/>
      <c r="J744" s="5" t="str">
        <f>IF(OR(H744="",G744="",C744=""),"",LET(n,COUNTIFS(Bank_Rates!$A$2:$A$501,H744,Bank_Rates!$B$2:$B$501,"&lt;="&amp;C744),IF(n=0,"",LET(t,MAXIFS(Bank_Rates!$B$2:$B$501,Bank_Rates!$A$2:$A$501,H744,Bank_Rates!$B$2:$B$501,"&lt;="&amp;C744),m,COUNTIFS(Bank_Rates!$A$2:$A$501,H744,Bank_Rates!$B$2:$B$501,t,Bank_Rates!$D$2:$D$501,"&lt;="&amp;G744),IF(m=0,"",LET(d,MAXIFS(Bank_Rates!$D$2:$D$501,Bank_Rates!$A$2:$A$501,H744,Bank_Rates!$B$2:$B$501,t,Bank_Rates!$D$2:$D$501,"&lt;="&amp;G744),SUMIFS(Bank_Rates!$C$2:$C$501,Bank_Rates!$A$2:$A$501,H744,Bank_Rates!$B$2:$B$501,t,Bank_Rates!$D$2:$D$501,d)))))))</f>
        <v/>
      </c>
      <c r="K744" s="6" t="str">
        <f t="shared" si="22"/>
        <v/>
      </c>
    </row>
    <row r="745" spans="1:11">
      <c r="A745" s="18" t="str">
        <f t="shared" si="23"/>
        <v/>
      </c>
      <c r="B745" s="13"/>
      <c r="C745" s="14"/>
      <c r="D745" s="3"/>
      <c r="E745" s="3"/>
      <c r="F745" s="14"/>
      <c r="G745" s="7">
        <f>RawObservationsTable[[#This Row],[Maturity Date]]-RawObservationsTable[[#This Row],[Timestamp]]</f>
        <v>0</v>
      </c>
      <c r="H745" s="2"/>
      <c r="I745" s="4"/>
      <c r="J745" s="5" t="str">
        <f>IF(OR(H745="",G745="",C745=""),"",LET(n,COUNTIFS(Bank_Rates!$A$2:$A$501,H745,Bank_Rates!$B$2:$B$501,"&lt;="&amp;C745),IF(n=0,"",LET(t,MAXIFS(Bank_Rates!$B$2:$B$501,Bank_Rates!$A$2:$A$501,H745,Bank_Rates!$B$2:$B$501,"&lt;="&amp;C745),m,COUNTIFS(Bank_Rates!$A$2:$A$501,H745,Bank_Rates!$B$2:$B$501,t,Bank_Rates!$D$2:$D$501,"&lt;="&amp;G745),IF(m=0,"",LET(d,MAXIFS(Bank_Rates!$D$2:$D$501,Bank_Rates!$A$2:$A$501,H745,Bank_Rates!$B$2:$B$501,t,Bank_Rates!$D$2:$D$501,"&lt;="&amp;G745),SUMIFS(Bank_Rates!$C$2:$C$501,Bank_Rates!$A$2:$A$501,H745,Bank_Rates!$B$2:$B$501,t,Bank_Rates!$D$2:$D$501,d)))))))</f>
        <v/>
      </c>
      <c r="K745" s="6" t="str">
        <f t="shared" si="22"/>
        <v/>
      </c>
    </row>
    <row r="746" spans="1:11">
      <c r="A746" s="18" t="str">
        <f t="shared" si="23"/>
        <v/>
      </c>
      <c r="B746" s="13"/>
      <c r="C746" s="14"/>
      <c r="D746" s="3"/>
      <c r="E746" s="3"/>
      <c r="F746" s="14"/>
      <c r="G746" s="7">
        <f>RawObservationsTable[[#This Row],[Maturity Date]]-RawObservationsTable[[#This Row],[Timestamp]]</f>
        <v>0</v>
      </c>
      <c r="H746" s="2"/>
      <c r="I746" s="4"/>
      <c r="J746" s="5" t="str">
        <f>IF(OR(H746="",G746="",C746=""),"",LET(n,COUNTIFS(Bank_Rates!$A$2:$A$501,H746,Bank_Rates!$B$2:$B$501,"&lt;="&amp;C746),IF(n=0,"",LET(t,MAXIFS(Bank_Rates!$B$2:$B$501,Bank_Rates!$A$2:$A$501,H746,Bank_Rates!$B$2:$B$501,"&lt;="&amp;C746),m,COUNTIFS(Bank_Rates!$A$2:$A$501,H746,Bank_Rates!$B$2:$B$501,t,Bank_Rates!$D$2:$D$501,"&lt;="&amp;G746),IF(m=0,"",LET(d,MAXIFS(Bank_Rates!$D$2:$D$501,Bank_Rates!$A$2:$A$501,H746,Bank_Rates!$B$2:$B$501,t,Bank_Rates!$D$2:$D$501,"&lt;="&amp;G746),SUMIFS(Bank_Rates!$C$2:$C$501,Bank_Rates!$A$2:$A$501,H746,Bank_Rates!$B$2:$B$501,t,Bank_Rates!$D$2:$D$501,d)))))))</f>
        <v/>
      </c>
      <c r="K746" s="6" t="str">
        <f t="shared" si="22"/>
        <v/>
      </c>
    </row>
    <row r="747" spans="1:11">
      <c r="A747" s="18" t="str">
        <f t="shared" si="23"/>
        <v/>
      </c>
      <c r="B747" s="13"/>
      <c r="C747" s="14"/>
      <c r="D747" s="3"/>
      <c r="E747" s="3"/>
      <c r="F747" s="14"/>
      <c r="G747" s="7">
        <f>RawObservationsTable[[#This Row],[Maturity Date]]-RawObservationsTable[[#This Row],[Timestamp]]</f>
        <v>0</v>
      </c>
      <c r="H747" s="2"/>
      <c r="I747" s="4"/>
      <c r="J747" s="5" t="str">
        <f>IF(OR(H747="",G747="",C747=""),"",LET(n,COUNTIFS(Bank_Rates!$A$2:$A$501,H747,Bank_Rates!$B$2:$B$501,"&lt;="&amp;C747),IF(n=0,"",LET(t,MAXIFS(Bank_Rates!$B$2:$B$501,Bank_Rates!$A$2:$A$501,H747,Bank_Rates!$B$2:$B$501,"&lt;="&amp;C747),m,COUNTIFS(Bank_Rates!$A$2:$A$501,H747,Bank_Rates!$B$2:$B$501,t,Bank_Rates!$D$2:$D$501,"&lt;="&amp;G747),IF(m=0,"",LET(d,MAXIFS(Bank_Rates!$D$2:$D$501,Bank_Rates!$A$2:$A$501,H747,Bank_Rates!$B$2:$B$501,t,Bank_Rates!$D$2:$D$501,"&lt;="&amp;G747),SUMIFS(Bank_Rates!$C$2:$C$501,Bank_Rates!$A$2:$A$501,H747,Bank_Rates!$B$2:$B$501,t,Bank_Rates!$D$2:$D$501,d)))))))</f>
        <v/>
      </c>
      <c r="K747" s="6" t="str">
        <f t="shared" si="22"/>
        <v/>
      </c>
    </row>
    <row r="748" spans="1:11">
      <c r="A748" s="18" t="str">
        <f t="shared" si="23"/>
        <v/>
      </c>
      <c r="B748" s="13"/>
      <c r="C748" s="14"/>
      <c r="D748" s="3"/>
      <c r="E748" s="3"/>
      <c r="F748" s="14"/>
      <c r="G748" s="7">
        <f>RawObservationsTable[[#This Row],[Maturity Date]]-RawObservationsTable[[#This Row],[Timestamp]]</f>
        <v>0</v>
      </c>
      <c r="H748" s="2"/>
      <c r="I748" s="4"/>
      <c r="J748" s="5" t="str">
        <f>IF(OR(H748="",G748="",C748=""),"",LET(n,COUNTIFS(Bank_Rates!$A$2:$A$501,H748,Bank_Rates!$B$2:$B$501,"&lt;="&amp;C748),IF(n=0,"",LET(t,MAXIFS(Bank_Rates!$B$2:$B$501,Bank_Rates!$A$2:$A$501,H748,Bank_Rates!$B$2:$B$501,"&lt;="&amp;C748),m,COUNTIFS(Bank_Rates!$A$2:$A$501,H748,Bank_Rates!$B$2:$B$501,t,Bank_Rates!$D$2:$D$501,"&lt;="&amp;G748),IF(m=0,"",LET(d,MAXIFS(Bank_Rates!$D$2:$D$501,Bank_Rates!$A$2:$A$501,H748,Bank_Rates!$B$2:$B$501,t,Bank_Rates!$D$2:$D$501,"&lt;="&amp;G748),SUMIFS(Bank_Rates!$C$2:$C$501,Bank_Rates!$A$2:$A$501,H748,Bank_Rates!$B$2:$B$501,t,Bank_Rates!$D$2:$D$501,d)))))))</f>
        <v/>
      </c>
      <c r="K748" s="6" t="str">
        <f t="shared" si="22"/>
        <v/>
      </c>
    </row>
    <row r="749" spans="1:11">
      <c r="A749" s="18" t="str">
        <f t="shared" si="23"/>
        <v/>
      </c>
      <c r="B749" s="13"/>
      <c r="C749" s="14"/>
      <c r="D749" s="3"/>
      <c r="E749" s="3"/>
      <c r="F749" s="14"/>
      <c r="G749" s="7">
        <f>RawObservationsTable[[#This Row],[Maturity Date]]-RawObservationsTable[[#This Row],[Timestamp]]</f>
        <v>0</v>
      </c>
      <c r="H749" s="2"/>
      <c r="I749" s="4"/>
      <c r="J749" s="5" t="str">
        <f>IF(OR(H749="",G749="",C749=""),"",LET(n,COUNTIFS(Bank_Rates!$A$2:$A$501,H749,Bank_Rates!$B$2:$B$501,"&lt;="&amp;C749),IF(n=0,"",LET(t,MAXIFS(Bank_Rates!$B$2:$B$501,Bank_Rates!$A$2:$A$501,H749,Bank_Rates!$B$2:$B$501,"&lt;="&amp;C749),m,COUNTIFS(Bank_Rates!$A$2:$A$501,H749,Bank_Rates!$B$2:$B$501,t,Bank_Rates!$D$2:$D$501,"&lt;="&amp;G749),IF(m=0,"",LET(d,MAXIFS(Bank_Rates!$D$2:$D$501,Bank_Rates!$A$2:$A$501,H749,Bank_Rates!$B$2:$B$501,t,Bank_Rates!$D$2:$D$501,"&lt;="&amp;G749),SUMIFS(Bank_Rates!$C$2:$C$501,Bank_Rates!$A$2:$A$501,H749,Bank_Rates!$B$2:$B$501,t,Bank_Rates!$D$2:$D$501,d)))))))</f>
        <v/>
      </c>
      <c r="K749" s="6" t="str">
        <f t="shared" si="22"/>
        <v/>
      </c>
    </row>
    <row r="750" spans="1:11">
      <c r="A750" s="18" t="str">
        <f t="shared" si="23"/>
        <v/>
      </c>
      <c r="B750" s="13"/>
      <c r="C750" s="14"/>
      <c r="D750" s="3"/>
      <c r="E750" s="3"/>
      <c r="F750" s="14"/>
      <c r="G750" s="7">
        <f>RawObservationsTable[[#This Row],[Maturity Date]]-RawObservationsTable[[#This Row],[Timestamp]]</f>
        <v>0</v>
      </c>
      <c r="H750" s="2"/>
      <c r="I750" s="4"/>
      <c r="J750" s="5" t="str">
        <f>IF(OR(H750="",G750="",C750=""),"",LET(n,COUNTIFS(Bank_Rates!$A$2:$A$501,H750,Bank_Rates!$B$2:$B$501,"&lt;="&amp;C750),IF(n=0,"",LET(t,MAXIFS(Bank_Rates!$B$2:$B$501,Bank_Rates!$A$2:$A$501,H750,Bank_Rates!$B$2:$B$501,"&lt;="&amp;C750),m,COUNTIFS(Bank_Rates!$A$2:$A$501,H750,Bank_Rates!$B$2:$B$501,t,Bank_Rates!$D$2:$D$501,"&lt;="&amp;G750),IF(m=0,"",LET(d,MAXIFS(Bank_Rates!$D$2:$D$501,Bank_Rates!$A$2:$A$501,H750,Bank_Rates!$B$2:$B$501,t,Bank_Rates!$D$2:$D$501,"&lt;="&amp;G750),SUMIFS(Bank_Rates!$C$2:$C$501,Bank_Rates!$A$2:$A$501,H750,Bank_Rates!$B$2:$B$501,t,Bank_Rates!$D$2:$D$501,d)))))))</f>
        <v/>
      </c>
      <c r="K750" s="6" t="str">
        <f t="shared" si="22"/>
        <v/>
      </c>
    </row>
    <row r="751" spans="1:11">
      <c r="A751" s="18" t="str">
        <f t="shared" si="23"/>
        <v/>
      </c>
      <c r="B751" s="13"/>
      <c r="C751" s="14"/>
      <c r="D751" s="3"/>
      <c r="E751" s="3"/>
      <c r="F751" s="14"/>
      <c r="G751" s="7">
        <f>RawObservationsTable[[#This Row],[Maturity Date]]-RawObservationsTable[[#This Row],[Timestamp]]</f>
        <v>0</v>
      </c>
      <c r="H751" s="2"/>
      <c r="I751" s="4"/>
      <c r="J751" s="5" t="str">
        <f>IF(OR(H751="",G751="",C751=""),"",LET(n,COUNTIFS(Bank_Rates!$A$2:$A$501,H751,Bank_Rates!$B$2:$B$501,"&lt;="&amp;C751),IF(n=0,"",LET(t,MAXIFS(Bank_Rates!$B$2:$B$501,Bank_Rates!$A$2:$A$501,H751,Bank_Rates!$B$2:$B$501,"&lt;="&amp;C751),m,COUNTIFS(Bank_Rates!$A$2:$A$501,H751,Bank_Rates!$B$2:$B$501,t,Bank_Rates!$D$2:$D$501,"&lt;="&amp;G751),IF(m=0,"",LET(d,MAXIFS(Bank_Rates!$D$2:$D$501,Bank_Rates!$A$2:$A$501,H751,Bank_Rates!$B$2:$B$501,t,Bank_Rates!$D$2:$D$501,"&lt;="&amp;G751),SUMIFS(Bank_Rates!$C$2:$C$501,Bank_Rates!$A$2:$A$501,H751,Bank_Rates!$B$2:$B$501,t,Bank_Rates!$D$2:$D$501,d)))))))</f>
        <v/>
      </c>
      <c r="K751" s="6" t="str">
        <f t="shared" si="22"/>
        <v/>
      </c>
    </row>
    <row r="752" spans="1:11">
      <c r="A752" s="18" t="str">
        <f t="shared" si="23"/>
        <v/>
      </c>
      <c r="B752" s="13"/>
      <c r="C752" s="14"/>
      <c r="D752" s="3"/>
      <c r="E752" s="3"/>
      <c r="F752" s="14"/>
      <c r="G752" s="7">
        <f>RawObservationsTable[[#This Row],[Maturity Date]]-RawObservationsTable[[#This Row],[Timestamp]]</f>
        <v>0</v>
      </c>
      <c r="H752" s="2"/>
      <c r="I752" s="4"/>
      <c r="J752" s="5" t="str">
        <f>IF(OR(H752="",G752="",C752=""),"",LET(n,COUNTIFS(Bank_Rates!$A$2:$A$501,H752,Bank_Rates!$B$2:$B$501,"&lt;="&amp;C752),IF(n=0,"",LET(t,MAXIFS(Bank_Rates!$B$2:$B$501,Bank_Rates!$A$2:$A$501,H752,Bank_Rates!$B$2:$B$501,"&lt;="&amp;C752),m,COUNTIFS(Bank_Rates!$A$2:$A$501,H752,Bank_Rates!$B$2:$B$501,t,Bank_Rates!$D$2:$D$501,"&lt;="&amp;G752),IF(m=0,"",LET(d,MAXIFS(Bank_Rates!$D$2:$D$501,Bank_Rates!$A$2:$A$501,H752,Bank_Rates!$B$2:$B$501,t,Bank_Rates!$D$2:$D$501,"&lt;="&amp;G752),SUMIFS(Bank_Rates!$C$2:$C$501,Bank_Rates!$A$2:$A$501,H752,Bank_Rates!$B$2:$B$501,t,Bank_Rates!$D$2:$D$501,d)))))))</f>
        <v/>
      </c>
      <c r="K752" s="6" t="str">
        <f t="shared" si="22"/>
        <v/>
      </c>
    </row>
    <row r="753" spans="1:11">
      <c r="A753" s="18" t="str">
        <f t="shared" si="23"/>
        <v/>
      </c>
      <c r="B753" s="13"/>
      <c r="C753" s="14"/>
      <c r="D753" s="3"/>
      <c r="E753" s="3"/>
      <c r="F753" s="14"/>
      <c r="G753" s="7">
        <f>RawObservationsTable[[#This Row],[Maturity Date]]-RawObservationsTable[[#This Row],[Timestamp]]</f>
        <v>0</v>
      </c>
      <c r="H753" s="2"/>
      <c r="I753" s="4"/>
      <c r="J753" s="5" t="str">
        <f>IF(OR(H753="",G753="",C753=""),"",LET(n,COUNTIFS(Bank_Rates!$A$2:$A$501,H753,Bank_Rates!$B$2:$B$501,"&lt;="&amp;C753),IF(n=0,"",LET(t,MAXIFS(Bank_Rates!$B$2:$B$501,Bank_Rates!$A$2:$A$501,H753,Bank_Rates!$B$2:$B$501,"&lt;="&amp;C753),m,COUNTIFS(Bank_Rates!$A$2:$A$501,H753,Bank_Rates!$B$2:$B$501,t,Bank_Rates!$D$2:$D$501,"&lt;="&amp;G753),IF(m=0,"",LET(d,MAXIFS(Bank_Rates!$D$2:$D$501,Bank_Rates!$A$2:$A$501,H753,Bank_Rates!$B$2:$B$501,t,Bank_Rates!$D$2:$D$501,"&lt;="&amp;G753),SUMIFS(Bank_Rates!$C$2:$C$501,Bank_Rates!$A$2:$A$501,H753,Bank_Rates!$B$2:$B$501,t,Bank_Rates!$D$2:$D$501,d)))))))</f>
        <v/>
      </c>
      <c r="K753" s="6" t="str">
        <f t="shared" si="22"/>
        <v/>
      </c>
    </row>
    <row r="754" spans="1:11">
      <c r="A754" s="18" t="str">
        <f t="shared" si="23"/>
        <v/>
      </c>
      <c r="B754" s="13"/>
      <c r="C754" s="14"/>
      <c r="D754" s="3"/>
      <c r="E754" s="3"/>
      <c r="F754" s="14"/>
      <c r="G754" s="7">
        <f>RawObservationsTable[[#This Row],[Maturity Date]]-RawObservationsTable[[#This Row],[Timestamp]]</f>
        <v>0</v>
      </c>
      <c r="H754" s="2"/>
      <c r="I754" s="4"/>
      <c r="J754" s="5" t="str">
        <f>IF(OR(H754="",G754="",C754=""),"",LET(n,COUNTIFS(Bank_Rates!$A$2:$A$501,H754,Bank_Rates!$B$2:$B$501,"&lt;="&amp;C754),IF(n=0,"",LET(t,MAXIFS(Bank_Rates!$B$2:$B$501,Bank_Rates!$A$2:$A$501,H754,Bank_Rates!$B$2:$B$501,"&lt;="&amp;C754),m,COUNTIFS(Bank_Rates!$A$2:$A$501,H754,Bank_Rates!$B$2:$B$501,t,Bank_Rates!$D$2:$D$501,"&lt;="&amp;G754),IF(m=0,"",LET(d,MAXIFS(Bank_Rates!$D$2:$D$501,Bank_Rates!$A$2:$A$501,H754,Bank_Rates!$B$2:$B$501,t,Bank_Rates!$D$2:$D$501,"&lt;="&amp;G754),SUMIFS(Bank_Rates!$C$2:$C$501,Bank_Rates!$A$2:$A$501,H754,Bank_Rates!$B$2:$B$501,t,Bank_Rates!$D$2:$D$501,d)))))))</f>
        <v/>
      </c>
      <c r="K754" s="6" t="str">
        <f t="shared" si="22"/>
        <v/>
      </c>
    </row>
    <row r="755" spans="1:11">
      <c r="A755" s="18" t="str">
        <f t="shared" si="23"/>
        <v/>
      </c>
      <c r="B755" s="13"/>
      <c r="C755" s="14"/>
      <c r="D755" s="3"/>
      <c r="E755" s="3"/>
      <c r="F755" s="14"/>
      <c r="G755" s="7">
        <f>RawObservationsTable[[#This Row],[Maturity Date]]-RawObservationsTable[[#This Row],[Timestamp]]</f>
        <v>0</v>
      </c>
      <c r="H755" s="2"/>
      <c r="I755" s="4"/>
      <c r="J755" s="5" t="str">
        <f>IF(OR(H755="",G755="",C755=""),"",LET(n,COUNTIFS(Bank_Rates!$A$2:$A$501,H755,Bank_Rates!$B$2:$B$501,"&lt;="&amp;C755),IF(n=0,"",LET(t,MAXIFS(Bank_Rates!$B$2:$B$501,Bank_Rates!$A$2:$A$501,H755,Bank_Rates!$B$2:$B$501,"&lt;="&amp;C755),m,COUNTIFS(Bank_Rates!$A$2:$A$501,H755,Bank_Rates!$B$2:$B$501,t,Bank_Rates!$D$2:$D$501,"&lt;="&amp;G755),IF(m=0,"",LET(d,MAXIFS(Bank_Rates!$D$2:$D$501,Bank_Rates!$A$2:$A$501,H755,Bank_Rates!$B$2:$B$501,t,Bank_Rates!$D$2:$D$501,"&lt;="&amp;G755),SUMIFS(Bank_Rates!$C$2:$C$501,Bank_Rates!$A$2:$A$501,H755,Bank_Rates!$B$2:$B$501,t,Bank_Rates!$D$2:$D$501,d)))))))</f>
        <v/>
      </c>
      <c r="K755" s="6" t="str">
        <f t="shared" si="22"/>
        <v/>
      </c>
    </row>
    <row r="756" spans="1:11">
      <c r="A756" s="18" t="str">
        <f t="shared" si="23"/>
        <v/>
      </c>
      <c r="B756" s="13"/>
      <c r="C756" s="14"/>
      <c r="D756" s="3"/>
      <c r="E756" s="3"/>
      <c r="F756" s="14"/>
      <c r="G756" s="7">
        <f>RawObservationsTable[[#This Row],[Maturity Date]]-RawObservationsTable[[#This Row],[Timestamp]]</f>
        <v>0</v>
      </c>
      <c r="H756" s="2"/>
      <c r="I756" s="4"/>
      <c r="J756" s="5" t="str">
        <f>IF(OR(H756="",G756="",C756=""),"",LET(n,COUNTIFS(Bank_Rates!$A$2:$A$501,H756,Bank_Rates!$B$2:$B$501,"&lt;="&amp;C756),IF(n=0,"",LET(t,MAXIFS(Bank_Rates!$B$2:$B$501,Bank_Rates!$A$2:$A$501,H756,Bank_Rates!$B$2:$B$501,"&lt;="&amp;C756),m,COUNTIFS(Bank_Rates!$A$2:$A$501,H756,Bank_Rates!$B$2:$B$501,t,Bank_Rates!$D$2:$D$501,"&lt;="&amp;G756),IF(m=0,"",LET(d,MAXIFS(Bank_Rates!$D$2:$D$501,Bank_Rates!$A$2:$A$501,H756,Bank_Rates!$B$2:$B$501,t,Bank_Rates!$D$2:$D$501,"&lt;="&amp;G756),SUMIFS(Bank_Rates!$C$2:$C$501,Bank_Rates!$A$2:$A$501,H756,Bank_Rates!$B$2:$B$501,t,Bank_Rates!$D$2:$D$501,d)))))))</f>
        <v/>
      </c>
      <c r="K756" s="6" t="str">
        <f t="shared" si="22"/>
        <v/>
      </c>
    </row>
    <row r="757" spans="1:11">
      <c r="A757" s="18" t="str">
        <f t="shared" si="23"/>
        <v/>
      </c>
      <c r="B757" s="13"/>
      <c r="C757" s="14"/>
      <c r="D757" s="3"/>
      <c r="E757" s="3"/>
      <c r="F757" s="14"/>
      <c r="G757" s="7">
        <f>RawObservationsTable[[#This Row],[Maturity Date]]-RawObservationsTable[[#This Row],[Timestamp]]</f>
        <v>0</v>
      </c>
      <c r="H757" s="2"/>
      <c r="I757" s="4"/>
      <c r="J757" s="5" t="str">
        <f>IF(OR(H757="",G757="",C757=""),"",LET(n,COUNTIFS(Bank_Rates!$A$2:$A$501,H757,Bank_Rates!$B$2:$B$501,"&lt;="&amp;C757),IF(n=0,"",LET(t,MAXIFS(Bank_Rates!$B$2:$B$501,Bank_Rates!$A$2:$A$501,H757,Bank_Rates!$B$2:$B$501,"&lt;="&amp;C757),m,COUNTIFS(Bank_Rates!$A$2:$A$501,H757,Bank_Rates!$B$2:$B$501,t,Bank_Rates!$D$2:$D$501,"&lt;="&amp;G757),IF(m=0,"",LET(d,MAXIFS(Bank_Rates!$D$2:$D$501,Bank_Rates!$A$2:$A$501,H757,Bank_Rates!$B$2:$B$501,t,Bank_Rates!$D$2:$D$501,"&lt;="&amp;G757),SUMIFS(Bank_Rates!$C$2:$C$501,Bank_Rates!$A$2:$A$501,H757,Bank_Rates!$B$2:$B$501,t,Bank_Rates!$D$2:$D$501,d)))))))</f>
        <v/>
      </c>
      <c r="K757" s="6" t="str">
        <f t="shared" si="22"/>
        <v/>
      </c>
    </row>
    <row r="758" spans="1:11">
      <c r="A758" s="18" t="str">
        <f t="shared" si="23"/>
        <v/>
      </c>
      <c r="B758" s="13"/>
      <c r="C758" s="14"/>
      <c r="D758" s="3"/>
      <c r="E758" s="3"/>
      <c r="F758" s="14"/>
      <c r="G758" s="7">
        <f>RawObservationsTable[[#This Row],[Maturity Date]]-RawObservationsTable[[#This Row],[Timestamp]]</f>
        <v>0</v>
      </c>
      <c r="H758" s="2"/>
      <c r="I758" s="4"/>
      <c r="J758" s="5" t="str">
        <f>IF(OR(H758="",G758="",C758=""),"",LET(n,COUNTIFS(Bank_Rates!$A$2:$A$501,H758,Bank_Rates!$B$2:$B$501,"&lt;="&amp;C758),IF(n=0,"",LET(t,MAXIFS(Bank_Rates!$B$2:$B$501,Bank_Rates!$A$2:$A$501,H758,Bank_Rates!$B$2:$B$501,"&lt;="&amp;C758),m,COUNTIFS(Bank_Rates!$A$2:$A$501,H758,Bank_Rates!$B$2:$B$501,t,Bank_Rates!$D$2:$D$501,"&lt;="&amp;G758),IF(m=0,"",LET(d,MAXIFS(Bank_Rates!$D$2:$D$501,Bank_Rates!$A$2:$A$501,H758,Bank_Rates!$B$2:$B$501,t,Bank_Rates!$D$2:$D$501,"&lt;="&amp;G758),SUMIFS(Bank_Rates!$C$2:$C$501,Bank_Rates!$A$2:$A$501,H758,Bank_Rates!$B$2:$B$501,t,Bank_Rates!$D$2:$D$501,d)))))))</f>
        <v/>
      </c>
      <c r="K758" s="6" t="str">
        <f t="shared" si="22"/>
        <v/>
      </c>
    </row>
    <row r="759" spans="1:11">
      <c r="A759" s="18" t="str">
        <f t="shared" si="23"/>
        <v/>
      </c>
      <c r="B759" s="13"/>
      <c r="C759" s="14"/>
      <c r="D759" s="3"/>
      <c r="E759" s="3"/>
      <c r="F759" s="14"/>
      <c r="G759" s="7">
        <f>RawObservationsTable[[#This Row],[Maturity Date]]-RawObservationsTable[[#This Row],[Timestamp]]</f>
        <v>0</v>
      </c>
      <c r="H759" s="2"/>
      <c r="I759" s="4"/>
      <c r="J759" s="5" t="str">
        <f>IF(OR(H759="",G759="",C759=""),"",LET(n,COUNTIFS(Bank_Rates!$A$2:$A$501,H759,Bank_Rates!$B$2:$B$501,"&lt;="&amp;C759),IF(n=0,"",LET(t,MAXIFS(Bank_Rates!$B$2:$B$501,Bank_Rates!$A$2:$A$501,H759,Bank_Rates!$B$2:$B$501,"&lt;="&amp;C759),m,COUNTIFS(Bank_Rates!$A$2:$A$501,H759,Bank_Rates!$B$2:$B$501,t,Bank_Rates!$D$2:$D$501,"&lt;="&amp;G759),IF(m=0,"",LET(d,MAXIFS(Bank_Rates!$D$2:$D$501,Bank_Rates!$A$2:$A$501,H759,Bank_Rates!$B$2:$B$501,t,Bank_Rates!$D$2:$D$501,"&lt;="&amp;G759),SUMIFS(Bank_Rates!$C$2:$C$501,Bank_Rates!$A$2:$A$501,H759,Bank_Rates!$B$2:$B$501,t,Bank_Rates!$D$2:$D$501,d)))))))</f>
        <v/>
      </c>
      <c r="K759" s="6" t="str">
        <f t="shared" si="22"/>
        <v/>
      </c>
    </row>
    <row r="760" spans="1:11">
      <c r="A760" s="18" t="str">
        <f t="shared" si="23"/>
        <v/>
      </c>
      <c r="B760" s="13"/>
      <c r="C760" s="14"/>
      <c r="D760" s="3"/>
      <c r="E760" s="3"/>
      <c r="F760" s="14"/>
      <c r="G760" s="7">
        <f>RawObservationsTable[[#This Row],[Maturity Date]]-RawObservationsTable[[#This Row],[Timestamp]]</f>
        <v>0</v>
      </c>
      <c r="H760" s="2"/>
      <c r="I760" s="4"/>
      <c r="J760" s="5" t="str">
        <f>IF(OR(H760="",G760="",C760=""),"",LET(n,COUNTIFS(Bank_Rates!$A$2:$A$501,H760,Bank_Rates!$B$2:$B$501,"&lt;="&amp;C760),IF(n=0,"",LET(t,MAXIFS(Bank_Rates!$B$2:$B$501,Bank_Rates!$A$2:$A$501,H760,Bank_Rates!$B$2:$B$501,"&lt;="&amp;C760),m,COUNTIFS(Bank_Rates!$A$2:$A$501,H760,Bank_Rates!$B$2:$B$501,t,Bank_Rates!$D$2:$D$501,"&lt;="&amp;G760),IF(m=0,"",LET(d,MAXIFS(Bank_Rates!$D$2:$D$501,Bank_Rates!$A$2:$A$501,H760,Bank_Rates!$B$2:$B$501,t,Bank_Rates!$D$2:$D$501,"&lt;="&amp;G760),SUMIFS(Bank_Rates!$C$2:$C$501,Bank_Rates!$A$2:$A$501,H760,Bank_Rates!$B$2:$B$501,t,Bank_Rates!$D$2:$D$501,d)))))))</f>
        <v/>
      </c>
      <c r="K760" s="6" t="str">
        <f t="shared" si="22"/>
        <v/>
      </c>
    </row>
    <row r="761" spans="1:11">
      <c r="A761" s="18" t="str">
        <f t="shared" si="23"/>
        <v/>
      </c>
      <c r="B761" s="13"/>
      <c r="C761" s="14"/>
      <c r="D761" s="3"/>
      <c r="E761" s="3"/>
      <c r="F761" s="14"/>
      <c r="G761" s="7">
        <f>RawObservationsTable[[#This Row],[Maturity Date]]-RawObservationsTable[[#This Row],[Timestamp]]</f>
        <v>0</v>
      </c>
      <c r="H761" s="2"/>
      <c r="I761" s="4"/>
      <c r="J761" s="5" t="str">
        <f>IF(OR(H761="",G761="",C761=""),"",LET(n,COUNTIFS(Bank_Rates!$A$2:$A$501,H761,Bank_Rates!$B$2:$B$501,"&lt;="&amp;C761),IF(n=0,"",LET(t,MAXIFS(Bank_Rates!$B$2:$B$501,Bank_Rates!$A$2:$A$501,H761,Bank_Rates!$B$2:$B$501,"&lt;="&amp;C761),m,COUNTIFS(Bank_Rates!$A$2:$A$501,H761,Bank_Rates!$B$2:$B$501,t,Bank_Rates!$D$2:$D$501,"&lt;="&amp;G761),IF(m=0,"",LET(d,MAXIFS(Bank_Rates!$D$2:$D$501,Bank_Rates!$A$2:$A$501,H761,Bank_Rates!$B$2:$B$501,t,Bank_Rates!$D$2:$D$501,"&lt;="&amp;G761),SUMIFS(Bank_Rates!$C$2:$C$501,Bank_Rates!$A$2:$A$501,H761,Bank_Rates!$B$2:$B$501,t,Bank_Rates!$D$2:$D$501,d)))))))</f>
        <v/>
      </c>
      <c r="K761" s="6" t="str">
        <f t="shared" si="22"/>
        <v/>
      </c>
    </row>
    <row r="762" spans="1:11">
      <c r="A762" s="18" t="str">
        <f t="shared" si="23"/>
        <v/>
      </c>
      <c r="B762" s="13"/>
      <c r="C762" s="14"/>
      <c r="D762" s="3"/>
      <c r="E762" s="3"/>
      <c r="F762" s="14"/>
      <c r="G762" s="7">
        <f>RawObservationsTable[[#This Row],[Maturity Date]]-RawObservationsTable[[#This Row],[Timestamp]]</f>
        <v>0</v>
      </c>
      <c r="H762" s="2"/>
      <c r="I762" s="4"/>
      <c r="J762" s="5" t="str">
        <f>IF(OR(H762="",G762="",C762=""),"",LET(n,COUNTIFS(Bank_Rates!$A$2:$A$501,H762,Bank_Rates!$B$2:$B$501,"&lt;="&amp;C762),IF(n=0,"",LET(t,MAXIFS(Bank_Rates!$B$2:$B$501,Bank_Rates!$A$2:$A$501,H762,Bank_Rates!$B$2:$B$501,"&lt;="&amp;C762),m,COUNTIFS(Bank_Rates!$A$2:$A$501,H762,Bank_Rates!$B$2:$B$501,t,Bank_Rates!$D$2:$D$501,"&lt;="&amp;G762),IF(m=0,"",LET(d,MAXIFS(Bank_Rates!$D$2:$D$501,Bank_Rates!$A$2:$A$501,H762,Bank_Rates!$B$2:$B$501,t,Bank_Rates!$D$2:$D$501,"&lt;="&amp;G762),SUMIFS(Bank_Rates!$C$2:$C$501,Bank_Rates!$A$2:$A$501,H762,Bank_Rates!$B$2:$B$501,t,Bank_Rates!$D$2:$D$501,d)))))))</f>
        <v/>
      </c>
      <c r="K762" s="6" t="str">
        <f t="shared" si="22"/>
        <v/>
      </c>
    </row>
    <row r="763" spans="1:11">
      <c r="A763" s="18" t="str">
        <f t="shared" si="23"/>
        <v/>
      </c>
      <c r="B763" s="13"/>
      <c r="C763" s="14"/>
      <c r="D763" s="3"/>
      <c r="E763" s="3"/>
      <c r="F763" s="14"/>
      <c r="G763" s="7">
        <f>RawObservationsTable[[#This Row],[Maturity Date]]-RawObservationsTable[[#This Row],[Timestamp]]</f>
        <v>0</v>
      </c>
      <c r="H763" s="2"/>
      <c r="I763" s="4"/>
      <c r="J763" s="5" t="str">
        <f>IF(OR(H763="",G763="",C763=""),"",LET(n,COUNTIFS(Bank_Rates!$A$2:$A$501,H763,Bank_Rates!$B$2:$B$501,"&lt;="&amp;C763),IF(n=0,"",LET(t,MAXIFS(Bank_Rates!$B$2:$B$501,Bank_Rates!$A$2:$A$501,H763,Bank_Rates!$B$2:$B$501,"&lt;="&amp;C763),m,COUNTIFS(Bank_Rates!$A$2:$A$501,H763,Bank_Rates!$B$2:$B$501,t,Bank_Rates!$D$2:$D$501,"&lt;="&amp;G763),IF(m=0,"",LET(d,MAXIFS(Bank_Rates!$D$2:$D$501,Bank_Rates!$A$2:$A$501,H763,Bank_Rates!$B$2:$B$501,t,Bank_Rates!$D$2:$D$501,"&lt;="&amp;G763),SUMIFS(Bank_Rates!$C$2:$C$501,Bank_Rates!$A$2:$A$501,H763,Bank_Rates!$B$2:$B$501,t,Bank_Rates!$D$2:$D$501,d)))))))</f>
        <v/>
      </c>
      <c r="K763" s="6" t="str">
        <f t="shared" si="22"/>
        <v/>
      </c>
    </row>
    <row r="764" spans="1:11">
      <c r="A764" s="18" t="str">
        <f t="shared" si="23"/>
        <v/>
      </c>
      <c r="B764" s="13"/>
      <c r="C764" s="14"/>
      <c r="D764" s="3"/>
      <c r="E764" s="3"/>
      <c r="F764" s="14"/>
      <c r="G764" s="7">
        <f>RawObservationsTable[[#This Row],[Maturity Date]]-RawObservationsTable[[#This Row],[Timestamp]]</f>
        <v>0</v>
      </c>
      <c r="H764" s="2"/>
      <c r="I764" s="4"/>
      <c r="J764" s="5" t="str">
        <f>IF(OR(H764="",G764="",C764=""),"",LET(n,COUNTIFS(Bank_Rates!$A$2:$A$501,H764,Bank_Rates!$B$2:$B$501,"&lt;="&amp;C764),IF(n=0,"",LET(t,MAXIFS(Bank_Rates!$B$2:$B$501,Bank_Rates!$A$2:$A$501,H764,Bank_Rates!$B$2:$B$501,"&lt;="&amp;C764),m,COUNTIFS(Bank_Rates!$A$2:$A$501,H764,Bank_Rates!$B$2:$B$501,t,Bank_Rates!$D$2:$D$501,"&lt;="&amp;G764),IF(m=0,"",LET(d,MAXIFS(Bank_Rates!$D$2:$D$501,Bank_Rates!$A$2:$A$501,H764,Bank_Rates!$B$2:$B$501,t,Bank_Rates!$D$2:$D$501,"&lt;="&amp;G764),SUMIFS(Bank_Rates!$C$2:$C$501,Bank_Rates!$A$2:$A$501,H764,Bank_Rates!$B$2:$B$501,t,Bank_Rates!$D$2:$D$501,d)))))))</f>
        <v/>
      </c>
      <c r="K764" s="6" t="str">
        <f t="shared" si="22"/>
        <v/>
      </c>
    </row>
    <row r="765" spans="1:11">
      <c r="A765" s="18" t="str">
        <f t="shared" si="23"/>
        <v/>
      </c>
      <c r="B765" s="13"/>
      <c r="C765" s="14"/>
      <c r="D765" s="3"/>
      <c r="E765" s="3"/>
      <c r="F765" s="14"/>
      <c r="G765" s="7">
        <f>RawObservationsTable[[#This Row],[Maturity Date]]-RawObservationsTable[[#This Row],[Timestamp]]</f>
        <v>0</v>
      </c>
      <c r="H765" s="2"/>
      <c r="I765" s="4"/>
      <c r="J765" s="5" t="str">
        <f>IF(OR(H765="",G765="",C765=""),"",LET(n,COUNTIFS(Bank_Rates!$A$2:$A$501,H765,Bank_Rates!$B$2:$B$501,"&lt;="&amp;C765),IF(n=0,"",LET(t,MAXIFS(Bank_Rates!$B$2:$B$501,Bank_Rates!$A$2:$A$501,H765,Bank_Rates!$B$2:$B$501,"&lt;="&amp;C765),m,COUNTIFS(Bank_Rates!$A$2:$A$501,H765,Bank_Rates!$B$2:$B$501,t,Bank_Rates!$D$2:$D$501,"&lt;="&amp;G765),IF(m=0,"",LET(d,MAXIFS(Bank_Rates!$D$2:$D$501,Bank_Rates!$A$2:$A$501,H765,Bank_Rates!$B$2:$B$501,t,Bank_Rates!$D$2:$D$501,"&lt;="&amp;G765),SUMIFS(Bank_Rates!$C$2:$C$501,Bank_Rates!$A$2:$A$501,H765,Bank_Rates!$B$2:$B$501,t,Bank_Rates!$D$2:$D$501,d)))))))</f>
        <v/>
      </c>
      <c r="K765" s="6" t="str">
        <f t="shared" si="22"/>
        <v/>
      </c>
    </row>
    <row r="766" spans="1:11">
      <c r="A766" s="18" t="str">
        <f t="shared" si="23"/>
        <v/>
      </c>
      <c r="B766" s="13"/>
      <c r="C766" s="14"/>
      <c r="D766" s="3"/>
      <c r="E766" s="3"/>
      <c r="F766" s="14"/>
      <c r="G766" s="7">
        <f>RawObservationsTable[[#This Row],[Maturity Date]]-RawObservationsTable[[#This Row],[Timestamp]]</f>
        <v>0</v>
      </c>
      <c r="H766" s="2"/>
      <c r="I766" s="4"/>
      <c r="J766" s="5" t="str">
        <f>IF(OR(H766="",G766="",C766=""),"",LET(n,COUNTIFS(Bank_Rates!$A$2:$A$501,H766,Bank_Rates!$B$2:$B$501,"&lt;="&amp;C766),IF(n=0,"",LET(t,MAXIFS(Bank_Rates!$B$2:$B$501,Bank_Rates!$A$2:$A$501,H766,Bank_Rates!$B$2:$B$501,"&lt;="&amp;C766),m,COUNTIFS(Bank_Rates!$A$2:$A$501,H766,Bank_Rates!$B$2:$B$501,t,Bank_Rates!$D$2:$D$501,"&lt;="&amp;G766),IF(m=0,"",LET(d,MAXIFS(Bank_Rates!$D$2:$D$501,Bank_Rates!$A$2:$A$501,H766,Bank_Rates!$B$2:$B$501,t,Bank_Rates!$D$2:$D$501,"&lt;="&amp;G766),SUMIFS(Bank_Rates!$C$2:$C$501,Bank_Rates!$A$2:$A$501,H766,Bank_Rates!$B$2:$B$501,t,Bank_Rates!$D$2:$D$501,d)))))))</f>
        <v/>
      </c>
      <c r="K766" s="6" t="str">
        <f t="shared" si="22"/>
        <v/>
      </c>
    </row>
    <row r="767" spans="1:11">
      <c r="A767" s="18" t="str">
        <f t="shared" si="23"/>
        <v/>
      </c>
      <c r="B767" s="13"/>
      <c r="C767" s="14"/>
      <c r="D767" s="3"/>
      <c r="E767" s="3"/>
      <c r="F767" s="14"/>
      <c r="G767" s="7">
        <f>RawObservationsTable[[#This Row],[Maturity Date]]-RawObservationsTable[[#This Row],[Timestamp]]</f>
        <v>0</v>
      </c>
      <c r="H767" s="2"/>
      <c r="I767" s="4"/>
      <c r="J767" s="5" t="str">
        <f>IF(OR(H767="",G767="",C767=""),"",LET(n,COUNTIFS(Bank_Rates!$A$2:$A$501,H767,Bank_Rates!$B$2:$B$501,"&lt;="&amp;C767),IF(n=0,"",LET(t,MAXIFS(Bank_Rates!$B$2:$B$501,Bank_Rates!$A$2:$A$501,H767,Bank_Rates!$B$2:$B$501,"&lt;="&amp;C767),m,COUNTIFS(Bank_Rates!$A$2:$A$501,H767,Bank_Rates!$B$2:$B$501,t,Bank_Rates!$D$2:$D$501,"&lt;="&amp;G767),IF(m=0,"",LET(d,MAXIFS(Bank_Rates!$D$2:$D$501,Bank_Rates!$A$2:$A$501,H767,Bank_Rates!$B$2:$B$501,t,Bank_Rates!$D$2:$D$501,"&lt;="&amp;G767),SUMIFS(Bank_Rates!$C$2:$C$501,Bank_Rates!$A$2:$A$501,H767,Bank_Rates!$B$2:$B$501,t,Bank_Rates!$D$2:$D$501,d)))))))</f>
        <v/>
      </c>
      <c r="K767" s="6" t="str">
        <f t="shared" si="22"/>
        <v/>
      </c>
    </row>
    <row r="768" spans="1:11">
      <c r="A768" s="18" t="str">
        <f t="shared" si="23"/>
        <v/>
      </c>
      <c r="B768" s="13"/>
      <c r="C768" s="14"/>
      <c r="D768" s="3"/>
      <c r="E768" s="3"/>
      <c r="F768" s="14"/>
      <c r="G768" s="7">
        <f>RawObservationsTable[[#This Row],[Maturity Date]]-RawObservationsTable[[#This Row],[Timestamp]]</f>
        <v>0</v>
      </c>
      <c r="H768" s="2"/>
      <c r="I768" s="4"/>
      <c r="J768" s="5" t="str">
        <f>IF(OR(H768="",G768="",C768=""),"",LET(n,COUNTIFS(Bank_Rates!$A$2:$A$501,H768,Bank_Rates!$B$2:$B$501,"&lt;="&amp;C768),IF(n=0,"",LET(t,MAXIFS(Bank_Rates!$B$2:$B$501,Bank_Rates!$A$2:$A$501,H768,Bank_Rates!$B$2:$B$501,"&lt;="&amp;C768),m,COUNTIFS(Bank_Rates!$A$2:$A$501,H768,Bank_Rates!$B$2:$B$501,t,Bank_Rates!$D$2:$D$501,"&lt;="&amp;G768),IF(m=0,"",LET(d,MAXIFS(Bank_Rates!$D$2:$D$501,Bank_Rates!$A$2:$A$501,H768,Bank_Rates!$B$2:$B$501,t,Bank_Rates!$D$2:$D$501,"&lt;="&amp;G768),SUMIFS(Bank_Rates!$C$2:$C$501,Bank_Rates!$A$2:$A$501,H768,Bank_Rates!$B$2:$B$501,t,Bank_Rates!$D$2:$D$501,d)))))))</f>
        <v/>
      </c>
      <c r="K768" s="6" t="str">
        <f t="shared" si="22"/>
        <v/>
      </c>
    </row>
    <row r="769" spans="1:11">
      <c r="A769" s="18" t="str">
        <f t="shared" si="23"/>
        <v/>
      </c>
      <c r="B769" s="13"/>
      <c r="C769" s="14"/>
      <c r="D769" s="3"/>
      <c r="E769" s="3"/>
      <c r="F769" s="14"/>
      <c r="G769" s="7">
        <f>RawObservationsTable[[#This Row],[Maturity Date]]-RawObservationsTable[[#This Row],[Timestamp]]</f>
        <v>0</v>
      </c>
      <c r="H769" s="2"/>
      <c r="I769" s="4"/>
      <c r="J769" s="5" t="str">
        <f>IF(OR(H769="",G769="",C769=""),"",LET(n,COUNTIFS(Bank_Rates!$A$2:$A$501,H769,Bank_Rates!$B$2:$B$501,"&lt;="&amp;C769),IF(n=0,"",LET(t,MAXIFS(Bank_Rates!$B$2:$B$501,Bank_Rates!$A$2:$A$501,H769,Bank_Rates!$B$2:$B$501,"&lt;="&amp;C769),m,COUNTIFS(Bank_Rates!$A$2:$A$501,H769,Bank_Rates!$B$2:$B$501,t,Bank_Rates!$D$2:$D$501,"&lt;="&amp;G769),IF(m=0,"",LET(d,MAXIFS(Bank_Rates!$D$2:$D$501,Bank_Rates!$A$2:$A$501,H769,Bank_Rates!$B$2:$B$501,t,Bank_Rates!$D$2:$D$501,"&lt;="&amp;G769),SUMIFS(Bank_Rates!$C$2:$C$501,Bank_Rates!$A$2:$A$501,H769,Bank_Rates!$B$2:$B$501,t,Bank_Rates!$D$2:$D$501,d)))))))</f>
        <v/>
      </c>
      <c r="K769" s="6" t="str">
        <f t="shared" si="22"/>
        <v/>
      </c>
    </row>
    <row r="770" spans="1:11">
      <c r="A770" s="18" t="str">
        <f t="shared" si="23"/>
        <v/>
      </c>
      <c r="B770" s="13"/>
      <c r="C770" s="14"/>
      <c r="D770" s="3"/>
      <c r="E770" s="3"/>
      <c r="F770" s="14"/>
      <c r="G770" s="7">
        <f>RawObservationsTable[[#This Row],[Maturity Date]]-RawObservationsTable[[#This Row],[Timestamp]]</f>
        <v>0</v>
      </c>
      <c r="H770" s="2"/>
      <c r="I770" s="4"/>
      <c r="J770" s="5" t="str">
        <f>IF(OR(H770="",G770="",C770=""),"",LET(n,COUNTIFS(Bank_Rates!$A$2:$A$501,H770,Bank_Rates!$B$2:$B$501,"&lt;="&amp;C770),IF(n=0,"",LET(t,MAXIFS(Bank_Rates!$B$2:$B$501,Bank_Rates!$A$2:$A$501,H770,Bank_Rates!$B$2:$B$501,"&lt;="&amp;C770),m,COUNTIFS(Bank_Rates!$A$2:$A$501,H770,Bank_Rates!$B$2:$B$501,t,Bank_Rates!$D$2:$D$501,"&lt;="&amp;G770),IF(m=0,"",LET(d,MAXIFS(Bank_Rates!$D$2:$D$501,Bank_Rates!$A$2:$A$501,H770,Bank_Rates!$B$2:$B$501,t,Bank_Rates!$D$2:$D$501,"&lt;="&amp;G770),SUMIFS(Bank_Rates!$C$2:$C$501,Bank_Rates!$A$2:$A$501,H770,Bank_Rates!$B$2:$B$501,t,Bank_Rates!$D$2:$D$501,d)))))))</f>
        <v/>
      </c>
      <c r="K770" s="6" t="str">
        <f t="shared" ref="K770:K833" si="24">IF(OR(I770="",J770=""),"",I770-J770)</f>
        <v/>
      </c>
    </row>
    <row r="771" spans="1:11">
      <c r="A771" s="18" t="str">
        <f t="shared" ref="A771:A834" si="25">IF(B771&lt;&gt;"","L-"&amp;TEXT(ROW()-1,"0000"),"")</f>
        <v/>
      </c>
      <c r="B771" s="13"/>
      <c r="C771" s="14"/>
      <c r="D771" s="3"/>
      <c r="E771" s="3"/>
      <c r="F771" s="14"/>
      <c r="G771" s="7">
        <f>RawObservationsTable[[#This Row],[Maturity Date]]-RawObservationsTable[[#This Row],[Timestamp]]</f>
        <v>0</v>
      </c>
      <c r="H771" s="2"/>
      <c r="I771" s="4"/>
      <c r="J771" s="5" t="str">
        <f>IF(OR(H771="",G771="",C771=""),"",LET(n,COUNTIFS(Bank_Rates!$A$2:$A$501,H771,Bank_Rates!$B$2:$B$501,"&lt;="&amp;C771),IF(n=0,"",LET(t,MAXIFS(Bank_Rates!$B$2:$B$501,Bank_Rates!$A$2:$A$501,H771,Bank_Rates!$B$2:$B$501,"&lt;="&amp;C771),m,COUNTIFS(Bank_Rates!$A$2:$A$501,H771,Bank_Rates!$B$2:$B$501,t,Bank_Rates!$D$2:$D$501,"&lt;="&amp;G771),IF(m=0,"",LET(d,MAXIFS(Bank_Rates!$D$2:$D$501,Bank_Rates!$A$2:$A$501,H771,Bank_Rates!$B$2:$B$501,t,Bank_Rates!$D$2:$D$501,"&lt;="&amp;G771),SUMIFS(Bank_Rates!$C$2:$C$501,Bank_Rates!$A$2:$A$501,H771,Bank_Rates!$B$2:$B$501,t,Bank_Rates!$D$2:$D$501,d)))))))</f>
        <v/>
      </c>
      <c r="K771" s="6" t="str">
        <f t="shared" si="24"/>
        <v/>
      </c>
    </row>
    <row r="772" spans="1:11">
      <c r="A772" s="18" t="str">
        <f t="shared" si="25"/>
        <v/>
      </c>
      <c r="B772" s="13"/>
      <c r="C772" s="14"/>
      <c r="D772" s="3"/>
      <c r="E772" s="3"/>
      <c r="F772" s="14"/>
      <c r="G772" s="7">
        <f>RawObservationsTable[[#This Row],[Maturity Date]]-RawObservationsTable[[#This Row],[Timestamp]]</f>
        <v>0</v>
      </c>
      <c r="H772" s="2"/>
      <c r="I772" s="4"/>
      <c r="J772" s="5" t="str">
        <f>IF(OR(H772="",G772="",C772=""),"",LET(n,COUNTIFS(Bank_Rates!$A$2:$A$501,H772,Bank_Rates!$B$2:$B$501,"&lt;="&amp;C772),IF(n=0,"",LET(t,MAXIFS(Bank_Rates!$B$2:$B$501,Bank_Rates!$A$2:$A$501,H772,Bank_Rates!$B$2:$B$501,"&lt;="&amp;C772),m,COUNTIFS(Bank_Rates!$A$2:$A$501,H772,Bank_Rates!$B$2:$B$501,t,Bank_Rates!$D$2:$D$501,"&lt;="&amp;G772),IF(m=0,"",LET(d,MAXIFS(Bank_Rates!$D$2:$D$501,Bank_Rates!$A$2:$A$501,H772,Bank_Rates!$B$2:$B$501,t,Bank_Rates!$D$2:$D$501,"&lt;="&amp;G772),SUMIFS(Bank_Rates!$C$2:$C$501,Bank_Rates!$A$2:$A$501,H772,Bank_Rates!$B$2:$B$501,t,Bank_Rates!$D$2:$D$501,d)))))))</f>
        <v/>
      </c>
      <c r="K772" s="6" t="str">
        <f t="shared" si="24"/>
        <v/>
      </c>
    </row>
    <row r="773" spans="1:11">
      <c r="A773" s="18" t="str">
        <f t="shared" si="25"/>
        <v/>
      </c>
      <c r="B773" s="13"/>
      <c r="C773" s="14"/>
      <c r="D773" s="3"/>
      <c r="E773" s="3"/>
      <c r="F773" s="14"/>
      <c r="G773" s="7">
        <f>RawObservationsTable[[#This Row],[Maturity Date]]-RawObservationsTable[[#This Row],[Timestamp]]</f>
        <v>0</v>
      </c>
      <c r="H773" s="2"/>
      <c r="I773" s="4"/>
      <c r="J773" s="5" t="str">
        <f>IF(OR(H773="",G773="",C773=""),"",LET(n,COUNTIFS(Bank_Rates!$A$2:$A$501,H773,Bank_Rates!$B$2:$B$501,"&lt;="&amp;C773),IF(n=0,"",LET(t,MAXIFS(Bank_Rates!$B$2:$B$501,Bank_Rates!$A$2:$A$501,H773,Bank_Rates!$B$2:$B$501,"&lt;="&amp;C773),m,COUNTIFS(Bank_Rates!$A$2:$A$501,H773,Bank_Rates!$B$2:$B$501,t,Bank_Rates!$D$2:$D$501,"&lt;="&amp;G773),IF(m=0,"",LET(d,MAXIFS(Bank_Rates!$D$2:$D$501,Bank_Rates!$A$2:$A$501,H773,Bank_Rates!$B$2:$B$501,t,Bank_Rates!$D$2:$D$501,"&lt;="&amp;G773),SUMIFS(Bank_Rates!$C$2:$C$501,Bank_Rates!$A$2:$A$501,H773,Bank_Rates!$B$2:$B$501,t,Bank_Rates!$D$2:$D$501,d)))))))</f>
        <v/>
      </c>
      <c r="K773" s="6" t="str">
        <f t="shared" si="24"/>
        <v/>
      </c>
    </row>
    <row r="774" spans="1:11">
      <c r="A774" s="18" t="str">
        <f t="shared" si="25"/>
        <v/>
      </c>
      <c r="B774" s="13"/>
      <c r="C774" s="14"/>
      <c r="D774" s="3"/>
      <c r="E774" s="3"/>
      <c r="F774" s="14"/>
      <c r="G774" s="7">
        <f>RawObservationsTable[[#This Row],[Maturity Date]]-RawObservationsTable[[#This Row],[Timestamp]]</f>
        <v>0</v>
      </c>
      <c r="H774" s="2"/>
      <c r="I774" s="4"/>
      <c r="J774" s="5" t="str">
        <f>IF(OR(H774="",G774="",C774=""),"",LET(n,COUNTIFS(Bank_Rates!$A$2:$A$501,H774,Bank_Rates!$B$2:$B$501,"&lt;="&amp;C774),IF(n=0,"",LET(t,MAXIFS(Bank_Rates!$B$2:$B$501,Bank_Rates!$A$2:$A$501,H774,Bank_Rates!$B$2:$B$501,"&lt;="&amp;C774),m,COUNTIFS(Bank_Rates!$A$2:$A$501,H774,Bank_Rates!$B$2:$B$501,t,Bank_Rates!$D$2:$D$501,"&lt;="&amp;G774),IF(m=0,"",LET(d,MAXIFS(Bank_Rates!$D$2:$D$501,Bank_Rates!$A$2:$A$501,H774,Bank_Rates!$B$2:$B$501,t,Bank_Rates!$D$2:$D$501,"&lt;="&amp;G774),SUMIFS(Bank_Rates!$C$2:$C$501,Bank_Rates!$A$2:$A$501,H774,Bank_Rates!$B$2:$B$501,t,Bank_Rates!$D$2:$D$501,d)))))))</f>
        <v/>
      </c>
      <c r="K774" s="6" t="str">
        <f t="shared" si="24"/>
        <v/>
      </c>
    </row>
    <row r="775" spans="1:11">
      <c r="A775" s="18" t="str">
        <f t="shared" si="25"/>
        <v/>
      </c>
      <c r="B775" s="13"/>
      <c r="C775" s="14"/>
      <c r="D775" s="3"/>
      <c r="E775" s="3"/>
      <c r="F775" s="14"/>
      <c r="G775" s="7">
        <f>RawObservationsTable[[#This Row],[Maturity Date]]-RawObservationsTable[[#This Row],[Timestamp]]</f>
        <v>0</v>
      </c>
      <c r="H775" s="2"/>
      <c r="I775" s="4"/>
      <c r="J775" s="5" t="str">
        <f>IF(OR(H775="",G775="",C775=""),"",LET(n,COUNTIFS(Bank_Rates!$A$2:$A$501,H775,Bank_Rates!$B$2:$B$501,"&lt;="&amp;C775),IF(n=0,"",LET(t,MAXIFS(Bank_Rates!$B$2:$B$501,Bank_Rates!$A$2:$A$501,H775,Bank_Rates!$B$2:$B$501,"&lt;="&amp;C775),m,COUNTIFS(Bank_Rates!$A$2:$A$501,H775,Bank_Rates!$B$2:$B$501,t,Bank_Rates!$D$2:$D$501,"&lt;="&amp;G775),IF(m=0,"",LET(d,MAXIFS(Bank_Rates!$D$2:$D$501,Bank_Rates!$A$2:$A$501,H775,Bank_Rates!$B$2:$B$501,t,Bank_Rates!$D$2:$D$501,"&lt;="&amp;G775),SUMIFS(Bank_Rates!$C$2:$C$501,Bank_Rates!$A$2:$A$501,H775,Bank_Rates!$B$2:$B$501,t,Bank_Rates!$D$2:$D$501,d)))))))</f>
        <v/>
      </c>
      <c r="K775" s="6" t="str">
        <f t="shared" si="24"/>
        <v/>
      </c>
    </row>
    <row r="776" spans="1:11">
      <c r="A776" s="18" t="str">
        <f t="shared" si="25"/>
        <v/>
      </c>
      <c r="B776" s="13"/>
      <c r="C776" s="14"/>
      <c r="D776" s="3"/>
      <c r="E776" s="3"/>
      <c r="F776" s="14"/>
      <c r="G776" s="7">
        <f>RawObservationsTable[[#This Row],[Maturity Date]]-RawObservationsTable[[#This Row],[Timestamp]]</f>
        <v>0</v>
      </c>
      <c r="H776" s="2"/>
      <c r="I776" s="4"/>
      <c r="J776" s="5" t="str">
        <f>IF(OR(H776="",G776="",C776=""),"",LET(n,COUNTIFS(Bank_Rates!$A$2:$A$501,H776,Bank_Rates!$B$2:$B$501,"&lt;="&amp;C776),IF(n=0,"",LET(t,MAXIFS(Bank_Rates!$B$2:$B$501,Bank_Rates!$A$2:$A$501,H776,Bank_Rates!$B$2:$B$501,"&lt;="&amp;C776),m,COUNTIFS(Bank_Rates!$A$2:$A$501,H776,Bank_Rates!$B$2:$B$501,t,Bank_Rates!$D$2:$D$501,"&lt;="&amp;G776),IF(m=0,"",LET(d,MAXIFS(Bank_Rates!$D$2:$D$501,Bank_Rates!$A$2:$A$501,H776,Bank_Rates!$B$2:$B$501,t,Bank_Rates!$D$2:$D$501,"&lt;="&amp;G776),SUMIFS(Bank_Rates!$C$2:$C$501,Bank_Rates!$A$2:$A$501,H776,Bank_Rates!$B$2:$B$501,t,Bank_Rates!$D$2:$D$501,d)))))))</f>
        <v/>
      </c>
      <c r="K776" s="6" t="str">
        <f t="shared" si="24"/>
        <v/>
      </c>
    </row>
    <row r="777" spans="1:11">
      <c r="A777" s="18" t="str">
        <f t="shared" si="25"/>
        <v/>
      </c>
      <c r="B777" s="13"/>
      <c r="C777" s="14"/>
      <c r="D777" s="3"/>
      <c r="E777" s="3"/>
      <c r="F777" s="14"/>
      <c r="G777" s="7">
        <f>RawObservationsTable[[#This Row],[Maturity Date]]-RawObservationsTable[[#This Row],[Timestamp]]</f>
        <v>0</v>
      </c>
      <c r="H777" s="2"/>
      <c r="I777" s="4"/>
      <c r="J777" s="5" t="str">
        <f>IF(OR(H777="",G777="",C777=""),"",LET(n,COUNTIFS(Bank_Rates!$A$2:$A$501,H777,Bank_Rates!$B$2:$B$501,"&lt;="&amp;C777),IF(n=0,"",LET(t,MAXIFS(Bank_Rates!$B$2:$B$501,Bank_Rates!$A$2:$A$501,H777,Bank_Rates!$B$2:$B$501,"&lt;="&amp;C777),m,COUNTIFS(Bank_Rates!$A$2:$A$501,H777,Bank_Rates!$B$2:$B$501,t,Bank_Rates!$D$2:$D$501,"&lt;="&amp;G777),IF(m=0,"",LET(d,MAXIFS(Bank_Rates!$D$2:$D$501,Bank_Rates!$A$2:$A$501,H777,Bank_Rates!$B$2:$B$501,t,Bank_Rates!$D$2:$D$501,"&lt;="&amp;G777),SUMIFS(Bank_Rates!$C$2:$C$501,Bank_Rates!$A$2:$A$501,H777,Bank_Rates!$B$2:$B$501,t,Bank_Rates!$D$2:$D$501,d)))))))</f>
        <v/>
      </c>
      <c r="K777" s="6" t="str">
        <f t="shared" si="24"/>
        <v/>
      </c>
    </row>
    <row r="778" spans="1:11">
      <c r="A778" s="18" t="str">
        <f t="shared" si="25"/>
        <v/>
      </c>
      <c r="B778" s="13"/>
      <c r="C778" s="14"/>
      <c r="D778" s="3"/>
      <c r="E778" s="3"/>
      <c r="F778" s="14"/>
      <c r="G778" s="7">
        <f>RawObservationsTable[[#This Row],[Maturity Date]]-RawObservationsTable[[#This Row],[Timestamp]]</f>
        <v>0</v>
      </c>
      <c r="H778" s="2"/>
      <c r="I778" s="4"/>
      <c r="J778" s="5" t="str">
        <f>IF(OR(H778="",G778="",C778=""),"",LET(n,COUNTIFS(Bank_Rates!$A$2:$A$501,H778,Bank_Rates!$B$2:$B$501,"&lt;="&amp;C778),IF(n=0,"",LET(t,MAXIFS(Bank_Rates!$B$2:$B$501,Bank_Rates!$A$2:$A$501,H778,Bank_Rates!$B$2:$B$501,"&lt;="&amp;C778),m,COUNTIFS(Bank_Rates!$A$2:$A$501,H778,Bank_Rates!$B$2:$B$501,t,Bank_Rates!$D$2:$D$501,"&lt;="&amp;G778),IF(m=0,"",LET(d,MAXIFS(Bank_Rates!$D$2:$D$501,Bank_Rates!$A$2:$A$501,H778,Bank_Rates!$B$2:$B$501,t,Bank_Rates!$D$2:$D$501,"&lt;="&amp;G778),SUMIFS(Bank_Rates!$C$2:$C$501,Bank_Rates!$A$2:$A$501,H778,Bank_Rates!$B$2:$B$501,t,Bank_Rates!$D$2:$D$501,d)))))))</f>
        <v/>
      </c>
      <c r="K778" s="6" t="str">
        <f t="shared" si="24"/>
        <v/>
      </c>
    </row>
    <row r="779" spans="1:11">
      <c r="A779" s="18" t="str">
        <f t="shared" si="25"/>
        <v/>
      </c>
      <c r="B779" s="13"/>
      <c r="C779" s="14"/>
      <c r="D779" s="3"/>
      <c r="E779" s="3"/>
      <c r="F779" s="14"/>
      <c r="G779" s="7">
        <f>RawObservationsTable[[#This Row],[Maturity Date]]-RawObservationsTable[[#This Row],[Timestamp]]</f>
        <v>0</v>
      </c>
      <c r="H779" s="2"/>
      <c r="I779" s="4"/>
      <c r="J779" s="5" t="str">
        <f>IF(OR(H779="",G779="",C779=""),"",LET(n,COUNTIFS(Bank_Rates!$A$2:$A$501,H779,Bank_Rates!$B$2:$B$501,"&lt;="&amp;C779),IF(n=0,"",LET(t,MAXIFS(Bank_Rates!$B$2:$B$501,Bank_Rates!$A$2:$A$501,H779,Bank_Rates!$B$2:$B$501,"&lt;="&amp;C779),m,COUNTIFS(Bank_Rates!$A$2:$A$501,H779,Bank_Rates!$B$2:$B$501,t,Bank_Rates!$D$2:$D$501,"&lt;="&amp;G779),IF(m=0,"",LET(d,MAXIFS(Bank_Rates!$D$2:$D$501,Bank_Rates!$A$2:$A$501,H779,Bank_Rates!$B$2:$B$501,t,Bank_Rates!$D$2:$D$501,"&lt;="&amp;G779),SUMIFS(Bank_Rates!$C$2:$C$501,Bank_Rates!$A$2:$A$501,H779,Bank_Rates!$B$2:$B$501,t,Bank_Rates!$D$2:$D$501,d)))))))</f>
        <v/>
      </c>
      <c r="K779" s="6" t="str">
        <f t="shared" si="24"/>
        <v/>
      </c>
    </row>
    <row r="780" spans="1:11">
      <c r="A780" s="18" t="str">
        <f t="shared" si="25"/>
        <v/>
      </c>
      <c r="B780" s="13"/>
      <c r="C780" s="14"/>
      <c r="D780" s="3"/>
      <c r="E780" s="3"/>
      <c r="F780" s="14"/>
      <c r="G780" s="7">
        <f>RawObservationsTable[[#This Row],[Maturity Date]]-RawObservationsTable[[#This Row],[Timestamp]]</f>
        <v>0</v>
      </c>
      <c r="H780" s="2"/>
      <c r="I780" s="4"/>
      <c r="J780" s="5" t="str">
        <f>IF(OR(H780="",G780="",C780=""),"",LET(n,COUNTIFS(Bank_Rates!$A$2:$A$501,H780,Bank_Rates!$B$2:$B$501,"&lt;="&amp;C780),IF(n=0,"",LET(t,MAXIFS(Bank_Rates!$B$2:$B$501,Bank_Rates!$A$2:$A$501,H780,Bank_Rates!$B$2:$B$501,"&lt;="&amp;C780),m,COUNTIFS(Bank_Rates!$A$2:$A$501,H780,Bank_Rates!$B$2:$B$501,t,Bank_Rates!$D$2:$D$501,"&lt;="&amp;G780),IF(m=0,"",LET(d,MAXIFS(Bank_Rates!$D$2:$D$501,Bank_Rates!$A$2:$A$501,H780,Bank_Rates!$B$2:$B$501,t,Bank_Rates!$D$2:$D$501,"&lt;="&amp;G780),SUMIFS(Bank_Rates!$C$2:$C$501,Bank_Rates!$A$2:$A$501,H780,Bank_Rates!$B$2:$B$501,t,Bank_Rates!$D$2:$D$501,d)))))))</f>
        <v/>
      </c>
      <c r="K780" s="6" t="str">
        <f t="shared" si="24"/>
        <v/>
      </c>
    </row>
    <row r="781" spans="1:11">
      <c r="A781" s="18" t="str">
        <f t="shared" si="25"/>
        <v/>
      </c>
      <c r="B781" s="13"/>
      <c r="C781" s="14"/>
      <c r="D781" s="3"/>
      <c r="E781" s="3"/>
      <c r="F781" s="14"/>
      <c r="G781" s="7">
        <f>RawObservationsTable[[#This Row],[Maturity Date]]-RawObservationsTable[[#This Row],[Timestamp]]</f>
        <v>0</v>
      </c>
      <c r="H781" s="2"/>
      <c r="I781" s="4"/>
      <c r="J781" s="5" t="str">
        <f>IF(OR(H781="",G781="",C781=""),"",LET(n,COUNTIFS(Bank_Rates!$A$2:$A$501,H781,Bank_Rates!$B$2:$B$501,"&lt;="&amp;C781),IF(n=0,"",LET(t,MAXIFS(Bank_Rates!$B$2:$B$501,Bank_Rates!$A$2:$A$501,H781,Bank_Rates!$B$2:$B$501,"&lt;="&amp;C781),m,COUNTIFS(Bank_Rates!$A$2:$A$501,H781,Bank_Rates!$B$2:$B$501,t,Bank_Rates!$D$2:$D$501,"&lt;="&amp;G781),IF(m=0,"",LET(d,MAXIFS(Bank_Rates!$D$2:$D$501,Bank_Rates!$A$2:$A$501,H781,Bank_Rates!$B$2:$B$501,t,Bank_Rates!$D$2:$D$501,"&lt;="&amp;G781),SUMIFS(Bank_Rates!$C$2:$C$501,Bank_Rates!$A$2:$A$501,H781,Bank_Rates!$B$2:$B$501,t,Bank_Rates!$D$2:$D$501,d)))))))</f>
        <v/>
      </c>
      <c r="K781" s="6" t="str">
        <f t="shared" si="24"/>
        <v/>
      </c>
    </row>
    <row r="782" spans="1:11">
      <c r="A782" s="18" t="str">
        <f t="shared" si="25"/>
        <v/>
      </c>
      <c r="B782" s="13"/>
      <c r="C782" s="14"/>
      <c r="D782" s="3"/>
      <c r="E782" s="3"/>
      <c r="F782" s="14"/>
      <c r="G782" s="7">
        <f>RawObservationsTable[[#This Row],[Maturity Date]]-RawObservationsTable[[#This Row],[Timestamp]]</f>
        <v>0</v>
      </c>
      <c r="H782" s="2"/>
      <c r="I782" s="4"/>
      <c r="J782" s="5" t="str">
        <f>IF(OR(H782="",G782="",C782=""),"",LET(n,COUNTIFS(Bank_Rates!$A$2:$A$501,H782,Bank_Rates!$B$2:$B$501,"&lt;="&amp;C782),IF(n=0,"",LET(t,MAXIFS(Bank_Rates!$B$2:$B$501,Bank_Rates!$A$2:$A$501,H782,Bank_Rates!$B$2:$B$501,"&lt;="&amp;C782),m,COUNTIFS(Bank_Rates!$A$2:$A$501,H782,Bank_Rates!$B$2:$B$501,t,Bank_Rates!$D$2:$D$501,"&lt;="&amp;G782),IF(m=0,"",LET(d,MAXIFS(Bank_Rates!$D$2:$D$501,Bank_Rates!$A$2:$A$501,H782,Bank_Rates!$B$2:$B$501,t,Bank_Rates!$D$2:$D$501,"&lt;="&amp;G782),SUMIFS(Bank_Rates!$C$2:$C$501,Bank_Rates!$A$2:$A$501,H782,Bank_Rates!$B$2:$B$501,t,Bank_Rates!$D$2:$D$501,d)))))))</f>
        <v/>
      </c>
      <c r="K782" s="6" t="str">
        <f t="shared" si="24"/>
        <v/>
      </c>
    </row>
    <row r="783" spans="1:11">
      <c r="A783" s="18" t="str">
        <f t="shared" si="25"/>
        <v/>
      </c>
      <c r="B783" s="13"/>
      <c r="C783" s="14"/>
      <c r="D783" s="3"/>
      <c r="E783" s="3"/>
      <c r="F783" s="14"/>
      <c r="G783" s="7">
        <f>RawObservationsTable[[#This Row],[Maturity Date]]-RawObservationsTable[[#This Row],[Timestamp]]</f>
        <v>0</v>
      </c>
      <c r="H783" s="2"/>
      <c r="I783" s="4"/>
      <c r="J783" s="5" t="str">
        <f>IF(OR(H783="",G783="",C783=""),"",LET(n,COUNTIFS(Bank_Rates!$A$2:$A$501,H783,Bank_Rates!$B$2:$B$501,"&lt;="&amp;C783),IF(n=0,"",LET(t,MAXIFS(Bank_Rates!$B$2:$B$501,Bank_Rates!$A$2:$A$501,H783,Bank_Rates!$B$2:$B$501,"&lt;="&amp;C783),m,COUNTIFS(Bank_Rates!$A$2:$A$501,H783,Bank_Rates!$B$2:$B$501,t,Bank_Rates!$D$2:$D$501,"&lt;="&amp;G783),IF(m=0,"",LET(d,MAXIFS(Bank_Rates!$D$2:$D$501,Bank_Rates!$A$2:$A$501,H783,Bank_Rates!$B$2:$B$501,t,Bank_Rates!$D$2:$D$501,"&lt;="&amp;G783),SUMIFS(Bank_Rates!$C$2:$C$501,Bank_Rates!$A$2:$A$501,H783,Bank_Rates!$B$2:$B$501,t,Bank_Rates!$D$2:$D$501,d)))))))</f>
        <v/>
      </c>
      <c r="K783" s="6" t="str">
        <f t="shared" si="24"/>
        <v/>
      </c>
    </row>
    <row r="784" spans="1:11">
      <c r="A784" s="18" t="str">
        <f t="shared" si="25"/>
        <v/>
      </c>
      <c r="B784" s="13"/>
      <c r="C784" s="14"/>
      <c r="D784" s="3"/>
      <c r="E784" s="3"/>
      <c r="F784" s="14"/>
      <c r="G784" s="7">
        <f>RawObservationsTable[[#This Row],[Maturity Date]]-RawObservationsTable[[#This Row],[Timestamp]]</f>
        <v>0</v>
      </c>
      <c r="H784" s="2"/>
      <c r="I784" s="4"/>
      <c r="J784" s="5" t="str">
        <f>IF(OR(H784="",G784="",C784=""),"",LET(n,COUNTIFS(Bank_Rates!$A$2:$A$501,H784,Bank_Rates!$B$2:$B$501,"&lt;="&amp;C784),IF(n=0,"",LET(t,MAXIFS(Bank_Rates!$B$2:$B$501,Bank_Rates!$A$2:$A$501,H784,Bank_Rates!$B$2:$B$501,"&lt;="&amp;C784),m,COUNTIFS(Bank_Rates!$A$2:$A$501,H784,Bank_Rates!$B$2:$B$501,t,Bank_Rates!$D$2:$D$501,"&lt;="&amp;G784),IF(m=0,"",LET(d,MAXIFS(Bank_Rates!$D$2:$D$501,Bank_Rates!$A$2:$A$501,H784,Bank_Rates!$B$2:$B$501,t,Bank_Rates!$D$2:$D$501,"&lt;="&amp;G784),SUMIFS(Bank_Rates!$C$2:$C$501,Bank_Rates!$A$2:$A$501,H784,Bank_Rates!$B$2:$B$501,t,Bank_Rates!$D$2:$D$501,d)))))))</f>
        <v/>
      </c>
      <c r="K784" s="6" t="str">
        <f t="shared" si="24"/>
        <v/>
      </c>
    </row>
    <row r="785" spans="1:11">
      <c r="A785" s="18" t="str">
        <f t="shared" si="25"/>
        <v/>
      </c>
      <c r="B785" s="13"/>
      <c r="C785" s="14"/>
      <c r="D785" s="3"/>
      <c r="E785" s="3"/>
      <c r="F785" s="14"/>
      <c r="G785" s="7">
        <f>RawObservationsTable[[#This Row],[Maturity Date]]-RawObservationsTable[[#This Row],[Timestamp]]</f>
        <v>0</v>
      </c>
      <c r="H785" s="2"/>
      <c r="I785" s="4"/>
      <c r="J785" s="5" t="str">
        <f>IF(OR(H785="",G785="",C785=""),"",LET(n,COUNTIFS(Bank_Rates!$A$2:$A$501,H785,Bank_Rates!$B$2:$B$501,"&lt;="&amp;C785),IF(n=0,"",LET(t,MAXIFS(Bank_Rates!$B$2:$B$501,Bank_Rates!$A$2:$A$501,H785,Bank_Rates!$B$2:$B$501,"&lt;="&amp;C785),m,COUNTIFS(Bank_Rates!$A$2:$A$501,H785,Bank_Rates!$B$2:$B$501,t,Bank_Rates!$D$2:$D$501,"&lt;="&amp;G785),IF(m=0,"",LET(d,MAXIFS(Bank_Rates!$D$2:$D$501,Bank_Rates!$A$2:$A$501,H785,Bank_Rates!$B$2:$B$501,t,Bank_Rates!$D$2:$D$501,"&lt;="&amp;G785),SUMIFS(Bank_Rates!$C$2:$C$501,Bank_Rates!$A$2:$A$501,H785,Bank_Rates!$B$2:$B$501,t,Bank_Rates!$D$2:$D$501,d)))))))</f>
        <v/>
      </c>
      <c r="K785" s="6" t="str">
        <f t="shared" si="24"/>
        <v/>
      </c>
    </row>
    <row r="786" spans="1:11">
      <c r="A786" s="18" t="str">
        <f t="shared" si="25"/>
        <v/>
      </c>
      <c r="B786" s="13"/>
      <c r="C786" s="14"/>
      <c r="D786" s="3"/>
      <c r="E786" s="3"/>
      <c r="F786" s="14"/>
      <c r="G786" s="7">
        <f>RawObservationsTable[[#This Row],[Maturity Date]]-RawObservationsTable[[#This Row],[Timestamp]]</f>
        <v>0</v>
      </c>
      <c r="H786" s="2"/>
      <c r="I786" s="4"/>
      <c r="J786" s="5" t="str">
        <f>IF(OR(H786="",G786="",C786=""),"",LET(n,COUNTIFS(Bank_Rates!$A$2:$A$501,H786,Bank_Rates!$B$2:$B$501,"&lt;="&amp;C786),IF(n=0,"",LET(t,MAXIFS(Bank_Rates!$B$2:$B$501,Bank_Rates!$A$2:$A$501,H786,Bank_Rates!$B$2:$B$501,"&lt;="&amp;C786),m,COUNTIFS(Bank_Rates!$A$2:$A$501,H786,Bank_Rates!$B$2:$B$501,t,Bank_Rates!$D$2:$D$501,"&lt;="&amp;G786),IF(m=0,"",LET(d,MAXIFS(Bank_Rates!$D$2:$D$501,Bank_Rates!$A$2:$A$501,H786,Bank_Rates!$B$2:$B$501,t,Bank_Rates!$D$2:$D$501,"&lt;="&amp;G786),SUMIFS(Bank_Rates!$C$2:$C$501,Bank_Rates!$A$2:$A$501,H786,Bank_Rates!$B$2:$B$501,t,Bank_Rates!$D$2:$D$501,d)))))))</f>
        <v/>
      </c>
      <c r="K786" s="6" t="str">
        <f t="shared" si="24"/>
        <v/>
      </c>
    </row>
    <row r="787" spans="1:11">
      <c r="A787" s="18" t="str">
        <f t="shared" si="25"/>
        <v/>
      </c>
      <c r="B787" s="13"/>
      <c r="C787" s="14"/>
      <c r="D787" s="3"/>
      <c r="E787" s="3"/>
      <c r="F787" s="14"/>
      <c r="G787" s="7">
        <f>RawObservationsTable[[#This Row],[Maturity Date]]-RawObservationsTable[[#This Row],[Timestamp]]</f>
        <v>0</v>
      </c>
      <c r="H787" s="2"/>
      <c r="I787" s="4"/>
      <c r="J787" s="5" t="str">
        <f>IF(OR(H787="",G787="",C787=""),"",LET(n,COUNTIFS(Bank_Rates!$A$2:$A$501,H787,Bank_Rates!$B$2:$B$501,"&lt;="&amp;C787),IF(n=0,"",LET(t,MAXIFS(Bank_Rates!$B$2:$B$501,Bank_Rates!$A$2:$A$501,H787,Bank_Rates!$B$2:$B$501,"&lt;="&amp;C787),m,COUNTIFS(Bank_Rates!$A$2:$A$501,H787,Bank_Rates!$B$2:$B$501,t,Bank_Rates!$D$2:$D$501,"&lt;="&amp;G787),IF(m=0,"",LET(d,MAXIFS(Bank_Rates!$D$2:$D$501,Bank_Rates!$A$2:$A$501,H787,Bank_Rates!$B$2:$B$501,t,Bank_Rates!$D$2:$D$501,"&lt;="&amp;G787),SUMIFS(Bank_Rates!$C$2:$C$501,Bank_Rates!$A$2:$A$501,H787,Bank_Rates!$B$2:$B$501,t,Bank_Rates!$D$2:$D$501,d)))))))</f>
        <v/>
      </c>
      <c r="K787" s="6" t="str">
        <f t="shared" si="24"/>
        <v/>
      </c>
    </row>
    <row r="788" spans="1:11">
      <c r="A788" s="18" t="str">
        <f t="shared" si="25"/>
        <v/>
      </c>
      <c r="B788" s="13"/>
      <c r="C788" s="14"/>
      <c r="D788" s="3"/>
      <c r="E788" s="3"/>
      <c r="F788" s="14"/>
      <c r="G788" s="7">
        <f>RawObservationsTable[[#This Row],[Maturity Date]]-RawObservationsTable[[#This Row],[Timestamp]]</f>
        <v>0</v>
      </c>
      <c r="H788" s="2"/>
      <c r="I788" s="4"/>
      <c r="J788" s="5" t="str">
        <f>IF(OR(H788="",G788="",C788=""),"",LET(n,COUNTIFS(Bank_Rates!$A$2:$A$501,H788,Bank_Rates!$B$2:$B$501,"&lt;="&amp;C788),IF(n=0,"",LET(t,MAXIFS(Bank_Rates!$B$2:$B$501,Bank_Rates!$A$2:$A$501,H788,Bank_Rates!$B$2:$B$501,"&lt;="&amp;C788),m,COUNTIFS(Bank_Rates!$A$2:$A$501,H788,Bank_Rates!$B$2:$B$501,t,Bank_Rates!$D$2:$D$501,"&lt;="&amp;G788),IF(m=0,"",LET(d,MAXIFS(Bank_Rates!$D$2:$D$501,Bank_Rates!$A$2:$A$501,H788,Bank_Rates!$B$2:$B$501,t,Bank_Rates!$D$2:$D$501,"&lt;="&amp;G788),SUMIFS(Bank_Rates!$C$2:$C$501,Bank_Rates!$A$2:$A$501,H788,Bank_Rates!$B$2:$B$501,t,Bank_Rates!$D$2:$D$501,d)))))))</f>
        <v/>
      </c>
      <c r="K788" s="6" t="str">
        <f t="shared" si="24"/>
        <v/>
      </c>
    </row>
    <row r="789" spans="1:11">
      <c r="A789" s="18" t="str">
        <f t="shared" si="25"/>
        <v/>
      </c>
      <c r="B789" s="13"/>
      <c r="C789" s="14"/>
      <c r="D789" s="3"/>
      <c r="E789" s="3"/>
      <c r="F789" s="14"/>
      <c r="G789" s="7">
        <f>RawObservationsTable[[#This Row],[Maturity Date]]-RawObservationsTable[[#This Row],[Timestamp]]</f>
        <v>0</v>
      </c>
      <c r="H789" s="2"/>
      <c r="I789" s="4"/>
      <c r="J789" s="5" t="str">
        <f>IF(OR(H789="",G789="",C789=""),"",LET(n,COUNTIFS(Bank_Rates!$A$2:$A$501,H789,Bank_Rates!$B$2:$B$501,"&lt;="&amp;C789),IF(n=0,"",LET(t,MAXIFS(Bank_Rates!$B$2:$B$501,Bank_Rates!$A$2:$A$501,H789,Bank_Rates!$B$2:$B$501,"&lt;="&amp;C789),m,COUNTIFS(Bank_Rates!$A$2:$A$501,H789,Bank_Rates!$B$2:$B$501,t,Bank_Rates!$D$2:$D$501,"&lt;="&amp;G789),IF(m=0,"",LET(d,MAXIFS(Bank_Rates!$D$2:$D$501,Bank_Rates!$A$2:$A$501,H789,Bank_Rates!$B$2:$B$501,t,Bank_Rates!$D$2:$D$501,"&lt;="&amp;G789),SUMIFS(Bank_Rates!$C$2:$C$501,Bank_Rates!$A$2:$A$501,H789,Bank_Rates!$B$2:$B$501,t,Bank_Rates!$D$2:$D$501,d)))))))</f>
        <v/>
      </c>
      <c r="K789" s="6" t="str">
        <f t="shared" si="24"/>
        <v/>
      </c>
    </row>
    <row r="790" spans="1:11">
      <c r="A790" s="18" t="str">
        <f t="shared" si="25"/>
        <v/>
      </c>
      <c r="B790" s="13"/>
      <c r="C790" s="14"/>
      <c r="D790" s="3"/>
      <c r="E790" s="3"/>
      <c r="F790" s="14"/>
      <c r="G790" s="7">
        <f>RawObservationsTable[[#This Row],[Maturity Date]]-RawObservationsTable[[#This Row],[Timestamp]]</f>
        <v>0</v>
      </c>
      <c r="H790" s="2"/>
      <c r="I790" s="4"/>
      <c r="J790" s="5" t="str">
        <f>IF(OR(H790="",G790="",C790=""),"",LET(n,COUNTIFS(Bank_Rates!$A$2:$A$501,H790,Bank_Rates!$B$2:$B$501,"&lt;="&amp;C790),IF(n=0,"",LET(t,MAXIFS(Bank_Rates!$B$2:$B$501,Bank_Rates!$A$2:$A$501,H790,Bank_Rates!$B$2:$B$501,"&lt;="&amp;C790),m,COUNTIFS(Bank_Rates!$A$2:$A$501,H790,Bank_Rates!$B$2:$B$501,t,Bank_Rates!$D$2:$D$501,"&lt;="&amp;G790),IF(m=0,"",LET(d,MAXIFS(Bank_Rates!$D$2:$D$501,Bank_Rates!$A$2:$A$501,H790,Bank_Rates!$B$2:$B$501,t,Bank_Rates!$D$2:$D$501,"&lt;="&amp;G790),SUMIFS(Bank_Rates!$C$2:$C$501,Bank_Rates!$A$2:$A$501,H790,Bank_Rates!$B$2:$B$501,t,Bank_Rates!$D$2:$D$501,d)))))))</f>
        <v/>
      </c>
      <c r="K790" s="6" t="str">
        <f t="shared" si="24"/>
        <v/>
      </c>
    </row>
    <row r="791" spans="1:11">
      <c r="A791" s="18" t="str">
        <f t="shared" si="25"/>
        <v/>
      </c>
      <c r="B791" s="13"/>
      <c r="C791" s="14"/>
      <c r="D791" s="3"/>
      <c r="E791" s="3"/>
      <c r="F791" s="14"/>
      <c r="G791" s="7">
        <f>RawObservationsTable[[#This Row],[Maturity Date]]-RawObservationsTable[[#This Row],[Timestamp]]</f>
        <v>0</v>
      </c>
      <c r="H791" s="2"/>
      <c r="I791" s="4"/>
      <c r="J791" s="5" t="str">
        <f>IF(OR(H791="",G791="",C791=""),"",LET(n,COUNTIFS(Bank_Rates!$A$2:$A$501,H791,Bank_Rates!$B$2:$B$501,"&lt;="&amp;C791),IF(n=0,"",LET(t,MAXIFS(Bank_Rates!$B$2:$B$501,Bank_Rates!$A$2:$A$501,H791,Bank_Rates!$B$2:$B$501,"&lt;="&amp;C791),m,COUNTIFS(Bank_Rates!$A$2:$A$501,H791,Bank_Rates!$B$2:$B$501,t,Bank_Rates!$D$2:$D$501,"&lt;="&amp;G791),IF(m=0,"",LET(d,MAXIFS(Bank_Rates!$D$2:$D$501,Bank_Rates!$A$2:$A$501,H791,Bank_Rates!$B$2:$B$501,t,Bank_Rates!$D$2:$D$501,"&lt;="&amp;G791),SUMIFS(Bank_Rates!$C$2:$C$501,Bank_Rates!$A$2:$A$501,H791,Bank_Rates!$B$2:$B$501,t,Bank_Rates!$D$2:$D$501,d)))))))</f>
        <v/>
      </c>
      <c r="K791" s="6" t="str">
        <f t="shared" si="24"/>
        <v/>
      </c>
    </row>
    <row r="792" spans="1:11">
      <c r="A792" s="18" t="str">
        <f t="shared" si="25"/>
        <v/>
      </c>
      <c r="B792" s="13"/>
      <c r="C792" s="14"/>
      <c r="D792" s="3"/>
      <c r="E792" s="3"/>
      <c r="F792" s="14"/>
      <c r="G792" s="7">
        <f>RawObservationsTable[[#This Row],[Maturity Date]]-RawObservationsTable[[#This Row],[Timestamp]]</f>
        <v>0</v>
      </c>
      <c r="H792" s="2"/>
      <c r="I792" s="4"/>
      <c r="J792" s="5" t="str">
        <f>IF(OR(H792="",G792="",C792=""),"",LET(n,COUNTIFS(Bank_Rates!$A$2:$A$501,H792,Bank_Rates!$B$2:$B$501,"&lt;="&amp;C792),IF(n=0,"",LET(t,MAXIFS(Bank_Rates!$B$2:$B$501,Bank_Rates!$A$2:$A$501,H792,Bank_Rates!$B$2:$B$501,"&lt;="&amp;C792),m,COUNTIFS(Bank_Rates!$A$2:$A$501,H792,Bank_Rates!$B$2:$B$501,t,Bank_Rates!$D$2:$D$501,"&lt;="&amp;G792),IF(m=0,"",LET(d,MAXIFS(Bank_Rates!$D$2:$D$501,Bank_Rates!$A$2:$A$501,H792,Bank_Rates!$B$2:$B$501,t,Bank_Rates!$D$2:$D$501,"&lt;="&amp;G792),SUMIFS(Bank_Rates!$C$2:$C$501,Bank_Rates!$A$2:$A$501,H792,Bank_Rates!$B$2:$B$501,t,Bank_Rates!$D$2:$D$501,d)))))))</f>
        <v/>
      </c>
      <c r="K792" s="6" t="str">
        <f t="shared" si="24"/>
        <v/>
      </c>
    </row>
    <row r="793" spans="1:11">
      <c r="A793" s="18" t="str">
        <f t="shared" si="25"/>
        <v/>
      </c>
      <c r="B793" s="13"/>
      <c r="C793" s="14"/>
      <c r="D793" s="3"/>
      <c r="E793" s="3"/>
      <c r="F793" s="14"/>
      <c r="G793" s="7">
        <f>RawObservationsTable[[#This Row],[Maturity Date]]-RawObservationsTable[[#This Row],[Timestamp]]</f>
        <v>0</v>
      </c>
      <c r="H793" s="2"/>
      <c r="I793" s="4"/>
      <c r="J793" s="5" t="str">
        <f>IF(OR(H793="",G793="",C793=""),"",LET(n,COUNTIFS(Bank_Rates!$A$2:$A$501,H793,Bank_Rates!$B$2:$B$501,"&lt;="&amp;C793),IF(n=0,"",LET(t,MAXIFS(Bank_Rates!$B$2:$B$501,Bank_Rates!$A$2:$A$501,H793,Bank_Rates!$B$2:$B$501,"&lt;="&amp;C793),m,COUNTIFS(Bank_Rates!$A$2:$A$501,H793,Bank_Rates!$B$2:$B$501,t,Bank_Rates!$D$2:$D$501,"&lt;="&amp;G793),IF(m=0,"",LET(d,MAXIFS(Bank_Rates!$D$2:$D$501,Bank_Rates!$A$2:$A$501,H793,Bank_Rates!$B$2:$B$501,t,Bank_Rates!$D$2:$D$501,"&lt;="&amp;G793),SUMIFS(Bank_Rates!$C$2:$C$501,Bank_Rates!$A$2:$A$501,H793,Bank_Rates!$B$2:$B$501,t,Bank_Rates!$D$2:$D$501,d)))))))</f>
        <v/>
      </c>
      <c r="K793" s="6" t="str">
        <f t="shared" si="24"/>
        <v/>
      </c>
    </row>
    <row r="794" spans="1:11">
      <c r="A794" s="18" t="str">
        <f t="shared" si="25"/>
        <v/>
      </c>
      <c r="B794" s="13"/>
      <c r="C794" s="14"/>
      <c r="D794" s="3"/>
      <c r="E794" s="3"/>
      <c r="F794" s="14"/>
      <c r="G794" s="7">
        <f>RawObservationsTable[[#This Row],[Maturity Date]]-RawObservationsTable[[#This Row],[Timestamp]]</f>
        <v>0</v>
      </c>
      <c r="H794" s="2"/>
      <c r="I794" s="4"/>
      <c r="J794" s="5" t="str">
        <f>IF(OR(H794="",G794="",C794=""),"",LET(n,COUNTIFS(Bank_Rates!$A$2:$A$501,H794,Bank_Rates!$B$2:$B$501,"&lt;="&amp;C794),IF(n=0,"",LET(t,MAXIFS(Bank_Rates!$B$2:$B$501,Bank_Rates!$A$2:$A$501,H794,Bank_Rates!$B$2:$B$501,"&lt;="&amp;C794),m,COUNTIFS(Bank_Rates!$A$2:$A$501,H794,Bank_Rates!$B$2:$B$501,t,Bank_Rates!$D$2:$D$501,"&lt;="&amp;G794),IF(m=0,"",LET(d,MAXIFS(Bank_Rates!$D$2:$D$501,Bank_Rates!$A$2:$A$501,H794,Bank_Rates!$B$2:$B$501,t,Bank_Rates!$D$2:$D$501,"&lt;="&amp;G794),SUMIFS(Bank_Rates!$C$2:$C$501,Bank_Rates!$A$2:$A$501,H794,Bank_Rates!$B$2:$B$501,t,Bank_Rates!$D$2:$D$501,d)))))))</f>
        <v/>
      </c>
      <c r="K794" s="6" t="str">
        <f t="shared" si="24"/>
        <v/>
      </c>
    </row>
    <row r="795" spans="1:11">
      <c r="A795" s="18" t="str">
        <f t="shared" si="25"/>
        <v/>
      </c>
      <c r="B795" s="13"/>
      <c r="C795" s="14"/>
      <c r="D795" s="3"/>
      <c r="E795" s="3"/>
      <c r="F795" s="14"/>
      <c r="G795" s="7">
        <f>RawObservationsTable[[#This Row],[Maturity Date]]-RawObservationsTable[[#This Row],[Timestamp]]</f>
        <v>0</v>
      </c>
      <c r="H795" s="2"/>
      <c r="I795" s="4"/>
      <c r="J795" s="5" t="str">
        <f>IF(OR(H795="",G795="",C795=""),"",LET(n,COUNTIFS(Bank_Rates!$A$2:$A$501,H795,Bank_Rates!$B$2:$B$501,"&lt;="&amp;C795),IF(n=0,"",LET(t,MAXIFS(Bank_Rates!$B$2:$B$501,Bank_Rates!$A$2:$A$501,H795,Bank_Rates!$B$2:$B$501,"&lt;="&amp;C795),m,COUNTIFS(Bank_Rates!$A$2:$A$501,H795,Bank_Rates!$B$2:$B$501,t,Bank_Rates!$D$2:$D$501,"&lt;="&amp;G795),IF(m=0,"",LET(d,MAXIFS(Bank_Rates!$D$2:$D$501,Bank_Rates!$A$2:$A$501,H795,Bank_Rates!$B$2:$B$501,t,Bank_Rates!$D$2:$D$501,"&lt;="&amp;G795),SUMIFS(Bank_Rates!$C$2:$C$501,Bank_Rates!$A$2:$A$501,H795,Bank_Rates!$B$2:$B$501,t,Bank_Rates!$D$2:$D$501,d)))))))</f>
        <v/>
      </c>
      <c r="K795" s="6" t="str">
        <f t="shared" si="24"/>
        <v/>
      </c>
    </row>
    <row r="796" spans="1:11">
      <c r="A796" s="18" t="str">
        <f t="shared" si="25"/>
        <v/>
      </c>
      <c r="B796" s="13"/>
      <c r="C796" s="14"/>
      <c r="D796" s="3"/>
      <c r="E796" s="3"/>
      <c r="F796" s="14"/>
      <c r="G796" s="7">
        <f>RawObservationsTable[[#This Row],[Maturity Date]]-RawObservationsTable[[#This Row],[Timestamp]]</f>
        <v>0</v>
      </c>
      <c r="H796" s="2"/>
      <c r="I796" s="4"/>
      <c r="J796" s="5" t="str">
        <f>IF(OR(H796="",G796="",C796=""),"",LET(n,COUNTIFS(Bank_Rates!$A$2:$A$501,H796,Bank_Rates!$B$2:$B$501,"&lt;="&amp;C796),IF(n=0,"",LET(t,MAXIFS(Bank_Rates!$B$2:$B$501,Bank_Rates!$A$2:$A$501,H796,Bank_Rates!$B$2:$B$501,"&lt;="&amp;C796),m,COUNTIFS(Bank_Rates!$A$2:$A$501,H796,Bank_Rates!$B$2:$B$501,t,Bank_Rates!$D$2:$D$501,"&lt;="&amp;G796),IF(m=0,"",LET(d,MAXIFS(Bank_Rates!$D$2:$D$501,Bank_Rates!$A$2:$A$501,H796,Bank_Rates!$B$2:$B$501,t,Bank_Rates!$D$2:$D$501,"&lt;="&amp;G796),SUMIFS(Bank_Rates!$C$2:$C$501,Bank_Rates!$A$2:$A$501,H796,Bank_Rates!$B$2:$B$501,t,Bank_Rates!$D$2:$D$501,d)))))))</f>
        <v/>
      </c>
      <c r="K796" s="6" t="str">
        <f t="shared" si="24"/>
        <v/>
      </c>
    </row>
    <row r="797" spans="1:11">
      <c r="A797" s="18" t="str">
        <f t="shared" si="25"/>
        <v/>
      </c>
      <c r="B797" s="13"/>
      <c r="C797" s="14"/>
      <c r="D797" s="3"/>
      <c r="E797" s="3"/>
      <c r="F797" s="14"/>
      <c r="G797" s="7">
        <f>RawObservationsTable[[#This Row],[Maturity Date]]-RawObservationsTable[[#This Row],[Timestamp]]</f>
        <v>0</v>
      </c>
      <c r="H797" s="2"/>
      <c r="I797" s="4"/>
      <c r="J797" s="5" t="str">
        <f>IF(OR(H797="",G797="",C797=""),"",LET(n,COUNTIFS(Bank_Rates!$A$2:$A$501,H797,Bank_Rates!$B$2:$B$501,"&lt;="&amp;C797),IF(n=0,"",LET(t,MAXIFS(Bank_Rates!$B$2:$B$501,Bank_Rates!$A$2:$A$501,H797,Bank_Rates!$B$2:$B$501,"&lt;="&amp;C797),m,COUNTIFS(Bank_Rates!$A$2:$A$501,H797,Bank_Rates!$B$2:$B$501,t,Bank_Rates!$D$2:$D$501,"&lt;="&amp;G797),IF(m=0,"",LET(d,MAXIFS(Bank_Rates!$D$2:$D$501,Bank_Rates!$A$2:$A$501,H797,Bank_Rates!$B$2:$B$501,t,Bank_Rates!$D$2:$D$501,"&lt;="&amp;G797),SUMIFS(Bank_Rates!$C$2:$C$501,Bank_Rates!$A$2:$A$501,H797,Bank_Rates!$B$2:$B$501,t,Bank_Rates!$D$2:$D$501,d)))))))</f>
        <v/>
      </c>
      <c r="K797" s="6" t="str">
        <f t="shared" si="24"/>
        <v/>
      </c>
    </row>
    <row r="798" spans="1:11">
      <c r="A798" s="18" t="str">
        <f t="shared" si="25"/>
        <v/>
      </c>
      <c r="B798" s="13"/>
      <c r="C798" s="14"/>
      <c r="D798" s="3"/>
      <c r="E798" s="3"/>
      <c r="F798" s="14"/>
      <c r="G798" s="7">
        <f>RawObservationsTable[[#This Row],[Maturity Date]]-RawObservationsTable[[#This Row],[Timestamp]]</f>
        <v>0</v>
      </c>
      <c r="H798" s="2"/>
      <c r="I798" s="4"/>
      <c r="J798" s="5" t="str">
        <f>IF(OR(H798="",G798="",C798=""),"",LET(n,COUNTIFS(Bank_Rates!$A$2:$A$501,H798,Bank_Rates!$B$2:$B$501,"&lt;="&amp;C798),IF(n=0,"",LET(t,MAXIFS(Bank_Rates!$B$2:$B$501,Bank_Rates!$A$2:$A$501,H798,Bank_Rates!$B$2:$B$501,"&lt;="&amp;C798),m,COUNTIFS(Bank_Rates!$A$2:$A$501,H798,Bank_Rates!$B$2:$B$501,t,Bank_Rates!$D$2:$D$501,"&lt;="&amp;G798),IF(m=0,"",LET(d,MAXIFS(Bank_Rates!$D$2:$D$501,Bank_Rates!$A$2:$A$501,H798,Bank_Rates!$B$2:$B$501,t,Bank_Rates!$D$2:$D$501,"&lt;="&amp;G798),SUMIFS(Bank_Rates!$C$2:$C$501,Bank_Rates!$A$2:$A$501,H798,Bank_Rates!$B$2:$B$501,t,Bank_Rates!$D$2:$D$501,d)))))))</f>
        <v/>
      </c>
      <c r="K798" s="6" t="str">
        <f t="shared" si="24"/>
        <v/>
      </c>
    </row>
    <row r="799" spans="1:11">
      <c r="A799" s="18" t="str">
        <f t="shared" si="25"/>
        <v/>
      </c>
      <c r="B799" s="13"/>
      <c r="C799" s="14"/>
      <c r="D799" s="3"/>
      <c r="E799" s="3"/>
      <c r="F799" s="14"/>
      <c r="G799" s="7">
        <f>RawObservationsTable[[#This Row],[Maturity Date]]-RawObservationsTable[[#This Row],[Timestamp]]</f>
        <v>0</v>
      </c>
      <c r="H799" s="2"/>
      <c r="I799" s="4"/>
      <c r="J799" s="5" t="str">
        <f>IF(OR(H799="",G799="",C799=""),"",LET(n,COUNTIFS(Bank_Rates!$A$2:$A$501,H799,Bank_Rates!$B$2:$B$501,"&lt;="&amp;C799),IF(n=0,"",LET(t,MAXIFS(Bank_Rates!$B$2:$B$501,Bank_Rates!$A$2:$A$501,H799,Bank_Rates!$B$2:$B$501,"&lt;="&amp;C799),m,COUNTIFS(Bank_Rates!$A$2:$A$501,H799,Bank_Rates!$B$2:$B$501,t,Bank_Rates!$D$2:$D$501,"&lt;="&amp;G799),IF(m=0,"",LET(d,MAXIFS(Bank_Rates!$D$2:$D$501,Bank_Rates!$A$2:$A$501,H799,Bank_Rates!$B$2:$B$501,t,Bank_Rates!$D$2:$D$501,"&lt;="&amp;G799),SUMIFS(Bank_Rates!$C$2:$C$501,Bank_Rates!$A$2:$A$501,H799,Bank_Rates!$B$2:$B$501,t,Bank_Rates!$D$2:$D$501,d)))))))</f>
        <v/>
      </c>
      <c r="K799" s="6" t="str">
        <f t="shared" si="24"/>
        <v/>
      </c>
    </row>
    <row r="800" spans="1:11">
      <c r="A800" s="18" t="str">
        <f t="shared" si="25"/>
        <v/>
      </c>
      <c r="B800" s="13"/>
      <c r="C800" s="14"/>
      <c r="D800" s="3"/>
      <c r="E800" s="3"/>
      <c r="F800" s="14"/>
      <c r="G800" s="7">
        <f>RawObservationsTable[[#This Row],[Maturity Date]]-RawObservationsTable[[#This Row],[Timestamp]]</f>
        <v>0</v>
      </c>
      <c r="H800" s="2"/>
      <c r="I800" s="4"/>
      <c r="J800" s="5" t="str">
        <f>IF(OR(H800="",G800="",C800=""),"",LET(n,COUNTIFS(Bank_Rates!$A$2:$A$501,H800,Bank_Rates!$B$2:$B$501,"&lt;="&amp;C800),IF(n=0,"",LET(t,MAXIFS(Bank_Rates!$B$2:$B$501,Bank_Rates!$A$2:$A$501,H800,Bank_Rates!$B$2:$B$501,"&lt;="&amp;C800),m,COUNTIFS(Bank_Rates!$A$2:$A$501,H800,Bank_Rates!$B$2:$B$501,t,Bank_Rates!$D$2:$D$501,"&lt;="&amp;G800),IF(m=0,"",LET(d,MAXIFS(Bank_Rates!$D$2:$D$501,Bank_Rates!$A$2:$A$501,H800,Bank_Rates!$B$2:$B$501,t,Bank_Rates!$D$2:$D$501,"&lt;="&amp;G800),SUMIFS(Bank_Rates!$C$2:$C$501,Bank_Rates!$A$2:$A$501,H800,Bank_Rates!$B$2:$B$501,t,Bank_Rates!$D$2:$D$501,d)))))))</f>
        <v/>
      </c>
      <c r="K800" s="6" t="str">
        <f t="shared" si="24"/>
        <v/>
      </c>
    </row>
    <row r="801" spans="1:11">
      <c r="A801" s="18" t="str">
        <f t="shared" si="25"/>
        <v/>
      </c>
      <c r="B801" s="13"/>
      <c r="C801" s="14"/>
      <c r="D801" s="3"/>
      <c r="E801" s="3"/>
      <c r="F801" s="14"/>
      <c r="G801" s="7">
        <f>RawObservationsTable[[#This Row],[Maturity Date]]-RawObservationsTable[[#This Row],[Timestamp]]</f>
        <v>0</v>
      </c>
      <c r="H801" s="2"/>
      <c r="I801" s="4"/>
      <c r="J801" s="5" t="str">
        <f>IF(OR(H801="",G801="",C801=""),"",LET(n,COUNTIFS(Bank_Rates!$A$2:$A$501,H801,Bank_Rates!$B$2:$B$501,"&lt;="&amp;C801),IF(n=0,"",LET(t,MAXIFS(Bank_Rates!$B$2:$B$501,Bank_Rates!$A$2:$A$501,H801,Bank_Rates!$B$2:$B$501,"&lt;="&amp;C801),m,COUNTIFS(Bank_Rates!$A$2:$A$501,H801,Bank_Rates!$B$2:$B$501,t,Bank_Rates!$D$2:$D$501,"&lt;="&amp;G801),IF(m=0,"",LET(d,MAXIFS(Bank_Rates!$D$2:$D$501,Bank_Rates!$A$2:$A$501,H801,Bank_Rates!$B$2:$B$501,t,Bank_Rates!$D$2:$D$501,"&lt;="&amp;G801),SUMIFS(Bank_Rates!$C$2:$C$501,Bank_Rates!$A$2:$A$501,H801,Bank_Rates!$B$2:$B$501,t,Bank_Rates!$D$2:$D$501,d)))))))</f>
        <v/>
      </c>
      <c r="K801" s="6" t="str">
        <f t="shared" si="24"/>
        <v/>
      </c>
    </row>
    <row r="802" spans="1:11">
      <c r="A802" s="18" t="str">
        <f t="shared" si="25"/>
        <v/>
      </c>
      <c r="B802" s="13"/>
      <c r="C802" s="14"/>
      <c r="D802" s="3"/>
      <c r="E802" s="3"/>
      <c r="F802" s="14"/>
      <c r="G802" s="7">
        <f>RawObservationsTable[[#This Row],[Maturity Date]]-RawObservationsTable[[#This Row],[Timestamp]]</f>
        <v>0</v>
      </c>
      <c r="H802" s="2"/>
      <c r="I802" s="4"/>
      <c r="J802" s="5" t="str">
        <f>IF(OR(H802="",G802="",C802=""),"",LET(n,COUNTIFS(Bank_Rates!$A$2:$A$501,H802,Bank_Rates!$B$2:$B$501,"&lt;="&amp;C802),IF(n=0,"",LET(t,MAXIFS(Bank_Rates!$B$2:$B$501,Bank_Rates!$A$2:$A$501,H802,Bank_Rates!$B$2:$B$501,"&lt;="&amp;C802),m,COUNTIFS(Bank_Rates!$A$2:$A$501,H802,Bank_Rates!$B$2:$B$501,t,Bank_Rates!$D$2:$D$501,"&lt;="&amp;G802),IF(m=0,"",LET(d,MAXIFS(Bank_Rates!$D$2:$D$501,Bank_Rates!$A$2:$A$501,H802,Bank_Rates!$B$2:$B$501,t,Bank_Rates!$D$2:$D$501,"&lt;="&amp;G802),SUMIFS(Bank_Rates!$C$2:$C$501,Bank_Rates!$A$2:$A$501,H802,Bank_Rates!$B$2:$B$501,t,Bank_Rates!$D$2:$D$501,d)))))))</f>
        <v/>
      </c>
      <c r="K802" s="6" t="str">
        <f t="shared" si="24"/>
        <v/>
      </c>
    </row>
    <row r="803" spans="1:11">
      <c r="A803" s="18" t="str">
        <f t="shared" si="25"/>
        <v/>
      </c>
      <c r="B803" s="13"/>
      <c r="C803" s="14"/>
      <c r="D803" s="3"/>
      <c r="E803" s="3"/>
      <c r="F803" s="14"/>
      <c r="G803" s="7">
        <f>RawObservationsTable[[#This Row],[Maturity Date]]-RawObservationsTable[[#This Row],[Timestamp]]</f>
        <v>0</v>
      </c>
      <c r="H803" s="2"/>
      <c r="I803" s="4"/>
      <c r="J803" s="5" t="str">
        <f>IF(OR(H803="",G803="",C803=""),"",LET(n,COUNTIFS(Bank_Rates!$A$2:$A$501,H803,Bank_Rates!$B$2:$B$501,"&lt;="&amp;C803),IF(n=0,"",LET(t,MAXIFS(Bank_Rates!$B$2:$B$501,Bank_Rates!$A$2:$A$501,H803,Bank_Rates!$B$2:$B$501,"&lt;="&amp;C803),m,COUNTIFS(Bank_Rates!$A$2:$A$501,H803,Bank_Rates!$B$2:$B$501,t,Bank_Rates!$D$2:$D$501,"&lt;="&amp;G803),IF(m=0,"",LET(d,MAXIFS(Bank_Rates!$D$2:$D$501,Bank_Rates!$A$2:$A$501,H803,Bank_Rates!$B$2:$B$501,t,Bank_Rates!$D$2:$D$501,"&lt;="&amp;G803),SUMIFS(Bank_Rates!$C$2:$C$501,Bank_Rates!$A$2:$A$501,H803,Bank_Rates!$B$2:$B$501,t,Bank_Rates!$D$2:$D$501,d)))))))</f>
        <v/>
      </c>
      <c r="K803" s="6" t="str">
        <f t="shared" si="24"/>
        <v/>
      </c>
    </row>
    <row r="804" spans="1:11">
      <c r="A804" s="18" t="str">
        <f t="shared" si="25"/>
        <v/>
      </c>
      <c r="B804" s="13"/>
      <c r="C804" s="14"/>
      <c r="D804" s="3"/>
      <c r="E804" s="3"/>
      <c r="F804" s="14"/>
      <c r="G804" s="7">
        <f>RawObservationsTable[[#This Row],[Maturity Date]]-RawObservationsTable[[#This Row],[Timestamp]]</f>
        <v>0</v>
      </c>
      <c r="H804" s="2"/>
      <c r="I804" s="4"/>
      <c r="J804" s="5" t="str">
        <f>IF(OR(H804="",G804="",C804=""),"",LET(n,COUNTIFS(Bank_Rates!$A$2:$A$501,H804,Bank_Rates!$B$2:$B$501,"&lt;="&amp;C804),IF(n=0,"",LET(t,MAXIFS(Bank_Rates!$B$2:$B$501,Bank_Rates!$A$2:$A$501,H804,Bank_Rates!$B$2:$B$501,"&lt;="&amp;C804),m,COUNTIFS(Bank_Rates!$A$2:$A$501,H804,Bank_Rates!$B$2:$B$501,t,Bank_Rates!$D$2:$D$501,"&lt;="&amp;G804),IF(m=0,"",LET(d,MAXIFS(Bank_Rates!$D$2:$D$501,Bank_Rates!$A$2:$A$501,H804,Bank_Rates!$B$2:$B$501,t,Bank_Rates!$D$2:$D$501,"&lt;="&amp;G804),SUMIFS(Bank_Rates!$C$2:$C$501,Bank_Rates!$A$2:$A$501,H804,Bank_Rates!$B$2:$B$501,t,Bank_Rates!$D$2:$D$501,d)))))))</f>
        <v/>
      </c>
      <c r="K804" s="6" t="str">
        <f t="shared" si="24"/>
        <v/>
      </c>
    </row>
    <row r="805" spans="1:11">
      <c r="A805" s="18" t="str">
        <f t="shared" si="25"/>
        <v/>
      </c>
      <c r="B805" s="13"/>
      <c r="C805" s="14"/>
      <c r="D805" s="3"/>
      <c r="E805" s="3"/>
      <c r="F805" s="14"/>
      <c r="G805" s="7">
        <f>RawObservationsTable[[#This Row],[Maturity Date]]-RawObservationsTable[[#This Row],[Timestamp]]</f>
        <v>0</v>
      </c>
      <c r="H805" s="2"/>
      <c r="I805" s="4"/>
      <c r="J805" s="5" t="str">
        <f>IF(OR(H805="",G805="",C805=""),"",LET(n,COUNTIFS(Bank_Rates!$A$2:$A$501,H805,Bank_Rates!$B$2:$B$501,"&lt;="&amp;C805),IF(n=0,"",LET(t,MAXIFS(Bank_Rates!$B$2:$B$501,Bank_Rates!$A$2:$A$501,H805,Bank_Rates!$B$2:$B$501,"&lt;="&amp;C805),m,COUNTIFS(Bank_Rates!$A$2:$A$501,H805,Bank_Rates!$B$2:$B$501,t,Bank_Rates!$D$2:$D$501,"&lt;="&amp;G805),IF(m=0,"",LET(d,MAXIFS(Bank_Rates!$D$2:$D$501,Bank_Rates!$A$2:$A$501,H805,Bank_Rates!$B$2:$B$501,t,Bank_Rates!$D$2:$D$501,"&lt;="&amp;G805),SUMIFS(Bank_Rates!$C$2:$C$501,Bank_Rates!$A$2:$A$501,H805,Bank_Rates!$B$2:$B$501,t,Bank_Rates!$D$2:$D$501,d)))))))</f>
        <v/>
      </c>
      <c r="K805" s="6" t="str">
        <f t="shared" si="24"/>
        <v/>
      </c>
    </row>
    <row r="806" spans="1:11">
      <c r="A806" s="18" t="str">
        <f t="shared" si="25"/>
        <v/>
      </c>
      <c r="B806" s="13"/>
      <c r="C806" s="14"/>
      <c r="D806" s="3"/>
      <c r="E806" s="3"/>
      <c r="F806" s="14"/>
      <c r="G806" s="7">
        <f>RawObservationsTable[[#This Row],[Maturity Date]]-RawObservationsTable[[#This Row],[Timestamp]]</f>
        <v>0</v>
      </c>
      <c r="H806" s="2"/>
      <c r="I806" s="4"/>
      <c r="J806" s="5" t="str">
        <f>IF(OR(H806="",G806="",C806=""),"",LET(n,COUNTIFS(Bank_Rates!$A$2:$A$501,H806,Bank_Rates!$B$2:$B$501,"&lt;="&amp;C806),IF(n=0,"",LET(t,MAXIFS(Bank_Rates!$B$2:$B$501,Bank_Rates!$A$2:$A$501,H806,Bank_Rates!$B$2:$B$501,"&lt;="&amp;C806),m,COUNTIFS(Bank_Rates!$A$2:$A$501,H806,Bank_Rates!$B$2:$B$501,t,Bank_Rates!$D$2:$D$501,"&lt;="&amp;G806),IF(m=0,"",LET(d,MAXIFS(Bank_Rates!$D$2:$D$501,Bank_Rates!$A$2:$A$501,H806,Bank_Rates!$B$2:$B$501,t,Bank_Rates!$D$2:$D$501,"&lt;="&amp;G806),SUMIFS(Bank_Rates!$C$2:$C$501,Bank_Rates!$A$2:$A$501,H806,Bank_Rates!$B$2:$B$501,t,Bank_Rates!$D$2:$D$501,d)))))))</f>
        <v/>
      </c>
      <c r="K806" s="6" t="str">
        <f t="shared" si="24"/>
        <v/>
      </c>
    </row>
    <row r="807" spans="1:11">
      <c r="A807" s="18" t="str">
        <f t="shared" si="25"/>
        <v/>
      </c>
      <c r="B807" s="13"/>
      <c r="C807" s="14"/>
      <c r="D807" s="3"/>
      <c r="E807" s="3"/>
      <c r="F807" s="14"/>
      <c r="G807" s="7">
        <f>RawObservationsTable[[#This Row],[Maturity Date]]-RawObservationsTable[[#This Row],[Timestamp]]</f>
        <v>0</v>
      </c>
      <c r="H807" s="2"/>
      <c r="I807" s="4"/>
      <c r="J807" s="5" t="str">
        <f>IF(OR(H807="",G807="",C807=""),"",LET(n,COUNTIFS(Bank_Rates!$A$2:$A$501,H807,Bank_Rates!$B$2:$B$501,"&lt;="&amp;C807),IF(n=0,"",LET(t,MAXIFS(Bank_Rates!$B$2:$B$501,Bank_Rates!$A$2:$A$501,H807,Bank_Rates!$B$2:$B$501,"&lt;="&amp;C807),m,COUNTIFS(Bank_Rates!$A$2:$A$501,H807,Bank_Rates!$B$2:$B$501,t,Bank_Rates!$D$2:$D$501,"&lt;="&amp;G807),IF(m=0,"",LET(d,MAXIFS(Bank_Rates!$D$2:$D$501,Bank_Rates!$A$2:$A$501,H807,Bank_Rates!$B$2:$B$501,t,Bank_Rates!$D$2:$D$501,"&lt;="&amp;G807),SUMIFS(Bank_Rates!$C$2:$C$501,Bank_Rates!$A$2:$A$501,H807,Bank_Rates!$B$2:$B$501,t,Bank_Rates!$D$2:$D$501,d)))))))</f>
        <v/>
      </c>
      <c r="K807" s="6" t="str">
        <f t="shared" si="24"/>
        <v/>
      </c>
    </row>
    <row r="808" spans="1:11">
      <c r="A808" s="18" t="str">
        <f t="shared" si="25"/>
        <v/>
      </c>
      <c r="B808" s="13"/>
      <c r="C808" s="14"/>
      <c r="D808" s="3"/>
      <c r="E808" s="3"/>
      <c r="F808" s="14"/>
      <c r="G808" s="7">
        <f>RawObservationsTable[[#This Row],[Maturity Date]]-RawObservationsTable[[#This Row],[Timestamp]]</f>
        <v>0</v>
      </c>
      <c r="H808" s="2"/>
      <c r="I808" s="4"/>
      <c r="J808" s="5" t="str">
        <f>IF(OR(H808="",G808="",C808=""),"",LET(n,COUNTIFS(Bank_Rates!$A$2:$A$501,H808,Bank_Rates!$B$2:$B$501,"&lt;="&amp;C808),IF(n=0,"",LET(t,MAXIFS(Bank_Rates!$B$2:$B$501,Bank_Rates!$A$2:$A$501,H808,Bank_Rates!$B$2:$B$501,"&lt;="&amp;C808),m,COUNTIFS(Bank_Rates!$A$2:$A$501,H808,Bank_Rates!$B$2:$B$501,t,Bank_Rates!$D$2:$D$501,"&lt;="&amp;G808),IF(m=0,"",LET(d,MAXIFS(Bank_Rates!$D$2:$D$501,Bank_Rates!$A$2:$A$501,H808,Bank_Rates!$B$2:$B$501,t,Bank_Rates!$D$2:$D$501,"&lt;="&amp;G808),SUMIFS(Bank_Rates!$C$2:$C$501,Bank_Rates!$A$2:$A$501,H808,Bank_Rates!$B$2:$B$501,t,Bank_Rates!$D$2:$D$501,d)))))))</f>
        <v/>
      </c>
      <c r="K808" s="6" t="str">
        <f t="shared" si="24"/>
        <v/>
      </c>
    </row>
    <row r="809" spans="1:11">
      <c r="A809" s="18" t="str">
        <f t="shared" si="25"/>
        <v/>
      </c>
      <c r="B809" s="13"/>
      <c r="C809" s="14"/>
      <c r="D809" s="3"/>
      <c r="E809" s="3"/>
      <c r="F809" s="14"/>
      <c r="G809" s="7">
        <f>RawObservationsTable[[#This Row],[Maturity Date]]-RawObservationsTable[[#This Row],[Timestamp]]</f>
        <v>0</v>
      </c>
      <c r="H809" s="2"/>
      <c r="I809" s="4"/>
      <c r="J809" s="5" t="str">
        <f>IF(OR(H809="",G809="",C809=""),"",LET(n,COUNTIFS(Bank_Rates!$A$2:$A$501,H809,Bank_Rates!$B$2:$B$501,"&lt;="&amp;C809),IF(n=0,"",LET(t,MAXIFS(Bank_Rates!$B$2:$B$501,Bank_Rates!$A$2:$A$501,H809,Bank_Rates!$B$2:$B$501,"&lt;="&amp;C809),m,COUNTIFS(Bank_Rates!$A$2:$A$501,H809,Bank_Rates!$B$2:$B$501,t,Bank_Rates!$D$2:$D$501,"&lt;="&amp;G809),IF(m=0,"",LET(d,MAXIFS(Bank_Rates!$D$2:$D$501,Bank_Rates!$A$2:$A$501,H809,Bank_Rates!$B$2:$B$501,t,Bank_Rates!$D$2:$D$501,"&lt;="&amp;G809),SUMIFS(Bank_Rates!$C$2:$C$501,Bank_Rates!$A$2:$A$501,H809,Bank_Rates!$B$2:$B$501,t,Bank_Rates!$D$2:$D$501,d)))))))</f>
        <v/>
      </c>
      <c r="K809" s="6" t="str">
        <f t="shared" si="24"/>
        <v/>
      </c>
    </row>
    <row r="810" spans="1:11">
      <c r="A810" s="18" t="str">
        <f t="shared" si="25"/>
        <v/>
      </c>
      <c r="B810" s="13"/>
      <c r="C810" s="14"/>
      <c r="D810" s="3"/>
      <c r="E810" s="3"/>
      <c r="F810" s="14"/>
      <c r="G810" s="7">
        <f>RawObservationsTable[[#This Row],[Maturity Date]]-RawObservationsTable[[#This Row],[Timestamp]]</f>
        <v>0</v>
      </c>
      <c r="H810" s="2"/>
      <c r="I810" s="4"/>
      <c r="J810" s="5" t="str">
        <f>IF(OR(H810="",G810="",C810=""),"",LET(n,COUNTIFS(Bank_Rates!$A$2:$A$501,H810,Bank_Rates!$B$2:$B$501,"&lt;="&amp;C810),IF(n=0,"",LET(t,MAXIFS(Bank_Rates!$B$2:$B$501,Bank_Rates!$A$2:$A$501,H810,Bank_Rates!$B$2:$B$501,"&lt;="&amp;C810),m,COUNTIFS(Bank_Rates!$A$2:$A$501,H810,Bank_Rates!$B$2:$B$501,t,Bank_Rates!$D$2:$D$501,"&lt;="&amp;G810),IF(m=0,"",LET(d,MAXIFS(Bank_Rates!$D$2:$D$501,Bank_Rates!$A$2:$A$501,H810,Bank_Rates!$B$2:$B$501,t,Bank_Rates!$D$2:$D$501,"&lt;="&amp;G810),SUMIFS(Bank_Rates!$C$2:$C$501,Bank_Rates!$A$2:$A$501,H810,Bank_Rates!$B$2:$B$501,t,Bank_Rates!$D$2:$D$501,d)))))))</f>
        <v/>
      </c>
      <c r="K810" s="6" t="str">
        <f t="shared" si="24"/>
        <v/>
      </c>
    </row>
    <row r="811" spans="1:11">
      <c r="A811" s="18" t="str">
        <f t="shared" si="25"/>
        <v/>
      </c>
      <c r="B811" s="13"/>
      <c r="C811" s="14"/>
      <c r="D811" s="3"/>
      <c r="E811" s="3"/>
      <c r="F811" s="14"/>
      <c r="G811" s="7">
        <f>RawObservationsTable[[#This Row],[Maturity Date]]-RawObservationsTable[[#This Row],[Timestamp]]</f>
        <v>0</v>
      </c>
      <c r="H811" s="2"/>
      <c r="I811" s="4"/>
      <c r="J811" s="5" t="str">
        <f>IF(OR(H811="",G811="",C811=""),"",LET(n,COUNTIFS(Bank_Rates!$A$2:$A$501,H811,Bank_Rates!$B$2:$B$501,"&lt;="&amp;C811),IF(n=0,"",LET(t,MAXIFS(Bank_Rates!$B$2:$B$501,Bank_Rates!$A$2:$A$501,H811,Bank_Rates!$B$2:$B$501,"&lt;="&amp;C811),m,COUNTIFS(Bank_Rates!$A$2:$A$501,H811,Bank_Rates!$B$2:$B$501,t,Bank_Rates!$D$2:$D$501,"&lt;="&amp;G811),IF(m=0,"",LET(d,MAXIFS(Bank_Rates!$D$2:$D$501,Bank_Rates!$A$2:$A$501,H811,Bank_Rates!$B$2:$B$501,t,Bank_Rates!$D$2:$D$501,"&lt;="&amp;G811),SUMIFS(Bank_Rates!$C$2:$C$501,Bank_Rates!$A$2:$A$501,H811,Bank_Rates!$B$2:$B$501,t,Bank_Rates!$D$2:$D$501,d)))))))</f>
        <v/>
      </c>
      <c r="K811" s="6" t="str">
        <f t="shared" si="24"/>
        <v/>
      </c>
    </row>
    <row r="812" spans="1:11">
      <c r="A812" s="18" t="str">
        <f t="shared" si="25"/>
        <v/>
      </c>
      <c r="B812" s="13"/>
      <c r="C812" s="14"/>
      <c r="D812" s="3"/>
      <c r="E812" s="3"/>
      <c r="F812" s="14"/>
      <c r="G812" s="7">
        <f>RawObservationsTable[[#This Row],[Maturity Date]]-RawObservationsTable[[#This Row],[Timestamp]]</f>
        <v>0</v>
      </c>
      <c r="H812" s="2"/>
      <c r="I812" s="4"/>
      <c r="J812" s="5" t="str">
        <f>IF(OR(H812="",G812="",C812=""),"",LET(n,COUNTIFS(Bank_Rates!$A$2:$A$501,H812,Bank_Rates!$B$2:$B$501,"&lt;="&amp;C812),IF(n=0,"",LET(t,MAXIFS(Bank_Rates!$B$2:$B$501,Bank_Rates!$A$2:$A$501,H812,Bank_Rates!$B$2:$B$501,"&lt;="&amp;C812),m,COUNTIFS(Bank_Rates!$A$2:$A$501,H812,Bank_Rates!$B$2:$B$501,t,Bank_Rates!$D$2:$D$501,"&lt;="&amp;G812),IF(m=0,"",LET(d,MAXIFS(Bank_Rates!$D$2:$D$501,Bank_Rates!$A$2:$A$501,H812,Bank_Rates!$B$2:$B$501,t,Bank_Rates!$D$2:$D$501,"&lt;="&amp;G812),SUMIFS(Bank_Rates!$C$2:$C$501,Bank_Rates!$A$2:$A$501,H812,Bank_Rates!$B$2:$B$501,t,Bank_Rates!$D$2:$D$501,d)))))))</f>
        <v/>
      </c>
      <c r="K812" s="6" t="str">
        <f t="shared" si="24"/>
        <v/>
      </c>
    </row>
    <row r="813" spans="1:11">
      <c r="A813" s="18" t="str">
        <f t="shared" si="25"/>
        <v/>
      </c>
      <c r="B813" s="13"/>
      <c r="C813" s="14"/>
      <c r="D813" s="3"/>
      <c r="E813" s="3"/>
      <c r="F813" s="14"/>
      <c r="G813" s="7">
        <f>RawObservationsTable[[#This Row],[Maturity Date]]-RawObservationsTable[[#This Row],[Timestamp]]</f>
        <v>0</v>
      </c>
      <c r="H813" s="2"/>
      <c r="I813" s="4"/>
      <c r="J813" s="5" t="str">
        <f>IF(OR(H813="",G813="",C813=""),"",LET(n,COUNTIFS(Bank_Rates!$A$2:$A$501,H813,Bank_Rates!$B$2:$B$501,"&lt;="&amp;C813),IF(n=0,"",LET(t,MAXIFS(Bank_Rates!$B$2:$B$501,Bank_Rates!$A$2:$A$501,H813,Bank_Rates!$B$2:$B$501,"&lt;="&amp;C813),m,COUNTIFS(Bank_Rates!$A$2:$A$501,H813,Bank_Rates!$B$2:$B$501,t,Bank_Rates!$D$2:$D$501,"&lt;="&amp;G813),IF(m=0,"",LET(d,MAXIFS(Bank_Rates!$D$2:$D$501,Bank_Rates!$A$2:$A$501,H813,Bank_Rates!$B$2:$B$501,t,Bank_Rates!$D$2:$D$501,"&lt;="&amp;G813),SUMIFS(Bank_Rates!$C$2:$C$501,Bank_Rates!$A$2:$A$501,H813,Bank_Rates!$B$2:$B$501,t,Bank_Rates!$D$2:$D$501,d)))))))</f>
        <v/>
      </c>
      <c r="K813" s="6" t="str">
        <f t="shared" si="24"/>
        <v/>
      </c>
    </row>
    <row r="814" spans="1:11">
      <c r="A814" s="18" t="str">
        <f t="shared" si="25"/>
        <v/>
      </c>
      <c r="B814" s="13"/>
      <c r="C814" s="14"/>
      <c r="D814" s="3"/>
      <c r="E814" s="3"/>
      <c r="F814" s="14"/>
      <c r="G814" s="7">
        <f>RawObservationsTable[[#This Row],[Maturity Date]]-RawObservationsTable[[#This Row],[Timestamp]]</f>
        <v>0</v>
      </c>
      <c r="H814" s="2"/>
      <c r="I814" s="4"/>
      <c r="J814" s="5" t="str">
        <f>IF(OR(H814="",G814="",C814=""),"",LET(n,COUNTIFS(Bank_Rates!$A$2:$A$501,H814,Bank_Rates!$B$2:$B$501,"&lt;="&amp;C814),IF(n=0,"",LET(t,MAXIFS(Bank_Rates!$B$2:$B$501,Bank_Rates!$A$2:$A$501,H814,Bank_Rates!$B$2:$B$501,"&lt;="&amp;C814),m,COUNTIFS(Bank_Rates!$A$2:$A$501,H814,Bank_Rates!$B$2:$B$501,t,Bank_Rates!$D$2:$D$501,"&lt;="&amp;G814),IF(m=0,"",LET(d,MAXIFS(Bank_Rates!$D$2:$D$501,Bank_Rates!$A$2:$A$501,H814,Bank_Rates!$B$2:$B$501,t,Bank_Rates!$D$2:$D$501,"&lt;="&amp;G814),SUMIFS(Bank_Rates!$C$2:$C$501,Bank_Rates!$A$2:$A$501,H814,Bank_Rates!$B$2:$B$501,t,Bank_Rates!$D$2:$D$501,d)))))))</f>
        <v/>
      </c>
      <c r="K814" s="6" t="str">
        <f t="shared" si="24"/>
        <v/>
      </c>
    </row>
    <row r="815" spans="1:11">
      <c r="A815" s="18" t="str">
        <f t="shared" si="25"/>
        <v/>
      </c>
      <c r="B815" s="13"/>
      <c r="C815" s="14"/>
      <c r="D815" s="3"/>
      <c r="E815" s="3"/>
      <c r="F815" s="14"/>
      <c r="G815" s="7">
        <f>RawObservationsTable[[#This Row],[Maturity Date]]-RawObservationsTable[[#This Row],[Timestamp]]</f>
        <v>0</v>
      </c>
      <c r="H815" s="2"/>
      <c r="I815" s="4"/>
      <c r="J815" s="5" t="str">
        <f>IF(OR(H815="",G815="",C815=""),"",LET(n,COUNTIFS(Bank_Rates!$A$2:$A$501,H815,Bank_Rates!$B$2:$B$501,"&lt;="&amp;C815),IF(n=0,"",LET(t,MAXIFS(Bank_Rates!$B$2:$B$501,Bank_Rates!$A$2:$A$501,H815,Bank_Rates!$B$2:$B$501,"&lt;="&amp;C815),m,COUNTIFS(Bank_Rates!$A$2:$A$501,H815,Bank_Rates!$B$2:$B$501,t,Bank_Rates!$D$2:$D$501,"&lt;="&amp;G815),IF(m=0,"",LET(d,MAXIFS(Bank_Rates!$D$2:$D$501,Bank_Rates!$A$2:$A$501,H815,Bank_Rates!$B$2:$B$501,t,Bank_Rates!$D$2:$D$501,"&lt;="&amp;G815),SUMIFS(Bank_Rates!$C$2:$C$501,Bank_Rates!$A$2:$A$501,H815,Bank_Rates!$B$2:$B$501,t,Bank_Rates!$D$2:$D$501,d)))))))</f>
        <v/>
      </c>
      <c r="K815" s="6" t="str">
        <f t="shared" si="24"/>
        <v/>
      </c>
    </row>
    <row r="816" spans="1:11">
      <c r="A816" s="18" t="str">
        <f t="shared" si="25"/>
        <v/>
      </c>
      <c r="B816" s="13"/>
      <c r="C816" s="14"/>
      <c r="D816" s="3"/>
      <c r="E816" s="3"/>
      <c r="F816" s="14"/>
      <c r="G816" s="7">
        <f>RawObservationsTable[[#This Row],[Maturity Date]]-RawObservationsTable[[#This Row],[Timestamp]]</f>
        <v>0</v>
      </c>
      <c r="H816" s="2"/>
      <c r="I816" s="4"/>
      <c r="J816" s="5" t="str">
        <f>IF(OR(H816="",G816="",C816=""),"",LET(n,COUNTIFS(Bank_Rates!$A$2:$A$501,H816,Bank_Rates!$B$2:$B$501,"&lt;="&amp;C816),IF(n=0,"",LET(t,MAXIFS(Bank_Rates!$B$2:$B$501,Bank_Rates!$A$2:$A$501,H816,Bank_Rates!$B$2:$B$501,"&lt;="&amp;C816),m,COUNTIFS(Bank_Rates!$A$2:$A$501,H816,Bank_Rates!$B$2:$B$501,t,Bank_Rates!$D$2:$D$501,"&lt;="&amp;G816),IF(m=0,"",LET(d,MAXIFS(Bank_Rates!$D$2:$D$501,Bank_Rates!$A$2:$A$501,H816,Bank_Rates!$B$2:$B$501,t,Bank_Rates!$D$2:$D$501,"&lt;="&amp;G816),SUMIFS(Bank_Rates!$C$2:$C$501,Bank_Rates!$A$2:$A$501,H816,Bank_Rates!$B$2:$B$501,t,Bank_Rates!$D$2:$D$501,d)))))))</f>
        <v/>
      </c>
      <c r="K816" s="6" t="str">
        <f t="shared" si="24"/>
        <v/>
      </c>
    </row>
    <row r="817" spans="1:11">
      <c r="A817" s="18" t="str">
        <f t="shared" si="25"/>
        <v/>
      </c>
      <c r="B817" s="13"/>
      <c r="C817" s="14"/>
      <c r="D817" s="3"/>
      <c r="E817" s="3"/>
      <c r="F817" s="14"/>
      <c r="G817" s="7">
        <f>RawObservationsTable[[#This Row],[Maturity Date]]-RawObservationsTable[[#This Row],[Timestamp]]</f>
        <v>0</v>
      </c>
      <c r="H817" s="2"/>
      <c r="I817" s="4"/>
      <c r="J817" s="5" t="str">
        <f>IF(OR(H817="",G817="",C817=""),"",LET(n,COUNTIFS(Bank_Rates!$A$2:$A$501,H817,Bank_Rates!$B$2:$B$501,"&lt;="&amp;C817),IF(n=0,"",LET(t,MAXIFS(Bank_Rates!$B$2:$B$501,Bank_Rates!$A$2:$A$501,H817,Bank_Rates!$B$2:$B$501,"&lt;="&amp;C817),m,COUNTIFS(Bank_Rates!$A$2:$A$501,H817,Bank_Rates!$B$2:$B$501,t,Bank_Rates!$D$2:$D$501,"&lt;="&amp;G817),IF(m=0,"",LET(d,MAXIFS(Bank_Rates!$D$2:$D$501,Bank_Rates!$A$2:$A$501,H817,Bank_Rates!$B$2:$B$501,t,Bank_Rates!$D$2:$D$501,"&lt;="&amp;G817),SUMIFS(Bank_Rates!$C$2:$C$501,Bank_Rates!$A$2:$A$501,H817,Bank_Rates!$B$2:$B$501,t,Bank_Rates!$D$2:$D$501,d)))))))</f>
        <v/>
      </c>
      <c r="K817" s="6" t="str">
        <f t="shared" si="24"/>
        <v/>
      </c>
    </row>
    <row r="818" spans="1:11">
      <c r="A818" s="18" t="str">
        <f t="shared" si="25"/>
        <v/>
      </c>
      <c r="B818" s="13"/>
      <c r="C818" s="14"/>
      <c r="D818" s="3"/>
      <c r="E818" s="3"/>
      <c r="F818" s="14"/>
      <c r="G818" s="7">
        <f>RawObservationsTable[[#This Row],[Maturity Date]]-RawObservationsTable[[#This Row],[Timestamp]]</f>
        <v>0</v>
      </c>
      <c r="H818" s="2"/>
      <c r="I818" s="4"/>
      <c r="J818" s="5" t="str">
        <f>IF(OR(H818="",G818="",C818=""),"",LET(n,COUNTIFS(Bank_Rates!$A$2:$A$501,H818,Bank_Rates!$B$2:$B$501,"&lt;="&amp;C818),IF(n=0,"",LET(t,MAXIFS(Bank_Rates!$B$2:$B$501,Bank_Rates!$A$2:$A$501,H818,Bank_Rates!$B$2:$B$501,"&lt;="&amp;C818),m,COUNTIFS(Bank_Rates!$A$2:$A$501,H818,Bank_Rates!$B$2:$B$501,t,Bank_Rates!$D$2:$D$501,"&lt;="&amp;G818),IF(m=0,"",LET(d,MAXIFS(Bank_Rates!$D$2:$D$501,Bank_Rates!$A$2:$A$501,H818,Bank_Rates!$B$2:$B$501,t,Bank_Rates!$D$2:$D$501,"&lt;="&amp;G818),SUMIFS(Bank_Rates!$C$2:$C$501,Bank_Rates!$A$2:$A$501,H818,Bank_Rates!$B$2:$B$501,t,Bank_Rates!$D$2:$D$501,d)))))))</f>
        <v/>
      </c>
      <c r="K818" s="6" t="str">
        <f t="shared" si="24"/>
        <v/>
      </c>
    </row>
    <row r="819" spans="1:11">
      <c r="A819" s="18" t="str">
        <f t="shared" si="25"/>
        <v/>
      </c>
      <c r="B819" s="13"/>
      <c r="C819" s="14"/>
      <c r="D819" s="3"/>
      <c r="E819" s="3"/>
      <c r="F819" s="14"/>
      <c r="G819" s="7">
        <f>RawObservationsTable[[#This Row],[Maturity Date]]-RawObservationsTable[[#This Row],[Timestamp]]</f>
        <v>0</v>
      </c>
      <c r="H819" s="2"/>
      <c r="I819" s="4"/>
      <c r="J819" s="5" t="str">
        <f>IF(OR(H819="",G819="",C819=""),"",LET(n,COUNTIFS(Bank_Rates!$A$2:$A$501,H819,Bank_Rates!$B$2:$B$501,"&lt;="&amp;C819),IF(n=0,"",LET(t,MAXIFS(Bank_Rates!$B$2:$B$501,Bank_Rates!$A$2:$A$501,H819,Bank_Rates!$B$2:$B$501,"&lt;="&amp;C819),m,COUNTIFS(Bank_Rates!$A$2:$A$501,H819,Bank_Rates!$B$2:$B$501,t,Bank_Rates!$D$2:$D$501,"&lt;="&amp;G819),IF(m=0,"",LET(d,MAXIFS(Bank_Rates!$D$2:$D$501,Bank_Rates!$A$2:$A$501,H819,Bank_Rates!$B$2:$B$501,t,Bank_Rates!$D$2:$D$501,"&lt;="&amp;G819),SUMIFS(Bank_Rates!$C$2:$C$501,Bank_Rates!$A$2:$A$501,H819,Bank_Rates!$B$2:$B$501,t,Bank_Rates!$D$2:$D$501,d)))))))</f>
        <v/>
      </c>
      <c r="K819" s="6" t="str">
        <f t="shared" si="24"/>
        <v/>
      </c>
    </row>
    <row r="820" spans="1:11">
      <c r="A820" s="18" t="str">
        <f t="shared" si="25"/>
        <v/>
      </c>
      <c r="B820" s="13"/>
      <c r="C820" s="14"/>
      <c r="D820" s="3"/>
      <c r="E820" s="3"/>
      <c r="F820" s="14"/>
      <c r="G820" s="7">
        <f>RawObservationsTable[[#This Row],[Maturity Date]]-RawObservationsTable[[#This Row],[Timestamp]]</f>
        <v>0</v>
      </c>
      <c r="H820" s="2"/>
      <c r="I820" s="4"/>
      <c r="J820" s="5" t="str">
        <f>IF(OR(H820="",G820="",C820=""),"",LET(n,COUNTIFS(Bank_Rates!$A$2:$A$501,H820,Bank_Rates!$B$2:$B$501,"&lt;="&amp;C820),IF(n=0,"",LET(t,MAXIFS(Bank_Rates!$B$2:$B$501,Bank_Rates!$A$2:$A$501,H820,Bank_Rates!$B$2:$B$501,"&lt;="&amp;C820),m,COUNTIFS(Bank_Rates!$A$2:$A$501,H820,Bank_Rates!$B$2:$B$501,t,Bank_Rates!$D$2:$D$501,"&lt;="&amp;G820),IF(m=0,"",LET(d,MAXIFS(Bank_Rates!$D$2:$D$501,Bank_Rates!$A$2:$A$501,H820,Bank_Rates!$B$2:$B$501,t,Bank_Rates!$D$2:$D$501,"&lt;="&amp;G820),SUMIFS(Bank_Rates!$C$2:$C$501,Bank_Rates!$A$2:$A$501,H820,Bank_Rates!$B$2:$B$501,t,Bank_Rates!$D$2:$D$501,d)))))))</f>
        <v/>
      </c>
      <c r="K820" s="6" t="str">
        <f t="shared" si="24"/>
        <v/>
      </c>
    </row>
    <row r="821" spans="1:11">
      <c r="A821" s="18" t="str">
        <f t="shared" si="25"/>
        <v/>
      </c>
      <c r="B821" s="13"/>
      <c r="C821" s="14"/>
      <c r="D821" s="3"/>
      <c r="E821" s="3"/>
      <c r="F821" s="14"/>
      <c r="G821" s="7">
        <f>RawObservationsTable[[#This Row],[Maturity Date]]-RawObservationsTable[[#This Row],[Timestamp]]</f>
        <v>0</v>
      </c>
      <c r="H821" s="2"/>
      <c r="I821" s="4"/>
      <c r="J821" s="5" t="str">
        <f>IF(OR(H821="",G821="",C821=""),"",LET(n,COUNTIFS(Bank_Rates!$A$2:$A$501,H821,Bank_Rates!$B$2:$B$501,"&lt;="&amp;C821),IF(n=0,"",LET(t,MAXIFS(Bank_Rates!$B$2:$B$501,Bank_Rates!$A$2:$A$501,H821,Bank_Rates!$B$2:$B$501,"&lt;="&amp;C821),m,COUNTIFS(Bank_Rates!$A$2:$A$501,H821,Bank_Rates!$B$2:$B$501,t,Bank_Rates!$D$2:$D$501,"&lt;="&amp;G821),IF(m=0,"",LET(d,MAXIFS(Bank_Rates!$D$2:$D$501,Bank_Rates!$A$2:$A$501,H821,Bank_Rates!$B$2:$B$501,t,Bank_Rates!$D$2:$D$501,"&lt;="&amp;G821),SUMIFS(Bank_Rates!$C$2:$C$501,Bank_Rates!$A$2:$A$501,H821,Bank_Rates!$B$2:$B$501,t,Bank_Rates!$D$2:$D$501,d)))))))</f>
        <v/>
      </c>
      <c r="K821" s="6" t="str">
        <f t="shared" si="24"/>
        <v/>
      </c>
    </row>
    <row r="822" spans="1:11">
      <c r="A822" s="18" t="str">
        <f t="shared" si="25"/>
        <v/>
      </c>
      <c r="B822" s="13"/>
      <c r="C822" s="14"/>
      <c r="D822" s="3"/>
      <c r="E822" s="3"/>
      <c r="F822" s="14"/>
      <c r="G822" s="7">
        <f>RawObservationsTable[[#This Row],[Maturity Date]]-RawObservationsTable[[#This Row],[Timestamp]]</f>
        <v>0</v>
      </c>
      <c r="H822" s="2"/>
      <c r="I822" s="4"/>
      <c r="J822" s="5" t="str">
        <f>IF(OR(H822="",G822="",C822=""),"",LET(n,COUNTIFS(Bank_Rates!$A$2:$A$501,H822,Bank_Rates!$B$2:$B$501,"&lt;="&amp;C822),IF(n=0,"",LET(t,MAXIFS(Bank_Rates!$B$2:$B$501,Bank_Rates!$A$2:$A$501,H822,Bank_Rates!$B$2:$B$501,"&lt;="&amp;C822),m,COUNTIFS(Bank_Rates!$A$2:$A$501,H822,Bank_Rates!$B$2:$B$501,t,Bank_Rates!$D$2:$D$501,"&lt;="&amp;G822),IF(m=0,"",LET(d,MAXIFS(Bank_Rates!$D$2:$D$501,Bank_Rates!$A$2:$A$501,H822,Bank_Rates!$B$2:$B$501,t,Bank_Rates!$D$2:$D$501,"&lt;="&amp;G822),SUMIFS(Bank_Rates!$C$2:$C$501,Bank_Rates!$A$2:$A$501,H822,Bank_Rates!$B$2:$B$501,t,Bank_Rates!$D$2:$D$501,d)))))))</f>
        <v/>
      </c>
      <c r="K822" s="6" t="str">
        <f t="shared" si="24"/>
        <v/>
      </c>
    </row>
    <row r="823" spans="1:11">
      <c r="A823" s="18" t="str">
        <f t="shared" si="25"/>
        <v/>
      </c>
      <c r="B823" s="13"/>
      <c r="C823" s="14"/>
      <c r="D823" s="3"/>
      <c r="E823" s="3"/>
      <c r="F823" s="14"/>
      <c r="G823" s="7">
        <f>RawObservationsTable[[#This Row],[Maturity Date]]-RawObservationsTable[[#This Row],[Timestamp]]</f>
        <v>0</v>
      </c>
      <c r="H823" s="2"/>
      <c r="I823" s="4"/>
      <c r="J823" s="5" t="str">
        <f>IF(OR(H823="",G823="",C823=""),"",LET(n,COUNTIFS(Bank_Rates!$A$2:$A$501,H823,Bank_Rates!$B$2:$B$501,"&lt;="&amp;C823),IF(n=0,"",LET(t,MAXIFS(Bank_Rates!$B$2:$B$501,Bank_Rates!$A$2:$A$501,H823,Bank_Rates!$B$2:$B$501,"&lt;="&amp;C823),m,COUNTIFS(Bank_Rates!$A$2:$A$501,H823,Bank_Rates!$B$2:$B$501,t,Bank_Rates!$D$2:$D$501,"&lt;="&amp;G823),IF(m=0,"",LET(d,MAXIFS(Bank_Rates!$D$2:$D$501,Bank_Rates!$A$2:$A$501,H823,Bank_Rates!$B$2:$B$501,t,Bank_Rates!$D$2:$D$501,"&lt;="&amp;G823),SUMIFS(Bank_Rates!$C$2:$C$501,Bank_Rates!$A$2:$A$501,H823,Bank_Rates!$B$2:$B$501,t,Bank_Rates!$D$2:$D$501,d)))))))</f>
        <v/>
      </c>
      <c r="K823" s="6" t="str">
        <f t="shared" si="24"/>
        <v/>
      </c>
    </row>
    <row r="824" spans="1:11">
      <c r="A824" s="18" t="str">
        <f t="shared" si="25"/>
        <v/>
      </c>
      <c r="B824" s="13"/>
      <c r="C824" s="14"/>
      <c r="D824" s="3"/>
      <c r="E824" s="3"/>
      <c r="F824" s="14"/>
      <c r="G824" s="7">
        <f>RawObservationsTable[[#This Row],[Maturity Date]]-RawObservationsTable[[#This Row],[Timestamp]]</f>
        <v>0</v>
      </c>
      <c r="H824" s="2"/>
      <c r="I824" s="4"/>
      <c r="J824" s="5" t="str">
        <f>IF(OR(H824="",G824="",C824=""),"",LET(n,COUNTIFS(Bank_Rates!$A$2:$A$501,H824,Bank_Rates!$B$2:$B$501,"&lt;="&amp;C824),IF(n=0,"",LET(t,MAXIFS(Bank_Rates!$B$2:$B$501,Bank_Rates!$A$2:$A$501,H824,Bank_Rates!$B$2:$B$501,"&lt;="&amp;C824),m,COUNTIFS(Bank_Rates!$A$2:$A$501,H824,Bank_Rates!$B$2:$B$501,t,Bank_Rates!$D$2:$D$501,"&lt;="&amp;G824),IF(m=0,"",LET(d,MAXIFS(Bank_Rates!$D$2:$D$501,Bank_Rates!$A$2:$A$501,H824,Bank_Rates!$B$2:$B$501,t,Bank_Rates!$D$2:$D$501,"&lt;="&amp;G824),SUMIFS(Bank_Rates!$C$2:$C$501,Bank_Rates!$A$2:$A$501,H824,Bank_Rates!$B$2:$B$501,t,Bank_Rates!$D$2:$D$501,d)))))))</f>
        <v/>
      </c>
      <c r="K824" s="6" t="str">
        <f t="shared" si="24"/>
        <v/>
      </c>
    </row>
    <row r="825" spans="1:11">
      <c r="A825" s="18" t="str">
        <f t="shared" si="25"/>
        <v/>
      </c>
      <c r="B825" s="13"/>
      <c r="C825" s="14"/>
      <c r="D825" s="3"/>
      <c r="E825" s="3"/>
      <c r="F825" s="14"/>
      <c r="G825" s="7">
        <f>RawObservationsTable[[#This Row],[Maturity Date]]-RawObservationsTable[[#This Row],[Timestamp]]</f>
        <v>0</v>
      </c>
      <c r="H825" s="2"/>
      <c r="I825" s="4"/>
      <c r="J825" s="5" t="str">
        <f>IF(OR(H825="",G825="",C825=""),"",LET(n,COUNTIFS(Bank_Rates!$A$2:$A$501,H825,Bank_Rates!$B$2:$B$501,"&lt;="&amp;C825),IF(n=0,"",LET(t,MAXIFS(Bank_Rates!$B$2:$B$501,Bank_Rates!$A$2:$A$501,H825,Bank_Rates!$B$2:$B$501,"&lt;="&amp;C825),m,COUNTIFS(Bank_Rates!$A$2:$A$501,H825,Bank_Rates!$B$2:$B$501,t,Bank_Rates!$D$2:$D$501,"&lt;="&amp;G825),IF(m=0,"",LET(d,MAXIFS(Bank_Rates!$D$2:$D$501,Bank_Rates!$A$2:$A$501,H825,Bank_Rates!$B$2:$B$501,t,Bank_Rates!$D$2:$D$501,"&lt;="&amp;G825),SUMIFS(Bank_Rates!$C$2:$C$501,Bank_Rates!$A$2:$A$501,H825,Bank_Rates!$B$2:$B$501,t,Bank_Rates!$D$2:$D$501,d)))))))</f>
        <v/>
      </c>
      <c r="K825" s="6" t="str">
        <f t="shared" si="24"/>
        <v/>
      </c>
    </row>
    <row r="826" spans="1:11">
      <c r="A826" s="18" t="str">
        <f t="shared" si="25"/>
        <v/>
      </c>
      <c r="B826" s="13"/>
      <c r="C826" s="14"/>
      <c r="D826" s="3"/>
      <c r="E826" s="3"/>
      <c r="F826" s="14"/>
      <c r="G826" s="7">
        <f>RawObservationsTable[[#This Row],[Maturity Date]]-RawObservationsTable[[#This Row],[Timestamp]]</f>
        <v>0</v>
      </c>
      <c r="H826" s="2"/>
      <c r="I826" s="4"/>
      <c r="J826" s="5" t="str">
        <f>IF(OR(H826="",G826="",C826=""),"",LET(n,COUNTIFS(Bank_Rates!$A$2:$A$501,H826,Bank_Rates!$B$2:$B$501,"&lt;="&amp;C826),IF(n=0,"",LET(t,MAXIFS(Bank_Rates!$B$2:$B$501,Bank_Rates!$A$2:$A$501,H826,Bank_Rates!$B$2:$B$501,"&lt;="&amp;C826),m,COUNTIFS(Bank_Rates!$A$2:$A$501,H826,Bank_Rates!$B$2:$B$501,t,Bank_Rates!$D$2:$D$501,"&lt;="&amp;G826),IF(m=0,"",LET(d,MAXIFS(Bank_Rates!$D$2:$D$501,Bank_Rates!$A$2:$A$501,H826,Bank_Rates!$B$2:$B$501,t,Bank_Rates!$D$2:$D$501,"&lt;="&amp;G826),SUMIFS(Bank_Rates!$C$2:$C$501,Bank_Rates!$A$2:$A$501,H826,Bank_Rates!$B$2:$B$501,t,Bank_Rates!$D$2:$D$501,d)))))))</f>
        <v/>
      </c>
      <c r="K826" s="6" t="str">
        <f t="shared" si="24"/>
        <v/>
      </c>
    </row>
    <row r="827" spans="1:11">
      <c r="A827" s="18" t="str">
        <f t="shared" si="25"/>
        <v/>
      </c>
      <c r="B827" s="13"/>
      <c r="C827" s="14"/>
      <c r="D827" s="3"/>
      <c r="E827" s="3"/>
      <c r="F827" s="14"/>
      <c r="G827" s="7">
        <f>RawObservationsTable[[#This Row],[Maturity Date]]-RawObservationsTable[[#This Row],[Timestamp]]</f>
        <v>0</v>
      </c>
      <c r="H827" s="2"/>
      <c r="I827" s="4"/>
      <c r="J827" s="5" t="str">
        <f>IF(OR(H827="",G827="",C827=""),"",LET(n,COUNTIFS(Bank_Rates!$A$2:$A$501,H827,Bank_Rates!$B$2:$B$501,"&lt;="&amp;C827),IF(n=0,"",LET(t,MAXIFS(Bank_Rates!$B$2:$B$501,Bank_Rates!$A$2:$A$501,H827,Bank_Rates!$B$2:$B$501,"&lt;="&amp;C827),m,COUNTIFS(Bank_Rates!$A$2:$A$501,H827,Bank_Rates!$B$2:$B$501,t,Bank_Rates!$D$2:$D$501,"&lt;="&amp;G827),IF(m=0,"",LET(d,MAXIFS(Bank_Rates!$D$2:$D$501,Bank_Rates!$A$2:$A$501,H827,Bank_Rates!$B$2:$B$501,t,Bank_Rates!$D$2:$D$501,"&lt;="&amp;G827),SUMIFS(Bank_Rates!$C$2:$C$501,Bank_Rates!$A$2:$A$501,H827,Bank_Rates!$B$2:$B$501,t,Bank_Rates!$D$2:$D$501,d)))))))</f>
        <v/>
      </c>
      <c r="K827" s="6" t="str">
        <f t="shared" si="24"/>
        <v/>
      </c>
    </row>
    <row r="828" spans="1:11">
      <c r="A828" s="18" t="str">
        <f t="shared" si="25"/>
        <v/>
      </c>
      <c r="B828" s="13"/>
      <c r="C828" s="14"/>
      <c r="D828" s="3"/>
      <c r="E828" s="3"/>
      <c r="F828" s="14"/>
      <c r="G828" s="7">
        <f>RawObservationsTable[[#This Row],[Maturity Date]]-RawObservationsTable[[#This Row],[Timestamp]]</f>
        <v>0</v>
      </c>
      <c r="H828" s="2"/>
      <c r="I828" s="4"/>
      <c r="J828" s="5" t="str">
        <f>IF(OR(H828="",G828="",C828=""),"",LET(n,COUNTIFS(Bank_Rates!$A$2:$A$501,H828,Bank_Rates!$B$2:$B$501,"&lt;="&amp;C828),IF(n=0,"",LET(t,MAXIFS(Bank_Rates!$B$2:$B$501,Bank_Rates!$A$2:$A$501,H828,Bank_Rates!$B$2:$B$501,"&lt;="&amp;C828),m,COUNTIFS(Bank_Rates!$A$2:$A$501,H828,Bank_Rates!$B$2:$B$501,t,Bank_Rates!$D$2:$D$501,"&lt;="&amp;G828),IF(m=0,"",LET(d,MAXIFS(Bank_Rates!$D$2:$D$501,Bank_Rates!$A$2:$A$501,H828,Bank_Rates!$B$2:$B$501,t,Bank_Rates!$D$2:$D$501,"&lt;="&amp;G828),SUMIFS(Bank_Rates!$C$2:$C$501,Bank_Rates!$A$2:$A$501,H828,Bank_Rates!$B$2:$B$501,t,Bank_Rates!$D$2:$D$501,d)))))))</f>
        <v/>
      </c>
      <c r="K828" s="6" t="str">
        <f t="shared" si="24"/>
        <v/>
      </c>
    </row>
    <row r="829" spans="1:11">
      <c r="A829" s="18" t="str">
        <f t="shared" si="25"/>
        <v/>
      </c>
      <c r="B829" s="13"/>
      <c r="C829" s="14"/>
      <c r="D829" s="3"/>
      <c r="E829" s="3"/>
      <c r="F829" s="14"/>
      <c r="G829" s="7">
        <f>RawObservationsTable[[#This Row],[Maturity Date]]-RawObservationsTable[[#This Row],[Timestamp]]</f>
        <v>0</v>
      </c>
      <c r="H829" s="2"/>
      <c r="I829" s="4"/>
      <c r="J829" s="5" t="str">
        <f>IF(OR(H829="",G829="",C829=""),"",LET(n,COUNTIFS(Bank_Rates!$A$2:$A$501,H829,Bank_Rates!$B$2:$B$501,"&lt;="&amp;C829),IF(n=0,"",LET(t,MAXIFS(Bank_Rates!$B$2:$B$501,Bank_Rates!$A$2:$A$501,H829,Bank_Rates!$B$2:$B$501,"&lt;="&amp;C829),m,COUNTIFS(Bank_Rates!$A$2:$A$501,H829,Bank_Rates!$B$2:$B$501,t,Bank_Rates!$D$2:$D$501,"&lt;="&amp;G829),IF(m=0,"",LET(d,MAXIFS(Bank_Rates!$D$2:$D$501,Bank_Rates!$A$2:$A$501,H829,Bank_Rates!$B$2:$B$501,t,Bank_Rates!$D$2:$D$501,"&lt;="&amp;G829),SUMIFS(Bank_Rates!$C$2:$C$501,Bank_Rates!$A$2:$A$501,H829,Bank_Rates!$B$2:$B$501,t,Bank_Rates!$D$2:$D$501,d)))))))</f>
        <v/>
      </c>
      <c r="K829" s="6" t="str">
        <f t="shared" si="24"/>
        <v/>
      </c>
    </row>
    <row r="830" spans="1:11">
      <c r="A830" s="18" t="str">
        <f t="shared" si="25"/>
        <v/>
      </c>
      <c r="B830" s="13"/>
      <c r="C830" s="14"/>
      <c r="D830" s="3"/>
      <c r="E830" s="3"/>
      <c r="F830" s="14"/>
      <c r="G830" s="7">
        <f>RawObservationsTable[[#This Row],[Maturity Date]]-RawObservationsTable[[#This Row],[Timestamp]]</f>
        <v>0</v>
      </c>
      <c r="H830" s="2"/>
      <c r="I830" s="4"/>
      <c r="J830" s="5" t="str">
        <f>IF(OR(H830="",G830="",C830=""),"",LET(n,COUNTIFS(Bank_Rates!$A$2:$A$501,H830,Bank_Rates!$B$2:$B$501,"&lt;="&amp;C830),IF(n=0,"",LET(t,MAXIFS(Bank_Rates!$B$2:$B$501,Bank_Rates!$A$2:$A$501,H830,Bank_Rates!$B$2:$B$501,"&lt;="&amp;C830),m,COUNTIFS(Bank_Rates!$A$2:$A$501,H830,Bank_Rates!$B$2:$B$501,t,Bank_Rates!$D$2:$D$501,"&lt;="&amp;G830),IF(m=0,"",LET(d,MAXIFS(Bank_Rates!$D$2:$D$501,Bank_Rates!$A$2:$A$501,H830,Bank_Rates!$B$2:$B$501,t,Bank_Rates!$D$2:$D$501,"&lt;="&amp;G830),SUMIFS(Bank_Rates!$C$2:$C$501,Bank_Rates!$A$2:$A$501,H830,Bank_Rates!$B$2:$B$501,t,Bank_Rates!$D$2:$D$501,d)))))))</f>
        <v/>
      </c>
      <c r="K830" s="6" t="str">
        <f t="shared" si="24"/>
        <v/>
      </c>
    </row>
    <row r="831" spans="1:11">
      <c r="A831" s="18" t="str">
        <f t="shared" si="25"/>
        <v/>
      </c>
      <c r="B831" s="13"/>
      <c r="C831" s="14"/>
      <c r="D831" s="3"/>
      <c r="E831" s="3"/>
      <c r="F831" s="14"/>
      <c r="G831" s="7">
        <f>RawObservationsTable[[#This Row],[Maturity Date]]-RawObservationsTable[[#This Row],[Timestamp]]</f>
        <v>0</v>
      </c>
      <c r="H831" s="2"/>
      <c r="I831" s="4"/>
      <c r="J831" s="5" t="str">
        <f>IF(OR(H831="",G831="",C831=""),"",LET(n,COUNTIFS(Bank_Rates!$A$2:$A$501,H831,Bank_Rates!$B$2:$B$501,"&lt;="&amp;C831),IF(n=0,"",LET(t,MAXIFS(Bank_Rates!$B$2:$B$501,Bank_Rates!$A$2:$A$501,H831,Bank_Rates!$B$2:$B$501,"&lt;="&amp;C831),m,COUNTIFS(Bank_Rates!$A$2:$A$501,H831,Bank_Rates!$B$2:$B$501,t,Bank_Rates!$D$2:$D$501,"&lt;="&amp;G831),IF(m=0,"",LET(d,MAXIFS(Bank_Rates!$D$2:$D$501,Bank_Rates!$A$2:$A$501,H831,Bank_Rates!$B$2:$B$501,t,Bank_Rates!$D$2:$D$501,"&lt;="&amp;G831),SUMIFS(Bank_Rates!$C$2:$C$501,Bank_Rates!$A$2:$A$501,H831,Bank_Rates!$B$2:$B$501,t,Bank_Rates!$D$2:$D$501,d)))))))</f>
        <v/>
      </c>
      <c r="K831" s="6" t="str">
        <f t="shared" si="24"/>
        <v/>
      </c>
    </row>
    <row r="832" spans="1:11">
      <c r="A832" s="18" t="str">
        <f t="shared" si="25"/>
        <v/>
      </c>
      <c r="B832" s="13"/>
      <c r="C832" s="14"/>
      <c r="D832" s="3"/>
      <c r="E832" s="3"/>
      <c r="F832" s="14"/>
      <c r="G832" s="7">
        <f>RawObservationsTable[[#This Row],[Maturity Date]]-RawObservationsTable[[#This Row],[Timestamp]]</f>
        <v>0</v>
      </c>
      <c r="H832" s="2"/>
      <c r="I832" s="4"/>
      <c r="J832" s="5" t="str">
        <f>IF(OR(H832="",G832="",C832=""),"",LET(n,COUNTIFS(Bank_Rates!$A$2:$A$501,H832,Bank_Rates!$B$2:$B$501,"&lt;="&amp;C832),IF(n=0,"",LET(t,MAXIFS(Bank_Rates!$B$2:$B$501,Bank_Rates!$A$2:$A$501,H832,Bank_Rates!$B$2:$B$501,"&lt;="&amp;C832),m,COUNTIFS(Bank_Rates!$A$2:$A$501,H832,Bank_Rates!$B$2:$B$501,t,Bank_Rates!$D$2:$D$501,"&lt;="&amp;G832),IF(m=0,"",LET(d,MAXIFS(Bank_Rates!$D$2:$D$501,Bank_Rates!$A$2:$A$501,H832,Bank_Rates!$B$2:$B$501,t,Bank_Rates!$D$2:$D$501,"&lt;="&amp;G832),SUMIFS(Bank_Rates!$C$2:$C$501,Bank_Rates!$A$2:$A$501,H832,Bank_Rates!$B$2:$B$501,t,Bank_Rates!$D$2:$D$501,d)))))))</f>
        <v/>
      </c>
      <c r="K832" s="6" t="str">
        <f t="shared" si="24"/>
        <v/>
      </c>
    </row>
    <row r="833" spans="1:11">
      <c r="A833" s="18" t="str">
        <f t="shared" si="25"/>
        <v/>
      </c>
      <c r="B833" s="13"/>
      <c r="C833" s="14"/>
      <c r="D833" s="3"/>
      <c r="E833" s="3"/>
      <c r="F833" s="14"/>
      <c r="G833" s="7">
        <f>RawObservationsTable[[#This Row],[Maturity Date]]-RawObservationsTable[[#This Row],[Timestamp]]</f>
        <v>0</v>
      </c>
      <c r="H833" s="2"/>
      <c r="I833" s="4"/>
      <c r="J833" s="5" t="str">
        <f>IF(OR(H833="",G833="",C833=""),"",LET(n,COUNTIFS(Bank_Rates!$A$2:$A$501,H833,Bank_Rates!$B$2:$B$501,"&lt;="&amp;C833),IF(n=0,"",LET(t,MAXIFS(Bank_Rates!$B$2:$B$501,Bank_Rates!$A$2:$A$501,H833,Bank_Rates!$B$2:$B$501,"&lt;="&amp;C833),m,COUNTIFS(Bank_Rates!$A$2:$A$501,H833,Bank_Rates!$B$2:$B$501,t,Bank_Rates!$D$2:$D$501,"&lt;="&amp;G833),IF(m=0,"",LET(d,MAXIFS(Bank_Rates!$D$2:$D$501,Bank_Rates!$A$2:$A$501,H833,Bank_Rates!$B$2:$B$501,t,Bank_Rates!$D$2:$D$501,"&lt;="&amp;G833),SUMIFS(Bank_Rates!$C$2:$C$501,Bank_Rates!$A$2:$A$501,H833,Bank_Rates!$B$2:$B$501,t,Bank_Rates!$D$2:$D$501,d)))))))</f>
        <v/>
      </c>
      <c r="K833" s="6" t="str">
        <f t="shared" si="24"/>
        <v/>
      </c>
    </row>
    <row r="834" spans="1:11">
      <c r="A834" s="18" t="str">
        <f t="shared" si="25"/>
        <v/>
      </c>
      <c r="B834" s="13"/>
      <c r="C834" s="14"/>
      <c r="D834" s="3"/>
      <c r="E834" s="3"/>
      <c r="F834" s="14"/>
      <c r="G834" s="7">
        <f>RawObservationsTable[[#This Row],[Maturity Date]]-RawObservationsTable[[#This Row],[Timestamp]]</f>
        <v>0</v>
      </c>
      <c r="H834" s="2"/>
      <c r="I834" s="4"/>
      <c r="J834" s="5" t="str">
        <f>IF(OR(H834="",G834="",C834=""),"",LET(n,COUNTIFS(Bank_Rates!$A$2:$A$501,H834,Bank_Rates!$B$2:$B$501,"&lt;="&amp;C834),IF(n=0,"",LET(t,MAXIFS(Bank_Rates!$B$2:$B$501,Bank_Rates!$A$2:$A$501,H834,Bank_Rates!$B$2:$B$501,"&lt;="&amp;C834),m,COUNTIFS(Bank_Rates!$A$2:$A$501,H834,Bank_Rates!$B$2:$B$501,t,Bank_Rates!$D$2:$D$501,"&lt;="&amp;G834),IF(m=0,"",LET(d,MAXIFS(Bank_Rates!$D$2:$D$501,Bank_Rates!$A$2:$A$501,H834,Bank_Rates!$B$2:$B$501,t,Bank_Rates!$D$2:$D$501,"&lt;="&amp;G834),SUMIFS(Bank_Rates!$C$2:$C$501,Bank_Rates!$A$2:$A$501,H834,Bank_Rates!$B$2:$B$501,t,Bank_Rates!$D$2:$D$501,d)))))))</f>
        <v/>
      </c>
      <c r="K834" s="6" t="str">
        <f t="shared" ref="K834:K897" si="26">IF(OR(I834="",J834=""),"",I834-J834)</f>
        <v/>
      </c>
    </row>
    <row r="835" spans="1:11">
      <c r="A835" s="18" t="str">
        <f t="shared" ref="A835:A898" si="27">IF(B835&lt;&gt;"","L-"&amp;TEXT(ROW()-1,"0000"),"")</f>
        <v/>
      </c>
      <c r="B835" s="13"/>
      <c r="C835" s="14"/>
      <c r="D835" s="3"/>
      <c r="E835" s="3"/>
      <c r="F835" s="14"/>
      <c r="G835" s="7">
        <f>RawObservationsTable[[#This Row],[Maturity Date]]-RawObservationsTable[[#This Row],[Timestamp]]</f>
        <v>0</v>
      </c>
      <c r="H835" s="2"/>
      <c r="I835" s="4"/>
      <c r="J835" s="5" t="str">
        <f>IF(OR(H835="",G835="",C835=""),"",LET(n,COUNTIFS(Bank_Rates!$A$2:$A$501,H835,Bank_Rates!$B$2:$B$501,"&lt;="&amp;C835),IF(n=0,"",LET(t,MAXIFS(Bank_Rates!$B$2:$B$501,Bank_Rates!$A$2:$A$501,H835,Bank_Rates!$B$2:$B$501,"&lt;="&amp;C835),m,COUNTIFS(Bank_Rates!$A$2:$A$501,H835,Bank_Rates!$B$2:$B$501,t,Bank_Rates!$D$2:$D$501,"&lt;="&amp;G835),IF(m=0,"",LET(d,MAXIFS(Bank_Rates!$D$2:$D$501,Bank_Rates!$A$2:$A$501,H835,Bank_Rates!$B$2:$B$501,t,Bank_Rates!$D$2:$D$501,"&lt;="&amp;G835),SUMIFS(Bank_Rates!$C$2:$C$501,Bank_Rates!$A$2:$A$501,H835,Bank_Rates!$B$2:$B$501,t,Bank_Rates!$D$2:$D$501,d)))))))</f>
        <v/>
      </c>
      <c r="K835" s="6" t="str">
        <f t="shared" si="26"/>
        <v/>
      </c>
    </row>
    <row r="836" spans="1:11">
      <c r="A836" s="18" t="str">
        <f t="shared" si="27"/>
        <v/>
      </c>
      <c r="B836" s="13"/>
      <c r="C836" s="14"/>
      <c r="D836" s="3"/>
      <c r="E836" s="3"/>
      <c r="F836" s="14"/>
      <c r="G836" s="7">
        <f>RawObservationsTable[[#This Row],[Maturity Date]]-RawObservationsTable[[#This Row],[Timestamp]]</f>
        <v>0</v>
      </c>
      <c r="H836" s="2"/>
      <c r="I836" s="4"/>
      <c r="J836" s="5" t="str">
        <f>IF(OR(H836="",G836="",C836=""),"",LET(n,COUNTIFS(Bank_Rates!$A$2:$A$501,H836,Bank_Rates!$B$2:$B$501,"&lt;="&amp;C836),IF(n=0,"",LET(t,MAXIFS(Bank_Rates!$B$2:$B$501,Bank_Rates!$A$2:$A$501,H836,Bank_Rates!$B$2:$B$501,"&lt;="&amp;C836),m,COUNTIFS(Bank_Rates!$A$2:$A$501,H836,Bank_Rates!$B$2:$B$501,t,Bank_Rates!$D$2:$D$501,"&lt;="&amp;G836),IF(m=0,"",LET(d,MAXIFS(Bank_Rates!$D$2:$D$501,Bank_Rates!$A$2:$A$501,H836,Bank_Rates!$B$2:$B$501,t,Bank_Rates!$D$2:$D$501,"&lt;="&amp;G836),SUMIFS(Bank_Rates!$C$2:$C$501,Bank_Rates!$A$2:$A$501,H836,Bank_Rates!$B$2:$B$501,t,Bank_Rates!$D$2:$D$501,d)))))))</f>
        <v/>
      </c>
      <c r="K836" s="6" t="str">
        <f t="shared" si="26"/>
        <v/>
      </c>
    </row>
    <row r="837" spans="1:11">
      <c r="A837" s="18" t="str">
        <f t="shared" si="27"/>
        <v/>
      </c>
      <c r="B837" s="13"/>
      <c r="C837" s="14"/>
      <c r="D837" s="3"/>
      <c r="E837" s="3"/>
      <c r="F837" s="14"/>
      <c r="G837" s="7">
        <f>RawObservationsTable[[#This Row],[Maturity Date]]-RawObservationsTable[[#This Row],[Timestamp]]</f>
        <v>0</v>
      </c>
      <c r="H837" s="2"/>
      <c r="I837" s="4"/>
      <c r="J837" s="5" t="str">
        <f>IF(OR(H837="",G837="",C837=""),"",LET(n,COUNTIFS(Bank_Rates!$A$2:$A$501,H837,Bank_Rates!$B$2:$B$501,"&lt;="&amp;C837),IF(n=0,"",LET(t,MAXIFS(Bank_Rates!$B$2:$B$501,Bank_Rates!$A$2:$A$501,H837,Bank_Rates!$B$2:$B$501,"&lt;="&amp;C837),m,COUNTIFS(Bank_Rates!$A$2:$A$501,H837,Bank_Rates!$B$2:$B$501,t,Bank_Rates!$D$2:$D$501,"&lt;="&amp;G837),IF(m=0,"",LET(d,MAXIFS(Bank_Rates!$D$2:$D$501,Bank_Rates!$A$2:$A$501,H837,Bank_Rates!$B$2:$B$501,t,Bank_Rates!$D$2:$D$501,"&lt;="&amp;G837),SUMIFS(Bank_Rates!$C$2:$C$501,Bank_Rates!$A$2:$A$501,H837,Bank_Rates!$B$2:$B$501,t,Bank_Rates!$D$2:$D$501,d)))))))</f>
        <v/>
      </c>
      <c r="K837" s="6" t="str">
        <f t="shared" si="26"/>
        <v/>
      </c>
    </row>
    <row r="838" spans="1:11">
      <c r="A838" s="18" t="str">
        <f t="shared" si="27"/>
        <v/>
      </c>
      <c r="B838" s="13"/>
      <c r="C838" s="14"/>
      <c r="D838" s="3"/>
      <c r="E838" s="3"/>
      <c r="F838" s="14"/>
      <c r="G838" s="7">
        <f>RawObservationsTable[[#This Row],[Maturity Date]]-RawObservationsTable[[#This Row],[Timestamp]]</f>
        <v>0</v>
      </c>
      <c r="H838" s="2"/>
      <c r="I838" s="4"/>
      <c r="J838" s="5" t="str">
        <f>IF(OR(H838="",G838="",C838=""),"",LET(n,COUNTIFS(Bank_Rates!$A$2:$A$501,H838,Bank_Rates!$B$2:$B$501,"&lt;="&amp;C838),IF(n=0,"",LET(t,MAXIFS(Bank_Rates!$B$2:$B$501,Bank_Rates!$A$2:$A$501,H838,Bank_Rates!$B$2:$B$501,"&lt;="&amp;C838),m,COUNTIFS(Bank_Rates!$A$2:$A$501,H838,Bank_Rates!$B$2:$B$501,t,Bank_Rates!$D$2:$D$501,"&lt;="&amp;G838),IF(m=0,"",LET(d,MAXIFS(Bank_Rates!$D$2:$D$501,Bank_Rates!$A$2:$A$501,H838,Bank_Rates!$B$2:$B$501,t,Bank_Rates!$D$2:$D$501,"&lt;="&amp;G838),SUMIFS(Bank_Rates!$C$2:$C$501,Bank_Rates!$A$2:$A$501,H838,Bank_Rates!$B$2:$B$501,t,Bank_Rates!$D$2:$D$501,d)))))))</f>
        <v/>
      </c>
      <c r="K838" s="6" t="str">
        <f t="shared" si="26"/>
        <v/>
      </c>
    </row>
    <row r="839" spans="1:11">
      <c r="A839" s="18" t="str">
        <f t="shared" si="27"/>
        <v/>
      </c>
      <c r="B839" s="13"/>
      <c r="C839" s="14"/>
      <c r="D839" s="3"/>
      <c r="E839" s="3"/>
      <c r="F839" s="14"/>
      <c r="G839" s="7">
        <f>RawObservationsTable[[#This Row],[Maturity Date]]-RawObservationsTable[[#This Row],[Timestamp]]</f>
        <v>0</v>
      </c>
      <c r="H839" s="2"/>
      <c r="I839" s="4"/>
      <c r="J839" s="5" t="str">
        <f>IF(OR(H839="",G839="",C839=""),"",LET(n,COUNTIFS(Bank_Rates!$A$2:$A$501,H839,Bank_Rates!$B$2:$B$501,"&lt;="&amp;C839),IF(n=0,"",LET(t,MAXIFS(Bank_Rates!$B$2:$B$501,Bank_Rates!$A$2:$A$501,H839,Bank_Rates!$B$2:$B$501,"&lt;="&amp;C839),m,COUNTIFS(Bank_Rates!$A$2:$A$501,H839,Bank_Rates!$B$2:$B$501,t,Bank_Rates!$D$2:$D$501,"&lt;="&amp;G839),IF(m=0,"",LET(d,MAXIFS(Bank_Rates!$D$2:$D$501,Bank_Rates!$A$2:$A$501,H839,Bank_Rates!$B$2:$B$501,t,Bank_Rates!$D$2:$D$501,"&lt;="&amp;G839),SUMIFS(Bank_Rates!$C$2:$C$501,Bank_Rates!$A$2:$A$501,H839,Bank_Rates!$B$2:$B$501,t,Bank_Rates!$D$2:$D$501,d)))))))</f>
        <v/>
      </c>
      <c r="K839" s="6" t="str">
        <f t="shared" si="26"/>
        <v/>
      </c>
    </row>
    <row r="840" spans="1:11">
      <c r="A840" s="18" t="str">
        <f t="shared" si="27"/>
        <v/>
      </c>
      <c r="B840" s="13"/>
      <c r="C840" s="14"/>
      <c r="D840" s="3"/>
      <c r="E840" s="3"/>
      <c r="F840" s="14"/>
      <c r="G840" s="7">
        <f>RawObservationsTable[[#This Row],[Maturity Date]]-RawObservationsTable[[#This Row],[Timestamp]]</f>
        <v>0</v>
      </c>
      <c r="H840" s="2"/>
      <c r="I840" s="4"/>
      <c r="J840" s="5" t="str">
        <f>IF(OR(H840="",G840="",C840=""),"",LET(n,COUNTIFS(Bank_Rates!$A$2:$A$501,H840,Bank_Rates!$B$2:$B$501,"&lt;="&amp;C840),IF(n=0,"",LET(t,MAXIFS(Bank_Rates!$B$2:$B$501,Bank_Rates!$A$2:$A$501,H840,Bank_Rates!$B$2:$B$501,"&lt;="&amp;C840),m,COUNTIFS(Bank_Rates!$A$2:$A$501,H840,Bank_Rates!$B$2:$B$501,t,Bank_Rates!$D$2:$D$501,"&lt;="&amp;G840),IF(m=0,"",LET(d,MAXIFS(Bank_Rates!$D$2:$D$501,Bank_Rates!$A$2:$A$501,H840,Bank_Rates!$B$2:$B$501,t,Bank_Rates!$D$2:$D$501,"&lt;="&amp;G840),SUMIFS(Bank_Rates!$C$2:$C$501,Bank_Rates!$A$2:$A$501,H840,Bank_Rates!$B$2:$B$501,t,Bank_Rates!$D$2:$D$501,d)))))))</f>
        <v/>
      </c>
      <c r="K840" s="6" t="str">
        <f t="shared" si="26"/>
        <v/>
      </c>
    </row>
    <row r="841" spans="1:11">
      <c r="A841" s="18" t="str">
        <f t="shared" si="27"/>
        <v/>
      </c>
      <c r="B841" s="13"/>
      <c r="C841" s="14"/>
      <c r="D841" s="3"/>
      <c r="E841" s="3"/>
      <c r="F841" s="14"/>
      <c r="G841" s="7">
        <f>RawObservationsTable[[#This Row],[Maturity Date]]-RawObservationsTable[[#This Row],[Timestamp]]</f>
        <v>0</v>
      </c>
      <c r="H841" s="2"/>
      <c r="I841" s="4"/>
      <c r="J841" s="5" t="str">
        <f>IF(OR(H841="",G841="",C841=""),"",LET(n,COUNTIFS(Bank_Rates!$A$2:$A$501,H841,Bank_Rates!$B$2:$B$501,"&lt;="&amp;C841),IF(n=0,"",LET(t,MAXIFS(Bank_Rates!$B$2:$B$501,Bank_Rates!$A$2:$A$501,H841,Bank_Rates!$B$2:$B$501,"&lt;="&amp;C841),m,COUNTIFS(Bank_Rates!$A$2:$A$501,H841,Bank_Rates!$B$2:$B$501,t,Bank_Rates!$D$2:$D$501,"&lt;="&amp;G841),IF(m=0,"",LET(d,MAXIFS(Bank_Rates!$D$2:$D$501,Bank_Rates!$A$2:$A$501,H841,Bank_Rates!$B$2:$B$501,t,Bank_Rates!$D$2:$D$501,"&lt;="&amp;G841),SUMIFS(Bank_Rates!$C$2:$C$501,Bank_Rates!$A$2:$A$501,H841,Bank_Rates!$B$2:$B$501,t,Bank_Rates!$D$2:$D$501,d)))))))</f>
        <v/>
      </c>
      <c r="K841" s="6" t="str">
        <f t="shared" si="26"/>
        <v/>
      </c>
    </row>
    <row r="842" spans="1:11">
      <c r="A842" s="18" t="str">
        <f t="shared" si="27"/>
        <v/>
      </c>
      <c r="B842" s="13"/>
      <c r="C842" s="14"/>
      <c r="D842" s="3"/>
      <c r="E842" s="3"/>
      <c r="F842" s="14"/>
      <c r="G842" s="7">
        <f>RawObservationsTable[[#This Row],[Maturity Date]]-RawObservationsTable[[#This Row],[Timestamp]]</f>
        <v>0</v>
      </c>
      <c r="H842" s="2"/>
      <c r="I842" s="4"/>
      <c r="J842" s="5" t="str">
        <f>IF(OR(H842="",G842="",C842=""),"",LET(n,COUNTIFS(Bank_Rates!$A$2:$A$501,H842,Bank_Rates!$B$2:$B$501,"&lt;="&amp;C842),IF(n=0,"",LET(t,MAXIFS(Bank_Rates!$B$2:$B$501,Bank_Rates!$A$2:$A$501,H842,Bank_Rates!$B$2:$B$501,"&lt;="&amp;C842),m,COUNTIFS(Bank_Rates!$A$2:$A$501,H842,Bank_Rates!$B$2:$B$501,t,Bank_Rates!$D$2:$D$501,"&lt;="&amp;G842),IF(m=0,"",LET(d,MAXIFS(Bank_Rates!$D$2:$D$501,Bank_Rates!$A$2:$A$501,H842,Bank_Rates!$B$2:$B$501,t,Bank_Rates!$D$2:$D$501,"&lt;="&amp;G842),SUMIFS(Bank_Rates!$C$2:$C$501,Bank_Rates!$A$2:$A$501,H842,Bank_Rates!$B$2:$B$501,t,Bank_Rates!$D$2:$D$501,d)))))))</f>
        <v/>
      </c>
      <c r="K842" s="6" t="str">
        <f t="shared" si="26"/>
        <v/>
      </c>
    </row>
    <row r="843" spans="1:11">
      <c r="A843" s="18" t="str">
        <f t="shared" si="27"/>
        <v/>
      </c>
      <c r="B843" s="13"/>
      <c r="C843" s="14"/>
      <c r="D843" s="3"/>
      <c r="E843" s="3"/>
      <c r="F843" s="14"/>
      <c r="G843" s="7">
        <f>RawObservationsTable[[#This Row],[Maturity Date]]-RawObservationsTable[[#This Row],[Timestamp]]</f>
        <v>0</v>
      </c>
      <c r="H843" s="2"/>
      <c r="I843" s="4"/>
      <c r="J843" s="5" t="str">
        <f>IF(OR(H843="",G843="",C843=""),"",LET(n,COUNTIFS(Bank_Rates!$A$2:$A$501,H843,Bank_Rates!$B$2:$B$501,"&lt;="&amp;C843),IF(n=0,"",LET(t,MAXIFS(Bank_Rates!$B$2:$B$501,Bank_Rates!$A$2:$A$501,H843,Bank_Rates!$B$2:$B$501,"&lt;="&amp;C843),m,COUNTIFS(Bank_Rates!$A$2:$A$501,H843,Bank_Rates!$B$2:$B$501,t,Bank_Rates!$D$2:$D$501,"&lt;="&amp;G843),IF(m=0,"",LET(d,MAXIFS(Bank_Rates!$D$2:$D$501,Bank_Rates!$A$2:$A$501,H843,Bank_Rates!$B$2:$B$501,t,Bank_Rates!$D$2:$D$501,"&lt;="&amp;G843),SUMIFS(Bank_Rates!$C$2:$C$501,Bank_Rates!$A$2:$A$501,H843,Bank_Rates!$B$2:$B$501,t,Bank_Rates!$D$2:$D$501,d)))))))</f>
        <v/>
      </c>
      <c r="K843" s="6" t="str">
        <f t="shared" si="26"/>
        <v/>
      </c>
    </row>
    <row r="844" spans="1:11">
      <c r="A844" s="18" t="str">
        <f t="shared" si="27"/>
        <v/>
      </c>
      <c r="B844" s="13"/>
      <c r="C844" s="14"/>
      <c r="D844" s="3"/>
      <c r="E844" s="3"/>
      <c r="F844" s="14"/>
      <c r="G844" s="7">
        <f>RawObservationsTable[[#This Row],[Maturity Date]]-RawObservationsTable[[#This Row],[Timestamp]]</f>
        <v>0</v>
      </c>
      <c r="H844" s="2"/>
      <c r="I844" s="4"/>
      <c r="J844" s="5" t="str">
        <f>IF(OR(H844="",G844="",C844=""),"",LET(n,COUNTIFS(Bank_Rates!$A$2:$A$501,H844,Bank_Rates!$B$2:$B$501,"&lt;="&amp;C844),IF(n=0,"",LET(t,MAXIFS(Bank_Rates!$B$2:$B$501,Bank_Rates!$A$2:$A$501,H844,Bank_Rates!$B$2:$B$501,"&lt;="&amp;C844),m,COUNTIFS(Bank_Rates!$A$2:$A$501,H844,Bank_Rates!$B$2:$B$501,t,Bank_Rates!$D$2:$D$501,"&lt;="&amp;G844),IF(m=0,"",LET(d,MAXIFS(Bank_Rates!$D$2:$D$501,Bank_Rates!$A$2:$A$501,H844,Bank_Rates!$B$2:$B$501,t,Bank_Rates!$D$2:$D$501,"&lt;="&amp;G844),SUMIFS(Bank_Rates!$C$2:$C$501,Bank_Rates!$A$2:$A$501,H844,Bank_Rates!$B$2:$B$501,t,Bank_Rates!$D$2:$D$501,d)))))))</f>
        <v/>
      </c>
      <c r="K844" s="6" t="str">
        <f t="shared" si="26"/>
        <v/>
      </c>
    </row>
    <row r="845" spans="1:11">
      <c r="A845" s="18" t="str">
        <f t="shared" si="27"/>
        <v/>
      </c>
      <c r="B845" s="13"/>
      <c r="C845" s="14"/>
      <c r="D845" s="3"/>
      <c r="E845" s="3"/>
      <c r="F845" s="14"/>
      <c r="G845" s="7">
        <f>RawObservationsTable[[#This Row],[Maturity Date]]-RawObservationsTable[[#This Row],[Timestamp]]</f>
        <v>0</v>
      </c>
      <c r="H845" s="2"/>
      <c r="I845" s="4"/>
      <c r="J845" s="5" t="str">
        <f>IF(OR(H845="",G845="",C845=""),"",LET(n,COUNTIFS(Bank_Rates!$A$2:$A$501,H845,Bank_Rates!$B$2:$B$501,"&lt;="&amp;C845),IF(n=0,"",LET(t,MAXIFS(Bank_Rates!$B$2:$B$501,Bank_Rates!$A$2:$A$501,H845,Bank_Rates!$B$2:$B$501,"&lt;="&amp;C845),m,COUNTIFS(Bank_Rates!$A$2:$A$501,H845,Bank_Rates!$B$2:$B$501,t,Bank_Rates!$D$2:$D$501,"&lt;="&amp;G845),IF(m=0,"",LET(d,MAXIFS(Bank_Rates!$D$2:$D$501,Bank_Rates!$A$2:$A$501,H845,Bank_Rates!$B$2:$B$501,t,Bank_Rates!$D$2:$D$501,"&lt;="&amp;G845),SUMIFS(Bank_Rates!$C$2:$C$501,Bank_Rates!$A$2:$A$501,H845,Bank_Rates!$B$2:$B$501,t,Bank_Rates!$D$2:$D$501,d)))))))</f>
        <v/>
      </c>
      <c r="K845" s="6" t="str">
        <f t="shared" si="26"/>
        <v/>
      </c>
    </row>
    <row r="846" spans="1:11">
      <c r="A846" s="18" t="str">
        <f t="shared" si="27"/>
        <v/>
      </c>
      <c r="B846" s="13"/>
      <c r="C846" s="14"/>
      <c r="D846" s="3"/>
      <c r="E846" s="3"/>
      <c r="F846" s="14"/>
      <c r="G846" s="7">
        <f>RawObservationsTable[[#This Row],[Maturity Date]]-RawObservationsTable[[#This Row],[Timestamp]]</f>
        <v>0</v>
      </c>
      <c r="H846" s="2"/>
      <c r="I846" s="4"/>
      <c r="J846" s="5" t="str">
        <f>IF(OR(H846="",G846="",C846=""),"",LET(n,COUNTIFS(Bank_Rates!$A$2:$A$501,H846,Bank_Rates!$B$2:$B$501,"&lt;="&amp;C846),IF(n=0,"",LET(t,MAXIFS(Bank_Rates!$B$2:$B$501,Bank_Rates!$A$2:$A$501,H846,Bank_Rates!$B$2:$B$501,"&lt;="&amp;C846),m,COUNTIFS(Bank_Rates!$A$2:$A$501,H846,Bank_Rates!$B$2:$B$501,t,Bank_Rates!$D$2:$D$501,"&lt;="&amp;G846),IF(m=0,"",LET(d,MAXIFS(Bank_Rates!$D$2:$D$501,Bank_Rates!$A$2:$A$501,H846,Bank_Rates!$B$2:$B$501,t,Bank_Rates!$D$2:$D$501,"&lt;="&amp;G846),SUMIFS(Bank_Rates!$C$2:$C$501,Bank_Rates!$A$2:$A$501,H846,Bank_Rates!$B$2:$B$501,t,Bank_Rates!$D$2:$D$501,d)))))))</f>
        <v/>
      </c>
      <c r="K846" s="6" t="str">
        <f t="shared" si="26"/>
        <v/>
      </c>
    </row>
    <row r="847" spans="1:11">
      <c r="A847" s="18" t="str">
        <f t="shared" si="27"/>
        <v/>
      </c>
      <c r="B847" s="13"/>
      <c r="C847" s="14"/>
      <c r="D847" s="3"/>
      <c r="E847" s="3"/>
      <c r="F847" s="14"/>
      <c r="G847" s="7">
        <f>RawObservationsTable[[#This Row],[Maturity Date]]-RawObservationsTable[[#This Row],[Timestamp]]</f>
        <v>0</v>
      </c>
      <c r="H847" s="2"/>
      <c r="I847" s="4"/>
      <c r="J847" s="5" t="str">
        <f>IF(OR(H847="",G847="",C847=""),"",LET(n,COUNTIFS(Bank_Rates!$A$2:$A$501,H847,Bank_Rates!$B$2:$B$501,"&lt;="&amp;C847),IF(n=0,"",LET(t,MAXIFS(Bank_Rates!$B$2:$B$501,Bank_Rates!$A$2:$A$501,H847,Bank_Rates!$B$2:$B$501,"&lt;="&amp;C847),m,COUNTIFS(Bank_Rates!$A$2:$A$501,H847,Bank_Rates!$B$2:$B$501,t,Bank_Rates!$D$2:$D$501,"&lt;="&amp;G847),IF(m=0,"",LET(d,MAXIFS(Bank_Rates!$D$2:$D$501,Bank_Rates!$A$2:$A$501,H847,Bank_Rates!$B$2:$B$501,t,Bank_Rates!$D$2:$D$501,"&lt;="&amp;G847),SUMIFS(Bank_Rates!$C$2:$C$501,Bank_Rates!$A$2:$A$501,H847,Bank_Rates!$B$2:$B$501,t,Bank_Rates!$D$2:$D$501,d)))))))</f>
        <v/>
      </c>
      <c r="K847" s="6" t="str">
        <f t="shared" si="26"/>
        <v/>
      </c>
    </row>
    <row r="848" spans="1:11">
      <c r="A848" s="18" t="str">
        <f t="shared" si="27"/>
        <v/>
      </c>
      <c r="B848" s="13"/>
      <c r="C848" s="14"/>
      <c r="D848" s="3"/>
      <c r="E848" s="3"/>
      <c r="F848" s="14"/>
      <c r="G848" s="7">
        <f>RawObservationsTable[[#This Row],[Maturity Date]]-RawObservationsTable[[#This Row],[Timestamp]]</f>
        <v>0</v>
      </c>
      <c r="H848" s="2"/>
      <c r="I848" s="4"/>
      <c r="J848" s="5" t="str">
        <f>IF(OR(H848="",G848="",C848=""),"",LET(n,COUNTIFS(Bank_Rates!$A$2:$A$501,H848,Bank_Rates!$B$2:$B$501,"&lt;="&amp;C848),IF(n=0,"",LET(t,MAXIFS(Bank_Rates!$B$2:$B$501,Bank_Rates!$A$2:$A$501,H848,Bank_Rates!$B$2:$B$501,"&lt;="&amp;C848),m,COUNTIFS(Bank_Rates!$A$2:$A$501,H848,Bank_Rates!$B$2:$B$501,t,Bank_Rates!$D$2:$D$501,"&lt;="&amp;G848),IF(m=0,"",LET(d,MAXIFS(Bank_Rates!$D$2:$D$501,Bank_Rates!$A$2:$A$501,H848,Bank_Rates!$B$2:$B$501,t,Bank_Rates!$D$2:$D$501,"&lt;="&amp;G848),SUMIFS(Bank_Rates!$C$2:$C$501,Bank_Rates!$A$2:$A$501,H848,Bank_Rates!$B$2:$B$501,t,Bank_Rates!$D$2:$D$501,d)))))))</f>
        <v/>
      </c>
      <c r="K848" s="6" t="str">
        <f t="shared" si="26"/>
        <v/>
      </c>
    </row>
    <row r="849" spans="1:11">
      <c r="A849" s="18" t="str">
        <f t="shared" si="27"/>
        <v/>
      </c>
      <c r="B849" s="13"/>
      <c r="C849" s="14"/>
      <c r="D849" s="3"/>
      <c r="E849" s="3"/>
      <c r="F849" s="14"/>
      <c r="G849" s="7">
        <f>RawObservationsTable[[#This Row],[Maturity Date]]-RawObservationsTable[[#This Row],[Timestamp]]</f>
        <v>0</v>
      </c>
      <c r="H849" s="2"/>
      <c r="I849" s="4"/>
      <c r="J849" s="5" t="str">
        <f>IF(OR(H849="",G849="",C849=""),"",LET(n,COUNTIFS(Bank_Rates!$A$2:$A$501,H849,Bank_Rates!$B$2:$B$501,"&lt;="&amp;C849),IF(n=0,"",LET(t,MAXIFS(Bank_Rates!$B$2:$B$501,Bank_Rates!$A$2:$A$501,H849,Bank_Rates!$B$2:$B$501,"&lt;="&amp;C849),m,COUNTIFS(Bank_Rates!$A$2:$A$501,H849,Bank_Rates!$B$2:$B$501,t,Bank_Rates!$D$2:$D$501,"&lt;="&amp;G849),IF(m=0,"",LET(d,MAXIFS(Bank_Rates!$D$2:$D$501,Bank_Rates!$A$2:$A$501,H849,Bank_Rates!$B$2:$B$501,t,Bank_Rates!$D$2:$D$501,"&lt;="&amp;G849),SUMIFS(Bank_Rates!$C$2:$C$501,Bank_Rates!$A$2:$A$501,H849,Bank_Rates!$B$2:$B$501,t,Bank_Rates!$D$2:$D$501,d)))))))</f>
        <v/>
      </c>
      <c r="K849" s="6" t="str">
        <f t="shared" si="26"/>
        <v/>
      </c>
    </row>
    <row r="850" spans="1:11">
      <c r="A850" s="18" t="str">
        <f t="shared" si="27"/>
        <v/>
      </c>
      <c r="B850" s="13"/>
      <c r="C850" s="14"/>
      <c r="D850" s="3"/>
      <c r="E850" s="3"/>
      <c r="F850" s="14"/>
      <c r="G850" s="7">
        <f>RawObservationsTable[[#This Row],[Maturity Date]]-RawObservationsTable[[#This Row],[Timestamp]]</f>
        <v>0</v>
      </c>
      <c r="H850" s="2"/>
      <c r="I850" s="4"/>
      <c r="J850" s="5" t="str">
        <f>IF(OR(H850="",G850="",C850=""),"",LET(n,COUNTIFS(Bank_Rates!$A$2:$A$501,H850,Bank_Rates!$B$2:$B$501,"&lt;="&amp;C850),IF(n=0,"",LET(t,MAXIFS(Bank_Rates!$B$2:$B$501,Bank_Rates!$A$2:$A$501,H850,Bank_Rates!$B$2:$B$501,"&lt;="&amp;C850),m,COUNTIFS(Bank_Rates!$A$2:$A$501,H850,Bank_Rates!$B$2:$B$501,t,Bank_Rates!$D$2:$D$501,"&lt;="&amp;G850),IF(m=0,"",LET(d,MAXIFS(Bank_Rates!$D$2:$D$501,Bank_Rates!$A$2:$A$501,H850,Bank_Rates!$B$2:$B$501,t,Bank_Rates!$D$2:$D$501,"&lt;="&amp;G850),SUMIFS(Bank_Rates!$C$2:$C$501,Bank_Rates!$A$2:$A$501,H850,Bank_Rates!$B$2:$B$501,t,Bank_Rates!$D$2:$D$501,d)))))))</f>
        <v/>
      </c>
      <c r="K850" s="6" t="str">
        <f t="shared" si="26"/>
        <v/>
      </c>
    </row>
    <row r="851" spans="1:11">
      <c r="A851" s="18" t="str">
        <f t="shared" si="27"/>
        <v/>
      </c>
      <c r="B851" s="13"/>
      <c r="C851" s="14"/>
      <c r="D851" s="3"/>
      <c r="E851" s="3"/>
      <c r="F851" s="14"/>
      <c r="G851" s="7">
        <f>RawObservationsTable[[#This Row],[Maturity Date]]-RawObservationsTable[[#This Row],[Timestamp]]</f>
        <v>0</v>
      </c>
      <c r="H851" s="2"/>
      <c r="I851" s="4"/>
      <c r="J851" s="5" t="str">
        <f>IF(OR(H851="",G851="",C851=""),"",LET(n,COUNTIFS(Bank_Rates!$A$2:$A$501,H851,Bank_Rates!$B$2:$B$501,"&lt;="&amp;C851),IF(n=0,"",LET(t,MAXIFS(Bank_Rates!$B$2:$B$501,Bank_Rates!$A$2:$A$501,H851,Bank_Rates!$B$2:$B$501,"&lt;="&amp;C851),m,COUNTIFS(Bank_Rates!$A$2:$A$501,H851,Bank_Rates!$B$2:$B$501,t,Bank_Rates!$D$2:$D$501,"&lt;="&amp;G851),IF(m=0,"",LET(d,MAXIFS(Bank_Rates!$D$2:$D$501,Bank_Rates!$A$2:$A$501,H851,Bank_Rates!$B$2:$B$501,t,Bank_Rates!$D$2:$D$501,"&lt;="&amp;G851),SUMIFS(Bank_Rates!$C$2:$C$501,Bank_Rates!$A$2:$A$501,H851,Bank_Rates!$B$2:$B$501,t,Bank_Rates!$D$2:$D$501,d)))))))</f>
        <v/>
      </c>
      <c r="K851" s="6" t="str">
        <f t="shared" si="26"/>
        <v/>
      </c>
    </row>
    <row r="852" spans="1:11">
      <c r="A852" s="18" t="str">
        <f t="shared" si="27"/>
        <v/>
      </c>
      <c r="B852" s="13"/>
      <c r="C852" s="14"/>
      <c r="D852" s="3"/>
      <c r="E852" s="3"/>
      <c r="F852" s="14"/>
      <c r="G852" s="7">
        <f>RawObservationsTable[[#This Row],[Maturity Date]]-RawObservationsTable[[#This Row],[Timestamp]]</f>
        <v>0</v>
      </c>
      <c r="H852" s="2"/>
      <c r="I852" s="4"/>
      <c r="J852" s="5" t="str">
        <f>IF(OR(H852="",G852="",C852=""),"",LET(n,COUNTIFS(Bank_Rates!$A$2:$A$501,H852,Bank_Rates!$B$2:$B$501,"&lt;="&amp;C852),IF(n=0,"",LET(t,MAXIFS(Bank_Rates!$B$2:$B$501,Bank_Rates!$A$2:$A$501,H852,Bank_Rates!$B$2:$B$501,"&lt;="&amp;C852),m,COUNTIFS(Bank_Rates!$A$2:$A$501,H852,Bank_Rates!$B$2:$B$501,t,Bank_Rates!$D$2:$D$501,"&lt;="&amp;G852),IF(m=0,"",LET(d,MAXIFS(Bank_Rates!$D$2:$D$501,Bank_Rates!$A$2:$A$501,H852,Bank_Rates!$B$2:$B$501,t,Bank_Rates!$D$2:$D$501,"&lt;="&amp;G852),SUMIFS(Bank_Rates!$C$2:$C$501,Bank_Rates!$A$2:$A$501,H852,Bank_Rates!$B$2:$B$501,t,Bank_Rates!$D$2:$D$501,d)))))))</f>
        <v/>
      </c>
      <c r="K852" s="6" t="str">
        <f t="shared" si="26"/>
        <v/>
      </c>
    </row>
    <row r="853" spans="1:11">
      <c r="A853" s="18" t="str">
        <f t="shared" si="27"/>
        <v/>
      </c>
      <c r="B853" s="13"/>
      <c r="C853" s="14"/>
      <c r="D853" s="3"/>
      <c r="E853" s="3"/>
      <c r="F853" s="14"/>
      <c r="G853" s="7">
        <f>RawObservationsTable[[#This Row],[Maturity Date]]-RawObservationsTable[[#This Row],[Timestamp]]</f>
        <v>0</v>
      </c>
      <c r="H853" s="2"/>
      <c r="I853" s="4"/>
      <c r="J853" s="5" t="str">
        <f>IF(OR(H853="",G853="",C853=""),"",LET(n,COUNTIFS(Bank_Rates!$A$2:$A$501,H853,Bank_Rates!$B$2:$B$501,"&lt;="&amp;C853),IF(n=0,"",LET(t,MAXIFS(Bank_Rates!$B$2:$B$501,Bank_Rates!$A$2:$A$501,H853,Bank_Rates!$B$2:$B$501,"&lt;="&amp;C853),m,COUNTIFS(Bank_Rates!$A$2:$A$501,H853,Bank_Rates!$B$2:$B$501,t,Bank_Rates!$D$2:$D$501,"&lt;="&amp;G853),IF(m=0,"",LET(d,MAXIFS(Bank_Rates!$D$2:$D$501,Bank_Rates!$A$2:$A$501,H853,Bank_Rates!$B$2:$B$501,t,Bank_Rates!$D$2:$D$501,"&lt;="&amp;G853),SUMIFS(Bank_Rates!$C$2:$C$501,Bank_Rates!$A$2:$A$501,H853,Bank_Rates!$B$2:$B$501,t,Bank_Rates!$D$2:$D$501,d)))))))</f>
        <v/>
      </c>
      <c r="K853" s="6" t="str">
        <f t="shared" si="26"/>
        <v/>
      </c>
    </row>
    <row r="854" spans="1:11">
      <c r="A854" s="18" t="str">
        <f t="shared" si="27"/>
        <v/>
      </c>
      <c r="B854" s="13"/>
      <c r="C854" s="14"/>
      <c r="D854" s="3"/>
      <c r="E854" s="3"/>
      <c r="F854" s="14"/>
      <c r="G854" s="7">
        <f>RawObservationsTable[[#This Row],[Maturity Date]]-RawObservationsTable[[#This Row],[Timestamp]]</f>
        <v>0</v>
      </c>
      <c r="H854" s="2"/>
      <c r="I854" s="4"/>
      <c r="J854" s="5" t="str">
        <f>IF(OR(H854="",G854="",C854=""),"",LET(n,COUNTIFS(Bank_Rates!$A$2:$A$501,H854,Bank_Rates!$B$2:$B$501,"&lt;="&amp;C854),IF(n=0,"",LET(t,MAXIFS(Bank_Rates!$B$2:$B$501,Bank_Rates!$A$2:$A$501,H854,Bank_Rates!$B$2:$B$501,"&lt;="&amp;C854),m,COUNTIFS(Bank_Rates!$A$2:$A$501,H854,Bank_Rates!$B$2:$B$501,t,Bank_Rates!$D$2:$D$501,"&lt;="&amp;G854),IF(m=0,"",LET(d,MAXIFS(Bank_Rates!$D$2:$D$501,Bank_Rates!$A$2:$A$501,H854,Bank_Rates!$B$2:$B$501,t,Bank_Rates!$D$2:$D$501,"&lt;="&amp;G854),SUMIFS(Bank_Rates!$C$2:$C$501,Bank_Rates!$A$2:$A$501,H854,Bank_Rates!$B$2:$B$501,t,Bank_Rates!$D$2:$D$501,d)))))))</f>
        <v/>
      </c>
      <c r="K854" s="6" t="str">
        <f t="shared" si="26"/>
        <v/>
      </c>
    </row>
    <row r="855" spans="1:11">
      <c r="A855" s="18" t="str">
        <f t="shared" si="27"/>
        <v/>
      </c>
      <c r="B855" s="13"/>
      <c r="C855" s="14"/>
      <c r="D855" s="3"/>
      <c r="E855" s="3"/>
      <c r="F855" s="14"/>
      <c r="G855" s="7">
        <f>RawObservationsTable[[#This Row],[Maturity Date]]-RawObservationsTable[[#This Row],[Timestamp]]</f>
        <v>0</v>
      </c>
      <c r="H855" s="2"/>
      <c r="I855" s="4"/>
      <c r="J855" s="5" t="str">
        <f>IF(OR(H855="",G855="",C855=""),"",LET(n,COUNTIFS(Bank_Rates!$A$2:$A$501,H855,Bank_Rates!$B$2:$B$501,"&lt;="&amp;C855),IF(n=0,"",LET(t,MAXIFS(Bank_Rates!$B$2:$B$501,Bank_Rates!$A$2:$A$501,H855,Bank_Rates!$B$2:$B$501,"&lt;="&amp;C855),m,COUNTIFS(Bank_Rates!$A$2:$A$501,H855,Bank_Rates!$B$2:$B$501,t,Bank_Rates!$D$2:$D$501,"&lt;="&amp;G855),IF(m=0,"",LET(d,MAXIFS(Bank_Rates!$D$2:$D$501,Bank_Rates!$A$2:$A$501,H855,Bank_Rates!$B$2:$B$501,t,Bank_Rates!$D$2:$D$501,"&lt;="&amp;G855),SUMIFS(Bank_Rates!$C$2:$C$501,Bank_Rates!$A$2:$A$501,H855,Bank_Rates!$B$2:$B$501,t,Bank_Rates!$D$2:$D$501,d)))))))</f>
        <v/>
      </c>
      <c r="K855" s="6" t="str">
        <f t="shared" si="26"/>
        <v/>
      </c>
    </row>
    <row r="856" spans="1:11">
      <c r="A856" s="18" t="str">
        <f t="shared" si="27"/>
        <v/>
      </c>
      <c r="B856" s="13"/>
      <c r="C856" s="14"/>
      <c r="D856" s="3"/>
      <c r="E856" s="3"/>
      <c r="F856" s="14"/>
      <c r="G856" s="7">
        <f>RawObservationsTable[[#This Row],[Maturity Date]]-RawObservationsTable[[#This Row],[Timestamp]]</f>
        <v>0</v>
      </c>
      <c r="H856" s="2"/>
      <c r="I856" s="4"/>
      <c r="J856" s="5" t="str">
        <f>IF(OR(H856="",G856="",C856=""),"",LET(n,COUNTIFS(Bank_Rates!$A$2:$A$501,H856,Bank_Rates!$B$2:$B$501,"&lt;="&amp;C856),IF(n=0,"",LET(t,MAXIFS(Bank_Rates!$B$2:$B$501,Bank_Rates!$A$2:$A$501,H856,Bank_Rates!$B$2:$B$501,"&lt;="&amp;C856),m,COUNTIFS(Bank_Rates!$A$2:$A$501,H856,Bank_Rates!$B$2:$B$501,t,Bank_Rates!$D$2:$D$501,"&lt;="&amp;G856),IF(m=0,"",LET(d,MAXIFS(Bank_Rates!$D$2:$D$501,Bank_Rates!$A$2:$A$501,H856,Bank_Rates!$B$2:$B$501,t,Bank_Rates!$D$2:$D$501,"&lt;="&amp;G856),SUMIFS(Bank_Rates!$C$2:$C$501,Bank_Rates!$A$2:$A$501,H856,Bank_Rates!$B$2:$B$501,t,Bank_Rates!$D$2:$D$501,d)))))))</f>
        <v/>
      </c>
      <c r="K856" s="6" t="str">
        <f t="shared" si="26"/>
        <v/>
      </c>
    </row>
    <row r="857" spans="1:11">
      <c r="A857" s="18" t="str">
        <f t="shared" si="27"/>
        <v/>
      </c>
      <c r="B857" s="13"/>
      <c r="C857" s="14"/>
      <c r="D857" s="3"/>
      <c r="E857" s="3"/>
      <c r="F857" s="14"/>
      <c r="G857" s="7">
        <f>RawObservationsTable[[#This Row],[Maturity Date]]-RawObservationsTable[[#This Row],[Timestamp]]</f>
        <v>0</v>
      </c>
      <c r="H857" s="2"/>
      <c r="I857" s="4"/>
      <c r="J857" s="5" t="str">
        <f>IF(OR(H857="",G857="",C857=""),"",LET(n,COUNTIFS(Bank_Rates!$A$2:$A$501,H857,Bank_Rates!$B$2:$B$501,"&lt;="&amp;C857),IF(n=0,"",LET(t,MAXIFS(Bank_Rates!$B$2:$B$501,Bank_Rates!$A$2:$A$501,H857,Bank_Rates!$B$2:$B$501,"&lt;="&amp;C857),m,COUNTIFS(Bank_Rates!$A$2:$A$501,H857,Bank_Rates!$B$2:$B$501,t,Bank_Rates!$D$2:$D$501,"&lt;="&amp;G857),IF(m=0,"",LET(d,MAXIFS(Bank_Rates!$D$2:$D$501,Bank_Rates!$A$2:$A$501,H857,Bank_Rates!$B$2:$B$501,t,Bank_Rates!$D$2:$D$501,"&lt;="&amp;G857),SUMIFS(Bank_Rates!$C$2:$C$501,Bank_Rates!$A$2:$A$501,H857,Bank_Rates!$B$2:$B$501,t,Bank_Rates!$D$2:$D$501,d)))))))</f>
        <v/>
      </c>
      <c r="K857" s="6" t="str">
        <f t="shared" si="26"/>
        <v/>
      </c>
    </row>
    <row r="858" spans="1:11">
      <c r="A858" s="18" t="str">
        <f t="shared" si="27"/>
        <v/>
      </c>
      <c r="B858" s="13"/>
      <c r="C858" s="14"/>
      <c r="D858" s="3"/>
      <c r="E858" s="3"/>
      <c r="F858" s="14"/>
      <c r="G858" s="7">
        <f>RawObservationsTable[[#This Row],[Maturity Date]]-RawObservationsTable[[#This Row],[Timestamp]]</f>
        <v>0</v>
      </c>
      <c r="H858" s="2"/>
      <c r="I858" s="4"/>
      <c r="J858" s="5" t="str">
        <f>IF(OR(H858="",G858="",C858=""),"",LET(n,COUNTIFS(Bank_Rates!$A$2:$A$501,H858,Bank_Rates!$B$2:$B$501,"&lt;="&amp;C858),IF(n=0,"",LET(t,MAXIFS(Bank_Rates!$B$2:$B$501,Bank_Rates!$A$2:$A$501,H858,Bank_Rates!$B$2:$B$501,"&lt;="&amp;C858),m,COUNTIFS(Bank_Rates!$A$2:$A$501,H858,Bank_Rates!$B$2:$B$501,t,Bank_Rates!$D$2:$D$501,"&lt;="&amp;G858),IF(m=0,"",LET(d,MAXIFS(Bank_Rates!$D$2:$D$501,Bank_Rates!$A$2:$A$501,H858,Bank_Rates!$B$2:$B$501,t,Bank_Rates!$D$2:$D$501,"&lt;="&amp;G858),SUMIFS(Bank_Rates!$C$2:$C$501,Bank_Rates!$A$2:$A$501,H858,Bank_Rates!$B$2:$B$501,t,Bank_Rates!$D$2:$D$501,d)))))))</f>
        <v/>
      </c>
      <c r="K858" s="6" t="str">
        <f t="shared" si="26"/>
        <v/>
      </c>
    </row>
    <row r="859" spans="1:11">
      <c r="A859" s="18" t="str">
        <f t="shared" si="27"/>
        <v/>
      </c>
      <c r="B859" s="13"/>
      <c r="C859" s="14"/>
      <c r="D859" s="3"/>
      <c r="E859" s="3"/>
      <c r="F859" s="14"/>
      <c r="G859" s="7">
        <f>RawObservationsTable[[#This Row],[Maturity Date]]-RawObservationsTable[[#This Row],[Timestamp]]</f>
        <v>0</v>
      </c>
      <c r="H859" s="2"/>
      <c r="I859" s="4"/>
      <c r="J859" s="5" t="str">
        <f>IF(OR(H859="",G859="",C859=""),"",LET(n,COUNTIFS(Bank_Rates!$A$2:$A$501,H859,Bank_Rates!$B$2:$B$501,"&lt;="&amp;C859),IF(n=0,"",LET(t,MAXIFS(Bank_Rates!$B$2:$B$501,Bank_Rates!$A$2:$A$501,H859,Bank_Rates!$B$2:$B$501,"&lt;="&amp;C859),m,COUNTIFS(Bank_Rates!$A$2:$A$501,H859,Bank_Rates!$B$2:$B$501,t,Bank_Rates!$D$2:$D$501,"&lt;="&amp;G859),IF(m=0,"",LET(d,MAXIFS(Bank_Rates!$D$2:$D$501,Bank_Rates!$A$2:$A$501,H859,Bank_Rates!$B$2:$B$501,t,Bank_Rates!$D$2:$D$501,"&lt;="&amp;G859),SUMIFS(Bank_Rates!$C$2:$C$501,Bank_Rates!$A$2:$A$501,H859,Bank_Rates!$B$2:$B$501,t,Bank_Rates!$D$2:$D$501,d)))))))</f>
        <v/>
      </c>
      <c r="K859" s="6" t="str">
        <f t="shared" si="26"/>
        <v/>
      </c>
    </row>
    <row r="860" spans="1:11">
      <c r="A860" s="18" t="str">
        <f t="shared" si="27"/>
        <v/>
      </c>
      <c r="B860" s="13"/>
      <c r="C860" s="14"/>
      <c r="D860" s="3"/>
      <c r="E860" s="3"/>
      <c r="F860" s="14"/>
      <c r="G860" s="7">
        <f>RawObservationsTable[[#This Row],[Maturity Date]]-RawObservationsTable[[#This Row],[Timestamp]]</f>
        <v>0</v>
      </c>
      <c r="H860" s="2"/>
      <c r="I860" s="4"/>
      <c r="J860" s="5" t="str">
        <f>IF(OR(H860="",G860="",C860=""),"",LET(n,COUNTIFS(Bank_Rates!$A$2:$A$501,H860,Bank_Rates!$B$2:$B$501,"&lt;="&amp;C860),IF(n=0,"",LET(t,MAXIFS(Bank_Rates!$B$2:$B$501,Bank_Rates!$A$2:$A$501,H860,Bank_Rates!$B$2:$B$501,"&lt;="&amp;C860),m,COUNTIFS(Bank_Rates!$A$2:$A$501,H860,Bank_Rates!$B$2:$B$501,t,Bank_Rates!$D$2:$D$501,"&lt;="&amp;G860),IF(m=0,"",LET(d,MAXIFS(Bank_Rates!$D$2:$D$501,Bank_Rates!$A$2:$A$501,H860,Bank_Rates!$B$2:$B$501,t,Bank_Rates!$D$2:$D$501,"&lt;="&amp;G860),SUMIFS(Bank_Rates!$C$2:$C$501,Bank_Rates!$A$2:$A$501,H860,Bank_Rates!$B$2:$B$501,t,Bank_Rates!$D$2:$D$501,d)))))))</f>
        <v/>
      </c>
      <c r="K860" s="6" t="str">
        <f t="shared" si="26"/>
        <v/>
      </c>
    </row>
    <row r="861" spans="1:11">
      <c r="A861" s="18" t="str">
        <f t="shared" si="27"/>
        <v/>
      </c>
      <c r="B861" s="13"/>
      <c r="C861" s="14"/>
      <c r="D861" s="3"/>
      <c r="E861" s="3"/>
      <c r="F861" s="14"/>
      <c r="G861" s="7">
        <f>RawObservationsTable[[#This Row],[Maturity Date]]-RawObservationsTable[[#This Row],[Timestamp]]</f>
        <v>0</v>
      </c>
      <c r="H861" s="2"/>
      <c r="I861" s="4"/>
      <c r="J861" s="5" t="str">
        <f>IF(OR(H861="",G861="",C861=""),"",LET(n,COUNTIFS(Bank_Rates!$A$2:$A$501,H861,Bank_Rates!$B$2:$B$501,"&lt;="&amp;C861),IF(n=0,"",LET(t,MAXIFS(Bank_Rates!$B$2:$B$501,Bank_Rates!$A$2:$A$501,H861,Bank_Rates!$B$2:$B$501,"&lt;="&amp;C861),m,COUNTIFS(Bank_Rates!$A$2:$A$501,H861,Bank_Rates!$B$2:$B$501,t,Bank_Rates!$D$2:$D$501,"&lt;="&amp;G861),IF(m=0,"",LET(d,MAXIFS(Bank_Rates!$D$2:$D$501,Bank_Rates!$A$2:$A$501,H861,Bank_Rates!$B$2:$B$501,t,Bank_Rates!$D$2:$D$501,"&lt;="&amp;G861),SUMIFS(Bank_Rates!$C$2:$C$501,Bank_Rates!$A$2:$A$501,H861,Bank_Rates!$B$2:$B$501,t,Bank_Rates!$D$2:$D$501,d)))))))</f>
        <v/>
      </c>
      <c r="K861" s="6" t="str">
        <f t="shared" si="26"/>
        <v/>
      </c>
    </row>
    <row r="862" spans="1:11">
      <c r="A862" s="18" t="str">
        <f t="shared" si="27"/>
        <v/>
      </c>
      <c r="B862" s="13"/>
      <c r="C862" s="14"/>
      <c r="D862" s="3"/>
      <c r="E862" s="3"/>
      <c r="F862" s="14"/>
      <c r="G862" s="7">
        <f>RawObservationsTable[[#This Row],[Maturity Date]]-RawObservationsTable[[#This Row],[Timestamp]]</f>
        <v>0</v>
      </c>
      <c r="H862" s="2"/>
      <c r="I862" s="4"/>
      <c r="J862" s="5" t="str">
        <f>IF(OR(H862="",G862="",C862=""),"",LET(n,COUNTIFS(Bank_Rates!$A$2:$A$501,H862,Bank_Rates!$B$2:$B$501,"&lt;="&amp;C862),IF(n=0,"",LET(t,MAXIFS(Bank_Rates!$B$2:$B$501,Bank_Rates!$A$2:$A$501,H862,Bank_Rates!$B$2:$B$501,"&lt;="&amp;C862),m,COUNTIFS(Bank_Rates!$A$2:$A$501,H862,Bank_Rates!$B$2:$B$501,t,Bank_Rates!$D$2:$D$501,"&lt;="&amp;G862),IF(m=0,"",LET(d,MAXIFS(Bank_Rates!$D$2:$D$501,Bank_Rates!$A$2:$A$501,H862,Bank_Rates!$B$2:$B$501,t,Bank_Rates!$D$2:$D$501,"&lt;="&amp;G862),SUMIFS(Bank_Rates!$C$2:$C$501,Bank_Rates!$A$2:$A$501,H862,Bank_Rates!$B$2:$B$501,t,Bank_Rates!$D$2:$D$501,d)))))))</f>
        <v/>
      </c>
      <c r="K862" s="6" t="str">
        <f t="shared" si="26"/>
        <v/>
      </c>
    </row>
    <row r="863" spans="1:11">
      <c r="A863" s="18" t="str">
        <f t="shared" si="27"/>
        <v/>
      </c>
      <c r="B863" s="13"/>
      <c r="C863" s="14"/>
      <c r="D863" s="3"/>
      <c r="E863" s="3"/>
      <c r="F863" s="14"/>
      <c r="G863" s="7">
        <f>RawObservationsTable[[#This Row],[Maturity Date]]-RawObservationsTable[[#This Row],[Timestamp]]</f>
        <v>0</v>
      </c>
      <c r="H863" s="2"/>
      <c r="I863" s="4"/>
      <c r="J863" s="5" t="str">
        <f>IF(OR(H863="",G863="",C863=""),"",LET(n,COUNTIFS(Bank_Rates!$A$2:$A$501,H863,Bank_Rates!$B$2:$B$501,"&lt;="&amp;C863),IF(n=0,"",LET(t,MAXIFS(Bank_Rates!$B$2:$B$501,Bank_Rates!$A$2:$A$501,H863,Bank_Rates!$B$2:$B$501,"&lt;="&amp;C863),m,COUNTIFS(Bank_Rates!$A$2:$A$501,H863,Bank_Rates!$B$2:$B$501,t,Bank_Rates!$D$2:$D$501,"&lt;="&amp;G863),IF(m=0,"",LET(d,MAXIFS(Bank_Rates!$D$2:$D$501,Bank_Rates!$A$2:$A$501,H863,Bank_Rates!$B$2:$B$501,t,Bank_Rates!$D$2:$D$501,"&lt;="&amp;G863),SUMIFS(Bank_Rates!$C$2:$C$501,Bank_Rates!$A$2:$A$501,H863,Bank_Rates!$B$2:$B$501,t,Bank_Rates!$D$2:$D$501,d)))))))</f>
        <v/>
      </c>
      <c r="K863" s="6" t="str">
        <f t="shared" si="26"/>
        <v/>
      </c>
    </row>
    <row r="864" spans="1:11">
      <c r="A864" s="18" t="str">
        <f t="shared" si="27"/>
        <v/>
      </c>
      <c r="B864" s="13"/>
      <c r="C864" s="14"/>
      <c r="D864" s="3"/>
      <c r="E864" s="3"/>
      <c r="F864" s="14"/>
      <c r="G864" s="7">
        <f>RawObservationsTable[[#This Row],[Maturity Date]]-RawObservationsTable[[#This Row],[Timestamp]]</f>
        <v>0</v>
      </c>
      <c r="H864" s="2"/>
      <c r="I864" s="4"/>
      <c r="J864" s="5" t="str">
        <f>IF(OR(H864="",G864="",C864=""),"",LET(n,COUNTIFS(Bank_Rates!$A$2:$A$501,H864,Bank_Rates!$B$2:$B$501,"&lt;="&amp;C864),IF(n=0,"",LET(t,MAXIFS(Bank_Rates!$B$2:$B$501,Bank_Rates!$A$2:$A$501,H864,Bank_Rates!$B$2:$B$501,"&lt;="&amp;C864),m,COUNTIFS(Bank_Rates!$A$2:$A$501,H864,Bank_Rates!$B$2:$B$501,t,Bank_Rates!$D$2:$D$501,"&lt;="&amp;G864),IF(m=0,"",LET(d,MAXIFS(Bank_Rates!$D$2:$D$501,Bank_Rates!$A$2:$A$501,H864,Bank_Rates!$B$2:$B$501,t,Bank_Rates!$D$2:$D$501,"&lt;="&amp;G864),SUMIFS(Bank_Rates!$C$2:$C$501,Bank_Rates!$A$2:$A$501,H864,Bank_Rates!$B$2:$B$501,t,Bank_Rates!$D$2:$D$501,d)))))))</f>
        <v/>
      </c>
      <c r="K864" s="6" t="str">
        <f t="shared" si="26"/>
        <v/>
      </c>
    </row>
    <row r="865" spans="1:11">
      <c r="A865" s="18" t="str">
        <f t="shared" si="27"/>
        <v/>
      </c>
      <c r="B865" s="13"/>
      <c r="C865" s="14"/>
      <c r="D865" s="3"/>
      <c r="E865" s="3"/>
      <c r="F865" s="14"/>
      <c r="G865" s="7">
        <f>RawObservationsTable[[#This Row],[Maturity Date]]-RawObservationsTable[[#This Row],[Timestamp]]</f>
        <v>0</v>
      </c>
      <c r="H865" s="2"/>
      <c r="I865" s="4"/>
      <c r="J865" s="5" t="str">
        <f>IF(OR(H865="",G865="",C865=""),"",LET(n,COUNTIFS(Bank_Rates!$A$2:$A$501,H865,Bank_Rates!$B$2:$B$501,"&lt;="&amp;C865),IF(n=0,"",LET(t,MAXIFS(Bank_Rates!$B$2:$B$501,Bank_Rates!$A$2:$A$501,H865,Bank_Rates!$B$2:$B$501,"&lt;="&amp;C865),m,COUNTIFS(Bank_Rates!$A$2:$A$501,H865,Bank_Rates!$B$2:$B$501,t,Bank_Rates!$D$2:$D$501,"&lt;="&amp;G865),IF(m=0,"",LET(d,MAXIFS(Bank_Rates!$D$2:$D$501,Bank_Rates!$A$2:$A$501,H865,Bank_Rates!$B$2:$B$501,t,Bank_Rates!$D$2:$D$501,"&lt;="&amp;G865),SUMIFS(Bank_Rates!$C$2:$C$501,Bank_Rates!$A$2:$A$501,H865,Bank_Rates!$B$2:$B$501,t,Bank_Rates!$D$2:$D$501,d)))))))</f>
        <v/>
      </c>
      <c r="K865" s="6" t="str">
        <f t="shared" si="26"/>
        <v/>
      </c>
    </row>
    <row r="866" spans="1:11">
      <c r="A866" s="18" t="str">
        <f t="shared" si="27"/>
        <v/>
      </c>
      <c r="B866" s="13"/>
      <c r="C866" s="14"/>
      <c r="D866" s="3"/>
      <c r="E866" s="3"/>
      <c r="F866" s="14"/>
      <c r="G866" s="7">
        <f>RawObservationsTable[[#This Row],[Maturity Date]]-RawObservationsTable[[#This Row],[Timestamp]]</f>
        <v>0</v>
      </c>
      <c r="H866" s="2"/>
      <c r="I866" s="4"/>
      <c r="J866" s="5" t="str">
        <f>IF(OR(H866="",G866="",C866=""),"",LET(n,COUNTIFS(Bank_Rates!$A$2:$A$501,H866,Bank_Rates!$B$2:$B$501,"&lt;="&amp;C866),IF(n=0,"",LET(t,MAXIFS(Bank_Rates!$B$2:$B$501,Bank_Rates!$A$2:$A$501,H866,Bank_Rates!$B$2:$B$501,"&lt;="&amp;C866),m,COUNTIFS(Bank_Rates!$A$2:$A$501,H866,Bank_Rates!$B$2:$B$501,t,Bank_Rates!$D$2:$D$501,"&lt;="&amp;G866),IF(m=0,"",LET(d,MAXIFS(Bank_Rates!$D$2:$D$501,Bank_Rates!$A$2:$A$501,H866,Bank_Rates!$B$2:$B$501,t,Bank_Rates!$D$2:$D$501,"&lt;="&amp;G866),SUMIFS(Bank_Rates!$C$2:$C$501,Bank_Rates!$A$2:$A$501,H866,Bank_Rates!$B$2:$B$501,t,Bank_Rates!$D$2:$D$501,d)))))))</f>
        <v/>
      </c>
      <c r="K866" s="6" t="str">
        <f t="shared" si="26"/>
        <v/>
      </c>
    </row>
    <row r="867" spans="1:11">
      <c r="A867" s="18" t="str">
        <f t="shared" si="27"/>
        <v/>
      </c>
      <c r="B867" s="13"/>
      <c r="C867" s="14"/>
      <c r="D867" s="3"/>
      <c r="E867" s="3"/>
      <c r="F867" s="14"/>
      <c r="G867" s="7">
        <f>RawObservationsTable[[#This Row],[Maturity Date]]-RawObservationsTable[[#This Row],[Timestamp]]</f>
        <v>0</v>
      </c>
      <c r="H867" s="2"/>
      <c r="I867" s="4"/>
      <c r="J867" s="5" t="str">
        <f>IF(OR(H867="",G867="",C867=""),"",LET(n,COUNTIFS(Bank_Rates!$A$2:$A$501,H867,Bank_Rates!$B$2:$B$501,"&lt;="&amp;C867),IF(n=0,"",LET(t,MAXIFS(Bank_Rates!$B$2:$B$501,Bank_Rates!$A$2:$A$501,H867,Bank_Rates!$B$2:$B$501,"&lt;="&amp;C867),m,COUNTIFS(Bank_Rates!$A$2:$A$501,H867,Bank_Rates!$B$2:$B$501,t,Bank_Rates!$D$2:$D$501,"&lt;="&amp;G867),IF(m=0,"",LET(d,MAXIFS(Bank_Rates!$D$2:$D$501,Bank_Rates!$A$2:$A$501,H867,Bank_Rates!$B$2:$B$501,t,Bank_Rates!$D$2:$D$501,"&lt;="&amp;G867),SUMIFS(Bank_Rates!$C$2:$C$501,Bank_Rates!$A$2:$A$501,H867,Bank_Rates!$B$2:$B$501,t,Bank_Rates!$D$2:$D$501,d)))))))</f>
        <v/>
      </c>
      <c r="K867" s="6" t="str">
        <f t="shared" si="26"/>
        <v/>
      </c>
    </row>
    <row r="868" spans="1:11">
      <c r="A868" s="18" t="str">
        <f t="shared" si="27"/>
        <v/>
      </c>
      <c r="B868" s="13"/>
      <c r="C868" s="14"/>
      <c r="D868" s="3"/>
      <c r="E868" s="3"/>
      <c r="F868" s="14"/>
      <c r="G868" s="7">
        <f>RawObservationsTable[[#This Row],[Maturity Date]]-RawObservationsTable[[#This Row],[Timestamp]]</f>
        <v>0</v>
      </c>
      <c r="H868" s="2"/>
      <c r="I868" s="4"/>
      <c r="J868" s="5" t="str">
        <f>IF(OR(H868="",G868="",C868=""),"",LET(n,COUNTIFS(Bank_Rates!$A$2:$A$501,H868,Bank_Rates!$B$2:$B$501,"&lt;="&amp;C868),IF(n=0,"",LET(t,MAXIFS(Bank_Rates!$B$2:$B$501,Bank_Rates!$A$2:$A$501,H868,Bank_Rates!$B$2:$B$501,"&lt;="&amp;C868),m,COUNTIFS(Bank_Rates!$A$2:$A$501,H868,Bank_Rates!$B$2:$B$501,t,Bank_Rates!$D$2:$D$501,"&lt;="&amp;G868),IF(m=0,"",LET(d,MAXIFS(Bank_Rates!$D$2:$D$501,Bank_Rates!$A$2:$A$501,H868,Bank_Rates!$B$2:$B$501,t,Bank_Rates!$D$2:$D$501,"&lt;="&amp;G868),SUMIFS(Bank_Rates!$C$2:$C$501,Bank_Rates!$A$2:$A$501,H868,Bank_Rates!$B$2:$B$501,t,Bank_Rates!$D$2:$D$501,d)))))))</f>
        <v/>
      </c>
      <c r="K868" s="6" t="str">
        <f t="shared" si="26"/>
        <v/>
      </c>
    </row>
    <row r="869" spans="1:11">
      <c r="A869" s="18" t="str">
        <f t="shared" si="27"/>
        <v/>
      </c>
      <c r="B869" s="13"/>
      <c r="C869" s="14"/>
      <c r="D869" s="3"/>
      <c r="E869" s="3"/>
      <c r="F869" s="14"/>
      <c r="G869" s="7">
        <f>RawObservationsTable[[#This Row],[Maturity Date]]-RawObservationsTable[[#This Row],[Timestamp]]</f>
        <v>0</v>
      </c>
      <c r="H869" s="2"/>
      <c r="I869" s="4"/>
      <c r="J869" s="5" t="str">
        <f>IF(OR(H869="",G869="",C869=""),"",LET(n,COUNTIFS(Bank_Rates!$A$2:$A$501,H869,Bank_Rates!$B$2:$B$501,"&lt;="&amp;C869),IF(n=0,"",LET(t,MAXIFS(Bank_Rates!$B$2:$B$501,Bank_Rates!$A$2:$A$501,H869,Bank_Rates!$B$2:$B$501,"&lt;="&amp;C869),m,COUNTIFS(Bank_Rates!$A$2:$A$501,H869,Bank_Rates!$B$2:$B$501,t,Bank_Rates!$D$2:$D$501,"&lt;="&amp;G869),IF(m=0,"",LET(d,MAXIFS(Bank_Rates!$D$2:$D$501,Bank_Rates!$A$2:$A$501,H869,Bank_Rates!$B$2:$B$501,t,Bank_Rates!$D$2:$D$501,"&lt;="&amp;G869),SUMIFS(Bank_Rates!$C$2:$C$501,Bank_Rates!$A$2:$A$501,H869,Bank_Rates!$B$2:$B$501,t,Bank_Rates!$D$2:$D$501,d)))))))</f>
        <v/>
      </c>
      <c r="K869" s="6" t="str">
        <f t="shared" si="26"/>
        <v/>
      </c>
    </row>
    <row r="870" spans="1:11">
      <c r="A870" s="18" t="str">
        <f t="shared" si="27"/>
        <v/>
      </c>
      <c r="B870" s="13"/>
      <c r="C870" s="14"/>
      <c r="D870" s="3"/>
      <c r="E870" s="3"/>
      <c r="F870" s="14"/>
      <c r="G870" s="7">
        <f>RawObservationsTable[[#This Row],[Maturity Date]]-RawObservationsTable[[#This Row],[Timestamp]]</f>
        <v>0</v>
      </c>
      <c r="H870" s="2"/>
      <c r="I870" s="4"/>
      <c r="J870" s="5" t="str">
        <f>IF(OR(H870="",G870="",C870=""),"",LET(n,COUNTIFS(Bank_Rates!$A$2:$A$501,H870,Bank_Rates!$B$2:$B$501,"&lt;="&amp;C870),IF(n=0,"",LET(t,MAXIFS(Bank_Rates!$B$2:$B$501,Bank_Rates!$A$2:$A$501,H870,Bank_Rates!$B$2:$B$501,"&lt;="&amp;C870),m,COUNTIFS(Bank_Rates!$A$2:$A$501,H870,Bank_Rates!$B$2:$B$501,t,Bank_Rates!$D$2:$D$501,"&lt;="&amp;G870),IF(m=0,"",LET(d,MAXIFS(Bank_Rates!$D$2:$D$501,Bank_Rates!$A$2:$A$501,H870,Bank_Rates!$B$2:$B$501,t,Bank_Rates!$D$2:$D$501,"&lt;="&amp;G870),SUMIFS(Bank_Rates!$C$2:$C$501,Bank_Rates!$A$2:$A$501,H870,Bank_Rates!$B$2:$B$501,t,Bank_Rates!$D$2:$D$501,d)))))))</f>
        <v/>
      </c>
      <c r="K870" s="6" t="str">
        <f t="shared" si="26"/>
        <v/>
      </c>
    </row>
    <row r="871" spans="1:11">
      <c r="A871" s="18" t="str">
        <f t="shared" si="27"/>
        <v/>
      </c>
      <c r="B871" s="13"/>
      <c r="C871" s="14"/>
      <c r="D871" s="3"/>
      <c r="E871" s="3"/>
      <c r="F871" s="14"/>
      <c r="G871" s="7">
        <f>RawObservationsTable[[#This Row],[Maturity Date]]-RawObservationsTable[[#This Row],[Timestamp]]</f>
        <v>0</v>
      </c>
      <c r="H871" s="2"/>
      <c r="I871" s="4"/>
      <c r="J871" s="5" t="str">
        <f>IF(OR(H871="",G871="",C871=""),"",LET(n,COUNTIFS(Bank_Rates!$A$2:$A$501,H871,Bank_Rates!$B$2:$B$501,"&lt;="&amp;C871),IF(n=0,"",LET(t,MAXIFS(Bank_Rates!$B$2:$B$501,Bank_Rates!$A$2:$A$501,H871,Bank_Rates!$B$2:$B$501,"&lt;="&amp;C871),m,COUNTIFS(Bank_Rates!$A$2:$A$501,H871,Bank_Rates!$B$2:$B$501,t,Bank_Rates!$D$2:$D$501,"&lt;="&amp;G871),IF(m=0,"",LET(d,MAXIFS(Bank_Rates!$D$2:$D$501,Bank_Rates!$A$2:$A$501,H871,Bank_Rates!$B$2:$B$501,t,Bank_Rates!$D$2:$D$501,"&lt;="&amp;G871),SUMIFS(Bank_Rates!$C$2:$C$501,Bank_Rates!$A$2:$A$501,H871,Bank_Rates!$B$2:$B$501,t,Bank_Rates!$D$2:$D$501,d)))))))</f>
        <v/>
      </c>
      <c r="K871" s="6" t="str">
        <f t="shared" si="26"/>
        <v/>
      </c>
    </row>
    <row r="872" spans="1:11">
      <c r="A872" s="18" t="str">
        <f t="shared" si="27"/>
        <v/>
      </c>
      <c r="B872" s="13"/>
      <c r="C872" s="14"/>
      <c r="D872" s="3"/>
      <c r="E872" s="3"/>
      <c r="F872" s="14"/>
      <c r="G872" s="7">
        <f>RawObservationsTable[[#This Row],[Maturity Date]]-RawObservationsTable[[#This Row],[Timestamp]]</f>
        <v>0</v>
      </c>
      <c r="H872" s="2"/>
      <c r="I872" s="4"/>
      <c r="J872" s="5" t="str">
        <f>IF(OR(H872="",G872="",C872=""),"",LET(n,COUNTIFS(Bank_Rates!$A$2:$A$501,H872,Bank_Rates!$B$2:$B$501,"&lt;="&amp;C872),IF(n=0,"",LET(t,MAXIFS(Bank_Rates!$B$2:$B$501,Bank_Rates!$A$2:$A$501,H872,Bank_Rates!$B$2:$B$501,"&lt;="&amp;C872),m,COUNTIFS(Bank_Rates!$A$2:$A$501,H872,Bank_Rates!$B$2:$B$501,t,Bank_Rates!$D$2:$D$501,"&lt;="&amp;G872),IF(m=0,"",LET(d,MAXIFS(Bank_Rates!$D$2:$D$501,Bank_Rates!$A$2:$A$501,H872,Bank_Rates!$B$2:$B$501,t,Bank_Rates!$D$2:$D$501,"&lt;="&amp;G872),SUMIFS(Bank_Rates!$C$2:$C$501,Bank_Rates!$A$2:$A$501,H872,Bank_Rates!$B$2:$B$501,t,Bank_Rates!$D$2:$D$501,d)))))))</f>
        <v/>
      </c>
      <c r="K872" s="6" t="str">
        <f t="shared" si="26"/>
        <v/>
      </c>
    </row>
    <row r="873" spans="1:11">
      <c r="A873" s="18" t="str">
        <f t="shared" si="27"/>
        <v/>
      </c>
      <c r="B873" s="13"/>
      <c r="C873" s="14"/>
      <c r="D873" s="3"/>
      <c r="E873" s="3"/>
      <c r="F873" s="14"/>
      <c r="G873" s="7">
        <f>RawObservationsTable[[#This Row],[Maturity Date]]-RawObservationsTable[[#This Row],[Timestamp]]</f>
        <v>0</v>
      </c>
      <c r="H873" s="2"/>
      <c r="I873" s="4"/>
      <c r="J873" s="5" t="str">
        <f>IF(OR(H873="",G873="",C873=""),"",LET(n,COUNTIFS(Bank_Rates!$A$2:$A$501,H873,Bank_Rates!$B$2:$B$501,"&lt;="&amp;C873),IF(n=0,"",LET(t,MAXIFS(Bank_Rates!$B$2:$B$501,Bank_Rates!$A$2:$A$501,H873,Bank_Rates!$B$2:$B$501,"&lt;="&amp;C873),m,COUNTIFS(Bank_Rates!$A$2:$A$501,H873,Bank_Rates!$B$2:$B$501,t,Bank_Rates!$D$2:$D$501,"&lt;="&amp;G873),IF(m=0,"",LET(d,MAXIFS(Bank_Rates!$D$2:$D$501,Bank_Rates!$A$2:$A$501,H873,Bank_Rates!$B$2:$B$501,t,Bank_Rates!$D$2:$D$501,"&lt;="&amp;G873),SUMIFS(Bank_Rates!$C$2:$C$501,Bank_Rates!$A$2:$A$501,H873,Bank_Rates!$B$2:$B$501,t,Bank_Rates!$D$2:$D$501,d)))))))</f>
        <v/>
      </c>
      <c r="K873" s="6" t="str">
        <f t="shared" si="26"/>
        <v/>
      </c>
    </row>
    <row r="874" spans="1:11">
      <c r="A874" s="18" t="str">
        <f t="shared" si="27"/>
        <v/>
      </c>
      <c r="B874" s="13"/>
      <c r="C874" s="14"/>
      <c r="D874" s="3"/>
      <c r="E874" s="3"/>
      <c r="F874" s="14"/>
      <c r="G874" s="7">
        <f>RawObservationsTable[[#This Row],[Maturity Date]]-RawObservationsTable[[#This Row],[Timestamp]]</f>
        <v>0</v>
      </c>
      <c r="H874" s="2"/>
      <c r="I874" s="4"/>
      <c r="J874" s="5" t="str">
        <f>IF(OR(H874="",G874="",C874=""),"",LET(n,COUNTIFS(Bank_Rates!$A$2:$A$501,H874,Bank_Rates!$B$2:$B$501,"&lt;="&amp;C874),IF(n=0,"",LET(t,MAXIFS(Bank_Rates!$B$2:$B$501,Bank_Rates!$A$2:$A$501,H874,Bank_Rates!$B$2:$B$501,"&lt;="&amp;C874),m,COUNTIFS(Bank_Rates!$A$2:$A$501,H874,Bank_Rates!$B$2:$B$501,t,Bank_Rates!$D$2:$D$501,"&lt;="&amp;G874),IF(m=0,"",LET(d,MAXIFS(Bank_Rates!$D$2:$D$501,Bank_Rates!$A$2:$A$501,H874,Bank_Rates!$B$2:$B$501,t,Bank_Rates!$D$2:$D$501,"&lt;="&amp;G874),SUMIFS(Bank_Rates!$C$2:$C$501,Bank_Rates!$A$2:$A$501,H874,Bank_Rates!$B$2:$B$501,t,Bank_Rates!$D$2:$D$501,d)))))))</f>
        <v/>
      </c>
      <c r="K874" s="6" t="str">
        <f t="shared" si="26"/>
        <v/>
      </c>
    </row>
    <row r="875" spans="1:11">
      <c r="A875" s="18" t="str">
        <f t="shared" si="27"/>
        <v/>
      </c>
      <c r="B875" s="13"/>
      <c r="C875" s="14"/>
      <c r="D875" s="3"/>
      <c r="E875" s="3"/>
      <c r="F875" s="14"/>
      <c r="G875" s="7">
        <f>RawObservationsTable[[#This Row],[Maturity Date]]-RawObservationsTable[[#This Row],[Timestamp]]</f>
        <v>0</v>
      </c>
      <c r="H875" s="2"/>
      <c r="I875" s="4"/>
      <c r="J875" s="5" t="str">
        <f>IF(OR(H875="",G875="",C875=""),"",LET(n,COUNTIFS(Bank_Rates!$A$2:$A$501,H875,Bank_Rates!$B$2:$B$501,"&lt;="&amp;C875),IF(n=0,"",LET(t,MAXIFS(Bank_Rates!$B$2:$B$501,Bank_Rates!$A$2:$A$501,H875,Bank_Rates!$B$2:$B$501,"&lt;="&amp;C875),m,COUNTIFS(Bank_Rates!$A$2:$A$501,H875,Bank_Rates!$B$2:$B$501,t,Bank_Rates!$D$2:$D$501,"&lt;="&amp;G875),IF(m=0,"",LET(d,MAXIFS(Bank_Rates!$D$2:$D$501,Bank_Rates!$A$2:$A$501,H875,Bank_Rates!$B$2:$B$501,t,Bank_Rates!$D$2:$D$501,"&lt;="&amp;G875),SUMIFS(Bank_Rates!$C$2:$C$501,Bank_Rates!$A$2:$A$501,H875,Bank_Rates!$B$2:$B$501,t,Bank_Rates!$D$2:$D$501,d)))))))</f>
        <v/>
      </c>
      <c r="K875" s="6" t="str">
        <f t="shared" si="26"/>
        <v/>
      </c>
    </row>
    <row r="876" spans="1:11">
      <c r="A876" s="18" t="str">
        <f t="shared" si="27"/>
        <v/>
      </c>
      <c r="B876" s="13"/>
      <c r="C876" s="14"/>
      <c r="D876" s="3"/>
      <c r="E876" s="3"/>
      <c r="F876" s="14"/>
      <c r="G876" s="7">
        <f>RawObservationsTable[[#This Row],[Maturity Date]]-RawObservationsTable[[#This Row],[Timestamp]]</f>
        <v>0</v>
      </c>
      <c r="H876" s="2"/>
      <c r="I876" s="4"/>
      <c r="J876" s="5" t="str">
        <f>IF(OR(H876="",G876="",C876=""),"",LET(n,COUNTIFS(Bank_Rates!$A$2:$A$501,H876,Bank_Rates!$B$2:$B$501,"&lt;="&amp;C876),IF(n=0,"",LET(t,MAXIFS(Bank_Rates!$B$2:$B$501,Bank_Rates!$A$2:$A$501,H876,Bank_Rates!$B$2:$B$501,"&lt;="&amp;C876),m,COUNTIFS(Bank_Rates!$A$2:$A$501,H876,Bank_Rates!$B$2:$B$501,t,Bank_Rates!$D$2:$D$501,"&lt;="&amp;G876),IF(m=0,"",LET(d,MAXIFS(Bank_Rates!$D$2:$D$501,Bank_Rates!$A$2:$A$501,H876,Bank_Rates!$B$2:$B$501,t,Bank_Rates!$D$2:$D$501,"&lt;="&amp;G876),SUMIFS(Bank_Rates!$C$2:$C$501,Bank_Rates!$A$2:$A$501,H876,Bank_Rates!$B$2:$B$501,t,Bank_Rates!$D$2:$D$501,d)))))))</f>
        <v/>
      </c>
      <c r="K876" s="6" t="str">
        <f t="shared" si="26"/>
        <v/>
      </c>
    </row>
    <row r="877" spans="1:11">
      <c r="A877" s="18" t="str">
        <f t="shared" si="27"/>
        <v/>
      </c>
      <c r="B877" s="13"/>
      <c r="C877" s="14"/>
      <c r="D877" s="3"/>
      <c r="E877" s="3"/>
      <c r="F877" s="14"/>
      <c r="G877" s="7">
        <f>RawObservationsTable[[#This Row],[Maturity Date]]-RawObservationsTable[[#This Row],[Timestamp]]</f>
        <v>0</v>
      </c>
      <c r="H877" s="2"/>
      <c r="I877" s="4"/>
      <c r="J877" s="5" t="str">
        <f>IF(OR(H877="",G877="",C877=""),"",LET(n,COUNTIFS(Bank_Rates!$A$2:$A$501,H877,Bank_Rates!$B$2:$B$501,"&lt;="&amp;C877),IF(n=0,"",LET(t,MAXIFS(Bank_Rates!$B$2:$B$501,Bank_Rates!$A$2:$A$501,H877,Bank_Rates!$B$2:$B$501,"&lt;="&amp;C877),m,COUNTIFS(Bank_Rates!$A$2:$A$501,H877,Bank_Rates!$B$2:$B$501,t,Bank_Rates!$D$2:$D$501,"&lt;="&amp;G877),IF(m=0,"",LET(d,MAXIFS(Bank_Rates!$D$2:$D$501,Bank_Rates!$A$2:$A$501,H877,Bank_Rates!$B$2:$B$501,t,Bank_Rates!$D$2:$D$501,"&lt;="&amp;G877),SUMIFS(Bank_Rates!$C$2:$C$501,Bank_Rates!$A$2:$A$501,H877,Bank_Rates!$B$2:$B$501,t,Bank_Rates!$D$2:$D$501,d)))))))</f>
        <v/>
      </c>
      <c r="K877" s="6" t="str">
        <f t="shared" si="26"/>
        <v/>
      </c>
    </row>
    <row r="878" spans="1:11">
      <c r="A878" s="18" t="str">
        <f t="shared" si="27"/>
        <v/>
      </c>
      <c r="B878" s="13"/>
      <c r="C878" s="14"/>
      <c r="D878" s="3"/>
      <c r="E878" s="3"/>
      <c r="F878" s="14"/>
      <c r="G878" s="7">
        <f>RawObservationsTable[[#This Row],[Maturity Date]]-RawObservationsTable[[#This Row],[Timestamp]]</f>
        <v>0</v>
      </c>
      <c r="H878" s="2"/>
      <c r="I878" s="4"/>
      <c r="J878" s="5" t="str">
        <f>IF(OR(H878="",G878="",C878=""),"",LET(n,COUNTIFS(Bank_Rates!$A$2:$A$501,H878,Bank_Rates!$B$2:$B$501,"&lt;="&amp;C878),IF(n=0,"",LET(t,MAXIFS(Bank_Rates!$B$2:$B$501,Bank_Rates!$A$2:$A$501,H878,Bank_Rates!$B$2:$B$501,"&lt;="&amp;C878),m,COUNTIFS(Bank_Rates!$A$2:$A$501,H878,Bank_Rates!$B$2:$B$501,t,Bank_Rates!$D$2:$D$501,"&lt;="&amp;G878),IF(m=0,"",LET(d,MAXIFS(Bank_Rates!$D$2:$D$501,Bank_Rates!$A$2:$A$501,H878,Bank_Rates!$B$2:$B$501,t,Bank_Rates!$D$2:$D$501,"&lt;="&amp;G878),SUMIFS(Bank_Rates!$C$2:$C$501,Bank_Rates!$A$2:$A$501,H878,Bank_Rates!$B$2:$B$501,t,Bank_Rates!$D$2:$D$501,d)))))))</f>
        <v/>
      </c>
      <c r="K878" s="6" t="str">
        <f t="shared" si="26"/>
        <v/>
      </c>
    </row>
    <row r="879" spans="1:11">
      <c r="A879" s="18" t="str">
        <f t="shared" si="27"/>
        <v/>
      </c>
      <c r="B879" s="13"/>
      <c r="C879" s="14"/>
      <c r="D879" s="3"/>
      <c r="E879" s="3"/>
      <c r="F879" s="14"/>
      <c r="G879" s="7">
        <f>RawObservationsTable[[#This Row],[Maturity Date]]-RawObservationsTable[[#This Row],[Timestamp]]</f>
        <v>0</v>
      </c>
      <c r="H879" s="2"/>
      <c r="I879" s="4"/>
      <c r="J879" s="5" t="str">
        <f>IF(OR(H879="",G879="",C879=""),"",LET(n,COUNTIFS(Bank_Rates!$A$2:$A$501,H879,Bank_Rates!$B$2:$B$501,"&lt;="&amp;C879),IF(n=0,"",LET(t,MAXIFS(Bank_Rates!$B$2:$B$501,Bank_Rates!$A$2:$A$501,H879,Bank_Rates!$B$2:$B$501,"&lt;="&amp;C879),m,COUNTIFS(Bank_Rates!$A$2:$A$501,H879,Bank_Rates!$B$2:$B$501,t,Bank_Rates!$D$2:$D$501,"&lt;="&amp;G879),IF(m=0,"",LET(d,MAXIFS(Bank_Rates!$D$2:$D$501,Bank_Rates!$A$2:$A$501,H879,Bank_Rates!$B$2:$B$501,t,Bank_Rates!$D$2:$D$501,"&lt;="&amp;G879),SUMIFS(Bank_Rates!$C$2:$C$501,Bank_Rates!$A$2:$A$501,H879,Bank_Rates!$B$2:$B$501,t,Bank_Rates!$D$2:$D$501,d)))))))</f>
        <v/>
      </c>
      <c r="K879" s="6" t="str">
        <f t="shared" si="26"/>
        <v/>
      </c>
    </row>
    <row r="880" spans="1:11">
      <c r="A880" s="18" t="str">
        <f t="shared" si="27"/>
        <v/>
      </c>
      <c r="B880" s="13"/>
      <c r="C880" s="14"/>
      <c r="D880" s="3"/>
      <c r="E880" s="3"/>
      <c r="F880" s="14"/>
      <c r="G880" s="7">
        <f>RawObservationsTable[[#This Row],[Maturity Date]]-RawObservationsTable[[#This Row],[Timestamp]]</f>
        <v>0</v>
      </c>
      <c r="H880" s="2"/>
      <c r="I880" s="4"/>
      <c r="J880" s="5" t="str">
        <f>IF(OR(H880="",G880="",C880=""),"",LET(n,COUNTIFS(Bank_Rates!$A$2:$A$501,H880,Bank_Rates!$B$2:$B$501,"&lt;="&amp;C880),IF(n=0,"",LET(t,MAXIFS(Bank_Rates!$B$2:$B$501,Bank_Rates!$A$2:$A$501,H880,Bank_Rates!$B$2:$B$501,"&lt;="&amp;C880),m,COUNTIFS(Bank_Rates!$A$2:$A$501,H880,Bank_Rates!$B$2:$B$501,t,Bank_Rates!$D$2:$D$501,"&lt;="&amp;G880),IF(m=0,"",LET(d,MAXIFS(Bank_Rates!$D$2:$D$501,Bank_Rates!$A$2:$A$501,H880,Bank_Rates!$B$2:$B$501,t,Bank_Rates!$D$2:$D$501,"&lt;="&amp;G880),SUMIFS(Bank_Rates!$C$2:$C$501,Bank_Rates!$A$2:$A$501,H880,Bank_Rates!$B$2:$B$501,t,Bank_Rates!$D$2:$D$501,d)))))))</f>
        <v/>
      </c>
      <c r="K880" s="6" t="str">
        <f t="shared" si="26"/>
        <v/>
      </c>
    </row>
    <row r="881" spans="1:11">
      <c r="A881" s="18" t="str">
        <f t="shared" si="27"/>
        <v/>
      </c>
      <c r="B881" s="13"/>
      <c r="C881" s="14"/>
      <c r="D881" s="3"/>
      <c r="E881" s="3"/>
      <c r="F881" s="14"/>
      <c r="G881" s="7">
        <f>RawObservationsTable[[#This Row],[Maturity Date]]-RawObservationsTable[[#This Row],[Timestamp]]</f>
        <v>0</v>
      </c>
      <c r="H881" s="2"/>
      <c r="I881" s="4"/>
      <c r="J881" s="5" t="str">
        <f>IF(OR(H881="",G881="",C881=""),"",LET(n,COUNTIFS(Bank_Rates!$A$2:$A$501,H881,Bank_Rates!$B$2:$B$501,"&lt;="&amp;C881),IF(n=0,"",LET(t,MAXIFS(Bank_Rates!$B$2:$B$501,Bank_Rates!$A$2:$A$501,H881,Bank_Rates!$B$2:$B$501,"&lt;="&amp;C881),m,COUNTIFS(Bank_Rates!$A$2:$A$501,H881,Bank_Rates!$B$2:$B$501,t,Bank_Rates!$D$2:$D$501,"&lt;="&amp;G881),IF(m=0,"",LET(d,MAXIFS(Bank_Rates!$D$2:$D$501,Bank_Rates!$A$2:$A$501,H881,Bank_Rates!$B$2:$B$501,t,Bank_Rates!$D$2:$D$501,"&lt;="&amp;G881),SUMIFS(Bank_Rates!$C$2:$C$501,Bank_Rates!$A$2:$A$501,H881,Bank_Rates!$B$2:$B$501,t,Bank_Rates!$D$2:$D$501,d)))))))</f>
        <v/>
      </c>
      <c r="K881" s="6" t="str">
        <f t="shared" si="26"/>
        <v/>
      </c>
    </row>
    <row r="882" spans="1:11">
      <c r="A882" s="18" t="str">
        <f t="shared" si="27"/>
        <v/>
      </c>
      <c r="B882" s="13"/>
      <c r="C882" s="14"/>
      <c r="D882" s="3"/>
      <c r="E882" s="3"/>
      <c r="F882" s="14"/>
      <c r="G882" s="7">
        <f>RawObservationsTable[[#This Row],[Maturity Date]]-RawObservationsTable[[#This Row],[Timestamp]]</f>
        <v>0</v>
      </c>
      <c r="H882" s="2"/>
      <c r="I882" s="4"/>
      <c r="J882" s="5" t="str">
        <f>IF(OR(H882="",G882="",C882=""),"",LET(n,COUNTIFS(Bank_Rates!$A$2:$A$501,H882,Bank_Rates!$B$2:$B$501,"&lt;="&amp;C882),IF(n=0,"",LET(t,MAXIFS(Bank_Rates!$B$2:$B$501,Bank_Rates!$A$2:$A$501,H882,Bank_Rates!$B$2:$B$501,"&lt;="&amp;C882),m,COUNTIFS(Bank_Rates!$A$2:$A$501,H882,Bank_Rates!$B$2:$B$501,t,Bank_Rates!$D$2:$D$501,"&lt;="&amp;G882),IF(m=0,"",LET(d,MAXIFS(Bank_Rates!$D$2:$D$501,Bank_Rates!$A$2:$A$501,H882,Bank_Rates!$B$2:$B$501,t,Bank_Rates!$D$2:$D$501,"&lt;="&amp;G882),SUMIFS(Bank_Rates!$C$2:$C$501,Bank_Rates!$A$2:$A$501,H882,Bank_Rates!$B$2:$B$501,t,Bank_Rates!$D$2:$D$501,d)))))))</f>
        <v/>
      </c>
      <c r="K882" s="6" t="str">
        <f t="shared" si="26"/>
        <v/>
      </c>
    </row>
    <row r="883" spans="1:11">
      <c r="A883" s="18" t="str">
        <f t="shared" si="27"/>
        <v/>
      </c>
      <c r="B883" s="13"/>
      <c r="C883" s="14"/>
      <c r="D883" s="3"/>
      <c r="E883" s="3"/>
      <c r="F883" s="14"/>
      <c r="G883" s="7">
        <f>RawObservationsTable[[#This Row],[Maturity Date]]-RawObservationsTable[[#This Row],[Timestamp]]</f>
        <v>0</v>
      </c>
      <c r="H883" s="2"/>
      <c r="I883" s="4"/>
      <c r="J883" s="5" t="str">
        <f>IF(OR(H883="",G883="",C883=""),"",LET(n,COUNTIFS(Bank_Rates!$A$2:$A$501,H883,Bank_Rates!$B$2:$B$501,"&lt;="&amp;C883),IF(n=0,"",LET(t,MAXIFS(Bank_Rates!$B$2:$B$501,Bank_Rates!$A$2:$A$501,H883,Bank_Rates!$B$2:$B$501,"&lt;="&amp;C883),m,COUNTIFS(Bank_Rates!$A$2:$A$501,H883,Bank_Rates!$B$2:$B$501,t,Bank_Rates!$D$2:$D$501,"&lt;="&amp;G883),IF(m=0,"",LET(d,MAXIFS(Bank_Rates!$D$2:$D$501,Bank_Rates!$A$2:$A$501,H883,Bank_Rates!$B$2:$B$501,t,Bank_Rates!$D$2:$D$501,"&lt;="&amp;G883),SUMIFS(Bank_Rates!$C$2:$C$501,Bank_Rates!$A$2:$A$501,H883,Bank_Rates!$B$2:$B$501,t,Bank_Rates!$D$2:$D$501,d)))))))</f>
        <v/>
      </c>
      <c r="K883" s="6" t="str">
        <f t="shared" si="26"/>
        <v/>
      </c>
    </row>
    <row r="884" spans="1:11">
      <c r="A884" s="18" t="str">
        <f t="shared" si="27"/>
        <v/>
      </c>
      <c r="B884" s="13"/>
      <c r="C884" s="14"/>
      <c r="D884" s="3"/>
      <c r="E884" s="3"/>
      <c r="F884" s="14"/>
      <c r="G884" s="7">
        <f>RawObservationsTable[[#This Row],[Maturity Date]]-RawObservationsTable[[#This Row],[Timestamp]]</f>
        <v>0</v>
      </c>
      <c r="H884" s="2"/>
      <c r="I884" s="4"/>
      <c r="J884" s="5" t="str">
        <f>IF(OR(H884="",G884="",C884=""),"",LET(n,COUNTIFS(Bank_Rates!$A$2:$A$501,H884,Bank_Rates!$B$2:$B$501,"&lt;="&amp;C884),IF(n=0,"",LET(t,MAXIFS(Bank_Rates!$B$2:$B$501,Bank_Rates!$A$2:$A$501,H884,Bank_Rates!$B$2:$B$501,"&lt;="&amp;C884),m,COUNTIFS(Bank_Rates!$A$2:$A$501,H884,Bank_Rates!$B$2:$B$501,t,Bank_Rates!$D$2:$D$501,"&lt;="&amp;G884),IF(m=0,"",LET(d,MAXIFS(Bank_Rates!$D$2:$D$501,Bank_Rates!$A$2:$A$501,H884,Bank_Rates!$B$2:$B$501,t,Bank_Rates!$D$2:$D$501,"&lt;="&amp;G884),SUMIFS(Bank_Rates!$C$2:$C$501,Bank_Rates!$A$2:$A$501,H884,Bank_Rates!$B$2:$B$501,t,Bank_Rates!$D$2:$D$501,d)))))))</f>
        <v/>
      </c>
      <c r="K884" s="6" t="str">
        <f t="shared" si="26"/>
        <v/>
      </c>
    </row>
    <row r="885" spans="1:11">
      <c r="A885" s="18" t="str">
        <f t="shared" si="27"/>
        <v/>
      </c>
      <c r="B885" s="13"/>
      <c r="C885" s="14"/>
      <c r="D885" s="3"/>
      <c r="E885" s="3"/>
      <c r="F885" s="14"/>
      <c r="G885" s="7">
        <f>RawObservationsTable[[#This Row],[Maturity Date]]-RawObservationsTable[[#This Row],[Timestamp]]</f>
        <v>0</v>
      </c>
      <c r="H885" s="2"/>
      <c r="I885" s="4"/>
      <c r="J885" s="5" t="str">
        <f>IF(OR(H885="",G885="",C885=""),"",LET(n,COUNTIFS(Bank_Rates!$A$2:$A$501,H885,Bank_Rates!$B$2:$B$501,"&lt;="&amp;C885),IF(n=0,"",LET(t,MAXIFS(Bank_Rates!$B$2:$B$501,Bank_Rates!$A$2:$A$501,H885,Bank_Rates!$B$2:$B$501,"&lt;="&amp;C885),m,COUNTIFS(Bank_Rates!$A$2:$A$501,H885,Bank_Rates!$B$2:$B$501,t,Bank_Rates!$D$2:$D$501,"&lt;="&amp;G885),IF(m=0,"",LET(d,MAXIFS(Bank_Rates!$D$2:$D$501,Bank_Rates!$A$2:$A$501,H885,Bank_Rates!$B$2:$B$501,t,Bank_Rates!$D$2:$D$501,"&lt;="&amp;G885),SUMIFS(Bank_Rates!$C$2:$C$501,Bank_Rates!$A$2:$A$501,H885,Bank_Rates!$B$2:$B$501,t,Bank_Rates!$D$2:$D$501,d)))))))</f>
        <v/>
      </c>
      <c r="K885" s="6" t="str">
        <f t="shared" si="26"/>
        <v/>
      </c>
    </row>
    <row r="886" spans="1:11">
      <c r="A886" s="18" t="str">
        <f t="shared" si="27"/>
        <v/>
      </c>
      <c r="B886" s="13"/>
      <c r="C886" s="14"/>
      <c r="D886" s="3"/>
      <c r="E886" s="3"/>
      <c r="F886" s="14"/>
      <c r="G886" s="7">
        <f>RawObservationsTable[[#This Row],[Maturity Date]]-RawObservationsTable[[#This Row],[Timestamp]]</f>
        <v>0</v>
      </c>
      <c r="H886" s="2"/>
      <c r="I886" s="4"/>
      <c r="J886" s="5" t="str">
        <f>IF(OR(H886="",G886="",C886=""),"",LET(n,COUNTIFS(Bank_Rates!$A$2:$A$501,H886,Bank_Rates!$B$2:$B$501,"&lt;="&amp;C886),IF(n=0,"",LET(t,MAXIFS(Bank_Rates!$B$2:$B$501,Bank_Rates!$A$2:$A$501,H886,Bank_Rates!$B$2:$B$501,"&lt;="&amp;C886),m,COUNTIFS(Bank_Rates!$A$2:$A$501,H886,Bank_Rates!$B$2:$B$501,t,Bank_Rates!$D$2:$D$501,"&lt;="&amp;G886),IF(m=0,"",LET(d,MAXIFS(Bank_Rates!$D$2:$D$501,Bank_Rates!$A$2:$A$501,H886,Bank_Rates!$B$2:$B$501,t,Bank_Rates!$D$2:$D$501,"&lt;="&amp;G886),SUMIFS(Bank_Rates!$C$2:$C$501,Bank_Rates!$A$2:$A$501,H886,Bank_Rates!$B$2:$B$501,t,Bank_Rates!$D$2:$D$501,d)))))))</f>
        <v/>
      </c>
      <c r="K886" s="6" t="str">
        <f t="shared" si="26"/>
        <v/>
      </c>
    </row>
    <row r="887" spans="1:11">
      <c r="A887" s="18" t="str">
        <f t="shared" si="27"/>
        <v/>
      </c>
      <c r="B887" s="13"/>
      <c r="C887" s="14"/>
      <c r="D887" s="3"/>
      <c r="E887" s="3"/>
      <c r="F887" s="14"/>
      <c r="G887" s="7">
        <f>RawObservationsTable[[#This Row],[Maturity Date]]-RawObservationsTable[[#This Row],[Timestamp]]</f>
        <v>0</v>
      </c>
      <c r="H887" s="2"/>
      <c r="I887" s="4"/>
      <c r="J887" s="5" t="str">
        <f>IF(OR(H887="",G887="",C887=""),"",LET(n,COUNTIFS(Bank_Rates!$A$2:$A$501,H887,Bank_Rates!$B$2:$B$501,"&lt;="&amp;C887),IF(n=0,"",LET(t,MAXIFS(Bank_Rates!$B$2:$B$501,Bank_Rates!$A$2:$A$501,H887,Bank_Rates!$B$2:$B$501,"&lt;="&amp;C887),m,COUNTIFS(Bank_Rates!$A$2:$A$501,H887,Bank_Rates!$B$2:$B$501,t,Bank_Rates!$D$2:$D$501,"&lt;="&amp;G887),IF(m=0,"",LET(d,MAXIFS(Bank_Rates!$D$2:$D$501,Bank_Rates!$A$2:$A$501,H887,Bank_Rates!$B$2:$B$501,t,Bank_Rates!$D$2:$D$501,"&lt;="&amp;G887),SUMIFS(Bank_Rates!$C$2:$C$501,Bank_Rates!$A$2:$A$501,H887,Bank_Rates!$B$2:$B$501,t,Bank_Rates!$D$2:$D$501,d)))))))</f>
        <v/>
      </c>
      <c r="K887" s="6" t="str">
        <f t="shared" si="26"/>
        <v/>
      </c>
    </row>
    <row r="888" spans="1:11">
      <c r="A888" s="18" t="str">
        <f t="shared" si="27"/>
        <v/>
      </c>
      <c r="B888" s="13"/>
      <c r="C888" s="14"/>
      <c r="D888" s="3"/>
      <c r="E888" s="3"/>
      <c r="F888" s="14"/>
      <c r="G888" s="7">
        <f>RawObservationsTable[[#This Row],[Maturity Date]]-RawObservationsTable[[#This Row],[Timestamp]]</f>
        <v>0</v>
      </c>
      <c r="H888" s="2"/>
      <c r="I888" s="4"/>
      <c r="J888" s="5" t="str">
        <f>IF(OR(H888="",G888="",C888=""),"",LET(n,COUNTIFS(Bank_Rates!$A$2:$A$501,H888,Bank_Rates!$B$2:$B$501,"&lt;="&amp;C888),IF(n=0,"",LET(t,MAXIFS(Bank_Rates!$B$2:$B$501,Bank_Rates!$A$2:$A$501,H888,Bank_Rates!$B$2:$B$501,"&lt;="&amp;C888),m,COUNTIFS(Bank_Rates!$A$2:$A$501,H888,Bank_Rates!$B$2:$B$501,t,Bank_Rates!$D$2:$D$501,"&lt;="&amp;G888),IF(m=0,"",LET(d,MAXIFS(Bank_Rates!$D$2:$D$501,Bank_Rates!$A$2:$A$501,H888,Bank_Rates!$B$2:$B$501,t,Bank_Rates!$D$2:$D$501,"&lt;="&amp;G888),SUMIFS(Bank_Rates!$C$2:$C$501,Bank_Rates!$A$2:$A$501,H888,Bank_Rates!$B$2:$B$501,t,Bank_Rates!$D$2:$D$501,d)))))))</f>
        <v/>
      </c>
      <c r="K888" s="6" t="str">
        <f t="shared" si="26"/>
        <v/>
      </c>
    </row>
    <row r="889" spans="1:11">
      <c r="A889" s="18" t="str">
        <f t="shared" si="27"/>
        <v/>
      </c>
      <c r="B889" s="13"/>
      <c r="C889" s="14"/>
      <c r="D889" s="3"/>
      <c r="E889" s="3"/>
      <c r="F889" s="14"/>
      <c r="G889" s="7">
        <f>RawObservationsTable[[#This Row],[Maturity Date]]-RawObservationsTable[[#This Row],[Timestamp]]</f>
        <v>0</v>
      </c>
      <c r="H889" s="2"/>
      <c r="I889" s="4"/>
      <c r="J889" s="5" t="str">
        <f>IF(OR(H889="",G889="",C889=""),"",LET(n,COUNTIFS(Bank_Rates!$A$2:$A$501,H889,Bank_Rates!$B$2:$B$501,"&lt;="&amp;C889),IF(n=0,"",LET(t,MAXIFS(Bank_Rates!$B$2:$B$501,Bank_Rates!$A$2:$A$501,H889,Bank_Rates!$B$2:$B$501,"&lt;="&amp;C889),m,COUNTIFS(Bank_Rates!$A$2:$A$501,H889,Bank_Rates!$B$2:$B$501,t,Bank_Rates!$D$2:$D$501,"&lt;="&amp;G889),IF(m=0,"",LET(d,MAXIFS(Bank_Rates!$D$2:$D$501,Bank_Rates!$A$2:$A$501,H889,Bank_Rates!$B$2:$B$501,t,Bank_Rates!$D$2:$D$501,"&lt;="&amp;G889),SUMIFS(Bank_Rates!$C$2:$C$501,Bank_Rates!$A$2:$A$501,H889,Bank_Rates!$B$2:$B$501,t,Bank_Rates!$D$2:$D$501,d)))))))</f>
        <v/>
      </c>
      <c r="K889" s="6" t="str">
        <f t="shared" si="26"/>
        <v/>
      </c>
    </row>
    <row r="890" spans="1:11">
      <c r="A890" s="18" t="str">
        <f t="shared" si="27"/>
        <v/>
      </c>
      <c r="B890" s="13"/>
      <c r="C890" s="14"/>
      <c r="D890" s="3"/>
      <c r="E890" s="3"/>
      <c r="F890" s="14"/>
      <c r="G890" s="7">
        <f>RawObservationsTable[[#This Row],[Maturity Date]]-RawObservationsTable[[#This Row],[Timestamp]]</f>
        <v>0</v>
      </c>
      <c r="H890" s="2"/>
      <c r="I890" s="4"/>
      <c r="J890" s="5" t="str">
        <f>IF(OR(H890="",G890="",C890=""),"",LET(n,COUNTIFS(Bank_Rates!$A$2:$A$501,H890,Bank_Rates!$B$2:$B$501,"&lt;="&amp;C890),IF(n=0,"",LET(t,MAXIFS(Bank_Rates!$B$2:$B$501,Bank_Rates!$A$2:$A$501,H890,Bank_Rates!$B$2:$B$501,"&lt;="&amp;C890),m,COUNTIFS(Bank_Rates!$A$2:$A$501,H890,Bank_Rates!$B$2:$B$501,t,Bank_Rates!$D$2:$D$501,"&lt;="&amp;G890),IF(m=0,"",LET(d,MAXIFS(Bank_Rates!$D$2:$D$501,Bank_Rates!$A$2:$A$501,H890,Bank_Rates!$B$2:$B$501,t,Bank_Rates!$D$2:$D$501,"&lt;="&amp;G890),SUMIFS(Bank_Rates!$C$2:$C$501,Bank_Rates!$A$2:$A$501,H890,Bank_Rates!$B$2:$B$501,t,Bank_Rates!$D$2:$D$501,d)))))))</f>
        <v/>
      </c>
      <c r="K890" s="6" t="str">
        <f t="shared" si="26"/>
        <v/>
      </c>
    </row>
    <row r="891" spans="1:11">
      <c r="A891" s="18" t="str">
        <f t="shared" si="27"/>
        <v/>
      </c>
      <c r="B891" s="13"/>
      <c r="C891" s="14"/>
      <c r="D891" s="3"/>
      <c r="E891" s="3"/>
      <c r="F891" s="14"/>
      <c r="G891" s="7">
        <f>RawObservationsTable[[#This Row],[Maturity Date]]-RawObservationsTable[[#This Row],[Timestamp]]</f>
        <v>0</v>
      </c>
      <c r="H891" s="2"/>
      <c r="I891" s="4"/>
      <c r="J891" s="5" t="str">
        <f>IF(OR(H891="",G891="",C891=""),"",LET(n,COUNTIFS(Bank_Rates!$A$2:$A$501,H891,Bank_Rates!$B$2:$B$501,"&lt;="&amp;C891),IF(n=0,"",LET(t,MAXIFS(Bank_Rates!$B$2:$B$501,Bank_Rates!$A$2:$A$501,H891,Bank_Rates!$B$2:$B$501,"&lt;="&amp;C891),m,COUNTIFS(Bank_Rates!$A$2:$A$501,H891,Bank_Rates!$B$2:$B$501,t,Bank_Rates!$D$2:$D$501,"&lt;="&amp;G891),IF(m=0,"",LET(d,MAXIFS(Bank_Rates!$D$2:$D$501,Bank_Rates!$A$2:$A$501,H891,Bank_Rates!$B$2:$B$501,t,Bank_Rates!$D$2:$D$501,"&lt;="&amp;G891),SUMIFS(Bank_Rates!$C$2:$C$501,Bank_Rates!$A$2:$A$501,H891,Bank_Rates!$B$2:$B$501,t,Bank_Rates!$D$2:$D$501,d)))))))</f>
        <v/>
      </c>
      <c r="K891" s="6" t="str">
        <f t="shared" si="26"/>
        <v/>
      </c>
    </row>
    <row r="892" spans="1:11">
      <c r="A892" s="18" t="str">
        <f t="shared" si="27"/>
        <v/>
      </c>
      <c r="B892" s="13"/>
      <c r="C892" s="14"/>
      <c r="D892" s="3"/>
      <c r="E892" s="3"/>
      <c r="F892" s="14"/>
      <c r="G892" s="7">
        <f>RawObservationsTable[[#This Row],[Maturity Date]]-RawObservationsTable[[#This Row],[Timestamp]]</f>
        <v>0</v>
      </c>
      <c r="H892" s="2"/>
      <c r="I892" s="4"/>
      <c r="J892" s="5" t="str">
        <f>IF(OR(H892="",G892="",C892=""),"",LET(n,COUNTIFS(Bank_Rates!$A$2:$A$501,H892,Bank_Rates!$B$2:$B$501,"&lt;="&amp;C892),IF(n=0,"",LET(t,MAXIFS(Bank_Rates!$B$2:$B$501,Bank_Rates!$A$2:$A$501,H892,Bank_Rates!$B$2:$B$501,"&lt;="&amp;C892),m,COUNTIFS(Bank_Rates!$A$2:$A$501,H892,Bank_Rates!$B$2:$B$501,t,Bank_Rates!$D$2:$D$501,"&lt;="&amp;G892),IF(m=0,"",LET(d,MAXIFS(Bank_Rates!$D$2:$D$501,Bank_Rates!$A$2:$A$501,H892,Bank_Rates!$B$2:$B$501,t,Bank_Rates!$D$2:$D$501,"&lt;="&amp;G892),SUMIFS(Bank_Rates!$C$2:$C$501,Bank_Rates!$A$2:$A$501,H892,Bank_Rates!$B$2:$B$501,t,Bank_Rates!$D$2:$D$501,d)))))))</f>
        <v/>
      </c>
      <c r="K892" s="6" t="str">
        <f t="shared" si="26"/>
        <v/>
      </c>
    </row>
    <row r="893" spans="1:11">
      <c r="A893" s="18" t="str">
        <f t="shared" si="27"/>
        <v/>
      </c>
      <c r="B893" s="13"/>
      <c r="C893" s="14"/>
      <c r="D893" s="3"/>
      <c r="E893" s="3"/>
      <c r="F893" s="14"/>
      <c r="G893" s="7">
        <f>RawObservationsTable[[#This Row],[Maturity Date]]-RawObservationsTable[[#This Row],[Timestamp]]</f>
        <v>0</v>
      </c>
      <c r="H893" s="2"/>
      <c r="I893" s="4"/>
      <c r="J893" s="5" t="str">
        <f>IF(OR(H893="",G893="",C893=""),"",LET(n,COUNTIFS(Bank_Rates!$A$2:$A$501,H893,Bank_Rates!$B$2:$B$501,"&lt;="&amp;C893),IF(n=0,"",LET(t,MAXIFS(Bank_Rates!$B$2:$B$501,Bank_Rates!$A$2:$A$501,H893,Bank_Rates!$B$2:$B$501,"&lt;="&amp;C893),m,COUNTIFS(Bank_Rates!$A$2:$A$501,H893,Bank_Rates!$B$2:$B$501,t,Bank_Rates!$D$2:$D$501,"&lt;="&amp;G893),IF(m=0,"",LET(d,MAXIFS(Bank_Rates!$D$2:$D$501,Bank_Rates!$A$2:$A$501,H893,Bank_Rates!$B$2:$B$501,t,Bank_Rates!$D$2:$D$501,"&lt;="&amp;G893),SUMIFS(Bank_Rates!$C$2:$C$501,Bank_Rates!$A$2:$A$501,H893,Bank_Rates!$B$2:$B$501,t,Bank_Rates!$D$2:$D$501,d)))))))</f>
        <v/>
      </c>
      <c r="K893" s="6" t="str">
        <f t="shared" si="26"/>
        <v/>
      </c>
    </row>
    <row r="894" spans="1:11">
      <c r="A894" s="18" t="str">
        <f t="shared" si="27"/>
        <v/>
      </c>
      <c r="B894" s="13"/>
      <c r="C894" s="14"/>
      <c r="D894" s="3"/>
      <c r="E894" s="3"/>
      <c r="F894" s="14"/>
      <c r="G894" s="7">
        <f>RawObservationsTable[[#This Row],[Maturity Date]]-RawObservationsTable[[#This Row],[Timestamp]]</f>
        <v>0</v>
      </c>
      <c r="H894" s="2"/>
      <c r="I894" s="4"/>
      <c r="J894" s="5" t="str">
        <f>IF(OR(H894="",G894="",C894=""),"",LET(n,COUNTIFS(Bank_Rates!$A$2:$A$501,H894,Bank_Rates!$B$2:$B$501,"&lt;="&amp;C894),IF(n=0,"",LET(t,MAXIFS(Bank_Rates!$B$2:$B$501,Bank_Rates!$A$2:$A$501,H894,Bank_Rates!$B$2:$B$501,"&lt;="&amp;C894),m,COUNTIFS(Bank_Rates!$A$2:$A$501,H894,Bank_Rates!$B$2:$B$501,t,Bank_Rates!$D$2:$D$501,"&lt;="&amp;G894),IF(m=0,"",LET(d,MAXIFS(Bank_Rates!$D$2:$D$501,Bank_Rates!$A$2:$A$501,H894,Bank_Rates!$B$2:$B$501,t,Bank_Rates!$D$2:$D$501,"&lt;="&amp;G894),SUMIFS(Bank_Rates!$C$2:$C$501,Bank_Rates!$A$2:$A$501,H894,Bank_Rates!$B$2:$B$501,t,Bank_Rates!$D$2:$D$501,d)))))))</f>
        <v/>
      </c>
      <c r="K894" s="6" t="str">
        <f t="shared" si="26"/>
        <v/>
      </c>
    </row>
    <row r="895" spans="1:11">
      <c r="A895" s="18" t="str">
        <f t="shared" si="27"/>
        <v/>
      </c>
      <c r="B895" s="13"/>
      <c r="C895" s="14"/>
      <c r="D895" s="3"/>
      <c r="E895" s="3"/>
      <c r="F895" s="14"/>
      <c r="G895" s="7">
        <f>RawObservationsTable[[#This Row],[Maturity Date]]-RawObservationsTable[[#This Row],[Timestamp]]</f>
        <v>0</v>
      </c>
      <c r="H895" s="2"/>
      <c r="I895" s="4"/>
      <c r="J895" s="5" t="str">
        <f>IF(OR(H895="",G895="",C895=""),"",LET(n,COUNTIFS(Bank_Rates!$A$2:$A$501,H895,Bank_Rates!$B$2:$B$501,"&lt;="&amp;C895),IF(n=0,"",LET(t,MAXIFS(Bank_Rates!$B$2:$B$501,Bank_Rates!$A$2:$A$501,H895,Bank_Rates!$B$2:$B$501,"&lt;="&amp;C895),m,COUNTIFS(Bank_Rates!$A$2:$A$501,H895,Bank_Rates!$B$2:$B$501,t,Bank_Rates!$D$2:$D$501,"&lt;="&amp;G895),IF(m=0,"",LET(d,MAXIFS(Bank_Rates!$D$2:$D$501,Bank_Rates!$A$2:$A$501,H895,Bank_Rates!$B$2:$B$501,t,Bank_Rates!$D$2:$D$501,"&lt;="&amp;G895),SUMIFS(Bank_Rates!$C$2:$C$501,Bank_Rates!$A$2:$A$501,H895,Bank_Rates!$B$2:$B$501,t,Bank_Rates!$D$2:$D$501,d)))))))</f>
        <v/>
      </c>
      <c r="K895" s="6" t="str">
        <f t="shared" si="26"/>
        <v/>
      </c>
    </row>
    <row r="896" spans="1:11">
      <c r="A896" s="18" t="str">
        <f t="shared" si="27"/>
        <v/>
      </c>
      <c r="B896" s="13"/>
      <c r="C896" s="14"/>
      <c r="D896" s="3"/>
      <c r="E896" s="3"/>
      <c r="F896" s="14"/>
      <c r="G896" s="7">
        <f>RawObservationsTable[[#This Row],[Maturity Date]]-RawObservationsTable[[#This Row],[Timestamp]]</f>
        <v>0</v>
      </c>
      <c r="H896" s="2"/>
      <c r="I896" s="4"/>
      <c r="J896" s="5" t="str">
        <f>IF(OR(H896="",G896="",C896=""),"",LET(n,COUNTIFS(Bank_Rates!$A$2:$A$501,H896,Bank_Rates!$B$2:$B$501,"&lt;="&amp;C896),IF(n=0,"",LET(t,MAXIFS(Bank_Rates!$B$2:$B$501,Bank_Rates!$A$2:$A$501,H896,Bank_Rates!$B$2:$B$501,"&lt;="&amp;C896),m,COUNTIFS(Bank_Rates!$A$2:$A$501,H896,Bank_Rates!$B$2:$B$501,t,Bank_Rates!$D$2:$D$501,"&lt;="&amp;G896),IF(m=0,"",LET(d,MAXIFS(Bank_Rates!$D$2:$D$501,Bank_Rates!$A$2:$A$501,H896,Bank_Rates!$B$2:$B$501,t,Bank_Rates!$D$2:$D$501,"&lt;="&amp;G896),SUMIFS(Bank_Rates!$C$2:$C$501,Bank_Rates!$A$2:$A$501,H896,Bank_Rates!$B$2:$B$501,t,Bank_Rates!$D$2:$D$501,d)))))))</f>
        <v/>
      </c>
      <c r="K896" s="6" t="str">
        <f t="shared" si="26"/>
        <v/>
      </c>
    </row>
    <row r="897" spans="1:11">
      <c r="A897" s="18" t="str">
        <f t="shared" si="27"/>
        <v/>
      </c>
      <c r="B897" s="13"/>
      <c r="C897" s="14"/>
      <c r="D897" s="3"/>
      <c r="E897" s="3"/>
      <c r="F897" s="14"/>
      <c r="G897" s="7">
        <f>RawObservationsTable[[#This Row],[Maturity Date]]-RawObservationsTable[[#This Row],[Timestamp]]</f>
        <v>0</v>
      </c>
      <c r="H897" s="2"/>
      <c r="I897" s="4"/>
      <c r="J897" s="5" t="str">
        <f>IF(OR(H897="",G897="",C897=""),"",LET(n,COUNTIFS(Bank_Rates!$A$2:$A$501,H897,Bank_Rates!$B$2:$B$501,"&lt;="&amp;C897),IF(n=0,"",LET(t,MAXIFS(Bank_Rates!$B$2:$B$501,Bank_Rates!$A$2:$A$501,H897,Bank_Rates!$B$2:$B$501,"&lt;="&amp;C897),m,COUNTIFS(Bank_Rates!$A$2:$A$501,H897,Bank_Rates!$B$2:$B$501,t,Bank_Rates!$D$2:$D$501,"&lt;="&amp;G897),IF(m=0,"",LET(d,MAXIFS(Bank_Rates!$D$2:$D$501,Bank_Rates!$A$2:$A$501,H897,Bank_Rates!$B$2:$B$501,t,Bank_Rates!$D$2:$D$501,"&lt;="&amp;G897),SUMIFS(Bank_Rates!$C$2:$C$501,Bank_Rates!$A$2:$A$501,H897,Bank_Rates!$B$2:$B$501,t,Bank_Rates!$D$2:$D$501,d)))))))</f>
        <v/>
      </c>
      <c r="K897" s="6" t="str">
        <f t="shared" si="26"/>
        <v/>
      </c>
    </row>
    <row r="898" spans="1:11">
      <c r="A898" s="18" t="str">
        <f t="shared" si="27"/>
        <v/>
      </c>
      <c r="B898" s="13"/>
      <c r="C898" s="14"/>
      <c r="D898" s="3"/>
      <c r="E898" s="3"/>
      <c r="F898" s="14"/>
      <c r="G898" s="7">
        <f>RawObservationsTable[[#This Row],[Maturity Date]]-RawObservationsTable[[#This Row],[Timestamp]]</f>
        <v>0</v>
      </c>
      <c r="H898" s="2"/>
      <c r="I898" s="4"/>
      <c r="J898" s="5" t="str">
        <f>IF(OR(H898="",G898="",C898=""),"",LET(n,COUNTIFS(Bank_Rates!$A$2:$A$501,H898,Bank_Rates!$B$2:$B$501,"&lt;="&amp;C898),IF(n=0,"",LET(t,MAXIFS(Bank_Rates!$B$2:$B$501,Bank_Rates!$A$2:$A$501,H898,Bank_Rates!$B$2:$B$501,"&lt;="&amp;C898),m,COUNTIFS(Bank_Rates!$A$2:$A$501,H898,Bank_Rates!$B$2:$B$501,t,Bank_Rates!$D$2:$D$501,"&lt;="&amp;G898),IF(m=0,"",LET(d,MAXIFS(Bank_Rates!$D$2:$D$501,Bank_Rates!$A$2:$A$501,H898,Bank_Rates!$B$2:$B$501,t,Bank_Rates!$D$2:$D$501,"&lt;="&amp;G898),SUMIFS(Bank_Rates!$C$2:$C$501,Bank_Rates!$A$2:$A$501,H898,Bank_Rates!$B$2:$B$501,t,Bank_Rates!$D$2:$D$501,d)))))))</f>
        <v/>
      </c>
      <c r="K898" s="6" t="str">
        <f t="shared" ref="K898:K961" si="28">IF(OR(I898="",J898=""),"",I898-J898)</f>
        <v/>
      </c>
    </row>
    <row r="899" spans="1:11">
      <c r="A899" s="18" t="str">
        <f t="shared" ref="A899:A962" si="29">IF(B899&lt;&gt;"","L-"&amp;TEXT(ROW()-1,"0000"),"")</f>
        <v/>
      </c>
      <c r="B899" s="13"/>
      <c r="C899" s="14"/>
      <c r="D899" s="3"/>
      <c r="E899" s="3"/>
      <c r="F899" s="14"/>
      <c r="G899" s="7">
        <f>RawObservationsTable[[#This Row],[Maturity Date]]-RawObservationsTable[[#This Row],[Timestamp]]</f>
        <v>0</v>
      </c>
      <c r="H899" s="2"/>
      <c r="I899" s="4"/>
      <c r="J899" s="5" t="str">
        <f>IF(OR(H899="",G899="",C899=""),"",LET(n,COUNTIFS(Bank_Rates!$A$2:$A$501,H899,Bank_Rates!$B$2:$B$501,"&lt;="&amp;C899),IF(n=0,"",LET(t,MAXIFS(Bank_Rates!$B$2:$B$501,Bank_Rates!$A$2:$A$501,H899,Bank_Rates!$B$2:$B$501,"&lt;="&amp;C899),m,COUNTIFS(Bank_Rates!$A$2:$A$501,H899,Bank_Rates!$B$2:$B$501,t,Bank_Rates!$D$2:$D$501,"&lt;="&amp;G899),IF(m=0,"",LET(d,MAXIFS(Bank_Rates!$D$2:$D$501,Bank_Rates!$A$2:$A$501,H899,Bank_Rates!$B$2:$B$501,t,Bank_Rates!$D$2:$D$501,"&lt;="&amp;G899),SUMIFS(Bank_Rates!$C$2:$C$501,Bank_Rates!$A$2:$A$501,H899,Bank_Rates!$B$2:$B$501,t,Bank_Rates!$D$2:$D$501,d)))))))</f>
        <v/>
      </c>
      <c r="K899" s="6" t="str">
        <f t="shared" si="28"/>
        <v/>
      </c>
    </row>
    <row r="900" spans="1:11">
      <c r="A900" s="18" t="str">
        <f t="shared" si="29"/>
        <v/>
      </c>
      <c r="B900" s="13"/>
      <c r="C900" s="14"/>
      <c r="D900" s="3"/>
      <c r="E900" s="3"/>
      <c r="F900" s="14"/>
      <c r="G900" s="7">
        <f>RawObservationsTable[[#This Row],[Maturity Date]]-RawObservationsTable[[#This Row],[Timestamp]]</f>
        <v>0</v>
      </c>
      <c r="H900" s="2"/>
      <c r="I900" s="4"/>
      <c r="J900" s="5" t="str">
        <f>IF(OR(H900="",G900="",C900=""),"",LET(n,COUNTIFS(Bank_Rates!$A$2:$A$501,H900,Bank_Rates!$B$2:$B$501,"&lt;="&amp;C900),IF(n=0,"",LET(t,MAXIFS(Bank_Rates!$B$2:$B$501,Bank_Rates!$A$2:$A$501,H900,Bank_Rates!$B$2:$B$501,"&lt;="&amp;C900),m,COUNTIFS(Bank_Rates!$A$2:$A$501,H900,Bank_Rates!$B$2:$B$501,t,Bank_Rates!$D$2:$D$501,"&lt;="&amp;G900),IF(m=0,"",LET(d,MAXIFS(Bank_Rates!$D$2:$D$501,Bank_Rates!$A$2:$A$501,H900,Bank_Rates!$B$2:$B$501,t,Bank_Rates!$D$2:$D$501,"&lt;="&amp;G900),SUMIFS(Bank_Rates!$C$2:$C$501,Bank_Rates!$A$2:$A$501,H900,Bank_Rates!$B$2:$B$501,t,Bank_Rates!$D$2:$D$501,d)))))))</f>
        <v/>
      </c>
      <c r="K900" s="6" t="str">
        <f t="shared" si="28"/>
        <v/>
      </c>
    </row>
    <row r="901" spans="1:11">
      <c r="A901" s="18" t="str">
        <f t="shared" si="29"/>
        <v/>
      </c>
      <c r="B901" s="13"/>
      <c r="C901" s="14"/>
      <c r="D901" s="3"/>
      <c r="E901" s="3"/>
      <c r="F901" s="14"/>
      <c r="G901" s="7">
        <f>RawObservationsTable[[#This Row],[Maturity Date]]-RawObservationsTable[[#This Row],[Timestamp]]</f>
        <v>0</v>
      </c>
      <c r="H901" s="2"/>
      <c r="I901" s="4"/>
      <c r="J901" s="5" t="str">
        <f>IF(OR(H901="",G901="",C901=""),"",LET(n,COUNTIFS(Bank_Rates!$A$2:$A$501,H901,Bank_Rates!$B$2:$B$501,"&lt;="&amp;C901),IF(n=0,"",LET(t,MAXIFS(Bank_Rates!$B$2:$B$501,Bank_Rates!$A$2:$A$501,H901,Bank_Rates!$B$2:$B$501,"&lt;="&amp;C901),m,COUNTIFS(Bank_Rates!$A$2:$A$501,H901,Bank_Rates!$B$2:$B$501,t,Bank_Rates!$D$2:$D$501,"&lt;="&amp;G901),IF(m=0,"",LET(d,MAXIFS(Bank_Rates!$D$2:$D$501,Bank_Rates!$A$2:$A$501,H901,Bank_Rates!$B$2:$B$501,t,Bank_Rates!$D$2:$D$501,"&lt;="&amp;G901),SUMIFS(Bank_Rates!$C$2:$C$501,Bank_Rates!$A$2:$A$501,H901,Bank_Rates!$B$2:$B$501,t,Bank_Rates!$D$2:$D$501,d)))))))</f>
        <v/>
      </c>
      <c r="K901" s="6" t="str">
        <f t="shared" si="28"/>
        <v/>
      </c>
    </row>
    <row r="902" spans="1:11">
      <c r="A902" s="18" t="str">
        <f t="shared" si="29"/>
        <v/>
      </c>
      <c r="B902" s="13"/>
      <c r="C902" s="14"/>
      <c r="D902" s="3"/>
      <c r="E902" s="3"/>
      <c r="F902" s="14"/>
      <c r="G902" s="7">
        <f>RawObservationsTable[[#This Row],[Maturity Date]]-RawObservationsTable[[#This Row],[Timestamp]]</f>
        <v>0</v>
      </c>
      <c r="H902" s="2"/>
      <c r="I902" s="4"/>
      <c r="J902" s="5" t="str">
        <f>IF(OR(H902="",G902="",C902=""),"",LET(n,COUNTIFS(Bank_Rates!$A$2:$A$501,H902,Bank_Rates!$B$2:$B$501,"&lt;="&amp;C902),IF(n=0,"",LET(t,MAXIFS(Bank_Rates!$B$2:$B$501,Bank_Rates!$A$2:$A$501,H902,Bank_Rates!$B$2:$B$501,"&lt;="&amp;C902),m,COUNTIFS(Bank_Rates!$A$2:$A$501,H902,Bank_Rates!$B$2:$B$501,t,Bank_Rates!$D$2:$D$501,"&lt;="&amp;G902),IF(m=0,"",LET(d,MAXIFS(Bank_Rates!$D$2:$D$501,Bank_Rates!$A$2:$A$501,H902,Bank_Rates!$B$2:$B$501,t,Bank_Rates!$D$2:$D$501,"&lt;="&amp;G902),SUMIFS(Bank_Rates!$C$2:$C$501,Bank_Rates!$A$2:$A$501,H902,Bank_Rates!$B$2:$B$501,t,Bank_Rates!$D$2:$D$501,d)))))))</f>
        <v/>
      </c>
      <c r="K902" s="6" t="str">
        <f t="shared" si="28"/>
        <v/>
      </c>
    </row>
    <row r="903" spans="1:11">
      <c r="A903" s="18" t="str">
        <f t="shared" si="29"/>
        <v/>
      </c>
      <c r="B903" s="13"/>
      <c r="C903" s="14"/>
      <c r="D903" s="3"/>
      <c r="E903" s="3"/>
      <c r="F903" s="14"/>
      <c r="G903" s="7">
        <f>RawObservationsTable[[#This Row],[Maturity Date]]-RawObservationsTable[[#This Row],[Timestamp]]</f>
        <v>0</v>
      </c>
      <c r="H903" s="2"/>
      <c r="I903" s="4"/>
      <c r="J903" s="5" t="str">
        <f>IF(OR(H903="",G903="",C903=""),"",LET(n,COUNTIFS(Bank_Rates!$A$2:$A$501,H903,Bank_Rates!$B$2:$B$501,"&lt;="&amp;C903),IF(n=0,"",LET(t,MAXIFS(Bank_Rates!$B$2:$B$501,Bank_Rates!$A$2:$A$501,H903,Bank_Rates!$B$2:$B$501,"&lt;="&amp;C903),m,COUNTIFS(Bank_Rates!$A$2:$A$501,H903,Bank_Rates!$B$2:$B$501,t,Bank_Rates!$D$2:$D$501,"&lt;="&amp;G903),IF(m=0,"",LET(d,MAXIFS(Bank_Rates!$D$2:$D$501,Bank_Rates!$A$2:$A$501,H903,Bank_Rates!$B$2:$B$501,t,Bank_Rates!$D$2:$D$501,"&lt;="&amp;G903),SUMIFS(Bank_Rates!$C$2:$C$501,Bank_Rates!$A$2:$A$501,H903,Bank_Rates!$B$2:$B$501,t,Bank_Rates!$D$2:$D$501,d)))))))</f>
        <v/>
      </c>
      <c r="K903" s="6" t="str">
        <f t="shared" si="28"/>
        <v/>
      </c>
    </row>
    <row r="904" spans="1:11">
      <c r="A904" s="18" t="str">
        <f t="shared" si="29"/>
        <v/>
      </c>
      <c r="B904" s="13"/>
      <c r="C904" s="14"/>
      <c r="D904" s="3"/>
      <c r="E904" s="3"/>
      <c r="F904" s="14"/>
      <c r="G904" s="7">
        <f>RawObservationsTable[[#This Row],[Maturity Date]]-RawObservationsTable[[#This Row],[Timestamp]]</f>
        <v>0</v>
      </c>
      <c r="H904" s="2"/>
      <c r="I904" s="4"/>
      <c r="J904" s="5" t="str">
        <f>IF(OR(H904="",G904="",C904=""),"",LET(n,COUNTIFS(Bank_Rates!$A$2:$A$501,H904,Bank_Rates!$B$2:$B$501,"&lt;="&amp;C904),IF(n=0,"",LET(t,MAXIFS(Bank_Rates!$B$2:$B$501,Bank_Rates!$A$2:$A$501,H904,Bank_Rates!$B$2:$B$501,"&lt;="&amp;C904),m,COUNTIFS(Bank_Rates!$A$2:$A$501,H904,Bank_Rates!$B$2:$B$501,t,Bank_Rates!$D$2:$D$501,"&lt;="&amp;G904),IF(m=0,"",LET(d,MAXIFS(Bank_Rates!$D$2:$D$501,Bank_Rates!$A$2:$A$501,H904,Bank_Rates!$B$2:$B$501,t,Bank_Rates!$D$2:$D$501,"&lt;="&amp;G904),SUMIFS(Bank_Rates!$C$2:$C$501,Bank_Rates!$A$2:$A$501,H904,Bank_Rates!$B$2:$B$501,t,Bank_Rates!$D$2:$D$501,d)))))))</f>
        <v/>
      </c>
      <c r="K904" s="6" t="str">
        <f t="shared" si="28"/>
        <v/>
      </c>
    </row>
    <row r="905" spans="1:11">
      <c r="A905" s="18" t="str">
        <f t="shared" si="29"/>
        <v/>
      </c>
      <c r="B905" s="13"/>
      <c r="C905" s="14"/>
      <c r="D905" s="3"/>
      <c r="E905" s="3"/>
      <c r="F905" s="14"/>
      <c r="G905" s="7">
        <f>RawObservationsTable[[#This Row],[Maturity Date]]-RawObservationsTable[[#This Row],[Timestamp]]</f>
        <v>0</v>
      </c>
      <c r="H905" s="2"/>
      <c r="I905" s="4"/>
      <c r="J905" s="5" t="str">
        <f>IF(OR(H905="",G905="",C905=""),"",LET(n,COUNTIFS(Bank_Rates!$A$2:$A$501,H905,Bank_Rates!$B$2:$B$501,"&lt;="&amp;C905),IF(n=0,"",LET(t,MAXIFS(Bank_Rates!$B$2:$B$501,Bank_Rates!$A$2:$A$501,H905,Bank_Rates!$B$2:$B$501,"&lt;="&amp;C905),m,COUNTIFS(Bank_Rates!$A$2:$A$501,H905,Bank_Rates!$B$2:$B$501,t,Bank_Rates!$D$2:$D$501,"&lt;="&amp;G905),IF(m=0,"",LET(d,MAXIFS(Bank_Rates!$D$2:$D$501,Bank_Rates!$A$2:$A$501,H905,Bank_Rates!$B$2:$B$501,t,Bank_Rates!$D$2:$D$501,"&lt;="&amp;G905),SUMIFS(Bank_Rates!$C$2:$C$501,Bank_Rates!$A$2:$A$501,H905,Bank_Rates!$B$2:$B$501,t,Bank_Rates!$D$2:$D$501,d)))))))</f>
        <v/>
      </c>
      <c r="K905" s="6" t="str">
        <f t="shared" si="28"/>
        <v/>
      </c>
    </row>
    <row r="906" spans="1:11">
      <c r="A906" s="18" t="str">
        <f t="shared" si="29"/>
        <v/>
      </c>
      <c r="B906" s="13"/>
      <c r="C906" s="14"/>
      <c r="D906" s="3"/>
      <c r="E906" s="3"/>
      <c r="F906" s="14"/>
      <c r="G906" s="7">
        <f>RawObservationsTable[[#This Row],[Maturity Date]]-RawObservationsTable[[#This Row],[Timestamp]]</f>
        <v>0</v>
      </c>
      <c r="H906" s="2"/>
      <c r="I906" s="4"/>
      <c r="J906" s="5" t="str">
        <f>IF(OR(H906="",G906="",C906=""),"",LET(n,COUNTIFS(Bank_Rates!$A$2:$A$501,H906,Bank_Rates!$B$2:$B$501,"&lt;="&amp;C906),IF(n=0,"",LET(t,MAXIFS(Bank_Rates!$B$2:$B$501,Bank_Rates!$A$2:$A$501,H906,Bank_Rates!$B$2:$B$501,"&lt;="&amp;C906),m,COUNTIFS(Bank_Rates!$A$2:$A$501,H906,Bank_Rates!$B$2:$B$501,t,Bank_Rates!$D$2:$D$501,"&lt;="&amp;G906),IF(m=0,"",LET(d,MAXIFS(Bank_Rates!$D$2:$D$501,Bank_Rates!$A$2:$A$501,H906,Bank_Rates!$B$2:$B$501,t,Bank_Rates!$D$2:$D$501,"&lt;="&amp;G906),SUMIFS(Bank_Rates!$C$2:$C$501,Bank_Rates!$A$2:$A$501,H906,Bank_Rates!$B$2:$B$501,t,Bank_Rates!$D$2:$D$501,d)))))))</f>
        <v/>
      </c>
      <c r="K906" s="6" t="str">
        <f t="shared" si="28"/>
        <v/>
      </c>
    </row>
    <row r="907" spans="1:11">
      <c r="A907" s="18" t="str">
        <f t="shared" si="29"/>
        <v/>
      </c>
      <c r="B907" s="13"/>
      <c r="C907" s="14"/>
      <c r="D907" s="3"/>
      <c r="E907" s="3"/>
      <c r="F907" s="14"/>
      <c r="G907" s="7">
        <f>RawObservationsTable[[#This Row],[Maturity Date]]-RawObservationsTable[[#This Row],[Timestamp]]</f>
        <v>0</v>
      </c>
      <c r="H907" s="2"/>
      <c r="I907" s="4"/>
      <c r="J907" s="5" t="str">
        <f>IF(OR(H907="",G907="",C907=""),"",LET(n,COUNTIFS(Bank_Rates!$A$2:$A$501,H907,Bank_Rates!$B$2:$B$501,"&lt;="&amp;C907),IF(n=0,"",LET(t,MAXIFS(Bank_Rates!$B$2:$B$501,Bank_Rates!$A$2:$A$501,H907,Bank_Rates!$B$2:$B$501,"&lt;="&amp;C907),m,COUNTIFS(Bank_Rates!$A$2:$A$501,H907,Bank_Rates!$B$2:$B$501,t,Bank_Rates!$D$2:$D$501,"&lt;="&amp;G907),IF(m=0,"",LET(d,MAXIFS(Bank_Rates!$D$2:$D$501,Bank_Rates!$A$2:$A$501,H907,Bank_Rates!$B$2:$B$501,t,Bank_Rates!$D$2:$D$501,"&lt;="&amp;G907),SUMIFS(Bank_Rates!$C$2:$C$501,Bank_Rates!$A$2:$A$501,H907,Bank_Rates!$B$2:$B$501,t,Bank_Rates!$D$2:$D$501,d)))))))</f>
        <v/>
      </c>
      <c r="K907" s="6" t="str">
        <f t="shared" si="28"/>
        <v/>
      </c>
    </row>
    <row r="908" spans="1:11">
      <c r="A908" s="18" t="str">
        <f t="shared" si="29"/>
        <v/>
      </c>
      <c r="B908" s="13"/>
      <c r="C908" s="14"/>
      <c r="D908" s="3"/>
      <c r="E908" s="3"/>
      <c r="F908" s="14"/>
      <c r="G908" s="7">
        <f>RawObservationsTable[[#This Row],[Maturity Date]]-RawObservationsTable[[#This Row],[Timestamp]]</f>
        <v>0</v>
      </c>
      <c r="H908" s="2"/>
      <c r="I908" s="4"/>
      <c r="J908" s="5" t="str">
        <f>IF(OR(H908="",G908="",C908=""),"",LET(n,COUNTIFS(Bank_Rates!$A$2:$A$501,H908,Bank_Rates!$B$2:$B$501,"&lt;="&amp;C908),IF(n=0,"",LET(t,MAXIFS(Bank_Rates!$B$2:$B$501,Bank_Rates!$A$2:$A$501,H908,Bank_Rates!$B$2:$B$501,"&lt;="&amp;C908),m,COUNTIFS(Bank_Rates!$A$2:$A$501,H908,Bank_Rates!$B$2:$B$501,t,Bank_Rates!$D$2:$D$501,"&lt;="&amp;G908),IF(m=0,"",LET(d,MAXIFS(Bank_Rates!$D$2:$D$501,Bank_Rates!$A$2:$A$501,H908,Bank_Rates!$B$2:$B$501,t,Bank_Rates!$D$2:$D$501,"&lt;="&amp;G908),SUMIFS(Bank_Rates!$C$2:$C$501,Bank_Rates!$A$2:$A$501,H908,Bank_Rates!$B$2:$B$501,t,Bank_Rates!$D$2:$D$501,d)))))))</f>
        <v/>
      </c>
      <c r="K908" s="6" t="str">
        <f t="shared" si="28"/>
        <v/>
      </c>
    </row>
    <row r="909" spans="1:11">
      <c r="A909" s="18" t="str">
        <f t="shared" si="29"/>
        <v/>
      </c>
      <c r="B909" s="13"/>
      <c r="C909" s="14"/>
      <c r="D909" s="3"/>
      <c r="E909" s="3"/>
      <c r="F909" s="14"/>
      <c r="G909" s="7">
        <f>RawObservationsTable[[#This Row],[Maturity Date]]-RawObservationsTable[[#This Row],[Timestamp]]</f>
        <v>0</v>
      </c>
      <c r="H909" s="2"/>
      <c r="I909" s="4"/>
      <c r="J909" s="5" t="str">
        <f>IF(OR(H909="",G909="",C909=""),"",LET(n,COUNTIFS(Bank_Rates!$A$2:$A$501,H909,Bank_Rates!$B$2:$B$501,"&lt;="&amp;C909),IF(n=0,"",LET(t,MAXIFS(Bank_Rates!$B$2:$B$501,Bank_Rates!$A$2:$A$501,H909,Bank_Rates!$B$2:$B$501,"&lt;="&amp;C909),m,COUNTIFS(Bank_Rates!$A$2:$A$501,H909,Bank_Rates!$B$2:$B$501,t,Bank_Rates!$D$2:$D$501,"&lt;="&amp;G909),IF(m=0,"",LET(d,MAXIFS(Bank_Rates!$D$2:$D$501,Bank_Rates!$A$2:$A$501,H909,Bank_Rates!$B$2:$B$501,t,Bank_Rates!$D$2:$D$501,"&lt;="&amp;G909),SUMIFS(Bank_Rates!$C$2:$C$501,Bank_Rates!$A$2:$A$501,H909,Bank_Rates!$B$2:$B$501,t,Bank_Rates!$D$2:$D$501,d)))))))</f>
        <v/>
      </c>
      <c r="K909" s="6" t="str">
        <f t="shared" si="28"/>
        <v/>
      </c>
    </row>
    <row r="910" spans="1:11">
      <c r="A910" s="18" t="str">
        <f t="shared" si="29"/>
        <v/>
      </c>
      <c r="B910" s="13"/>
      <c r="C910" s="14"/>
      <c r="D910" s="3"/>
      <c r="E910" s="3"/>
      <c r="F910" s="14"/>
      <c r="G910" s="7">
        <f>RawObservationsTable[[#This Row],[Maturity Date]]-RawObservationsTable[[#This Row],[Timestamp]]</f>
        <v>0</v>
      </c>
      <c r="H910" s="2"/>
      <c r="I910" s="4"/>
      <c r="J910" s="5" t="str">
        <f>IF(OR(H910="",G910="",C910=""),"",LET(n,COUNTIFS(Bank_Rates!$A$2:$A$501,H910,Bank_Rates!$B$2:$B$501,"&lt;="&amp;C910),IF(n=0,"",LET(t,MAXIFS(Bank_Rates!$B$2:$B$501,Bank_Rates!$A$2:$A$501,H910,Bank_Rates!$B$2:$B$501,"&lt;="&amp;C910),m,COUNTIFS(Bank_Rates!$A$2:$A$501,H910,Bank_Rates!$B$2:$B$501,t,Bank_Rates!$D$2:$D$501,"&lt;="&amp;G910),IF(m=0,"",LET(d,MAXIFS(Bank_Rates!$D$2:$D$501,Bank_Rates!$A$2:$A$501,H910,Bank_Rates!$B$2:$B$501,t,Bank_Rates!$D$2:$D$501,"&lt;="&amp;G910),SUMIFS(Bank_Rates!$C$2:$C$501,Bank_Rates!$A$2:$A$501,H910,Bank_Rates!$B$2:$B$501,t,Bank_Rates!$D$2:$D$501,d)))))))</f>
        <v/>
      </c>
      <c r="K910" s="6" t="str">
        <f t="shared" si="28"/>
        <v/>
      </c>
    </row>
    <row r="911" spans="1:11">
      <c r="A911" s="18" t="str">
        <f t="shared" si="29"/>
        <v/>
      </c>
      <c r="B911" s="13"/>
      <c r="C911" s="14"/>
      <c r="D911" s="3"/>
      <c r="E911" s="3"/>
      <c r="F911" s="14"/>
      <c r="G911" s="7">
        <f>RawObservationsTable[[#This Row],[Maturity Date]]-RawObservationsTable[[#This Row],[Timestamp]]</f>
        <v>0</v>
      </c>
      <c r="H911" s="2"/>
      <c r="I911" s="4"/>
      <c r="J911" s="5" t="str">
        <f>IF(OR(H911="",G911="",C911=""),"",LET(n,COUNTIFS(Bank_Rates!$A$2:$A$501,H911,Bank_Rates!$B$2:$B$501,"&lt;="&amp;C911),IF(n=0,"",LET(t,MAXIFS(Bank_Rates!$B$2:$B$501,Bank_Rates!$A$2:$A$501,H911,Bank_Rates!$B$2:$B$501,"&lt;="&amp;C911),m,COUNTIFS(Bank_Rates!$A$2:$A$501,H911,Bank_Rates!$B$2:$B$501,t,Bank_Rates!$D$2:$D$501,"&lt;="&amp;G911),IF(m=0,"",LET(d,MAXIFS(Bank_Rates!$D$2:$D$501,Bank_Rates!$A$2:$A$501,H911,Bank_Rates!$B$2:$B$501,t,Bank_Rates!$D$2:$D$501,"&lt;="&amp;G911),SUMIFS(Bank_Rates!$C$2:$C$501,Bank_Rates!$A$2:$A$501,H911,Bank_Rates!$B$2:$B$501,t,Bank_Rates!$D$2:$D$501,d)))))))</f>
        <v/>
      </c>
      <c r="K911" s="6" t="str">
        <f t="shared" si="28"/>
        <v/>
      </c>
    </row>
    <row r="912" spans="1:11">
      <c r="A912" s="18" t="str">
        <f t="shared" si="29"/>
        <v/>
      </c>
      <c r="B912" s="13"/>
      <c r="C912" s="14"/>
      <c r="D912" s="3"/>
      <c r="E912" s="3"/>
      <c r="F912" s="14"/>
      <c r="G912" s="7">
        <f>RawObservationsTable[[#This Row],[Maturity Date]]-RawObservationsTable[[#This Row],[Timestamp]]</f>
        <v>0</v>
      </c>
      <c r="H912" s="2"/>
      <c r="I912" s="4"/>
      <c r="J912" s="5" t="str">
        <f>IF(OR(H912="",G912="",C912=""),"",LET(n,COUNTIFS(Bank_Rates!$A$2:$A$501,H912,Bank_Rates!$B$2:$B$501,"&lt;="&amp;C912),IF(n=0,"",LET(t,MAXIFS(Bank_Rates!$B$2:$B$501,Bank_Rates!$A$2:$A$501,H912,Bank_Rates!$B$2:$B$501,"&lt;="&amp;C912),m,COUNTIFS(Bank_Rates!$A$2:$A$501,H912,Bank_Rates!$B$2:$B$501,t,Bank_Rates!$D$2:$D$501,"&lt;="&amp;G912),IF(m=0,"",LET(d,MAXIFS(Bank_Rates!$D$2:$D$501,Bank_Rates!$A$2:$A$501,H912,Bank_Rates!$B$2:$B$501,t,Bank_Rates!$D$2:$D$501,"&lt;="&amp;G912),SUMIFS(Bank_Rates!$C$2:$C$501,Bank_Rates!$A$2:$A$501,H912,Bank_Rates!$B$2:$B$501,t,Bank_Rates!$D$2:$D$501,d)))))))</f>
        <v/>
      </c>
      <c r="K912" s="6" t="str">
        <f t="shared" si="28"/>
        <v/>
      </c>
    </row>
    <row r="913" spans="1:11">
      <c r="A913" s="18" t="str">
        <f t="shared" si="29"/>
        <v/>
      </c>
      <c r="B913" s="13"/>
      <c r="C913" s="14"/>
      <c r="D913" s="3"/>
      <c r="E913" s="3"/>
      <c r="F913" s="14"/>
      <c r="G913" s="7">
        <f>RawObservationsTable[[#This Row],[Maturity Date]]-RawObservationsTable[[#This Row],[Timestamp]]</f>
        <v>0</v>
      </c>
      <c r="H913" s="2"/>
      <c r="I913" s="4"/>
      <c r="J913" s="5" t="str">
        <f>IF(OR(H913="",G913="",C913=""),"",LET(n,COUNTIFS(Bank_Rates!$A$2:$A$501,H913,Bank_Rates!$B$2:$B$501,"&lt;="&amp;C913),IF(n=0,"",LET(t,MAXIFS(Bank_Rates!$B$2:$B$501,Bank_Rates!$A$2:$A$501,H913,Bank_Rates!$B$2:$B$501,"&lt;="&amp;C913),m,COUNTIFS(Bank_Rates!$A$2:$A$501,H913,Bank_Rates!$B$2:$B$501,t,Bank_Rates!$D$2:$D$501,"&lt;="&amp;G913),IF(m=0,"",LET(d,MAXIFS(Bank_Rates!$D$2:$D$501,Bank_Rates!$A$2:$A$501,H913,Bank_Rates!$B$2:$B$501,t,Bank_Rates!$D$2:$D$501,"&lt;="&amp;G913),SUMIFS(Bank_Rates!$C$2:$C$501,Bank_Rates!$A$2:$A$501,H913,Bank_Rates!$B$2:$B$501,t,Bank_Rates!$D$2:$D$501,d)))))))</f>
        <v/>
      </c>
      <c r="K913" s="6" t="str">
        <f t="shared" si="28"/>
        <v/>
      </c>
    </row>
    <row r="914" spans="1:11">
      <c r="A914" s="18" t="str">
        <f t="shared" si="29"/>
        <v/>
      </c>
      <c r="B914" s="13"/>
      <c r="C914" s="14"/>
      <c r="D914" s="3"/>
      <c r="E914" s="3"/>
      <c r="F914" s="14"/>
      <c r="G914" s="7">
        <f>RawObservationsTable[[#This Row],[Maturity Date]]-RawObservationsTable[[#This Row],[Timestamp]]</f>
        <v>0</v>
      </c>
      <c r="H914" s="2"/>
      <c r="I914" s="4"/>
      <c r="J914" s="5" t="str">
        <f>IF(OR(H914="",G914="",C914=""),"",LET(n,COUNTIFS(Bank_Rates!$A$2:$A$501,H914,Bank_Rates!$B$2:$B$501,"&lt;="&amp;C914),IF(n=0,"",LET(t,MAXIFS(Bank_Rates!$B$2:$B$501,Bank_Rates!$A$2:$A$501,H914,Bank_Rates!$B$2:$B$501,"&lt;="&amp;C914),m,COUNTIFS(Bank_Rates!$A$2:$A$501,H914,Bank_Rates!$B$2:$B$501,t,Bank_Rates!$D$2:$D$501,"&lt;="&amp;G914),IF(m=0,"",LET(d,MAXIFS(Bank_Rates!$D$2:$D$501,Bank_Rates!$A$2:$A$501,H914,Bank_Rates!$B$2:$B$501,t,Bank_Rates!$D$2:$D$501,"&lt;="&amp;G914),SUMIFS(Bank_Rates!$C$2:$C$501,Bank_Rates!$A$2:$A$501,H914,Bank_Rates!$B$2:$B$501,t,Bank_Rates!$D$2:$D$501,d)))))))</f>
        <v/>
      </c>
      <c r="K914" s="6" t="str">
        <f t="shared" si="28"/>
        <v/>
      </c>
    </row>
    <row r="915" spans="1:11">
      <c r="A915" s="18" t="str">
        <f t="shared" si="29"/>
        <v/>
      </c>
      <c r="B915" s="13"/>
      <c r="C915" s="14"/>
      <c r="D915" s="3"/>
      <c r="E915" s="3"/>
      <c r="F915" s="14"/>
      <c r="G915" s="7">
        <f>RawObservationsTable[[#This Row],[Maturity Date]]-RawObservationsTable[[#This Row],[Timestamp]]</f>
        <v>0</v>
      </c>
      <c r="H915" s="2"/>
      <c r="I915" s="4"/>
      <c r="J915" s="5" t="str">
        <f>IF(OR(H915="",G915="",C915=""),"",LET(n,COUNTIFS(Bank_Rates!$A$2:$A$501,H915,Bank_Rates!$B$2:$B$501,"&lt;="&amp;C915),IF(n=0,"",LET(t,MAXIFS(Bank_Rates!$B$2:$B$501,Bank_Rates!$A$2:$A$501,H915,Bank_Rates!$B$2:$B$501,"&lt;="&amp;C915),m,COUNTIFS(Bank_Rates!$A$2:$A$501,H915,Bank_Rates!$B$2:$B$501,t,Bank_Rates!$D$2:$D$501,"&lt;="&amp;G915),IF(m=0,"",LET(d,MAXIFS(Bank_Rates!$D$2:$D$501,Bank_Rates!$A$2:$A$501,H915,Bank_Rates!$B$2:$B$501,t,Bank_Rates!$D$2:$D$501,"&lt;="&amp;G915),SUMIFS(Bank_Rates!$C$2:$C$501,Bank_Rates!$A$2:$A$501,H915,Bank_Rates!$B$2:$B$501,t,Bank_Rates!$D$2:$D$501,d)))))))</f>
        <v/>
      </c>
      <c r="K915" s="6" t="str">
        <f t="shared" si="28"/>
        <v/>
      </c>
    </row>
    <row r="916" spans="1:11">
      <c r="A916" s="18" t="str">
        <f t="shared" si="29"/>
        <v/>
      </c>
      <c r="B916" s="13"/>
      <c r="C916" s="14"/>
      <c r="D916" s="3"/>
      <c r="E916" s="3"/>
      <c r="F916" s="14"/>
      <c r="G916" s="7">
        <f>RawObservationsTable[[#This Row],[Maturity Date]]-RawObservationsTable[[#This Row],[Timestamp]]</f>
        <v>0</v>
      </c>
      <c r="H916" s="2"/>
      <c r="I916" s="4"/>
      <c r="J916" s="5" t="str">
        <f>IF(OR(H916="",G916="",C916=""),"",LET(n,COUNTIFS(Bank_Rates!$A$2:$A$501,H916,Bank_Rates!$B$2:$B$501,"&lt;="&amp;C916),IF(n=0,"",LET(t,MAXIFS(Bank_Rates!$B$2:$B$501,Bank_Rates!$A$2:$A$501,H916,Bank_Rates!$B$2:$B$501,"&lt;="&amp;C916),m,COUNTIFS(Bank_Rates!$A$2:$A$501,H916,Bank_Rates!$B$2:$B$501,t,Bank_Rates!$D$2:$D$501,"&lt;="&amp;G916),IF(m=0,"",LET(d,MAXIFS(Bank_Rates!$D$2:$D$501,Bank_Rates!$A$2:$A$501,H916,Bank_Rates!$B$2:$B$501,t,Bank_Rates!$D$2:$D$501,"&lt;="&amp;G916),SUMIFS(Bank_Rates!$C$2:$C$501,Bank_Rates!$A$2:$A$501,H916,Bank_Rates!$B$2:$B$501,t,Bank_Rates!$D$2:$D$501,d)))))))</f>
        <v/>
      </c>
      <c r="K916" s="6" t="str">
        <f t="shared" si="28"/>
        <v/>
      </c>
    </row>
    <row r="917" spans="1:11">
      <c r="A917" s="18" t="str">
        <f t="shared" si="29"/>
        <v/>
      </c>
      <c r="B917" s="13"/>
      <c r="C917" s="14"/>
      <c r="D917" s="3"/>
      <c r="E917" s="3"/>
      <c r="F917" s="14"/>
      <c r="G917" s="7">
        <f>RawObservationsTable[[#This Row],[Maturity Date]]-RawObservationsTable[[#This Row],[Timestamp]]</f>
        <v>0</v>
      </c>
      <c r="H917" s="2"/>
      <c r="I917" s="4"/>
      <c r="J917" s="5" t="str">
        <f>IF(OR(H917="",G917="",C917=""),"",LET(n,COUNTIFS(Bank_Rates!$A$2:$A$501,H917,Bank_Rates!$B$2:$B$501,"&lt;="&amp;C917),IF(n=0,"",LET(t,MAXIFS(Bank_Rates!$B$2:$B$501,Bank_Rates!$A$2:$A$501,H917,Bank_Rates!$B$2:$B$501,"&lt;="&amp;C917),m,COUNTIFS(Bank_Rates!$A$2:$A$501,H917,Bank_Rates!$B$2:$B$501,t,Bank_Rates!$D$2:$D$501,"&lt;="&amp;G917),IF(m=0,"",LET(d,MAXIFS(Bank_Rates!$D$2:$D$501,Bank_Rates!$A$2:$A$501,H917,Bank_Rates!$B$2:$B$501,t,Bank_Rates!$D$2:$D$501,"&lt;="&amp;G917),SUMIFS(Bank_Rates!$C$2:$C$501,Bank_Rates!$A$2:$A$501,H917,Bank_Rates!$B$2:$B$501,t,Bank_Rates!$D$2:$D$501,d)))))))</f>
        <v/>
      </c>
      <c r="K917" s="6" t="str">
        <f t="shared" si="28"/>
        <v/>
      </c>
    </row>
    <row r="918" spans="1:11">
      <c r="A918" s="18" t="str">
        <f t="shared" si="29"/>
        <v/>
      </c>
      <c r="B918" s="13"/>
      <c r="C918" s="14"/>
      <c r="D918" s="3"/>
      <c r="E918" s="3"/>
      <c r="F918" s="14"/>
      <c r="G918" s="7">
        <f>RawObservationsTable[[#This Row],[Maturity Date]]-RawObservationsTable[[#This Row],[Timestamp]]</f>
        <v>0</v>
      </c>
      <c r="H918" s="2"/>
      <c r="I918" s="4"/>
      <c r="J918" s="5" t="str">
        <f>IF(OR(H918="",G918="",C918=""),"",LET(n,COUNTIFS(Bank_Rates!$A$2:$A$501,H918,Bank_Rates!$B$2:$B$501,"&lt;="&amp;C918),IF(n=0,"",LET(t,MAXIFS(Bank_Rates!$B$2:$B$501,Bank_Rates!$A$2:$A$501,H918,Bank_Rates!$B$2:$B$501,"&lt;="&amp;C918),m,COUNTIFS(Bank_Rates!$A$2:$A$501,H918,Bank_Rates!$B$2:$B$501,t,Bank_Rates!$D$2:$D$501,"&lt;="&amp;G918),IF(m=0,"",LET(d,MAXIFS(Bank_Rates!$D$2:$D$501,Bank_Rates!$A$2:$A$501,H918,Bank_Rates!$B$2:$B$501,t,Bank_Rates!$D$2:$D$501,"&lt;="&amp;G918),SUMIFS(Bank_Rates!$C$2:$C$501,Bank_Rates!$A$2:$A$501,H918,Bank_Rates!$B$2:$B$501,t,Bank_Rates!$D$2:$D$501,d)))))))</f>
        <v/>
      </c>
      <c r="K918" s="6" t="str">
        <f t="shared" si="28"/>
        <v/>
      </c>
    </row>
    <row r="919" spans="1:11">
      <c r="A919" s="18" t="str">
        <f t="shared" si="29"/>
        <v/>
      </c>
      <c r="B919" s="13"/>
      <c r="C919" s="14"/>
      <c r="D919" s="3"/>
      <c r="E919" s="3"/>
      <c r="F919" s="14"/>
      <c r="G919" s="7">
        <f>RawObservationsTable[[#This Row],[Maturity Date]]-RawObservationsTable[[#This Row],[Timestamp]]</f>
        <v>0</v>
      </c>
      <c r="H919" s="2"/>
      <c r="I919" s="4"/>
      <c r="J919" s="5" t="str">
        <f>IF(OR(H919="",G919="",C919=""),"",LET(n,COUNTIFS(Bank_Rates!$A$2:$A$501,H919,Bank_Rates!$B$2:$B$501,"&lt;="&amp;C919),IF(n=0,"",LET(t,MAXIFS(Bank_Rates!$B$2:$B$501,Bank_Rates!$A$2:$A$501,H919,Bank_Rates!$B$2:$B$501,"&lt;="&amp;C919),m,COUNTIFS(Bank_Rates!$A$2:$A$501,H919,Bank_Rates!$B$2:$B$501,t,Bank_Rates!$D$2:$D$501,"&lt;="&amp;G919),IF(m=0,"",LET(d,MAXIFS(Bank_Rates!$D$2:$D$501,Bank_Rates!$A$2:$A$501,H919,Bank_Rates!$B$2:$B$501,t,Bank_Rates!$D$2:$D$501,"&lt;="&amp;G919),SUMIFS(Bank_Rates!$C$2:$C$501,Bank_Rates!$A$2:$A$501,H919,Bank_Rates!$B$2:$B$501,t,Bank_Rates!$D$2:$D$501,d)))))))</f>
        <v/>
      </c>
      <c r="K919" s="6" t="str">
        <f t="shared" si="28"/>
        <v/>
      </c>
    </row>
    <row r="920" spans="1:11">
      <c r="A920" s="18" t="str">
        <f t="shared" si="29"/>
        <v/>
      </c>
      <c r="B920" s="13"/>
      <c r="C920" s="14"/>
      <c r="D920" s="3"/>
      <c r="E920" s="3"/>
      <c r="F920" s="14"/>
      <c r="G920" s="7">
        <f>RawObservationsTable[[#This Row],[Maturity Date]]-RawObservationsTable[[#This Row],[Timestamp]]</f>
        <v>0</v>
      </c>
      <c r="H920" s="2"/>
      <c r="I920" s="4"/>
      <c r="J920" s="5" t="str">
        <f>IF(OR(H920="",G920="",C920=""),"",LET(n,COUNTIFS(Bank_Rates!$A$2:$A$501,H920,Bank_Rates!$B$2:$B$501,"&lt;="&amp;C920),IF(n=0,"",LET(t,MAXIFS(Bank_Rates!$B$2:$B$501,Bank_Rates!$A$2:$A$501,H920,Bank_Rates!$B$2:$B$501,"&lt;="&amp;C920),m,COUNTIFS(Bank_Rates!$A$2:$A$501,H920,Bank_Rates!$B$2:$B$501,t,Bank_Rates!$D$2:$D$501,"&lt;="&amp;G920),IF(m=0,"",LET(d,MAXIFS(Bank_Rates!$D$2:$D$501,Bank_Rates!$A$2:$A$501,H920,Bank_Rates!$B$2:$B$501,t,Bank_Rates!$D$2:$D$501,"&lt;="&amp;G920),SUMIFS(Bank_Rates!$C$2:$C$501,Bank_Rates!$A$2:$A$501,H920,Bank_Rates!$B$2:$B$501,t,Bank_Rates!$D$2:$D$501,d)))))))</f>
        <v/>
      </c>
      <c r="K920" s="6" t="str">
        <f t="shared" si="28"/>
        <v/>
      </c>
    </row>
    <row r="921" spans="1:11">
      <c r="A921" s="18" t="str">
        <f t="shared" si="29"/>
        <v/>
      </c>
      <c r="B921" s="13"/>
      <c r="C921" s="14"/>
      <c r="D921" s="3"/>
      <c r="E921" s="3"/>
      <c r="F921" s="14"/>
      <c r="G921" s="7">
        <f>RawObservationsTable[[#This Row],[Maturity Date]]-RawObservationsTable[[#This Row],[Timestamp]]</f>
        <v>0</v>
      </c>
      <c r="H921" s="2"/>
      <c r="I921" s="4"/>
      <c r="J921" s="5" t="str">
        <f>IF(OR(H921="",G921="",C921=""),"",LET(n,COUNTIFS(Bank_Rates!$A$2:$A$501,H921,Bank_Rates!$B$2:$B$501,"&lt;="&amp;C921),IF(n=0,"",LET(t,MAXIFS(Bank_Rates!$B$2:$B$501,Bank_Rates!$A$2:$A$501,H921,Bank_Rates!$B$2:$B$501,"&lt;="&amp;C921),m,COUNTIFS(Bank_Rates!$A$2:$A$501,H921,Bank_Rates!$B$2:$B$501,t,Bank_Rates!$D$2:$D$501,"&lt;="&amp;G921),IF(m=0,"",LET(d,MAXIFS(Bank_Rates!$D$2:$D$501,Bank_Rates!$A$2:$A$501,H921,Bank_Rates!$B$2:$B$501,t,Bank_Rates!$D$2:$D$501,"&lt;="&amp;G921),SUMIFS(Bank_Rates!$C$2:$C$501,Bank_Rates!$A$2:$A$501,H921,Bank_Rates!$B$2:$B$501,t,Bank_Rates!$D$2:$D$501,d)))))))</f>
        <v/>
      </c>
      <c r="K921" s="6" t="str">
        <f t="shared" si="28"/>
        <v/>
      </c>
    </row>
    <row r="922" spans="1:11">
      <c r="A922" s="18" t="str">
        <f t="shared" si="29"/>
        <v/>
      </c>
      <c r="B922" s="13"/>
      <c r="C922" s="14"/>
      <c r="D922" s="3"/>
      <c r="E922" s="3"/>
      <c r="F922" s="14"/>
      <c r="G922" s="7">
        <f>RawObservationsTable[[#This Row],[Maturity Date]]-RawObservationsTable[[#This Row],[Timestamp]]</f>
        <v>0</v>
      </c>
      <c r="H922" s="2"/>
      <c r="I922" s="4"/>
      <c r="J922" s="5" t="str">
        <f>IF(OR(H922="",G922="",C922=""),"",LET(n,COUNTIFS(Bank_Rates!$A$2:$A$501,H922,Bank_Rates!$B$2:$B$501,"&lt;="&amp;C922),IF(n=0,"",LET(t,MAXIFS(Bank_Rates!$B$2:$B$501,Bank_Rates!$A$2:$A$501,H922,Bank_Rates!$B$2:$B$501,"&lt;="&amp;C922),m,COUNTIFS(Bank_Rates!$A$2:$A$501,H922,Bank_Rates!$B$2:$B$501,t,Bank_Rates!$D$2:$D$501,"&lt;="&amp;G922),IF(m=0,"",LET(d,MAXIFS(Bank_Rates!$D$2:$D$501,Bank_Rates!$A$2:$A$501,H922,Bank_Rates!$B$2:$B$501,t,Bank_Rates!$D$2:$D$501,"&lt;="&amp;G922),SUMIFS(Bank_Rates!$C$2:$C$501,Bank_Rates!$A$2:$A$501,H922,Bank_Rates!$B$2:$B$501,t,Bank_Rates!$D$2:$D$501,d)))))))</f>
        <v/>
      </c>
      <c r="K922" s="6" t="str">
        <f t="shared" si="28"/>
        <v/>
      </c>
    </row>
    <row r="923" spans="1:11">
      <c r="A923" s="18" t="str">
        <f t="shared" si="29"/>
        <v/>
      </c>
      <c r="B923" s="13"/>
      <c r="C923" s="14"/>
      <c r="D923" s="3"/>
      <c r="E923" s="3"/>
      <c r="F923" s="14"/>
      <c r="G923" s="7">
        <f>RawObservationsTable[[#This Row],[Maturity Date]]-RawObservationsTable[[#This Row],[Timestamp]]</f>
        <v>0</v>
      </c>
      <c r="H923" s="2"/>
      <c r="I923" s="4"/>
      <c r="J923" s="5" t="str">
        <f>IF(OR(H923="",G923="",C923=""),"",LET(n,COUNTIFS(Bank_Rates!$A$2:$A$501,H923,Bank_Rates!$B$2:$B$501,"&lt;="&amp;C923),IF(n=0,"",LET(t,MAXIFS(Bank_Rates!$B$2:$B$501,Bank_Rates!$A$2:$A$501,H923,Bank_Rates!$B$2:$B$501,"&lt;="&amp;C923),m,COUNTIFS(Bank_Rates!$A$2:$A$501,H923,Bank_Rates!$B$2:$B$501,t,Bank_Rates!$D$2:$D$501,"&lt;="&amp;G923),IF(m=0,"",LET(d,MAXIFS(Bank_Rates!$D$2:$D$501,Bank_Rates!$A$2:$A$501,H923,Bank_Rates!$B$2:$B$501,t,Bank_Rates!$D$2:$D$501,"&lt;="&amp;G923),SUMIFS(Bank_Rates!$C$2:$C$501,Bank_Rates!$A$2:$A$501,H923,Bank_Rates!$B$2:$B$501,t,Bank_Rates!$D$2:$D$501,d)))))))</f>
        <v/>
      </c>
      <c r="K923" s="6" t="str">
        <f t="shared" si="28"/>
        <v/>
      </c>
    </row>
    <row r="924" spans="1:11">
      <c r="A924" s="18" t="str">
        <f t="shared" si="29"/>
        <v/>
      </c>
      <c r="B924" s="13"/>
      <c r="C924" s="14"/>
      <c r="D924" s="3"/>
      <c r="E924" s="3"/>
      <c r="F924" s="14"/>
      <c r="G924" s="7">
        <f>RawObservationsTable[[#This Row],[Maturity Date]]-RawObservationsTable[[#This Row],[Timestamp]]</f>
        <v>0</v>
      </c>
      <c r="H924" s="2"/>
      <c r="I924" s="4"/>
      <c r="J924" s="5" t="str">
        <f>IF(OR(H924="",G924="",C924=""),"",LET(n,COUNTIFS(Bank_Rates!$A$2:$A$501,H924,Bank_Rates!$B$2:$B$501,"&lt;="&amp;C924),IF(n=0,"",LET(t,MAXIFS(Bank_Rates!$B$2:$B$501,Bank_Rates!$A$2:$A$501,H924,Bank_Rates!$B$2:$B$501,"&lt;="&amp;C924),m,COUNTIFS(Bank_Rates!$A$2:$A$501,H924,Bank_Rates!$B$2:$B$501,t,Bank_Rates!$D$2:$D$501,"&lt;="&amp;G924),IF(m=0,"",LET(d,MAXIFS(Bank_Rates!$D$2:$D$501,Bank_Rates!$A$2:$A$501,H924,Bank_Rates!$B$2:$B$501,t,Bank_Rates!$D$2:$D$501,"&lt;="&amp;G924),SUMIFS(Bank_Rates!$C$2:$C$501,Bank_Rates!$A$2:$A$501,H924,Bank_Rates!$B$2:$B$501,t,Bank_Rates!$D$2:$D$501,d)))))))</f>
        <v/>
      </c>
      <c r="K924" s="6" t="str">
        <f t="shared" si="28"/>
        <v/>
      </c>
    </row>
    <row r="925" spans="1:11">
      <c r="A925" s="18" t="str">
        <f t="shared" si="29"/>
        <v/>
      </c>
      <c r="B925" s="13"/>
      <c r="C925" s="14"/>
      <c r="D925" s="3"/>
      <c r="E925" s="3"/>
      <c r="F925" s="14"/>
      <c r="G925" s="7">
        <f>RawObservationsTable[[#This Row],[Maturity Date]]-RawObservationsTable[[#This Row],[Timestamp]]</f>
        <v>0</v>
      </c>
      <c r="H925" s="2"/>
      <c r="I925" s="4"/>
      <c r="J925" s="5" t="str">
        <f>IF(OR(H925="",G925="",C925=""),"",LET(n,COUNTIFS(Bank_Rates!$A$2:$A$501,H925,Bank_Rates!$B$2:$B$501,"&lt;="&amp;C925),IF(n=0,"",LET(t,MAXIFS(Bank_Rates!$B$2:$B$501,Bank_Rates!$A$2:$A$501,H925,Bank_Rates!$B$2:$B$501,"&lt;="&amp;C925),m,COUNTIFS(Bank_Rates!$A$2:$A$501,H925,Bank_Rates!$B$2:$B$501,t,Bank_Rates!$D$2:$D$501,"&lt;="&amp;G925),IF(m=0,"",LET(d,MAXIFS(Bank_Rates!$D$2:$D$501,Bank_Rates!$A$2:$A$501,H925,Bank_Rates!$B$2:$B$501,t,Bank_Rates!$D$2:$D$501,"&lt;="&amp;G925),SUMIFS(Bank_Rates!$C$2:$C$501,Bank_Rates!$A$2:$A$501,H925,Bank_Rates!$B$2:$B$501,t,Bank_Rates!$D$2:$D$501,d)))))))</f>
        <v/>
      </c>
      <c r="K925" s="6" t="str">
        <f t="shared" si="28"/>
        <v/>
      </c>
    </row>
    <row r="926" spans="1:11">
      <c r="A926" s="18" t="str">
        <f t="shared" si="29"/>
        <v/>
      </c>
      <c r="B926" s="13"/>
      <c r="C926" s="14"/>
      <c r="D926" s="3"/>
      <c r="E926" s="3"/>
      <c r="F926" s="14"/>
      <c r="G926" s="7">
        <f>RawObservationsTable[[#This Row],[Maturity Date]]-RawObservationsTable[[#This Row],[Timestamp]]</f>
        <v>0</v>
      </c>
      <c r="H926" s="2"/>
      <c r="I926" s="4"/>
      <c r="J926" s="5" t="str">
        <f>IF(OR(H926="",G926="",C926=""),"",LET(n,COUNTIFS(Bank_Rates!$A$2:$A$501,H926,Bank_Rates!$B$2:$B$501,"&lt;="&amp;C926),IF(n=0,"",LET(t,MAXIFS(Bank_Rates!$B$2:$B$501,Bank_Rates!$A$2:$A$501,H926,Bank_Rates!$B$2:$B$501,"&lt;="&amp;C926),m,COUNTIFS(Bank_Rates!$A$2:$A$501,H926,Bank_Rates!$B$2:$B$501,t,Bank_Rates!$D$2:$D$501,"&lt;="&amp;G926),IF(m=0,"",LET(d,MAXIFS(Bank_Rates!$D$2:$D$501,Bank_Rates!$A$2:$A$501,H926,Bank_Rates!$B$2:$B$501,t,Bank_Rates!$D$2:$D$501,"&lt;="&amp;G926),SUMIFS(Bank_Rates!$C$2:$C$501,Bank_Rates!$A$2:$A$501,H926,Bank_Rates!$B$2:$B$501,t,Bank_Rates!$D$2:$D$501,d)))))))</f>
        <v/>
      </c>
      <c r="K926" s="6" t="str">
        <f t="shared" si="28"/>
        <v/>
      </c>
    </row>
    <row r="927" spans="1:11">
      <c r="A927" s="18" t="str">
        <f t="shared" si="29"/>
        <v/>
      </c>
      <c r="B927" s="13"/>
      <c r="C927" s="14"/>
      <c r="D927" s="3"/>
      <c r="E927" s="3"/>
      <c r="F927" s="14"/>
      <c r="G927" s="7">
        <f>RawObservationsTable[[#This Row],[Maturity Date]]-RawObservationsTable[[#This Row],[Timestamp]]</f>
        <v>0</v>
      </c>
      <c r="H927" s="2"/>
      <c r="I927" s="4"/>
      <c r="J927" s="5" t="str">
        <f>IF(OR(H927="",G927="",C927=""),"",LET(n,COUNTIFS(Bank_Rates!$A$2:$A$501,H927,Bank_Rates!$B$2:$B$501,"&lt;="&amp;C927),IF(n=0,"",LET(t,MAXIFS(Bank_Rates!$B$2:$B$501,Bank_Rates!$A$2:$A$501,H927,Bank_Rates!$B$2:$B$501,"&lt;="&amp;C927),m,COUNTIFS(Bank_Rates!$A$2:$A$501,H927,Bank_Rates!$B$2:$B$501,t,Bank_Rates!$D$2:$D$501,"&lt;="&amp;G927),IF(m=0,"",LET(d,MAXIFS(Bank_Rates!$D$2:$D$501,Bank_Rates!$A$2:$A$501,H927,Bank_Rates!$B$2:$B$501,t,Bank_Rates!$D$2:$D$501,"&lt;="&amp;G927),SUMIFS(Bank_Rates!$C$2:$C$501,Bank_Rates!$A$2:$A$501,H927,Bank_Rates!$B$2:$B$501,t,Bank_Rates!$D$2:$D$501,d)))))))</f>
        <v/>
      </c>
      <c r="K927" s="6" t="str">
        <f t="shared" si="28"/>
        <v/>
      </c>
    </row>
    <row r="928" spans="1:11">
      <c r="A928" s="18" t="str">
        <f t="shared" si="29"/>
        <v/>
      </c>
      <c r="B928" s="13"/>
      <c r="C928" s="14"/>
      <c r="D928" s="3"/>
      <c r="E928" s="3"/>
      <c r="F928" s="14"/>
      <c r="G928" s="7">
        <f>RawObservationsTable[[#This Row],[Maturity Date]]-RawObservationsTable[[#This Row],[Timestamp]]</f>
        <v>0</v>
      </c>
      <c r="H928" s="2"/>
      <c r="I928" s="4"/>
      <c r="J928" s="5" t="str">
        <f>IF(OR(H928="",G928="",C928=""),"",LET(n,COUNTIFS(Bank_Rates!$A$2:$A$501,H928,Bank_Rates!$B$2:$B$501,"&lt;="&amp;C928),IF(n=0,"",LET(t,MAXIFS(Bank_Rates!$B$2:$B$501,Bank_Rates!$A$2:$A$501,H928,Bank_Rates!$B$2:$B$501,"&lt;="&amp;C928),m,COUNTIFS(Bank_Rates!$A$2:$A$501,H928,Bank_Rates!$B$2:$B$501,t,Bank_Rates!$D$2:$D$501,"&lt;="&amp;G928),IF(m=0,"",LET(d,MAXIFS(Bank_Rates!$D$2:$D$501,Bank_Rates!$A$2:$A$501,H928,Bank_Rates!$B$2:$B$501,t,Bank_Rates!$D$2:$D$501,"&lt;="&amp;G928),SUMIFS(Bank_Rates!$C$2:$C$501,Bank_Rates!$A$2:$A$501,H928,Bank_Rates!$B$2:$B$501,t,Bank_Rates!$D$2:$D$501,d)))))))</f>
        <v/>
      </c>
      <c r="K928" s="6" t="str">
        <f t="shared" si="28"/>
        <v/>
      </c>
    </row>
    <row r="929" spans="1:11">
      <c r="A929" s="18" t="str">
        <f t="shared" si="29"/>
        <v/>
      </c>
      <c r="B929" s="13"/>
      <c r="C929" s="14"/>
      <c r="D929" s="3"/>
      <c r="E929" s="3"/>
      <c r="F929" s="14"/>
      <c r="G929" s="7">
        <f>RawObservationsTable[[#This Row],[Maturity Date]]-RawObservationsTable[[#This Row],[Timestamp]]</f>
        <v>0</v>
      </c>
      <c r="H929" s="2"/>
      <c r="I929" s="4"/>
      <c r="J929" s="5" t="str">
        <f>IF(OR(H929="",G929="",C929=""),"",LET(n,COUNTIFS(Bank_Rates!$A$2:$A$501,H929,Bank_Rates!$B$2:$B$501,"&lt;="&amp;C929),IF(n=0,"",LET(t,MAXIFS(Bank_Rates!$B$2:$B$501,Bank_Rates!$A$2:$A$501,H929,Bank_Rates!$B$2:$B$501,"&lt;="&amp;C929),m,COUNTIFS(Bank_Rates!$A$2:$A$501,H929,Bank_Rates!$B$2:$B$501,t,Bank_Rates!$D$2:$D$501,"&lt;="&amp;G929),IF(m=0,"",LET(d,MAXIFS(Bank_Rates!$D$2:$D$501,Bank_Rates!$A$2:$A$501,H929,Bank_Rates!$B$2:$B$501,t,Bank_Rates!$D$2:$D$501,"&lt;="&amp;G929),SUMIFS(Bank_Rates!$C$2:$C$501,Bank_Rates!$A$2:$A$501,H929,Bank_Rates!$B$2:$B$501,t,Bank_Rates!$D$2:$D$501,d)))))))</f>
        <v/>
      </c>
      <c r="K929" s="6" t="str">
        <f t="shared" si="28"/>
        <v/>
      </c>
    </row>
    <row r="930" spans="1:11">
      <c r="A930" s="18" t="str">
        <f t="shared" si="29"/>
        <v/>
      </c>
      <c r="B930" s="13"/>
      <c r="C930" s="14"/>
      <c r="D930" s="3"/>
      <c r="E930" s="3"/>
      <c r="F930" s="14"/>
      <c r="G930" s="7">
        <f>RawObservationsTable[[#This Row],[Maturity Date]]-RawObservationsTable[[#This Row],[Timestamp]]</f>
        <v>0</v>
      </c>
      <c r="H930" s="2"/>
      <c r="I930" s="4"/>
      <c r="J930" s="5" t="str">
        <f>IF(OR(H930="",G930="",C930=""),"",LET(n,COUNTIFS(Bank_Rates!$A$2:$A$501,H930,Bank_Rates!$B$2:$B$501,"&lt;="&amp;C930),IF(n=0,"",LET(t,MAXIFS(Bank_Rates!$B$2:$B$501,Bank_Rates!$A$2:$A$501,H930,Bank_Rates!$B$2:$B$501,"&lt;="&amp;C930),m,COUNTIFS(Bank_Rates!$A$2:$A$501,H930,Bank_Rates!$B$2:$B$501,t,Bank_Rates!$D$2:$D$501,"&lt;="&amp;G930),IF(m=0,"",LET(d,MAXIFS(Bank_Rates!$D$2:$D$501,Bank_Rates!$A$2:$A$501,H930,Bank_Rates!$B$2:$B$501,t,Bank_Rates!$D$2:$D$501,"&lt;="&amp;G930),SUMIFS(Bank_Rates!$C$2:$C$501,Bank_Rates!$A$2:$A$501,H930,Bank_Rates!$B$2:$B$501,t,Bank_Rates!$D$2:$D$501,d)))))))</f>
        <v/>
      </c>
      <c r="K930" s="6" t="str">
        <f t="shared" si="28"/>
        <v/>
      </c>
    </row>
    <row r="931" spans="1:11">
      <c r="A931" s="18" t="str">
        <f t="shared" si="29"/>
        <v/>
      </c>
      <c r="B931" s="13"/>
      <c r="C931" s="14"/>
      <c r="D931" s="3"/>
      <c r="E931" s="3"/>
      <c r="F931" s="14"/>
      <c r="G931" s="7">
        <f>RawObservationsTable[[#This Row],[Maturity Date]]-RawObservationsTable[[#This Row],[Timestamp]]</f>
        <v>0</v>
      </c>
      <c r="H931" s="2"/>
      <c r="I931" s="4"/>
      <c r="J931" s="5" t="str">
        <f>IF(OR(H931="",G931="",C931=""),"",LET(n,COUNTIFS(Bank_Rates!$A$2:$A$501,H931,Bank_Rates!$B$2:$B$501,"&lt;="&amp;C931),IF(n=0,"",LET(t,MAXIFS(Bank_Rates!$B$2:$B$501,Bank_Rates!$A$2:$A$501,H931,Bank_Rates!$B$2:$B$501,"&lt;="&amp;C931),m,COUNTIFS(Bank_Rates!$A$2:$A$501,H931,Bank_Rates!$B$2:$B$501,t,Bank_Rates!$D$2:$D$501,"&lt;="&amp;G931),IF(m=0,"",LET(d,MAXIFS(Bank_Rates!$D$2:$D$501,Bank_Rates!$A$2:$A$501,H931,Bank_Rates!$B$2:$B$501,t,Bank_Rates!$D$2:$D$501,"&lt;="&amp;G931),SUMIFS(Bank_Rates!$C$2:$C$501,Bank_Rates!$A$2:$A$501,H931,Bank_Rates!$B$2:$B$501,t,Bank_Rates!$D$2:$D$501,d)))))))</f>
        <v/>
      </c>
      <c r="K931" s="6" t="str">
        <f t="shared" si="28"/>
        <v/>
      </c>
    </row>
    <row r="932" spans="1:11">
      <c r="A932" s="18" t="str">
        <f t="shared" si="29"/>
        <v/>
      </c>
      <c r="B932" s="13"/>
      <c r="C932" s="14"/>
      <c r="D932" s="3"/>
      <c r="E932" s="3"/>
      <c r="F932" s="14"/>
      <c r="G932" s="7">
        <f>RawObservationsTable[[#This Row],[Maturity Date]]-RawObservationsTable[[#This Row],[Timestamp]]</f>
        <v>0</v>
      </c>
      <c r="H932" s="2"/>
      <c r="I932" s="4"/>
      <c r="J932" s="5" t="str">
        <f>IF(OR(H932="",G932="",C932=""),"",LET(n,COUNTIFS(Bank_Rates!$A$2:$A$501,H932,Bank_Rates!$B$2:$B$501,"&lt;="&amp;C932),IF(n=0,"",LET(t,MAXIFS(Bank_Rates!$B$2:$B$501,Bank_Rates!$A$2:$A$501,H932,Bank_Rates!$B$2:$B$501,"&lt;="&amp;C932),m,COUNTIFS(Bank_Rates!$A$2:$A$501,H932,Bank_Rates!$B$2:$B$501,t,Bank_Rates!$D$2:$D$501,"&lt;="&amp;G932),IF(m=0,"",LET(d,MAXIFS(Bank_Rates!$D$2:$D$501,Bank_Rates!$A$2:$A$501,H932,Bank_Rates!$B$2:$B$501,t,Bank_Rates!$D$2:$D$501,"&lt;="&amp;G932),SUMIFS(Bank_Rates!$C$2:$C$501,Bank_Rates!$A$2:$A$501,H932,Bank_Rates!$B$2:$B$501,t,Bank_Rates!$D$2:$D$501,d)))))))</f>
        <v/>
      </c>
      <c r="K932" s="6" t="str">
        <f t="shared" si="28"/>
        <v/>
      </c>
    </row>
    <row r="933" spans="1:11">
      <c r="A933" s="18" t="str">
        <f t="shared" si="29"/>
        <v/>
      </c>
      <c r="B933" s="13"/>
      <c r="C933" s="14"/>
      <c r="D933" s="3"/>
      <c r="E933" s="3"/>
      <c r="F933" s="14"/>
      <c r="G933" s="7">
        <f>RawObservationsTable[[#This Row],[Maturity Date]]-RawObservationsTable[[#This Row],[Timestamp]]</f>
        <v>0</v>
      </c>
      <c r="H933" s="2"/>
      <c r="I933" s="4"/>
      <c r="J933" s="5" t="str">
        <f>IF(OR(H933="",G933="",C933=""),"",LET(n,COUNTIFS(Bank_Rates!$A$2:$A$501,H933,Bank_Rates!$B$2:$B$501,"&lt;="&amp;C933),IF(n=0,"",LET(t,MAXIFS(Bank_Rates!$B$2:$B$501,Bank_Rates!$A$2:$A$501,H933,Bank_Rates!$B$2:$B$501,"&lt;="&amp;C933),m,COUNTIFS(Bank_Rates!$A$2:$A$501,H933,Bank_Rates!$B$2:$B$501,t,Bank_Rates!$D$2:$D$501,"&lt;="&amp;G933),IF(m=0,"",LET(d,MAXIFS(Bank_Rates!$D$2:$D$501,Bank_Rates!$A$2:$A$501,H933,Bank_Rates!$B$2:$B$501,t,Bank_Rates!$D$2:$D$501,"&lt;="&amp;G933),SUMIFS(Bank_Rates!$C$2:$C$501,Bank_Rates!$A$2:$A$501,H933,Bank_Rates!$B$2:$B$501,t,Bank_Rates!$D$2:$D$501,d)))))))</f>
        <v/>
      </c>
      <c r="K933" s="6" t="str">
        <f t="shared" si="28"/>
        <v/>
      </c>
    </row>
    <row r="934" spans="1:11">
      <c r="A934" s="18" t="str">
        <f t="shared" si="29"/>
        <v/>
      </c>
      <c r="B934" s="13"/>
      <c r="C934" s="14"/>
      <c r="D934" s="3"/>
      <c r="E934" s="3"/>
      <c r="F934" s="14"/>
      <c r="G934" s="7">
        <f>RawObservationsTable[[#This Row],[Maturity Date]]-RawObservationsTable[[#This Row],[Timestamp]]</f>
        <v>0</v>
      </c>
      <c r="H934" s="2"/>
      <c r="I934" s="4"/>
      <c r="J934" s="5" t="str">
        <f>IF(OR(H934="",G934="",C934=""),"",LET(n,COUNTIFS(Bank_Rates!$A$2:$A$501,H934,Bank_Rates!$B$2:$B$501,"&lt;="&amp;C934),IF(n=0,"",LET(t,MAXIFS(Bank_Rates!$B$2:$B$501,Bank_Rates!$A$2:$A$501,H934,Bank_Rates!$B$2:$B$501,"&lt;="&amp;C934),m,COUNTIFS(Bank_Rates!$A$2:$A$501,H934,Bank_Rates!$B$2:$B$501,t,Bank_Rates!$D$2:$D$501,"&lt;="&amp;G934),IF(m=0,"",LET(d,MAXIFS(Bank_Rates!$D$2:$D$501,Bank_Rates!$A$2:$A$501,H934,Bank_Rates!$B$2:$B$501,t,Bank_Rates!$D$2:$D$501,"&lt;="&amp;G934),SUMIFS(Bank_Rates!$C$2:$C$501,Bank_Rates!$A$2:$A$501,H934,Bank_Rates!$B$2:$B$501,t,Bank_Rates!$D$2:$D$501,d)))))))</f>
        <v/>
      </c>
      <c r="K934" s="6" t="str">
        <f t="shared" si="28"/>
        <v/>
      </c>
    </row>
    <row r="935" spans="1:11">
      <c r="A935" s="18" t="str">
        <f t="shared" si="29"/>
        <v/>
      </c>
      <c r="B935" s="13"/>
      <c r="C935" s="14"/>
      <c r="D935" s="3"/>
      <c r="E935" s="3"/>
      <c r="F935" s="14"/>
      <c r="G935" s="7">
        <f>RawObservationsTable[[#This Row],[Maturity Date]]-RawObservationsTable[[#This Row],[Timestamp]]</f>
        <v>0</v>
      </c>
      <c r="H935" s="2"/>
      <c r="I935" s="4"/>
      <c r="J935" s="5" t="str">
        <f>IF(OR(H935="",G935="",C935=""),"",LET(n,COUNTIFS(Bank_Rates!$A$2:$A$501,H935,Bank_Rates!$B$2:$B$501,"&lt;="&amp;C935),IF(n=0,"",LET(t,MAXIFS(Bank_Rates!$B$2:$B$501,Bank_Rates!$A$2:$A$501,H935,Bank_Rates!$B$2:$B$501,"&lt;="&amp;C935),m,COUNTIFS(Bank_Rates!$A$2:$A$501,H935,Bank_Rates!$B$2:$B$501,t,Bank_Rates!$D$2:$D$501,"&lt;="&amp;G935),IF(m=0,"",LET(d,MAXIFS(Bank_Rates!$D$2:$D$501,Bank_Rates!$A$2:$A$501,H935,Bank_Rates!$B$2:$B$501,t,Bank_Rates!$D$2:$D$501,"&lt;="&amp;G935),SUMIFS(Bank_Rates!$C$2:$C$501,Bank_Rates!$A$2:$A$501,H935,Bank_Rates!$B$2:$B$501,t,Bank_Rates!$D$2:$D$501,d)))))))</f>
        <v/>
      </c>
      <c r="K935" s="6" t="str">
        <f t="shared" si="28"/>
        <v/>
      </c>
    </row>
    <row r="936" spans="1:11">
      <c r="A936" s="18" t="str">
        <f t="shared" si="29"/>
        <v/>
      </c>
      <c r="B936" s="13"/>
      <c r="C936" s="14"/>
      <c r="D936" s="3"/>
      <c r="E936" s="3"/>
      <c r="F936" s="14"/>
      <c r="G936" s="7">
        <f>RawObservationsTable[[#This Row],[Maturity Date]]-RawObservationsTable[[#This Row],[Timestamp]]</f>
        <v>0</v>
      </c>
      <c r="H936" s="2"/>
      <c r="I936" s="4"/>
      <c r="J936" s="5" t="str">
        <f>IF(OR(H936="",G936="",C936=""),"",LET(n,COUNTIFS(Bank_Rates!$A$2:$A$501,H936,Bank_Rates!$B$2:$B$501,"&lt;="&amp;C936),IF(n=0,"",LET(t,MAXIFS(Bank_Rates!$B$2:$B$501,Bank_Rates!$A$2:$A$501,H936,Bank_Rates!$B$2:$B$501,"&lt;="&amp;C936),m,COUNTIFS(Bank_Rates!$A$2:$A$501,H936,Bank_Rates!$B$2:$B$501,t,Bank_Rates!$D$2:$D$501,"&lt;="&amp;G936),IF(m=0,"",LET(d,MAXIFS(Bank_Rates!$D$2:$D$501,Bank_Rates!$A$2:$A$501,H936,Bank_Rates!$B$2:$B$501,t,Bank_Rates!$D$2:$D$501,"&lt;="&amp;G936),SUMIFS(Bank_Rates!$C$2:$C$501,Bank_Rates!$A$2:$A$501,H936,Bank_Rates!$B$2:$B$501,t,Bank_Rates!$D$2:$D$501,d)))))))</f>
        <v/>
      </c>
      <c r="K936" s="6" t="str">
        <f t="shared" si="28"/>
        <v/>
      </c>
    </row>
    <row r="937" spans="1:11">
      <c r="A937" s="18" t="str">
        <f t="shared" si="29"/>
        <v/>
      </c>
      <c r="B937" s="13"/>
      <c r="C937" s="14"/>
      <c r="D937" s="3"/>
      <c r="E937" s="3"/>
      <c r="F937" s="14"/>
      <c r="G937" s="7">
        <f>RawObservationsTable[[#This Row],[Maturity Date]]-RawObservationsTable[[#This Row],[Timestamp]]</f>
        <v>0</v>
      </c>
      <c r="H937" s="2"/>
      <c r="I937" s="4"/>
      <c r="J937" s="5" t="str">
        <f>IF(OR(H937="",G937="",C937=""),"",LET(n,COUNTIFS(Bank_Rates!$A$2:$A$501,H937,Bank_Rates!$B$2:$B$501,"&lt;="&amp;C937),IF(n=0,"",LET(t,MAXIFS(Bank_Rates!$B$2:$B$501,Bank_Rates!$A$2:$A$501,H937,Bank_Rates!$B$2:$B$501,"&lt;="&amp;C937),m,COUNTIFS(Bank_Rates!$A$2:$A$501,H937,Bank_Rates!$B$2:$B$501,t,Bank_Rates!$D$2:$D$501,"&lt;="&amp;G937),IF(m=0,"",LET(d,MAXIFS(Bank_Rates!$D$2:$D$501,Bank_Rates!$A$2:$A$501,H937,Bank_Rates!$B$2:$B$501,t,Bank_Rates!$D$2:$D$501,"&lt;="&amp;G937),SUMIFS(Bank_Rates!$C$2:$C$501,Bank_Rates!$A$2:$A$501,H937,Bank_Rates!$B$2:$B$501,t,Bank_Rates!$D$2:$D$501,d)))))))</f>
        <v/>
      </c>
      <c r="K937" s="6" t="str">
        <f t="shared" si="28"/>
        <v/>
      </c>
    </row>
    <row r="938" spans="1:11">
      <c r="A938" s="18" t="str">
        <f t="shared" si="29"/>
        <v/>
      </c>
      <c r="B938" s="13"/>
      <c r="C938" s="14"/>
      <c r="D938" s="3"/>
      <c r="E938" s="3"/>
      <c r="F938" s="14"/>
      <c r="G938" s="7">
        <f>RawObservationsTable[[#This Row],[Maturity Date]]-RawObservationsTable[[#This Row],[Timestamp]]</f>
        <v>0</v>
      </c>
      <c r="H938" s="2"/>
      <c r="I938" s="4"/>
      <c r="J938" s="5" t="str">
        <f>IF(OR(H938="",G938="",C938=""),"",LET(n,COUNTIFS(Bank_Rates!$A$2:$A$501,H938,Bank_Rates!$B$2:$B$501,"&lt;="&amp;C938),IF(n=0,"",LET(t,MAXIFS(Bank_Rates!$B$2:$B$501,Bank_Rates!$A$2:$A$501,H938,Bank_Rates!$B$2:$B$501,"&lt;="&amp;C938),m,COUNTIFS(Bank_Rates!$A$2:$A$501,H938,Bank_Rates!$B$2:$B$501,t,Bank_Rates!$D$2:$D$501,"&lt;="&amp;G938),IF(m=0,"",LET(d,MAXIFS(Bank_Rates!$D$2:$D$501,Bank_Rates!$A$2:$A$501,H938,Bank_Rates!$B$2:$B$501,t,Bank_Rates!$D$2:$D$501,"&lt;="&amp;G938),SUMIFS(Bank_Rates!$C$2:$C$501,Bank_Rates!$A$2:$A$501,H938,Bank_Rates!$B$2:$B$501,t,Bank_Rates!$D$2:$D$501,d)))))))</f>
        <v/>
      </c>
      <c r="K938" s="6" t="str">
        <f t="shared" si="28"/>
        <v/>
      </c>
    </row>
    <row r="939" spans="1:11">
      <c r="A939" s="18" t="str">
        <f t="shared" si="29"/>
        <v/>
      </c>
      <c r="B939" s="13"/>
      <c r="C939" s="14"/>
      <c r="D939" s="3"/>
      <c r="E939" s="3"/>
      <c r="F939" s="14"/>
      <c r="G939" s="7">
        <f>RawObservationsTable[[#This Row],[Maturity Date]]-RawObservationsTable[[#This Row],[Timestamp]]</f>
        <v>0</v>
      </c>
      <c r="H939" s="2"/>
      <c r="I939" s="4"/>
      <c r="J939" s="5" t="str">
        <f>IF(OR(H939="",G939="",C939=""),"",LET(n,COUNTIFS(Bank_Rates!$A$2:$A$501,H939,Bank_Rates!$B$2:$B$501,"&lt;="&amp;C939),IF(n=0,"",LET(t,MAXIFS(Bank_Rates!$B$2:$B$501,Bank_Rates!$A$2:$A$501,H939,Bank_Rates!$B$2:$B$501,"&lt;="&amp;C939),m,COUNTIFS(Bank_Rates!$A$2:$A$501,H939,Bank_Rates!$B$2:$B$501,t,Bank_Rates!$D$2:$D$501,"&lt;="&amp;G939),IF(m=0,"",LET(d,MAXIFS(Bank_Rates!$D$2:$D$501,Bank_Rates!$A$2:$A$501,H939,Bank_Rates!$B$2:$B$501,t,Bank_Rates!$D$2:$D$501,"&lt;="&amp;G939),SUMIFS(Bank_Rates!$C$2:$C$501,Bank_Rates!$A$2:$A$501,H939,Bank_Rates!$B$2:$B$501,t,Bank_Rates!$D$2:$D$501,d)))))))</f>
        <v/>
      </c>
      <c r="K939" s="6" t="str">
        <f t="shared" si="28"/>
        <v/>
      </c>
    </row>
    <row r="940" spans="1:11">
      <c r="A940" s="18" t="str">
        <f t="shared" si="29"/>
        <v/>
      </c>
      <c r="B940" s="13"/>
      <c r="C940" s="14"/>
      <c r="D940" s="3"/>
      <c r="E940" s="3"/>
      <c r="F940" s="14"/>
      <c r="G940" s="7">
        <f>RawObservationsTable[[#This Row],[Maturity Date]]-RawObservationsTable[[#This Row],[Timestamp]]</f>
        <v>0</v>
      </c>
      <c r="H940" s="2"/>
      <c r="I940" s="4"/>
      <c r="J940" s="5" t="str">
        <f>IF(OR(H940="",G940="",C940=""),"",LET(n,COUNTIFS(Bank_Rates!$A$2:$A$501,H940,Bank_Rates!$B$2:$B$501,"&lt;="&amp;C940),IF(n=0,"",LET(t,MAXIFS(Bank_Rates!$B$2:$B$501,Bank_Rates!$A$2:$A$501,H940,Bank_Rates!$B$2:$B$501,"&lt;="&amp;C940),m,COUNTIFS(Bank_Rates!$A$2:$A$501,H940,Bank_Rates!$B$2:$B$501,t,Bank_Rates!$D$2:$D$501,"&lt;="&amp;G940),IF(m=0,"",LET(d,MAXIFS(Bank_Rates!$D$2:$D$501,Bank_Rates!$A$2:$A$501,H940,Bank_Rates!$B$2:$B$501,t,Bank_Rates!$D$2:$D$501,"&lt;="&amp;G940),SUMIFS(Bank_Rates!$C$2:$C$501,Bank_Rates!$A$2:$A$501,H940,Bank_Rates!$B$2:$B$501,t,Bank_Rates!$D$2:$D$501,d)))))))</f>
        <v/>
      </c>
      <c r="K940" s="6" t="str">
        <f t="shared" si="28"/>
        <v/>
      </c>
    </row>
    <row r="941" spans="1:11">
      <c r="A941" s="18" t="str">
        <f t="shared" si="29"/>
        <v/>
      </c>
      <c r="B941" s="13"/>
      <c r="C941" s="14"/>
      <c r="D941" s="3"/>
      <c r="E941" s="3"/>
      <c r="F941" s="14"/>
      <c r="G941" s="7">
        <f>RawObservationsTable[[#This Row],[Maturity Date]]-RawObservationsTable[[#This Row],[Timestamp]]</f>
        <v>0</v>
      </c>
      <c r="H941" s="2"/>
      <c r="I941" s="4"/>
      <c r="J941" s="5" t="str">
        <f>IF(OR(H941="",G941="",C941=""),"",LET(n,COUNTIFS(Bank_Rates!$A$2:$A$501,H941,Bank_Rates!$B$2:$B$501,"&lt;="&amp;C941),IF(n=0,"",LET(t,MAXIFS(Bank_Rates!$B$2:$B$501,Bank_Rates!$A$2:$A$501,H941,Bank_Rates!$B$2:$B$501,"&lt;="&amp;C941),m,COUNTIFS(Bank_Rates!$A$2:$A$501,H941,Bank_Rates!$B$2:$B$501,t,Bank_Rates!$D$2:$D$501,"&lt;="&amp;G941),IF(m=0,"",LET(d,MAXIFS(Bank_Rates!$D$2:$D$501,Bank_Rates!$A$2:$A$501,H941,Bank_Rates!$B$2:$B$501,t,Bank_Rates!$D$2:$D$501,"&lt;="&amp;G941),SUMIFS(Bank_Rates!$C$2:$C$501,Bank_Rates!$A$2:$A$501,H941,Bank_Rates!$B$2:$B$501,t,Bank_Rates!$D$2:$D$501,d)))))))</f>
        <v/>
      </c>
      <c r="K941" s="6" t="str">
        <f t="shared" si="28"/>
        <v/>
      </c>
    </row>
    <row r="942" spans="1:11">
      <c r="A942" s="18" t="str">
        <f t="shared" si="29"/>
        <v/>
      </c>
      <c r="B942" s="13"/>
      <c r="C942" s="14"/>
      <c r="D942" s="3"/>
      <c r="E942" s="3"/>
      <c r="F942" s="14"/>
      <c r="G942" s="7">
        <f>RawObservationsTable[[#This Row],[Maturity Date]]-RawObservationsTable[[#This Row],[Timestamp]]</f>
        <v>0</v>
      </c>
      <c r="H942" s="2"/>
      <c r="I942" s="4"/>
      <c r="J942" s="5" t="str">
        <f>IF(OR(H942="",G942="",C942=""),"",LET(n,COUNTIFS(Bank_Rates!$A$2:$A$501,H942,Bank_Rates!$B$2:$B$501,"&lt;="&amp;C942),IF(n=0,"",LET(t,MAXIFS(Bank_Rates!$B$2:$B$501,Bank_Rates!$A$2:$A$501,H942,Bank_Rates!$B$2:$B$501,"&lt;="&amp;C942),m,COUNTIFS(Bank_Rates!$A$2:$A$501,H942,Bank_Rates!$B$2:$B$501,t,Bank_Rates!$D$2:$D$501,"&lt;="&amp;G942),IF(m=0,"",LET(d,MAXIFS(Bank_Rates!$D$2:$D$501,Bank_Rates!$A$2:$A$501,H942,Bank_Rates!$B$2:$B$501,t,Bank_Rates!$D$2:$D$501,"&lt;="&amp;G942),SUMIFS(Bank_Rates!$C$2:$C$501,Bank_Rates!$A$2:$A$501,H942,Bank_Rates!$B$2:$B$501,t,Bank_Rates!$D$2:$D$501,d)))))))</f>
        <v/>
      </c>
      <c r="K942" s="6" t="str">
        <f t="shared" si="28"/>
        <v/>
      </c>
    </row>
    <row r="943" spans="1:11">
      <c r="A943" s="18" t="str">
        <f t="shared" si="29"/>
        <v/>
      </c>
      <c r="B943" s="13"/>
      <c r="C943" s="14"/>
      <c r="D943" s="3"/>
      <c r="E943" s="3"/>
      <c r="F943" s="14"/>
      <c r="G943" s="7">
        <f>RawObservationsTable[[#This Row],[Maturity Date]]-RawObservationsTable[[#This Row],[Timestamp]]</f>
        <v>0</v>
      </c>
      <c r="H943" s="2"/>
      <c r="I943" s="4"/>
      <c r="J943" s="5" t="str">
        <f>IF(OR(H943="",G943="",C943=""),"",LET(n,COUNTIFS(Bank_Rates!$A$2:$A$501,H943,Bank_Rates!$B$2:$B$501,"&lt;="&amp;C943),IF(n=0,"",LET(t,MAXIFS(Bank_Rates!$B$2:$B$501,Bank_Rates!$A$2:$A$501,H943,Bank_Rates!$B$2:$B$501,"&lt;="&amp;C943),m,COUNTIFS(Bank_Rates!$A$2:$A$501,H943,Bank_Rates!$B$2:$B$501,t,Bank_Rates!$D$2:$D$501,"&lt;="&amp;G943),IF(m=0,"",LET(d,MAXIFS(Bank_Rates!$D$2:$D$501,Bank_Rates!$A$2:$A$501,H943,Bank_Rates!$B$2:$B$501,t,Bank_Rates!$D$2:$D$501,"&lt;="&amp;G943),SUMIFS(Bank_Rates!$C$2:$C$501,Bank_Rates!$A$2:$A$501,H943,Bank_Rates!$B$2:$B$501,t,Bank_Rates!$D$2:$D$501,d)))))))</f>
        <v/>
      </c>
      <c r="K943" s="6" t="str">
        <f t="shared" si="28"/>
        <v/>
      </c>
    </row>
    <row r="944" spans="1:11">
      <c r="A944" s="18" t="str">
        <f t="shared" si="29"/>
        <v/>
      </c>
      <c r="B944" s="13"/>
      <c r="C944" s="14"/>
      <c r="D944" s="3"/>
      <c r="E944" s="3"/>
      <c r="F944" s="14"/>
      <c r="G944" s="7">
        <f>RawObservationsTable[[#This Row],[Maturity Date]]-RawObservationsTable[[#This Row],[Timestamp]]</f>
        <v>0</v>
      </c>
      <c r="H944" s="2"/>
      <c r="I944" s="4"/>
      <c r="J944" s="5" t="str">
        <f>IF(OR(H944="",G944="",C944=""),"",LET(n,COUNTIFS(Bank_Rates!$A$2:$A$501,H944,Bank_Rates!$B$2:$B$501,"&lt;="&amp;C944),IF(n=0,"",LET(t,MAXIFS(Bank_Rates!$B$2:$B$501,Bank_Rates!$A$2:$A$501,H944,Bank_Rates!$B$2:$B$501,"&lt;="&amp;C944),m,COUNTIFS(Bank_Rates!$A$2:$A$501,H944,Bank_Rates!$B$2:$B$501,t,Bank_Rates!$D$2:$D$501,"&lt;="&amp;G944),IF(m=0,"",LET(d,MAXIFS(Bank_Rates!$D$2:$D$501,Bank_Rates!$A$2:$A$501,H944,Bank_Rates!$B$2:$B$501,t,Bank_Rates!$D$2:$D$501,"&lt;="&amp;G944),SUMIFS(Bank_Rates!$C$2:$C$501,Bank_Rates!$A$2:$A$501,H944,Bank_Rates!$B$2:$B$501,t,Bank_Rates!$D$2:$D$501,d)))))))</f>
        <v/>
      </c>
      <c r="K944" s="6" t="str">
        <f t="shared" si="28"/>
        <v/>
      </c>
    </row>
    <row r="945" spans="1:11">
      <c r="A945" s="18" t="str">
        <f t="shared" si="29"/>
        <v/>
      </c>
      <c r="B945" s="13"/>
      <c r="C945" s="14"/>
      <c r="D945" s="3"/>
      <c r="E945" s="3"/>
      <c r="F945" s="14"/>
      <c r="G945" s="7">
        <f>RawObservationsTable[[#This Row],[Maturity Date]]-RawObservationsTable[[#This Row],[Timestamp]]</f>
        <v>0</v>
      </c>
      <c r="H945" s="2"/>
      <c r="I945" s="4"/>
      <c r="J945" s="5" t="str">
        <f>IF(OR(H945="",G945="",C945=""),"",LET(n,COUNTIFS(Bank_Rates!$A$2:$A$501,H945,Bank_Rates!$B$2:$B$501,"&lt;="&amp;C945),IF(n=0,"",LET(t,MAXIFS(Bank_Rates!$B$2:$B$501,Bank_Rates!$A$2:$A$501,H945,Bank_Rates!$B$2:$B$501,"&lt;="&amp;C945),m,COUNTIFS(Bank_Rates!$A$2:$A$501,H945,Bank_Rates!$B$2:$B$501,t,Bank_Rates!$D$2:$D$501,"&lt;="&amp;G945),IF(m=0,"",LET(d,MAXIFS(Bank_Rates!$D$2:$D$501,Bank_Rates!$A$2:$A$501,H945,Bank_Rates!$B$2:$B$501,t,Bank_Rates!$D$2:$D$501,"&lt;="&amp;G945),SUMIFS(Bank_Rates!$C$2:$C$501,Bank_Rates!$A$2:$A$501,H945,Bank_Rates!$B$2:$B$501,t,Bank_Rates!$D$2:$D$501,d)))))))</f>
        <v/>
      </c>
      <c r="K945" s="6" t="str">
        <f t="shared" si="28"/>
        <v/>
      </c>
    </row>
    <row r="946" spans="1:11">
      <c r="A946" s="18" t="str">
        <f t="shared" si="29"/>
        <v/>
      </c>
      <c r="B946" s="13"/>
      <c r="C946" s="14"/>
      <c r="D946" s="3"/>
      <c r="E946" s="3"/>
      <c r="F946" s="14"/>
      <c r="G946" s="7">
        <f>RawObservationsTable[[#This Row],[Maturity Date]]-RawObservationsTable[[#This Row],[Timestamp]]</f>
        <v>0</v>
      </c>
      <c r="H946" s="2"/>
      <c r="I946" s="4"/>
      <c r="J946" s="5" t="str">
        <f>IF(OR(H946="",G946="",C946=""),"",LET(n,COUNTIFS(Bank_Rates!$A$2:$A$501,H946,Bank_Rates!$B$2:$B$501,"&lt;="&amp;C946),IF(n=0,"",LET(t,MAXIFS(Bank_Rates!$B$2:$B$501,Bank_Rates!$A$2:$A$501,H946,Bank_Rates!$B$2:$B$501,"&lt;="&amp;C946),m,COUNTIFS(Bank_Rates!$A$2:$A$501,H946,Bank_Rates!$B$2:$B$501,t,Bank_Rates!$D$2:$D$501,"&lt;="&amp;G946),IF(m=0,"",LET(d,MAXIFS(Bank_Rates!$D$2:$D$501,Bank_Rates!$A$2:$A$501,H946,Bank_Rates!$B$2:$B$501,t,Bank_Rates!$D$2:$D$501,"&lt;="&amp;G946),SUMIFS(Bank_Rates!$C$2:$C$501,Bank_Rates!$A$2:$A$501,H946,Bank_Rates!$B$2:$B$501,t,Bank_Rates!$D$2:$D$501,d)))))))</f>
        <v/>
      </c>
      <c r="K946" s="6" t="str">
        <f t="shared" si="28"/>
        <v/>
      </c>
    </row>
    <row r="947" spans="1:11">
      <c r="A947" s="18" t="str">
        <f t="shared" si="29"/>
        <v/>
      </c>
      <c r="B947" s="13"/>
      <c r="C947" s="14"/>
      <c r="D947" s="3"/>
      <c r="E947" s="3"/>
      <c r="F947" s="14"/>
      <c r="G947" s="7">
        <f>RawObservationsTable[[#This Row],[Maturity Date]]-RawObservationsTable[[#This Row],[Timestamp]]</f>
        <v>0</v>
      </c>
      <c r="H947" s="2"/>
      <c r="I947" s="4"/>
      <c r="J947" s="5" t="str">
        <f>IF(OR(H947="",G947="",C947=""),"",LET(n,COUNTIFS(Bank_Rates!$A$2:$A$501,H947,Bank_Rates!$B$2:$B$501,"&lt;="&amp;C947),IF(n=0,"",LET(t,MAXIFS(Bank_Rates!$B$2:$B$501,Bank_Rates!$A$2:$A$501,H947,Bank_Rates!$B$2:$B$501,"&lt;="&amp;C947),m,COUNTIFS(Bank_Rates!$A$2:$A$501,H947,Bank_Rates!$B$2:$B$501,t,Bank_Rates!$D$2:$D$501,"&lt;="&amp;G947),IF(m=0,"",LET(d,MAXIFS(Bank_Rates!$D$2:$D$501,Bank_Rates!$A$2:$A$501,H947,Bank_Rates!$B$2:$B$501,t,Bank_Rates!$D$2:$D$501,"&lt;="&amp;G947),SUMIFS(Bank_Rates!$C$2:$C$501,Bank_Rates!$A$2:$A$501,H947,Bank_Rates!$B$2:$B$501,t,Bank_Rates!$D$2:$D$501,d)))))))</f>
        <v/>
      </c>
      <c r="K947" s="6" t="str">
        <f t="shared" si="28"/>
        <v/>
      </c>
    </row>
    <row r="948" spans="1:11">
      <c r="A948" s="18" t="str">
        <f t="shared" si="29"/>
        <v/>
      </c>
      <c r="B948" s="13"/>
      <c r="C948" s="14"/>
      <c r="D948" s="3"/>
      <c r="E948" s="3"/>
      <c r="F948" s="14"/>
      <c r="G948" s="7">
        <f>RawObservationsTable[[#This Row],[Maturity Date]]-RawObservationsTable[[#This Row],[Timestamp]]</f>
        <v>0</v>
      </c>
      <c r="H948" s="2"/>
      <c r="I948" s="4"/>
      <c r="J948" s="5" t="str">
        <f>IF(OR(H948="",G948="",C948=""),"",LET(n,COUNTIFS(Bank_Rates!$A$2:$A$501,H948,Bank_Rates!$B$2:$B$501,"&lt;="&amp;C948),IF(n=0,"",LET(t,MAXIFS(Bank_Rates!$B$2:$B$501,Bank_Rates!$A$2:$A$501,H948,Bank_Rates!$B$2:$B$501,"&lt;="&amp;C948),m,COUNTIFS(Bank_Rates!$A$2:$A$501,H948,Bank_Rates!$B$2:$B$501,t,Bank_Rates!$D$2:$D$501,"&lt;="&amp;G948),IF(m=0,"",LET(d,MAXIFS(Bank_Rates!$D$2:$D$501,Bank_Rates!$A$2:$A$501,H948,Bank_Rates!$B$2:$B$501,t,Bank_Rates!$D$2:$D$501,"&lt;="&amp;G948),SUMIFS(Bank_Rates!$C$2:$C$501,Bank_Rates!$A$2:$A$501,H948,Bank_Rates!$B$2:$B$501,t,Bank_Rates!$D$2:$D$501,d)))))))</f>
        <v/>
      </c>
      <c r="K948" s="6" t="str">
        <f t="shared" si="28"/>
        <v/>
      </c>
    </row>
    <row r="949" spans="1:11">
      <c r="A949" s="18" t="str">
        <f t="shared" si="29"/>
        <v/>
      </c>
      <c r="B949" s="13"/>
      <c r="C949" s="14"/>
      <c r="D949" s="3"/>
      <c r="E949" s="3"/>
      <c r="F949" s="14"/>
      <c r="G949" s="7">
        <f>RawObservationsTable[[#This Row],[Maturity Date]]-RawObservationsTable[[#This Row],[Timestamp]]</f>
        <v>0</v>
      </c>
      <c r="H949" s="2"/>
      <c r="I949" s="4"/>
      <c r="J949" s="5" t="str">
        <f>IF(OR(H949="",G949="",C949=""),"",LET(n,COUNTIFS(Bank_Rates!$A$2:$A$501,H949,Bank_Rates!$B$2:$B$501,"&lt;="&amp;C949),IF(n=0,"",LET(t,MAXIFS(Bank_Rates!$B$2:$B$501,Bank_Rates!$A$2:$A$501,H949,Bank_Rates!$B$2:$B$501,"&lt;="&amp;C949),m,COUNTIFS(Bank_Rates!$A$2:$A$501,H949,Bank_Rates!$B$2:$B$501,t,Bank_Rates!$D$2:$D$501,"&lt;="&amp;G949),IF(m=0,"",LET(d,MAXIFS(Bank_Rates!$D$2:$D$501,Bank_Rates!$A$2:$A$501,H949,Bank_Rates!$B$2:$B$501,t,Bank_Rates!$D$2:$D$501,"&lt;="&amp;G949),SUMIFS(Bank_Rates!$C$2:$C$501,Bank_Rates!$A$2:$A$501,H949,Bank_Rates!$B$2:$B$501,t,Bank_Rates!$D$2:$D$501,d)))))))</f>
        <v/>
      </c>
      <c r="K949" s="6" t="str">
        <f t="shared" si="28"/>
        <v/>
      </c>
    </row>
    <row r="950" spans="1:11">
      <c r="A950" s="18" t="str">
        <f t="shared" si="29"/>
        <v/>
      </c>
      <c r="B950" s="13"/>
      <c r="C950" s="14"/>
      <c r="D950" s="3"/>
      <c r="E950" s="3"/>
      <c r="F950" s="14"/>
      <c r="G950" s="7">
        <f>RawObservationsTable[[#This Row],[Maturity Date]]-RawObservationsTable[[#This Row],[Timestamp]]</f>
        <v>0</v>
      </c>
      <c r="H950" s="2"/>
      <c r="I950" s="4"/>
      <c r="J950" s="5" t="str">
        <f>IF(OR(H950="",G950="",C950=""),"",LET(n,COUNTIFS(Bank_Rates!$A$2:$A$501,H950,Bank_Rates!$B$2:$B$501,"&lt;="&amp;C950),IF(n=0,"",LET(t,MAXIFS(Bank_Rates!$B$2:$B$501,Bank_Rates!$A$2:$A$501,H950,Bank_Rates!$B$2:$B$501,"&lt;="&amp;C950),m,COUNTIFS(Bank_Rates!$A$2:$A$501,H950,Bank_Rates!$B$2:$B$501,t,Bank_Rates!$D$2:$D$501,"&lt;="&amp;G950),IF(m=0,"",LET(d,MAXIFS(Bank_Rates!$D$2:$D$501,Bank_Rates!$A$2:$A$501,H950,Bank_Rates!$B$2:$B$501,t,Bank_Rates!$D$2:$D$501,"&lt;="&amp;G950),SUMIFS(Bank_Rates!$C$2:$C$501,Bank_Rates!$A$2:$A$501,H950,Bank_Rates!$B$2:$B$501,t,Bank_Rates!$D$2:$D$501,d)))))))</f>
        <v/>
      </c>
      <c r="K950" s="6" t="str">
        <f t="shared" si="28"/>
        <v/>
      </c>
    </row>
    <row r="951" spans="1:11">
      <c r="A951" s="18" t="str">
        <f t="shared" si="29"/>
        <v/>
      </c>
      <c r="B951" s="13"/>
      <c r="C951" s="14"/>
      <c r="D951" s="3"/>
      <c r="E951" s="3"/>
      <c r="F951" s="14"/>
      <c r="G951" s="7">
        <f>RawObservationsTable[[#This Row],[Maturity Date]]-RawObservationsTable[[#This Row],[Timestamp]]</f>
        <v>0</v>
      </c>
      <c r="H951" s="2"/>
      <c r="I951" s="4"/>
      <c r="J951" s="5" t="str">
        <f>IF(OR(H951="",G951="",C951=""),"",LET(n,COUNTIFS(Bank_Rates!$A$2:$A$501,H951,Bank_Rates!$B$2:$B$501,"&lt;="&amp;C951),IF(n=0,"",LET(t,MAXIFS(Bank_Rates!$B$2:$B$501,Bank_Rates!$A$2:$A$501,H951,Bank_Rates!$B$2:$B$501,"&lt;="&amp;C951),m,COUNTIFS(Bank_Rates!$A$2:$A$501,H951,Bank_Rates!$B$2:$B$501,t,Bank_Rates!$D$2:$D$501,"&lt;="&amp;G951),IF(m=0,"",LET(d,MAXIFS(Bank_Rates!$D$2:$D$501,Bank_Rates!$A$2:$A$501,H951,Bank_Rates!$B$2:$B$501,t,Bank_Rates!$D$2:$D$501,"&lt;="&amp;G951),SUMIFS(Bank_Rates!$C$2:$C$501,Bank_Rates!$A$2:$A$501,H951,Bank_Rates!$B$2:$B$501,t,Bank_Rates!$D$2:$D$501,d)))))))</f>
        <v/>
      </c>
      <c r="K951" s="6" t="str">
        <f t="shared" si="28"/>
        <v/>
      </c>
    </row>
    <row r="952" spans="1:11">
      <c r="A952" s="18" t="str">
        <f t="shared" si="29"/>
        <v/>
      </c>
      <c r="B952" s="13"/>
      <c r="C952" s="14"/>
      <c r="D952" s="3"/>
      <c r="E952" s="3"/>
      <c r="F952" s="14"/>
      <c r="G952" s="7">
        <f>RawObservationsTable[[#This Row],[Maturity Date]]-RawObservationsTable[[#This Row],[Timestamp]]</f>
        <v>0</v>
      </c>
      <c r="H952" s="2"/>
      <c r="I952" s="4"/>
      <c r="J952" s="5" t="str">
        <f>IF(OR(H952="",G952="",C952=""),"",LET(n,COUNTIFS(Bank_Rates!$A$2:$A$501,H952,Bank_Rates!$B$2:$B$501,"&lt;="&amp;C952),IF(n=0,"",LET(t,MAXIFS(Bank_Rates!$B$2:$B$501,Bank_Rates!$A$2:$A$501,H952,Bank_Rates!$B$2:$B$501,"&lt;="&amp;C952),m,COUNTIFS(Bank_Rates!$A$2:$A$501,H952,Bank_Rates!$B$2:$B$501,t,Bank_Rates!$D$2:$D$501,"&lt;="&amp;G952),IF(m=0,"",LET(d,MAXIFS(Bank_Rates!$D$2:$D$501,Bank_Rates!$A$2:$A$501,H952,Bank_Rates!$B$2:$B$501,t,Bank_Rates!$D$2:$D$501,"&lt;="&amp;G952),SUMIFS(Bank_Rates!$C$2:$C$501,Bank_Rates!$A$2:$A$501,H952,Bank_Rates!$B$2:$B$501,t,Bank_Rates!$D$2:$D$501,d)))))))</f>
        <v/>
      </c>
      <c r="K952" s="6" t="str">
        <f t="shared" si="28"/>
        <v/>
      </c>
    </row>
    <row r="953" spans="1:11">
      <c r="A953" s="18" t="str">
        <f t="shared" si="29"/>
        <v/>
      </c>
      <c r="B953" s="13"/>
      <c r="C953" s="14"/>
      <c r="D953" s="3"/>
      <c r="E953" s="3"/>
      <c r="F953" s="14"/>
      <c r="G953" s="7">
        <f>RawObservationsTable[[#This Row],[Maturity Date]]-RawObservationsTable[[#This Row],[Timestamp]]</f>
        <v>0</v>
      </c>
      <c r="H953" s="2"/>
      <c r="I953" s="4"/>
      <c r="J953" s="5" t="str">
        <f>IF(OR(H953="",G953="",C953=""),"",LET(n,COUNTIFS(Bank_Rates!$A$2:$A$501,H953,Bank_Rates!$B$2:$B$501,"&lt;="&amp;C953),IF(n=0,"",LET(t,MAXIFS(Bank_Rates!$B$2:$B$501,Bank_Rates!$A$2:$A$501,H953,Bank_Rates!$B$2:$B$501,"&lt;="&amp;C953),m,COUNTIFS(Bank_Rates!$A$2:$A$501,H953,Bank_Rates!$B$2:$B$501,t,Bank_Rates!$D$2:$D$501,"&lt;="&amp;G953),IF(m=0,"",LET(d,MAXIFS(Bank_Rates!$D$2:$D$501,Bank_Rates!$A$2:$A$501,H953,Bank_Rates!$B$2:$B$501,t,Bank_Rates!$D$2:$D$501,"&lt;="&amp;G953),SUMIFS(Bank_Rates!$C$2:$C$501,Bank_Rates!$A$2:$A$501,H953,Bank_Rates!$B$2:$B$501,t,Bank_Rates!$D$2:$D$501,d)))))))</f>
        <v/>
      </c>
      <c r="K953" s="6" t="str">
        <f t="shared" si="28"/>
        <v/>
      </c>
    </row>
    <row r="954" spans="1:11">
      <c r="A954" s="18" t="str">
        <f t="shared" si="29"/>
        <v/>
      </c>
      <c r="B954" s="13"/>
      <c r="C954" s="14"/>
      <c r="D954" s="3"/>
      <c r="E954" s="3"/>
      <c r="F954" s="14"/>
      <c r="G954" s="7">
        <f>RawObservationsTable[[#This Row],[Maturity Date]]-RawObservationsTable[[#This Row],[Timestamp]]</f>
        <v>0</v>
      </c>
      <c r="H954" s="2"/>
      <c r="I954" s="4"/>
      <c r="J954" s="5" t="str">
        <f>IF(OR(H954="",G954="",C954=""),"",LET(n,COUNTIFS(Bank_Rates!$A$2:$A$501,H954,Bank_Rates!$B$2:$B$501,"&lt;="&amp;C954),IF(n=0,"",LET(t,MAXIFS(Bank_Rates!$B$2:$B$501,Bank_Rates!$A$2:$A$501,H954,Bank_Rates!$B$2:$B$501,"&lt;="&amp;C954),m,COUNTIFS(Bank_Rates!$A$2:$A$501,H954,Bank_Rates!$B$2:$B$501,t,Bank_Rates!$D$2:$D$501,"&lt;="&amp;G954),IF(m=0,"",LET(d,MAXIFS(Bank_Rates!$D$2:$D$501,Bank_Rates!$A$2:$A$501,H954,Bank_Rates!$B$2:$B$501,t,Bank_Rates!$D$2:$D$501,"&lt;="&amp;G954),SUMIFS(Bank_Rates!$C$2:$C$501,Bank_Rates!$A$2:$A$501,H954,Bank_Rates!$B$2:$B$501,t,Bank_Rates!$D$2:$D$501,d)))))))</f>
        <v/>
      </c>
      <c r="K954" s="6" t="str">
        <f t="shared" si="28"/>
        <v/>
      </c>
    </row>
    <row r="955" spans="1:11">
      <c r="A955" s="18" t="str">
        <f t="shared" si="29"/>
        <v/>
      </c>
      <c r="B955" s="13"/>
      <c r="C955" s="14"/>
      <c r="D955" s="3"/>
      <c r="E955" s="3"/>
      <c r="F955" s="14"/>
      <c r="G955" s="7">
        <f>RawObservationsTable[[#This Row],[Maturity Date]]-RawObservationsTable[[#This Row],[Timestamp]]</f>
        <v>0</v>
      </c>
      <c r="H955" s="2"/>
      <c r="I955" s="4"/>
      <c r="J955" s="5" t="str">
        <f>IF(OR(H955="",G955="",C955=""),"",LET(n,COUNTIFS(Bank_Rates!$A$2:$A$501,H955,Bank_Rates!$B$2:$B$501,"&lt;="&amp;C955),IF(n=0,"",LET(t,MAXIFS(Bank_Rates!$B$2:$B$501,Bank_Rates!$A$2:$A$501,H955,Bank_Rates!$B$2:$B$501,"&lt;="&amp;C955),m,COUNTIFS(Bank_Rates!$A$2:$A$501,H955,Bank_Rates!$B$2:$B$501,t,Bank_Rates!$D$2:$D$501,"&lt;="&amp;G955),IF(m=0,"",LET(d,MAXIFS(Bank_Rates!$D$2:$D$501,Bank_Rates!$A$2:$A$501,H955,Bank_Rates!$B$2:$B$501,t,Bank_Rates!$D$2:$D$501,"&lt;="&amp;G955),SUMIFS(Bank_Rates!$C$2:$C$501,Bank_Rates!$A$2:$A$501,H955,Bank_Rates!$B$2:$B$501,t,Bank_Rates!$D$2:$D$501,d)))))))</f>
        <v/>
      </c>
      <c r="K955" s="6" t="str">
        <f t="shared" si="28"/>
        <v/>
      </c>
    </row>
    <row r="956" spans="1:11">
      <c r="A956" s="18" t="str">
        <f t="shared" si="29"/>
        <v/>
      </c>
      <c r="B956" s="13"/>
      <c r="C956" s="14"/>
      <c r="D956" s="3"/>
      <c r="E956" s="3"/>
      <c r="F956" s="14"/>
      <c r="G956" s="7">
        <f>RawObservationsTable[[#This Row],[Maturity Date]]-RawObservationsTable[[#This Row],[Timestamp]]</f>
        <v>0</v>
      </c>
      <c r="H956" s="2"/>
      <c r="I956" s="4"/>
      <c r="J956" s="5" t="str">
        <f>IF(OR(H956="",G956="",C956=""),"",LET(n,COUNTIFS(Bank_Rates!$A$2:$A$501,H956,Bank_Rates!$B$2:$B$501,"&lt;="&amp;C956),IF(n=0,"",LET(t,MAXIFS(Bank_Rates!$B$2:$B$501,Bank_Rates!$A$2:$A$501,H956,Bank_Rates!$B$2:$B$501,"&lt;="&amp;C956),m,COUNTIFS(Bank_Rates!$A$2:$A$501,H956,Bank_Rates!$B$2:$B$501,t,Bank_Rates!$D$2:$D$501,"&lt;="&amp;G956),IF(m=0,"",LET(d,MAXIFS(Bank_Rates!$D$2:$D$501,Bank_Rates!$A$2:$A$501,H956,Bank_Rates!$B$2:$B$501,t,Bank_Rates!$D$2:$D$501,"&lt;="&amp;G956),SUMIFS(Bank_Rates!$C$2:$C$501,Bank_Rates!$A$2:$A$501,H956,Bank_Rates!$B$2:$B$501,t,Bank_Rates!$D$2:$D$501,d)))))))</f>
        <v/>
      </c>
      <c r="K956" s="6" t="str">
        <f t="shared" si="28"/>
        <v/>
      </c>
    </row>
    <row r="957" spans="1:11">
      <c r="A957" s="18" t="str">
        <f t="shared" si="29"/>
        <v/>
      </c>
      <c r="B957" s="13"/>
      <c r="C957" s="14"/>
      <c r="D957" s="3"/>
      <c r="E957" s="3"/>
      <c r="F957" s="14"/>
      <c r="G957" s="7">
        <f>RawObservationsTable[[#This Row],[Maturity Date]]-RawObservationsTable[[#This Row],[Timestamp]]</f>
        <v>0</v>
      </c>
      <c r="H957" s="2"/>
      <c r="I957" s="4"/>
      <c r="J957" s="5" t="str">
        <f>IF(OR(H957="",G957="",C957=""),"",LET(n,COUNTIFS(Bank_Rates!$A$2:$A$501,H957,Bank_Rates!$B$2:$B$501,"&lt;="&amp;C957),IF(n=0,"",LET(t,MAXIFS(Bank_Rates!$B$2:$B$501,Bank_Rates!$A$2:$A$501,H957,Bank_Rates!$B$2:$B$501,"&lt;="&amp;C957),m,COUNTIFS(Bank_Rates!$A$2:$A$501,H957,Bank_Rates!$B$2:$B$501,t,Bank_Rates!$D$2:$D$501,"&lt;="&amp;G957),IF(m=0,"",LET(d,MAXIFS(Bank_Rates!$D$2:$D$501,Bank_Rates!$A$2:$A$501,H957,Bank_Rates!$B$2:$B$501,t,Bank_Rates!$D$2:$D$501,"&lt;="&amp;G957),SUMIFS(Bank_Rates!$C$2:$C$501,Bank_Rates!$A$2:$A$501,H957,Bank_Rates!$B$2:$B$501,t,Bank_Rates!$D$2:$D$501,d)))))))</f>
        <v/>
      </c>
      <c r="K957" s="6" t="str">
        <f t="shared" si="28"/>
        <v/>
      </c>
    </row>
    <row r="958" spans="1:11">
      <c r="A958" s="18" t="str">
        <f t="shared" si="29"/>
        <v/>
      </c>
      <c r="B958" s="13"/>
      <c r="C958" s="14"/>
      <c r="D958" s="3"/>
      <c r="E958" s="3"/>
      <c r="F958" s="14"/>
      <c r="G958" s="7">
        <f>RawObservationsTable[[#This Row],[Maturity Date]]-RawObservationsTable[[#This Row],[Timestamp]]</f>
        <v>0</v>
      </c>
      <c r="H958" s="2"/>
      <c r="I958" s="4"/>
      <c r="J958" s="5" t="str">
        <f>IF(OR(H958="",G958="",C958=""),"",LET(n,COUNTIFS(Bank_Rates!$A$2:$A$501,H958,Bank_Rates!$B$2:$B$501,"&lt;="&amp;C958),IF(n=0,"",LET(t,MAXIFS(Bank_Rates!$B$2:$B$501,Bank_Rates!$A$2:$A$501,H958,Bank_Rates!$B$2:$B$501,"&lt;="&amp;C958),m,COUNTIFS(Bank_Rates!$A$2:$A$501,H958,Bank_Rates!$B$2:$B$501,t,Bank_Rates!$D$2:$D$501,"&lt;="&amp;G958),IF(m=0,"",LET(d,MAXIFS(Bank_Rates!$D$2:$D$501,Bank_Rates!$A$2:$A$501,H958,Bank_Rates!$B$2:$B$501,t,Bank_Rates!$D$2:$D$501,"&lt;="&amp;G958),SUMIFS(Bank_Rates!$C$2:$C$501,Bank_Rates!$A$2:$A$501,H958,Bank_Rates!$B$2:$B$501,t,Bank_Rates!$D$2:$D$501,d)))))))</f>
        <v/>
      </c>
      <c r="K958" s="6" t="str">
        <f t="shared" si="28"/>
        <v/>
      </c>
    </row>
    <row r="959" spans="1:11">
      <c r="A959" s="18" t="str">
        <f t="shared" si="29"/>
        <v/>
      </c>
      <c r="B959" s="13"/>
      <c r="C959" s="14"/>
      <c r="D959" s="3"/>
      <c r="E959" s="3"/>
      <c r="F959" s="14"/>
      <c r="G959" s="7">
        <f>RawObservationsTable[[#This Row],[Maturity Date]]-RawObservationsTable[[#This Row],[Timestamp]]</f>
        <v>0</v>
      </c>
      <c r="H959" s="2"/>
      <c r="I959" s="4"/>
      <c r="J959" s="5" t="str">
        <f>IF(OR(H959="",G959="",C959=""),"",LET(n,COUNTIFS(Bank_Rates!$A$2:$A$501,H959,Bank_Rates!$B$2:$B$501,"&lt;="&amp;C959),IF(n=0,"",LET(t,MAXIFS(Bank_Rates!$B$2:$B$501,Bank_Rates!$A$2:$A$501,H959,Bank_Rates!$B$2:$B$501,"&lt;="&amp;C959),m,COUNTIFS(Bank_Rates!$A$2:$A$501,H959,Bank_Rates!$B$2:$B$501,t,Bank_Rates!$D$2:$D$501,"&lt;="&amp;G959),IF(m=0,"",LET(d,MAXIFS(Bank_Rates!$D$2:$D$501,Bank_Rates!$A$2:$A$501,H959,Bank_Rates!$B$2:$B$501,t,Bank_Rates!$D$2:$D$501,"&lt;="&amp;G959),SUMIFS(Bank_Rates!$C$2:$C$501,Bank_Rates!$A$2:$A$501,H959,Bank_Rates!$B$2:$B$501,t,Bank_Rates!$D$2:$D$501,d)))))))</f>
        <v/>
      </c>
      <c r="K959" s="6" t="str">
        <f t="shared" si="28"/>
        <v/>
      </c>
    </row>
    <row r="960" spans="1:11">
      <c r="A960" s="18" t="str">
        <f t="shared" si="29"/>
        <v/>
      </c>
      <c r="B960" s="13"/>
      <c r="C960" s="14"/>
      <c r="D960" s="3"/>
      <c r="E960" s="3"/>
      <c r="F960" s="14"/>
      <c r="G960" s="7">
        <f>RawObservationsTable[[#This Row],[Maturity Date]]-RawObservationsTable[[#This Row],[Timestamp]]</f>
        <v>0</v>
      </c>
      <c r="H960" s="2"/>
      <c r="I960" s="4"/>
      <c r="J960" s="5" t="str">
        <f>IF(OR(H960="",G960="",C960=""),"",LET(n,COUNTIFS(Bank_Rates!$A$2:$A$501,H960,Bank_Rates!$B$2:$B$501,"&lt;="&amp;C960),IF(n=0,"",LET(t,MAXIFS(Bank_Rates!$B$2:$B$501,Bank_Rates!$A$2:$A$501,H960,Bank_Rates!$B$2:$B$501,"&lt;="&amp;C960),m,COUNTIFS(Bank_Rates!$A$2:$A$501,H960,Bank_Rates!$B$2:$B$501,t,Bank_Rates!$D$2:$D$501,"&lt;="&amp;G960),IF(m=0,"",LET(d,MAXIFS(Bank_Rates!$D$2:$D$501,Bank_Rates!$A$2:$A$501,H960,Bank_Rates!$B$2:$B$501,t,Bank_Rates!$D$2:$D$501,"&lt;="&amp;G960),SUMIFS(Bank_Rates!$C$2:$C$501,Bank_Rates!$A$2:$A$501,H960,Bank_Rates!$B$2:$B$501,t,Bank_Rates!$D$2:$D$501,d)))))))</f>
        <v/>
      </c>
      <c r="K960" s="6" t="str">
        <f t="shared" si="28"/>
        <v/>
      </c>
    </row>
    <row r="961" spans="1:11">
      <c r="A961" s="18" t="str">
        <f t="shared" si="29"/>
        <v/>
      </c>
      <c r="B961" s="13"/>
      <c r="C961" s="14"/>
      <c r="D961" s="3"/>
      <c r="E961" s="3"/>
      <c r="F961" s="14"/>
      <c r="G961" s="7">
        <f>RawObservationsTable[[#This Row],[Maturity Date]]-RawObservationsTable[[#This Row],[Timestamp]]</f>
        <v>0</v>
      </c>
      <c r="H961" s="2"/>
      <c r="I961" s="4"/>
      <c r="J961" s="5" t="str">
        <f>IF(OR(H961="",G961="",C961=""),"",LET(n,COUNTIFS(Bank_Rates!$A$2:$A$501,H961,Bank_Rates!$B$2:$B$501,"&lt;="&amp;C961),IF(n=0,"",LET(t,MAXIFS(Bank_Rates!$B$2:$B$501,Bank_Rates!$A$2:$A$501,H961,Bank_Rates!$B$2:$B$501,"&lt;="&amp;C961),m,COUNTIFS(Bank_Rates!$A$2:$A$501,H961,Bank_Rates!$B$2:$B$501,t,Bank_Rates!$D$2:$D$501,"&lt;="&amp;G961),IF(m=0,"",LET(d,MAXIFS(Bank_Rates!$D$2:$D$501,Bank_Rates!$A$2:$A$501,H961,Bank_Rates!$B$2:$B$501,t,Bank_Rates!$D$2:$D$501,"&lt;="&amp;G961),SUMIFS(Bank_Rates!$C$2:$C$501,Bank_Rates!$A$2:$A$501,H961,Bank_Rates!$B$2:$B$501,t,Bank_Rates!$D$2:$D$501,d)))))))</f>
        <v/>
      </c>
      <c r="K961" s="6" t="str">
        <f t="shared" si="28"/>
        <v/>
      </c>
    </row>
    <row r="962" spans="1:11">
      <c r="A962" s="18" t="str">
        <f t="shared" si="29"/>
        <v/>
      </c>
      <c r="B962" s="13"/>
      <c r="C962" s="14"/>
      <c r="D962" s="3"/>
      <c r="E962" s="3"/>
      <c r="F962" s="14"/>
      <c r="G962" s="7">
        <f>RawObservationsTable[[#This Row],[Maturity Date]]-RawObservationsTable[[#This Row],[Timestamp]]</f>
        <v>0</v>
      </c>
      <c r="H962" s="2"/>
      <c r="I962" s="4"/>
      <c r="J962" s="5" t="str">
        <f>IF(OR(H962="",G962="",C962=""),"",LET(n,COUNTIFS(Bank_Rates!$A$2:$A$501,H962,Bank_Rates!$B$2:$B$501,"&lt;="&amp;C962),IF(n=0,"",LET(t,MAXIFS(Bank_Rates!$B$2:$B$501,Bank_Rates!$A$2:$A$501,H962,Bank_Rates!$B$2:$B$501,"&lt;="&amp;C962),m,COUNTIFS(Bank_Rates!$A$2:$A$501,H962,Bank_Rates!$B$2:$B$501,t,Bank_Rates!$D$2:$D$501,"&lt;="&amp;G962),IF(m=0,"",LET(d,MAXIFS(Bank_Rates!$D$2:$D$501,Bank_Rates!$A$2:$A$501,H962,Bank_Rates!$B$2:$B$501,t,Bank_Rates!$D$2:$D$501,"&lt;="&amp;G962),SUMIFS(Bank_Rates!$C$2:$C$501,Bank_Rates!$A$2:$A$501,H962,Bank_Rates!$B$2:$B$501,t,Bank_Rates!$D$2:$D$501,d)))))))</f>
        <v/>
      </c>
      <c r="K962" s="6" t="str">
        <f t="shared" ref="K962:K1025" si="30">IF(OR(I962="",J962=""),"",I962-J962)</f>
        <v/>
      </c>
    </row>
    <row r="963" spans="1:11">
      <c r="A963" s="18" t="str">
        <f t="shared" ref="A963:A1001" si="31">IF(B963&lt;&gt;"","L-"&amp;TEXT(ROW()-1,"0000"),"")</f>
        <v/>
      </c>
      <c r="B963" s="13"/>
      <c r="C963" s="14"/>
      <c r="D963" s="3"/>
      <c r="E963" s="3"/>
      <c r="F963" s="14"/>
      <c r="G963" s="7">
        <f>RawObservationsTable[[#This Row],[Maturity Date]]-RawObservationsTable[[#This Row],[Timestamp]]</f>
        <v>0</v>
      </c>
      <c r="H963" s="2"/>
      <c r="I963" s="4"/>
      <c r="J963" s="5" t="str">
        <f>IF(OR(H963="",G963="",C963=""),"",LET(n,COUNTIFS(Bank_Rates!$A$2:$A$501,H963,Bank_Rates!$B$2:$B$501,"&lt;="&amp;C963),IF(n=0,"",LET(t,MAXIFS(Bank_Rates!$B$2:$B$501,Bank_Rates!$A$2:$A$501,H963,Bank_Rates!$B$2:$B$501,"&lt;="&amp;C963),m,COUNTIFS(Bank_Rates!$A$2:$A$501,H963,Bank_Rates!$B$2:$B$501,t,Bank_Rates!$D$2:$D$501,"&lt;="&amp;G963),IF(m=0,"",LET(d,MAXIFS(Bank_Rates!$D$2:$D$501,Bank_Rates!$A$2:$A$501,H963,Bank_Rates!$B$2:$B$501,t,Bank_Rates!$D$2:$D$501,"&lt;="&amp;G963),SUMIFS(Bank_Rates!$C$2:$C$501,Bank_Rates!$A$2:$A$501,H963,Bank_Rates!$B$2:$B$501,t,Bank_Rates!$D$2:$D$501,d)))))))</f>
        <v/>
      </c>
      <c r="K963" s="6" t="str">
        <f t="shared" si="30"/>
        <v/>
      </c>
    </row>
    <row r="964" spans="1:11">
      <c r="A964" s="18" t="str">
        <f t="shared" si="31"/>
        <v/>
      </c>
      <c r="B964" s="13"/>
      <c r="C964" s="14"/>
      <c r="D964" s="3"/>
      <c r="E964" s="3"/>
      <c r="F964" s="14"/>
      <c r="G964" s="7">
        <f>RawObservationsTable[[#This Row],[Maturity Date]]-RawObservationsTable[[#This Row],[Timestamp]]</f>
        <v>0</v>
      </c>
      <c r="H964" s="2"/>
      <c r="I964" s="4"/>
      <c r="J964" s="5" t="str">
        <f>IF(OR(H964="",G964="",C964=""),"",LET(n,COUNTIFS(Bank_Rates!$A$2:$A$501,H964,Bank_Rates!$B$2:$B$501,"&lt;="&amp;C964),IF(n=0,"",LET(t,MAXIFS(Bank_Rates!$B$2:$B$501,Bank_Rates!$A$2:$A$501,H964,Bank_Rates!$B$2:$B$501,"&lt;="&amp;C964),m,COUNTIFS(Bank_Rates!$A$2:$A$501,H964,Bank_Rates!$B$2:$B$501,t,Bank_Rates!$D$2:$D$501,"&lt;="&amp;G964),IF(m=0,"",LET(d,MAXIFS(Bank_Rates!$D$2:$D$501,Bank_Rates!$A$2:$A$501,H964,Bank_Rates!$B$2:$B$501,t,Bank_Rates!$D$2:$D$501,"&lt;="&amp;G964),SUMIFS(Bank_Rates!$C$2:$C$501,Bank_Rates!$A$2:$A$501,H964,Bank_Rates!$B$2:$B$501,t,Bank_Rates!$D$2:$D$501,d)))))))</f>
        <v/>
      </c>
      <c r="K964" s="6" t="str">
        <f t="shared" si="30"/>
        <v/>
      </c>
    </row>
    <row r="965" spans="1:11">
      <c r="A965" s="18" t="str">
        <f t="shared" si="31"/>
        <v/>
      </c>
      <c r="B965" s="13"/>
      <c r="C965" s="14"/>
      <c r="D965" s="3"/>
      <c r="E965" s="3"/>
      <c r="F965" s="14"/>
      <c r="G965" s="7">
        <f>RawObservationsTable[[#This Row],[Maturity Date]]-RawObservationsTable[[#This Row],[Timestamp]]</f>
        <v>0</v>
      </c>
      <c r="H965" s="2"/>
      <c r="I965" s="4"/>
      <c r="J965" s="5" t="str">
        <f>IF(OR(H965="",G965="",C965=""),"",LET(n,COUNTIFS(Bank_Rates!$A$2:$A$501,H965,Bank_Rates!$B$2:$B$501,"&lt;="&amp;C965),IF(n=0,"",LET(t,MAXIFS(Bank_Rates!$B$2:$B$501,Bank_Rates!$A$2:$A$501,H965,Bank_Rates!$B$2:$B$501,"&lt;="&amp;C965),m,COUNTIFS(Bank_Rates!$A$2:$A$501,H965,Bank_Rates!$B$2:$B$501,t,Bank_Rates!$D$2:$D$501,"&lt;="&amp;G965),IF(m=0,"",LET(d,MAXIFS(Bank_Rates!$D$2:$D$501,Bank_Rates!$A$2:$A$501,H965,Bank_Rates!$B$2:$B$501,t,Bank_Rates!$D$2:$D$501,"&lt;="&amp;G965),SUMIFS(Bank_Rates!$C$2:$C$501,Bank_Rates!$A$2:$A$501,H965,Bank_Rates!$B$2:$B$501,t,Bank_Rates!$D$2:$D$501,d)))))))</f>
        <v/>
      </c>
      <c r="K965" s="6" t="str">
        <f t="shared" si="30"/>
        <v/>
      </c>
    </row>
    <row r="966" spans="1:11">
      <c r="A966" s="18" t="str">
        <f t="shared" si="31"/>
        <v/>
      </c>
      <c r="B966" s="13"/>
      <c r="C966" s="14"/>
      <c r="D966" s="3"/>
      <c r="E966" s="3"/>
      <c r="F966" s="14"/>
      <c r="G966" s="7">
        <f>RawObservationsTable[[#This Row],[Maturity Date]]-RawObservationsTable[[#This Row],[Timestamp]]</f>
        <v>0</v>
      </c>
      <c r="H966" s="2"/>
      <c r="I966" s="4"/>
      <c r="J966" s="5" t="str">
        <f>IF(OR(H966="",G966="",C966=""),"",LET(n,COUNTIFS(Bank_Rates!$A$2:$A$501,H966,Bank_Rates!$B$2:$B$501,"&lt;="&amp;C966),IF(n=0,"",LET(t,MAXIFS(Bank_Rates!$B$2:$B$501,Bank_Rates!$A$2:$A$501,H966,Bank_Rates!$B$2:$B$501,"&lt;="&amp;C966),m,COUNTIFS(Bank_Rates!$A$2:$A$501,H966,Bank_Rates!$B$2:$B$501,t,Bank_Rates!$D$2:$D$501,"&lt;="&amp;G966),IF(m=0,"",LET(d,MAXIFS(Bank_Rates!$D$2:$D$501,Bank_Rates!$A$2:$A$501,H966,Bank_Rates!$B$2:$B$501,t,Bank_Rates!$D$2:$D$501,"&lt;="&amp;G966),SUMIFS(Bank_Rates!$C$2:$C$501,Bank_Rates!$A$2:$A$501,H966,Bank_Rates!$B$2:$B$501,t,Bank_Rates!$D$2:$D$501,d)))))))</f>
        <v/>
      </c>
      <c r="K966" s="6" t="str">
        <f t="shared" si="30"/>
        <v/>
      </c>
    </row>
    <row r="967" spans="1:11">
      <c r="A967" s="18" t="str">
        <f t="shared" si="31"/>
        <v/>
      </c>
      <c r="B967" s="13"/>
      <c r="C967" s="14"/>
      <c r="D967" s="3"/>
      <c r="E967" s="3"/>
      <c r="F967" s="14"/>
      <c r="G967" s="7">
        <f>RawObservationsTable[[#This Row],[Maturity Date]]-RawObservationsTable[[#This Row],[Timestamp]]</f>
        <v>0</v>
      </c>
      <c r="H967" s="2"/>
      <c r="I967" s="4"/>
      <c r="J967" s="5" t="str">
        <f>IF(OR(H967="",G967="",C967=""),"",LET(n,COUNTIFS(Bank_Rates!$A$2:$A$501,H967,Bank_Rates!$B$2:$B$501,"&lt;="&amp;C967),IF(n=0,"",LET(t,MAXIFS(Bank_Rates!$B$2:$B$501,Bank_Rates!$A$2:$A$501,H967,Bank_Rates!$B$2:$B$501,"&lt;="&amp;C967),m,COUNTIFS(Bank_Rates!$A$2:$A$501,H967,Bank_Rates!$B$2:$B$501,t,Bank_Rates!$D$2:$D$501,"&lt;="&amp;G967),IF(m=0,"",LET(d,MAXIFS(Bank_Rates!$D$2:$D$501,Bank_Rates!$A$2:$A$501,H967,Bank_Rates!$B$2:$B$501,t,Bank_Rates!$D$2:$D$501,"&lt;="&amp;G967),SUMIFS(Bank_Rates!$C$2:$C$501,Bank_Rates!$A$2:$A$501,H967,Bank_Rates!$B$2:$B$501,t,Bank_Rates!$D$2:$D$501,d)))))))</f>
        <v/>
      </c>
      <c r="K967" s="6" t="str">
        <f t="shared" si="30"/>
        <v/>
      </c>
    </row>
    <row r="968" spans="1:11">
      <c r="A968" s="18" t="str">
        <f t="shared" si="31"/>
        <v/>
      </c>
      <c r="B968" s="13"/>
      <c r="C968" s="14"/>
      <c r="D968" s="3"/>
      <c r="E968" s="3"/>
      <c r="F968" s="14"/>
      <c r="G968" s="7">
        <f>RawObservationsTable[[#This Row],[Maturity Date]]-RawObservationsTable[[#This Row],[Timestamp]]</f>
        <v>0</v>
      </c>
      <c r="H968" s="2"/>
      <c r="I968" s="4"/>
      <c r="J968" s="5" t="str">
        <f>IF(OR(H968="",G968="",C968=""),"",LET(n,COUNTIFS(Bank_Rates!$A$2:$A$501,H968,Bank_Rates!$B$2:$B$501,"&lt;="&amp;C968),IF(n=0,"",LET(t,MAXIFS(Bank_Rates!$B$2:$B$501,Bank_Rates!$A$2:$A$501,H968,Bank_Rates!$B$2:$B$501,"&lt;="&amp;C968),m,COUNTIFS(Bank_Rates!$A$2:$A$501,H968,Bank_Rates!$B$2:$B$501,t,Bank_Rates!$D$2:$D$501,"&lt;="&amp;G968),IF(m=0,"",LET(d,MAXIFS(Bank_Rates!$D$2:$D$501,Bank_Rates!$A$2:$A$501,H968,Bank_Rates!$B$2:$B$501,t,Bank_Rates!$D$2:$D$501,"&lt;="&amp;G968),SUMIFS(Bank_Rates!$C$2:$C$501,Bank_Rates!$A$2:$A$501,H968,Bank_Rates!$B$2:$B$501,t,Bank_Rates!$D$2:$D$501,d)))))))</f>
        <v/>
      </c>
      <c r="K968" s="6" t="str">
        <f t="shared" si="30"/>
        <v/>
      </c>
    </row>
    <row r="969" spans="1:11">
      <c r="A969" s="18" t="str">
        <f t="shared" si="31"/>
        <v/>
      </c>
      <c r="B969" s="13"/>
      <c r="C969" s="14"/>
      <c r="D969" s="3"/>
      <c r="E969" s="3"/>
      <c r="F969" s="14"/>
      <c r="G969" s="7">
        <f>RawObservationsTable[[#This Row],[Maturity Date]]-RawObservationsTable[[#This Row],[Timestamp]]</f>
        <v>0</v>
      </c>
      <c r="H969" s="2"/>
      <c r="I969" s="4"/>
      <c r="J969" s="5" t="str">
        <f>IF(OR(H969="",G969="",C969=""),"",LET(n,COUNTIFS(Bank_Rates!$A$2:$A$501,H969,Bank_Rates!$B$2:$B$501,"&lt;="&amp;C969),IF(n=0,"",LET(t,MAXIFS(Bank_Rates!$B$2:$B$501,Bank_Rates!$A$2:$A$501,H969,Bank_Rates!$B$2:$B$501,"&lt;="&amp;C969),m,COUNTIFS(Bank_Rates!$A$2:$A$501,H969,Bank_Rates!$B$2:$B$501,t,Bank_Rates!$D$2:$D$501,"&lt;="&amp;G969),IF(m=0,"",LET(d,MAXIFS(Bank_Rates!$D$2:$D$501,Bank_Rates!$A$2:$A$501,H969,Bank_Rates!$B$2:$B$501,t,Bank_Rates!$D$2:$D$501,"&lt;="&amp;G969),SUMIFS(Bank_Rates!$C$2:$C$501,Bank_Rates!$A$2:$A$501,H969,Bank_Rates!$B$2:$B$501,t,Bank_Rates!$D$2:$D$501,d)))))))</f>
        <v/>
      </c>
      <c r="K969" s="6" t="str">
        <f t="shared" si="30"/>
        <v/>
      </c>
    </row>
    <row r="970" spans="1:11">
      <c r="A970" s="18" t="str">
        <f t="shared" si="31"/>
        <v/>
      </c>
      <c r="B970" s="13"/>
      <c r="C970" s="14"/>
      <c r="D970" s="3"/>
      <c r="E970" s="3"/>
      <c r="F970" s="14"/>
      <c r="G970" s="7">
        <f>RawObservationsTable[[#This Row],[Maturity Date]]-RawObservationsTable[[#This Row],[Timestamp]]</f>
        <v>0</v>
      </c>
      <c r="H970" s="2"/>
      <c r="I970" s="4"/>
      <c r="J970" s="5" t="str">
        <f>IF(OR(H970="",G970="",C970=""),"",LET(n,COUNTIFS(Bank_Rates!$A$2:$A$501,H970,Bank_Rates!$B$2:$B$501,"&lt;="&amp;C970),IF(n=0,"",LET(t,MAXIFS(Bank_Rates!$B$2:$B$501,Bank_Rates!$A$2:$A$501,H970,Bank_Rates!$B$2:$B$501,"&lt;="&amp;C970),m,COUNTIFS(Bank_Rates!$A$2:$A$501,H970,Bank_Rates!$B$2:$B$501,t,Bank_Rates!$D$2:$D$501,"&lt;="&amp;G970),IF(m=0,"",LET(d,MAXIFS(Bank_Rates!$D$2:$D$501,Bank_Rates!$A$2:$A$501,H970,Bank_Rates!$B$2:$B$501,t,Bank_Rates!$D$2:$D$501,"&lt;="&amp;G970),SUMIFS(Bank_Rates!$C$2:$C$501,Bank_Rates!$A$2:$A$501,H970,Bank_Rates!$B$2:$B$501,t,Bank_Rates!$D$2:$D$501,d)))))))</f>
        <v/>
      </c>
      <c r="K970" s="6" t="str">
        <f t="shared" si="30"/>
        <v/>
      </c>
    </row>
    <row r="971" spans="1:11">
      <c r="A971" s="18" t="str">
        <f t="shared" si="31"/>
        <v/>
      </c>
      <c r="B971" s="13"/>
      <c r="C971" s="14"/>
      <c r="D971" s="3"/>
      <c r="E971" s="3"/>
      <c r="F971" s="14"/>
      <c r="G971" s="7">
        <f>RawObservationsTable[[#This Row],[Maturity Date]]-RawObservationsTable[[#This Row],[Timestamp]]</f>
        <v>0</v>
      </c>
      <c r="H971" s="2"/>
      <c r="I971" s="4"/>
      <c r="J971" s="5" t="str">
        <f>IF(OR(H971="",G971="",C971=""),"",LET(n,COUNTIFS(Bank_Rates!$A$2:$A$501,H971,Bank_Rates!$B$2:$B$501,"&lt;="&amp;C971),IF(n=0,"",LET(t,MAXIFS(Bank_Rates!$B$2:$B$501,Bank_Rates!$A$2:$A$501,H971,Bank_Rates!$B$2:$B$501,"&lt;="&amp;C971),m,COUNTIFS(Bank_Rates!$A$2:$A$501,H971,Bank_Rates!$B$2:$B$501,t,Bank_Rates!$D$2:$D$501,"&lt;="&amp;G971),IF(m=0,"",LET(d,MAXIFS(Bank_Rates!$D$2:$D$501,Bank_Rates!$A$2:$A$501,H971,Bank_Rates!$B$2:$B$501,t,Bank_Rates!$D$2:$D$501,"&lt;="&amp;G971),SUMIFS(Bank_Rates!$C$2:$C$501,Bank_Rates!$A$2:$A$501,H971,Bank_Rates!$B$2:$B$501,t,Bank_Rates!$D$2:$D$501,d)))))))</f>
        <v/>
      </c>
      <c r="K971" s="6" t="str">
        <f t="shared" si="30"/>
        <v/>
      </c>
    </row>
    <row r="972" spans="1:11">
      <c r="A972" s="18" t="str">
        <f t="shared" si="31"/>
        <v/>
      </c>
      <c r="B972" s="13"/>
      <c r="C972" s="14"/>
      <c r="D972" s="3"/>
      <c r="E972" s="3"/>
      <c r="F972" s="14"/>
      <c r="G972" s="7">
        <f>RawObservationsTable[[#This Row],[Maturity Date]]-RawObservationsTable[[#This Row],[Timestamp]]</f>
        <v>0</v>
      </c>
      <c r="H972" s="2"/>
      <c r="I972" s="4"/>
      <c r="J972" s="5" t="str">
        <f>IF(OR(H972="",G972="",C972=""),"",LET(n,COUNTIFS(Bank_Rates!$A$2:$A$501,H972,Bank_Rates!$B$2:$B$501,"&lt;="&amp;C972),IF(n=0,"",LET(t,MAXIFS(Bank_Rates!$B$2:$B$501,Bank_Rates!$A$2:$A$501,H972,Bank_Rates!$B$2:$B$501,"&lt;="&amp;C972),m,COUNTIFS(Bank_Rates!$A$2:$A$501,H972,Bank_Rates!$B$2:$B$501,t,Bank_Rates!$D$2:$D$501,"&lt;="&amp;G972),IF(m=0,"",LET(d,MAXIFS(Bank_Rates!$D$2:$D$501,Bank_Rates!$A$2:$A$501,H972,Bank_Rates!$B$2:$B$501,t,Bank_Rates!$D$2:$D$501,"&lt;="&amp;G972),SUMIFS(Bank_Rates!$C$2:$C$501,Bank_Rates!$A$2:$A$501,H972,Bank_Rates!$B$2:$B$501,t,Bank_Rates!$D$2:$D$501,d)))))))</f>
        <v/>
      </c>
      <c r="K972" s="6" t="str">
        <f t="shared" si="30"/>
        <v/>
      </c>
    </row>
    <row r="973" spans="1:11">
      <c r="A973" s="18" t="str">
        <f t="shared" si="31"/>
        <v/>
      </c>
      <c r="B973" s="13"/>
      <c r="C973" s="14"/>
      <c r="D973" s="3"/>
      <c r="E973" s="3"/>
      <c r="F973" s="14"/>
      <c r="G973" s="7">
        <f>RawObservationsTable[[#This Row],[Maturity Date]]-RawObservationsTable[[#This Row],[Timestamp]]</f>
        <v>0</v>
      </c>
      <c r="H973" s="2"/>
      <c r="I973" s="4"/>
      <c r="J973" s="5" t="str">
        <f>IF(OR(H973="",G973="",C973=""),"",LET(n,COUNTIFS(Bank_Rates!$A$2:$A$501,H973,Bank_Rates!$B$2:$B$501,"&lt;="&amp;C973),IF(n=0,"",LET(t,MAXIFS(Bank_Rates!$B$2:$B$501,Bank_Rates!$A$2:$A$501,H973,Bank_Rates!$B$2:$B$501,"&lt;="&amp;C973),m,COUNTIFS(Bank_Rates!$A$2:$A$501,H973,Bank_Rates!$B$2:$B$501,t,Bank_Rates!$D$2:$D$501,"&lt;="&amp;G973),IF(m=0,"",LET(d,MAXIFS(Bank_Rates!$D$2:$D$501,Bank_Rates!$A$2:$A$501,H973,Bank_Rates!$B$2:$B$501,t,Bank_Rates!$D$2:$D$501,"&lt;="&amp;G973),SUMIFS(Bank_Rates!$C$2:$C$501,Bank_Rates!$A$2:$A$501,H973,Bank_Rates!$B$2:$B$501,t,Bank_Rates!$D$2:$D$501,d)))))))</f>
        <v/>
      </c>
      <c r="K973" s="6" t="str">
        <f t="shared" si="30"/>
        <v/>
      </c>
    </row>
    <row r="974" spans="1:11">
      <c r="A974" s="18" t="str">
        <f t="shared" si="31"/>
        <v/>
      </c>
      <c r="B974" s="13"/>
      <c r="C974" s="14"/>
      <c r="D974" s="3"/>
      <c r="E974" s="3"/>
      <c r="F974" s="14"/>
      <c r="G974" s="7">
        <f>RawObservationsTable[[#This Row],[Maturity Date]]-RawObservationsTable[[#This Row],[Timestamp]]</f>
        <v>0</v>
      </c>
      <c r="H974" s="2"/>
      <c r="I974" s="4"/>
      <c r="J974" s="5" t="str">
        <f>IF(OR(H974="",G974="",C974=""),"",LET(n,COUNTIFS(Bank_Rates!$A$2:$A$501,H974,Bank_Rates!$B$2:$B$501,"&lt;="&amp;C974),IF(n=0,"",LET(t,MAXIFS(Bank_Rates!$B$2:$B$501,Bank_Rates!$A$2:$A$501,H974,Bank_Rates!$B$2:$B$501,"&lt;="&amp;C974),m,COUNTIFS(Bank_Rates!$A$2:$A$501,H974,Bank_Rates!$B$2:$B$501,t,Bank_Rates!$D$2:$D$501,"&lt;="&amp;G974),IF(m=0,"",LET(d,MAXIFS(Bank_Rates!$D$2:$D$501,Bank_Rates!$A$2:$A$501,H974,Bank_Rates!$B$2:$B$501,t,Bank_Rates!$D$2:$D$501,"&lt;="&amp;G974),SUMIFS(Bank_Rates!$C$2:$C$501,Bank_Rates!$A$2:$A$501,H974,Bank_Rates!$B$2:$B$501,t,Bank_Rates!$D$2:$D$501,d)))))))</f>
        <v/>
      </c>
      <c r="K974" s="6" t="str">
        <f t="shared" si="30"/>
        <v/>
      </c>
    </row>
    <row r="975" spans="1:11">
      <c r="A975" s="18" t="str">
        <f t="shared" si="31"/>
        <v/>
      </c>
      <c r="B975" s="13"/>
      <c r="C975" s="14"/>
      <c r="D975" s="3"/>
      <c r="E975" s="3"/>
      <c r="F975" s="14"/>
      <c r="G975" s="7">
        <f>RawObservationsTable[[#This Row],[Maturity Date]]-RawObservationsTable[[#This Row],[Timestamp]]</f>
        <v>0</v>
      </c>
      <c r="H975" s="2"/>
      <c r="I975" s="4"/>
      <c r="J975" s="5" t="str">
        <f>IF(OR(H975="",G975="",C975=""),"",LET(n,COUNTIFS(Bank_Rates!$A$2:$A$501,H975,Bank_Rates!$B$2:$B$501,"&lt;="&amp;C975),IF(n=0,"",LET(t,MAXIFS(Bank_Rates!$B$2:$B$501,Bank_Rates!$A$2:$A$501,H975,Bank_Rates!$B$2:$B$501,"&lt;="&amp;C975),m,COUNTIFS(Bank_Rates!$A$2:$A$501,H975,Bank_Rates!$B$2:$B$501,t,Bank_Rates!$D$2:$D$501,"&lt;="&amp;G975),IF(m=0,"",LET(d,MAXIFS(Bank_Rates!$D$2:$D$501,Bank_Rates!$A$2:$A$501,H975,Bank_Rates!$B$2:$B$501,t,Bank_Rates!$D$2:$D$501,"&lt;="&amp;G975),SUMIFS(Bank_Rates!$C$2:$C$501,Bank_Rates!$A$2:$A$501,H975,Bank_Rates!$B$2:$B$501,t,Bank_Rates!$D$2:$D$501,d)))))))</f>
        <v/>
      </c>
      <c r="K975" s="6" t="str">
        <f t="shared" si="30"/>
        <v/>
      </c>
    </row>
    <row r="976" spans="1:11">
      <c r="A976" s="18" t="str">
        <f t="shared" si="31"/>
        <v/>
      </c>
      <c r="B976" s="13"/>
      <c r="C976" s="14"/>
      <c r="D976" s="3"/>
      <c r="E976" s="3"/>
      <c r="F976" s="14"/>
      <c r="G976" s="7">
        <f>RawObservationsTable[[#This Row],[Maturity Date]]-RawObservationsTable[[#This Row],[Timestamp]]</f>
        <v>0</v>
      </c>
      <c r="H976" s="2"/>
      <c r="I976" s="4"/>
      <c r="J976" s="5" t="str">
        <f>IF(OR(H976="",G976="",C976=""),"",LET(n,COUNTIFS(Bank_Rates!$A$2:$A$501,H976,Bank_Rates!$B$2:$B$501,"&lt;="&amp;C976),IF(n=0,"",LET(t,MAXIFS(Bank_Rates!$B$2:$B$501,Bank_Rates!$A$2:$A$501,H976,Bank_Rates!$B$2:$B$501,"&lt;="&amp;C976),m,COUNTIFS(Bank_Rates!$A$2:$A$501,H976,Bank_Rates!$B$2:$B$501,t,Bank_Rates!$D$2:$D$501,"&lt;="&amp;G976),IF(m=0,"",LET(d,MAXIFS(Bank_Rates!$D$2:$D$501,Bank_Rates!$A$2:$A$501,H976,Bank_Rates!$B$2:$B$501,t,Bank_Rates!$D$2:$D$501,"&lt;="&amp;G976),SUMIFS(Bank_Rates!$C$2:$C$501,Bank_Rates!$A$2:$A$501,H976,Bank_Rates!$B$2:$B$501,t,Bank_Rates!$D$2:$D$501,d)))))))</f>
        <v/>
      </c>
      <c r="K976" s="6" t="str">
        <f t="shared" si="30"/>
        <v/>
      </c>
    </row>
    <row r="977" spans="1:11">
      <c r="A977" s="18" t="str">
        <f t="shared" si="31"/>
        <v/>
      </c>
      <c r="B977" s="13"/>
      <c r="C977" s="14"/>
      <c r="D977" s="3"/>
      <c r="E977" s="3"/>
      <c r="F977" s="14"/>
      <c r="G977" s="7">
        <f>RawObservationsTable[[#This Row],[Maturity Date]]-RawObservationsTable[[#This Row],[Timestamp]]</f>
        <v>0</v>
      </c>
      <c r="H977" s="2"/>
      <c r="I977" s="4"/>
      <c r="J977" s="5" t="str">
        <f>IF(OR(H977="",G977="",C977=""),"",LET(n,COUNTIFS(Bank_Rates!$A$2:$A$501,H977,Bank_Rates!$B$2:$B$501,"&lt;="&amp;C977),IF(n=0,"",LET(t,MAXIFS(Bank_Rates!$B$2:$B$501,Bank_Rates!$A$2:$A$501,H977,Bank_Rates!$B$2:$B$501,"&lt;="&amp;C977),m,COUNTIFS(Bank_Rates!$A$2:$A$501,H977,Bank_Rates!$B$2:$B$501,t,Bank_Rates!$D$2:$D$501,"&lt;="&amp;G977),IF(m=0,"",LET(d,MAXIFS(Bank_Rates!$D$2:$D$501,Bank_Rates!$A$2:$A$501,H977,Bank_Rates!$B$2:$B$501,t,Bank_Rates!$D$2:$D$501,"&lt;="&amp;G977),SUMIFS(Bank_Rates!$C$2:$C$501,Bank_Rates!$A$2:$A$501,H977,Bank_Rates!$B$2:$B$501,t,Bank_Rates!$D$2:$D$501,d)))))))</f>
        <v/>
      </c>
      <c r="K977" s="6" t="str">
        <f t="shared" si="30"/>
        <v/>
      </c>
    </row>
    <row r="978" spans="1:11">
      <c r="A978" s="18" t="str">
        <f t="shared" si="31"/>
        <v/>
      </c>
      <c r="B978" s="13"/>
      <c r="C978" s="14"/>
      <c r="D978" s="3"/>
      <c r="E978" s="3"/>
      <c r="F978" s="14"/>
      <c r="G978" s="7">
        <f>RawObservationsTable[[#This Row],[Maturity Date]]-RawObservationsTable[[#This Row],[Timestamp]]</f>
        <v>0</v>
      </c>
      <c r="H978" s="2"/>
      <c r="I978" s="4"/>
      <c r="J978" s="5" t="str">
        <f>IF(OR(H978="",G978="",C978=""),"",LET(n,COUNTIFS(Bank_Rates!$A$2:$A$501,H978,Bank_Rates!$B$2:$B$501,"&lt;="&amp;C978),IF(n=0,"",LET(t,MAXIFS(Bank_Rates!$B$2:$B$501,Bank_Rates!$A$2:$A$501,H978,Bank_Rates!$B$2:$B$501,"&lt;="&amp;C978),m,COUNTIFS(Bank_Rates!$A$2:$A$501,H978,Bank_Rates!$B$2:$B$501,t,Bank_Rates!$D$2:$D$501,"&lt;="&amp;G978),IF(m=0,"",LET(d,MAXIFS(Bank_Rates!$D$2:$D$501,Bank_Rates!$A$2:$A$501,H978,Bank_Rates!$B$2:$B$501,t,Bank_Rates!$D$2:$D$501,"&lt;="&amp;G978),SUMIFS(Bank_Rates!$C$2:$C$501,Bank_Rates!$A$2:$A$501,H978,Bank_Rates!$B$2:$B$501,t,Bank_Rates!$D$2:$D$501,d)))))))</f>
        <v/>
      </c>
      <c r="K978" s="6" t="str">
        <f t="shared" si="30"/>
        <v/>
      </c>
    </row>
    <row r="979" spans="1:11">
      <c r="A979" s="18" t="str">
        <f t="shared" si="31"/>
        <v/>
      </c>
      <c r="B979" s="13"/>
      <c r="C979" s="14"/>
      <c r="D979" s="3"/>
      <c r="E979" s="3"/>
      <c r="F979" s="14"/>
      <c r="G979" s="7">
        <f>RawObservationsTable[[#This Row],[Maturity Date]]-RawObservationsTable[[#This Row],[Timestamp]]</f>
        <v>0</v>
      </c>
      <c r="H979" s="2"/>
      <c r="I979" s="4"/>
      <c r="J979" s="5" t="str">
        <f>IF(OR(H979="",G979="",C979=""),"",LET(n,COUNTIFS(Bank_Rates!$A$2:$A$501,H979,Bank_Rates!$B$2:$B$501,"&lt;="&amp;C979),IF(n=0,"",LET(t,MAXIFS(Bank_Rates!$B$2:$B$501,Bank_Rates!$A$2:$A$501,H979,Bank_Rates!$B$2:$B$501,"&lt;="&amp;C979),m,COUNTIFS(Bank_Rates!$A$2:$A$501,H979,Bank_Rates!$B$2:$B$501,t,Bank_Rates!$D$2:$D$501,"&lt;="&amp;G979),IF(m=0,"",LET(d,MAXIFS(Bank_Rates!$D$2:$D$501,Bank_Rates!$A$2:$A$501,H979,Bank_Rates!$B$2:$B$501,t,Bank_Rates!$D$2:$D$501,"&lt;="&amp;G979),SUMIFS(Bank_Rates!$C$2:$C$501,Bank_Rates!$A$2:$A$501,H979,Bank_Rates!$B$2:$B$501,t,Bank_Rates!$D$2:$D$501,d)))))))</f>
        <v/>
      </c>
      <c r="K979" s="6" t="str">
        <f t="shared" si="30"/>
        <v/>
      </c>
    </row>
    <row r="980" spans="1:11">
      <c r="A980" s="18" t="str">
        <f t="shared" si="31"/>
        <v/>
      </c>
      <c r="B980" s="13"/>
      <c r="C980" s="14"/>
      <c r="D980" s="3"/>
      <c r="E980" s="3"/>
      <c r="F980" s="14"/>
      <c r="G980" s="7">
        <f>RawObservationsTable[[#This Row],[Maturity Date]]-RawObservationsTable[[#This Row],[Timestamp]]</f>
        <v>0</v>
      </c>
      <c r="H980" s="2"/>
      <c r="I980" s="4"/>
      <c r="J980" s="5" t="str">
        <f>IF(OR(H980="",G980="",C980=""),"",LET(n,COUNTIFS(Bank_Rates!$A$2:$A$501,H980,Bank_Rates!$B$2:$B$501,"&lt;="&amp;C980),IF(n=0,"",LET(t,MAXIFS(Bank_Rates!$B$2:$B$501,Bank_Rates!$A$2:$A$501,H980,Bank_Rates!$B$2:$B$501,"&lt;="&amp;C980),m,COUNTIFS(Bank_Rates!$A$2:$A$501,H980,Bank_Rates!$B$2:$B$501,t,Bank_Rates!$D$2:$D$501,"&lt;="&amp;G980),IF(m=0,"",LET(d,MAXIFS(Bank_Rates!$D$2:$D$501,Bank_Rates!$A$2:$A$501,H980,Bank_Rates!$B$2:$B$501,t,Bank_Rates!$D$2:$D$501,"&lt;="&amp;G980),SUMIFS(Bank_Rates!$C$2:$C$501,Bank_Rates!$A$2:$A$501,H980,Bank_Rates!$B$2:$B$501,t,Bank_Rates!$D$2:$D$501,d)))))))</f>
        <v/>
      </c>
      <c r="K980" s="6" t="str">
        <f t="shared" si="30"/>
        <v/>
      </c>
    </row>
    <row r="981" spans="1:11">
      <c r="A981" s="18" t="str">
        <f t="shared" si="31"/>
        <v/>
      </c>
      <c r="B981" s="13"/>
      <c r="C981" s="14"/>
      <c r="D981" s="3"/>
      <c r="E981" s="3"/>
      <c r="F981" s="14"/>
      <c r="G981" s="7">
        <f>RawObservationsTable[[#This Row],[Maturity Date]]-RawObservationsTable[[#This Row],[Timestamp]]</f>
        <v>0</v>
      </c>
      <c r="H981" s="2"/>
      <c r="I981" s="4"/>
      <c r="J981" s="5" t="str">
        <f>IF(OR(H981="",G981="",C981=""),"",LET(n,COUNTIFS(Bank_Rates!$A$2:$A$501,H981,Bank_Rates!$B$2:$B$501,"&lt;="&amp;C981),IF(n=0,"",LET(t,MAXIFS(Bank_Rates!$B$2:$B$501,Bank_Rates!$A$2:$A$501,H981,Bank_Rates!$B$2:$B$501,"&lt;="&amp;C981),m,COUNTIFS(Bank_Rates!$A$2:$A$501,H981,Bank_Rates!$B$2:$B$501,t,Bank_Rates!$D$2:$D$501,"&lt;="&amp;G981),IF(m=0,"",LET(d,MAXIFS(Bank_Rates!$D$2:$D$501,Bank_Rates!$A$2:$A$501,H981,Bank_Rates!$B$2:$B$501,t,Bank_Rates!$D$2:$D$501,"&lt;="&amp;G981),SUMIFS(Bank_Rates!$C$2:$C$501,Bank_Rates!$A$2:$A$501,H981,Bank_Rates!$B$2:$B$501,t,Bank_Rates!$D$2:$D$501,d)))))))</f>
        <v/>
      </c>
      <c r="K981" s="6" t="str">
        <f t="shared" si="30"/>
        <v/>
      </c>
    </row>
    <row r="982" spans="1:11">
      <c r="A982" s="18" t="str">
        <f t="shared" si="31"/>
        <v/>
      </c>
      <c r="B982" s="13"/>
      <c r="C982" s="14"/>
      <c r="D982" s="3"/>
      <c r="E982" s="3"/>
      <c r="F982" s="14"/>
      <c r="G982" s="7">
        <f>RawObservationsTable[[#This Row],[Maturity Date]]-RawObservationsTable[[#This Row],[Timestamp]]</f>
        <v>0</v>
      </c>
      <c r="H982" s="2"/>
      <c r="I982" s="4"/>
      <c r="J982" s="5" t="str">
        <f>IF(OR(H982="",G982="",C982=""),"",LET(n,COUNTIFS(Bank_Rates!$A$2:$A$501,H982,Bank_Rates!$B$2:$B$501,"&lt;="&amp;C982),IF(n=0,"",LET(t,MAXIFS(Bank_Rates!$B$2:$B$501,Bank_Rates!$A$2:$A$501,H982,Bank_Rates!$B$2:$B$501,"&lt;="&amp;C982),m,COUNTIFS(Bank_Rates!$A$2:$A$501,H982,Bank_Rates!$B$2:$B$501,t,Bank_Rates!$D$2:$D$501,"&lt;="&amp;G982),IF(m=0,"",LET(d,MAXIFS(Bank_Rates!$D$2:$D$501,Bank_Rates!$A$2:$A$501,H982,Bank_Rates!$B$2:$B$501,t,Bank_Rates!$D$2:$D$501,"&lt;="&amp;G982),SUMIFS(Bank_Rates!$C$2:$C$501,Bank_Rates!$A$2:$A$501,H982,Bank_Rates!$B$2:$B$501,t,Bank_Rates!$D$2:$D$501,d)))))))</f>
        <v/>
      </c>
      <c r="K982" s="6" t="str">
        <f t="shared" si="30"/>
        <v/>
      </c>
    </row>
    <row r="983" spans="1:11">
      <c r="A983" s="18" t="str">
        <f t="shared" si="31"/>
        <v/>
      </c>
      <c r="B983" s="13"/>
      <c r="C983" s="14"/>
      <c r="D983" s="3"/>
      <c r="E983" s="3"/>
      <c r="F983" s="14"/>
      <c r="G983" s="7">
        <f>RawObservationsTable[[#This Row],[Maturity Date]]-RawObservationsTable[[#This Row],[Timestamp]]</f>
        <v>0</v>
      </c>
      <c r="H983" s="2"/>
      <c r="I983" s="4"/>
      <c r="J983" s="5" t="str">
        <f>IF(OR(H983="",G983="",C983=""),"",LET(n,COUNTIFS(Bank_Rates!$A$2:$A$501,H983,Bank_Rates!$B$2:$B$501,"&lt;="&amp;C983),IF(n=0,"",LET(t,MAXIFS(Bank_Rates!$B$2:$B$501,Bank_Rates!$A$2:$A$501,H983,Bank_Rates!$B$2:$B$501,"&lt;="&amp;C983),m,COUNTIFS(Bank_Rates!$A$2:$A$501,H983,Bank_Rates!$B$2:$B$501,t,Bank_Rates!$D$2:$D$501,"&lt;="&amp;G983),IF(m=0,"",LET(d,MAXIFS(Bank_Rates!$D$2:$D$501,Bank_Rates!$A$2:$A$501,H983,Bank_Rates!$B$2:$B$501,t,Bank_Rates!$D$2:$D$501,"&lt;="&amp;G983),SUMIFS(Bank_Rates!$C$2:$C$501,Bank_Rates!$A$2:$A$501,H983,Bank_Rates!$B$2:$B$501,t,Bank_Rates!$D$2:$D$501,d)))))))</f>
        <v/>
      </c>
      <c r="K983" s="6" t="str">
        <f t="shared" si="30"/>
        <v/>
      </c>
    </row>
    <row r="984" spans="1:11">
      <c r="A984" s="18" t="str">
        <f t="shared" si="31"/>
        <v/>
      </c>
      <c r="B984" s="13"/>
      <c r="C984" s="14"/>
      <c r="D984" s="3"/>
      <c r="E984" s="3"/>
      <c r="F984" s="14"/>
      <c r="G984" s="7">
        <f>RawObservationsTable[[#This Row],[Maturity Date]]-RawObservationsTable[[#This Row],[Timestamp]]</f>
        <v>0</v>
      </c>
      <c r="H984" s="2"/>
      <c r="I984" s="4"/>
      <c r="J984" s="5" t="str">
        <f>IF(OR(H984="",G984="",C984=""),"",LET(n,COUNTIFS(Bank_Rates!$A$2:$A$501,H984,Bank_Rates!$B$2:$B$501,"&lt;="&amp;C984),IF(n=0,"",LET(t,MAXIFS(Bank_Rates!$B$2:$B$501,Bank_Rates!$A$2:$A$501,H984,Bank_Rates!$B$2:$B$501,"&lt;="&amp;C984),m,COUNTIFS(Bank_Rates!$A$2:$A$501,H984,Bank_Rates!$B$2:$B$501,t,Bank_Rates!$D$2:$D$501,"&lt;="&amp;G984),IF(m=0,"",LET(d,MAXIFS(Bank_Rates!$D$2:$D$501,Bank_Rates!$A$2:$A$501,H984,Bank_Rates!$B$2:$B$501,t,Bank_Rates!$D$2:$D$501,"&lt;="&amp;G984),SUMIFS(Bank_Rates!$C$2:$C$501,Bank_Rates!$A$2:$A$501,H984,Bank_Rates!$B$2:$B$501,t,Bank_Rates!$D$2:$D$501,d)))))))</f>
        <v/>
      </c>
      <c r="K984" s="6" t="str">
        <f t="shared" si="30"/>
        <v/>
      </c>
    </row>
    <row r="985" spans="1:11">
      <c r="A985" s="18" t="str">
        <f t="shared" si="31"/>
        <v/>
      </c>
      <c r="B985" s="13"/>
      <c r="C985" s="14"/>
      <c r="D985" s="3"/>
      <c r="E985" s="3"/>
      <c r="F985" s="14"/>
      <c r="G985" s="7">
        <f>RawObservationsTable[[#This Row],[Maturity Date]]-RawObservationsTable[[#This Row],[Timestamp]]</f>
        <v>0</v>
      </c>
      <c r="H985" s="2"/>
      <c r="I985" s="4"/>
      <c r="J985" s="5" t="str">
        <f>IF(OR(H985="",G985="",C985=""),"",LET(n,COUNTIFS(Bank_Rates!$A$2:$A$501,H985,Bank_Rates!$B$2:$B$501,"&lt;="&amp;C985),IF(n=0,"",LET(t,MAXIFS(Bank_Rates!$B$2:$B$501,Bank_Rates!$A$2:$A$501,H985,Bank_Rates!$B$2:$B$501,"&lt;="&amp;C985),m,COUNTIFS(Bank_Rates!$A$2:$A$501,H985,Bank_Rates!$B$2:$B$501,t,Bank_Rates!$D$2:$D$501,"&lt;="&amp;G985),IF(m=0,"",LET(d,MAXIFS(Bank_Rates!$D$2:$D$501,Bank_Rates!$A$2:$A$501,H985,Bank_Rates!$B$2:$B$501,t,Bank_Rates!$D$2:$D$501,"&lt;="&amp;G985),SUMIFS(Bank_Rates!$C$2:$C$501,Bank_Rates!$A$2:$A$501,H985,Bank_Rates!$B$2:$B$501,t,Bank_Rates!$D$2:$D$501,d)))))))</f>
        <v/>
      </c>
      <c r="K985" s="6" t="str">
        <f t="shared" si="30"/>
        <v/>
      </c>
    </row>
    <row r="986" spans="1:11">
      <c r="A986" s="18" t="str">
        <f t="shared" si="31"/>
        <v/>
      </c>
      <c r="B986" s="13"/>
      <c r="C986" s="14"/>
      <c r="D986" s="3"/>
      <c r="E986" s="3"/>
      <c r="F986" s="14"/>
      <c r="G986" s="7">
        <f>RawObservationsTable[[#This Row],[Maturity Date]]-RawObservationsTable[[#This Row],[Timestamp]]</f>
        <v>0</v>
      </c>
      <c r="H986" s="2"/>
      <c r="I986" s="4"/>
      <c r="J986" s="5" t="str">
        <f>IF(OR(H986="",G986="",C986=""),"",LET(n,COUNTIFS(Bank_Rates!$A$2:$A$501,H986,Bank_Rates!$B$2:$B$501,"&lt;="&amp;C986),IF(n=0,"",LET(t,MAXIFS(Bank_Rates!$B$2:$B$501,Bank_Rates!$A$2:$A$501,H986,Bank_Rates!$B$2:$B$501,"&lt;="&amp;C986),m,COUNTIFS(Bank_Rates!$A$2:$A$501,H986,Bank_Rates!$B$2:$B$501,t,Bank_Rates!$D$2:$D$501,"&lt;="&amp;G986),IF(m=0,"",LET(d,MAXIFS(Bank_Rates!$D$2:$D$501,Bank_Rates!$A$2:$A$501,H986,Bank_Rates!$B$2:$B$501,t,Bank_Rates!$D$2:$D$501,"&lt;="&amp;G986),SUMIFS(Bank_Rates!$C$2:$C$501,Bank_Rates!$A$2:$A$501,H986,Bank_Rates!$B$2:$B$501,t,Bank_Rates!$D$2:$D$501,d)))))))</f>
        <v/>
      </c>
      <c r="K986" s="6" t="str">
        <f t="shared" si="30"/>
        <v/>
      </c>
    </row>
    <row r="987" spans="1:11">
      <c r="A987" s="18" t="str">
        <f t="shared" si="31"/>
        <v/>
      </c>
      <c r="B987" s="13"/>
      <c r="C987" s="14"/>
      <c r="D987" s="3"/>
      <c r="E987" s="3"/>
      <c r="F987" s="14"/>
      <c r="G987" s="7">
        <f>RawObservationsTable[[#This Row],[Maturity Date]]-RawObservationsTable[[#This Row],[Timestamp]]</f>
        <v>0</v>
      </c>
      <c r="H987" s="2"/>
      <c r="I987" s="4"/>
      <c r="J987" s="5" t="str">
        <f>IF(OR(H987="",G987="",C987=""),"",LET(n,COUNTIFS(Bank_Rates!$A$2:$A$501,H987,Bank_Rates!$B$2:$B$501,"&lt;="&amp;C987),IF(n=0,"",LET(t,MAXIFS(Bank_Rates!$B$2:$B$501,Bank_Rates!$A$2:$A$501,H987,Bank_Rates!$B$2:$B$501,"&lt;="&amp;C987),m,COUNTIFS(Bank_Rates!$A$2:$A$501,H987,Bank_Rates!$B$2:$B$501,t,Bank_Rates!$D$2:$D$501,"&lt;="&amp;G987),IF(m=0,"",LET(d,MAXIFS(Bank_Rates!$D$2:$D$501,Bank_Rates!$A$2:$A$501,H987,Bank_Rates!$B$2:$B$501,t,Bank_Rates!$D$2:$D$501,"&lt;="&amp;G987),SUMIFS(Bank_Rates!$C$2:$C$501,Bank_Rates!$A$2:$A$501,H987,Bank_Rates!$B$2:$B$501,t,Bank_Rates!$D$2:$D$501,d)))))))</f>
        <v/>
      </c>
      <c r="K987" s="6" t="str">
        <f t="shared" si="30"/>
        <v/>
      </c>
    </row>
    <row r="988" spans="1:11">
      <c r="A988" s="18" t="str">
        <f t="shared" si="31"/>
        <v/>
      </c>
      <c r="B988" s="13"/>
      <c r="C988" s="14"/>
      <c r="D988" s="3"/>
      <c r="E988" s="3"/>
      <c r="F988" s="14"/>
      <c r="G988" s="7">
        <f>RawObservationsTable[[#This Row],[Maturity Date]]-RawObservationsTable[[#This Row],[Timestamp]]</f>
        <v>0</v>
      </c>
      <c r="H988" s="2"/>
      <c r="I988" s="4"/>
      <c r="J988" s="5" t="str">
        <f>IF(OR(H988="",G988="",C988=""),"",LET(n,COUNTIFS(Bank_Rates!$A$2:$A$501,H988,Bank_Rates!$B$2:$B$501,"&lt;="&amp;C988),IF(n=0,"",LET(t,MAXIFS(Bank_Rates!$B$2:$B$501,Bank_Rates!$A$2:$A$501,H988,Bank_Rates!$B$2:$B$501,"&lt;="&amp;C988),m,COUNTIFS(Bank_Rates!$A$2:$A$501,H988,Bank_Rates!$B$2:$B$501,t,Bank_Rates!$D$2:$D$501,"&lt;="&amp;G988),IF(m=0,"",LET(d,MAXIFS(Bank_Rates!$D$2:$D$501,Bank_Rates!$A$2:$A$501,H988,Bank_Rates!$B$2:$B$501,t,Bank_Rates!$D$2:$D$501,"&lt;="&amp;G988),SUMIFS(Bank_Rates!$C$2:$C$501,Bank_Rates!$A$2:$A$501,H988,Bank_Rates!$B$2:$B$501,t,Bank_Rates!$D$2:$D$501,d)))))))</f>
        <v/>
      </c>
      <c r="K988" s="6" t="str">
        <f t="shared" si="30"/>
        <v/>
      </c>
    </row>
    <row r="989" spans="1:11">
      <c r="A989" s="18" t="str">
        <f t="shared" si="31"/>
        <v/>
      </c>
      <c r="B989" s="13"/>
      <c r="C989" s="14"/>
      <c r="D989" s="3"/>
      <c r="E989" s="3"/>
      <c r="F989" s="14"/>
      <c r="G989" s="7">
        <f>RawObservationsTable[[#This Row],[Maturity Date]]-RawObservationsTable[[#This Row],[Timestamp]]</f>
        <v>0</v>
      </c>
      <c r="H989" s="2"/>
      <c r="I989" s="4"/>
      <c r="J989" s="5" t="str">
        <f>IF(OR(H989="",G989="",C989=""),"",LET(n,COUNTIFS(Bank_Rates!$A$2:$A$501,H989,Bank_Rates!$B$2:$B$501,"&lt;="&amp;C989),IF(n=0,"",LET(t,MAXIFS(Bank_Rates!$B$2:$B$501,Bank_Rates!$A$2:$A$501,H989,Bank_Rates!$B$2:$B$501,"&lt;="&amp;C989),m,COUNTIFS(Bank_Rates!$A$2:$A$501,H989,Bank_Rates!$B$2:$B$501,t,Bank_Rates!$D$2:$D$501,"&lt;="&amp;G989),IF(m=0,"",LET(d,MAXIFS(Bank_Rates!$D$2:$D$501,Bank_Rates!$A$2:$A$501,H989,Bank_Rates!$B$2:$B$501,t,Bank_Rates!$D$2:$D$501,"&lt;="&amp;G989),SUMIFS(Bank_Rates!$C$2:$C$501,Bank_Rates!$A$2:$A$501,H989,Bank_Rates!$B$2:$B$501,t,Bank_Rates!$D$2:$D$501,d)))))))</f>
        <v/>
      </c>
      <c r="K989" s="6" t="str">
        <f t="shared" si="30"/>
        <v/>
      </c>
    </row>
    <row r="990" spans="1:11">
      <c r="A990" s="18" t="str">
        <f t="shared" si="31"/>
        <v/>
      </c>
      <c r="B990" s="13"/>
      <c r="C990" s="14"/>
      <c r="D990" s="3"/>
      <c r="E990" s="3"/>
      <c r="F990" s="14"/>
      <c r="G990" s="7">
        <f>RawObservationsTable[[#This Row],[Maturity Date]]-RawObservationsTable[[#This Row],[Timestamp]]</f>
        <v>0</v>
      </c>
      <c r="H990" s="2"/>
      <c r="I990" s="4"/>
      <c r="J990" s="5" t="str">
        <f>IF(OR(H990="",G990="",C990=""),"",LET(n,COUNTIFS(Bank_Rates!$A$2:$A$501,H990,Bank_Rates!$B$2:$B$501,"&lt;="&amp;C990),IF(n=0,"",LET(t,MAXIFS(Bank_Rates!$B$2:$B$501,Bank_Rates!$A$2:$A$501,H990,Bank_Rates!$B$2:$B$501,"&lt;="&amp;C990),m,COUNTIFS(Bank_Rates!$A$2:$A$501,H990,Bank_Rates!$B$2:$B$501,t,Bank_Rates!$D$2:$D$501,"&lt;="&amp;G990),IF(m=0,"",LET(d,MAXIFS(Bank_Rates!$D$2:$D$501,Bank_Rates!$A$2:$A$501,H990,Bank_Rates!$B$2:$B$501,t,Bank_Rates!$D$2:$D$501,"&lt;="&amp;G990),SUMIFS(Bank_Rates!$C$2:$C$501,Bank_Rates!$A$2:$A$501,H990,Bank_Rates!$B$2:$B$501,t,Bank_Rates!$D$2:$D$501,d)))))))</f>
        <v/>
      </c>
      <c r="K990" s="6" t="str">
        <f t="shared" si="30"/>
        <v/>
      </c>
    </row>
    <row r="991" spans="1:11">
      <c r="A991" s="18" t="str">
        <f t="shared" si="31"/>
        <v/>
      </c>
      <c r="B991" s="13"/>
      <c r="C991" s="14"/>
      <c r="D991" s="3"/>
      <c r="E991" s="3"/>
      <c r="F991" s="14"/>
      <c r="G991" s="7">
        <f>RawObservationsTable[[#This Row],[Maturity Date]]-RawObservationsTable[[#This Row],[Timestamp]]</f>
        <v>0</v>
      </c>
      <c r="H991" s="2"/>
      <c r="I991" s="4"/>
      <c r="J991" s="5" t="str">
        <f>IF(OR(H991="",G991="",C991=""),"",LET(n,COUNTIFS(Bank_Rates!$A$2:$A$501,H991,Bank_Rates!$B$2:$B$501,"&lt;="&amp;C991),IF(n=0,"",LET(t,MAXIFS(Bank_Rates!$B$2:$B$501,Bank_Rates!$A$2:$A$501,H991,Bank_Rates!$B$2:$B$501,"&lt;="&amp;C991),m,COUNTIFS(Bank_Rates!$A$2:$A$501,H991,Bank_Rates!$B$2:$B$501,t,Bank_Rates!$D$2:$D$501,"&lt;="&amp;G991),IF(m=0,"",LET(d,MAXIFS(Bank_Rates!$D$2:$D$501,Bank_Rates!$A$2:$A$501,H991,Bank_Rates!$B$2:$B$501,t,Bank_Rates!$D$2:$D$501,"&lt;="&amp;G991),SUMIFS(Bank_Rates!$C$2:$C$501,Bank_Rates!$A$2:$A$501,H991,Bank_Rates!$B$2:$B$501,t,Bank_Rates!$D$2:$D$501,d)))))))</f>
        <v/>
      </c>
      <c r="K991" s="6" t="str">
        <f t="shared" si="30"/>
        <v/>
      </c>
    </row>
    <row r="992" spans="1:11">
      <c r="A992" s="18" t="str">
        <f t="shared" si="31"/>
        <v/>
      </c>
      <c r="B992" s="13"/>
      <c r="C992" s="14"/>
      <c r="D992" s="3"/>
      <c r="E992" s="3"/>
      <c r="F992" s="14"/>
      <c r="G992" s="7">
        <f>RawObservationsTable[[#This Row],[Maturity Date]]-RawObservationsTable[[#This Row],[Timestamp]]</f>
        <v>0</v>
      </c>
      <c r="H992" s="2"/>
      <c r="I992" s="4"/>
      <c r="J992" s="5" t="str">
        <f>IF(OR(H992="",G992="",C992=""),"",LET(n,COUNTIFS(Bank_Rates!$A$2:$A$501,H992,Bank_Rates!$B$2:$B$501,"&lt;="&amp;C992),IF(n=0,"",LET(t,MAXIFS(Bank_Rates!$B$2:$B$501,Bank_Rates!$A$2:$A$501,H992,Bank_Rates!$B$2:$B$501,"&lt;="&amp;C992),m,COUNTIFS(Bank_Rates!$A$2:$A$501,H992,Bank_Rates!$B$2:$B$501,t,Bank_Rates!$D$2:$D$501,"&lt;="&amp;G992),IF(m=0,"",LET(d,MAXIFS(Bank_Rates!$D$2:$D$501,Bank_Rates!$A$2:$A$501,H992,Bank_Rates!$B$2:$B$501,t,Bank_Rates!$D$2:$D$501,"&lt;="&amp;G992),SUMIFS(Bank_Rates!$C$2:$C$501,Bank_Rates!$A$2:$A$501,H992,Bank_Rates!$B$2:$B$501,t,Bank_Rates!$D$2:$D$501,d)))))))</f>
        <v/>
      </c>
      <c r="K992" s="6" t="str">
        <f t="shared" si="30"/>
        <v/>
      </c>
    </row>
    <row r="993" spans="1:11">
      <c r="A993" s="18" t="str">
        <f t="shared" si="31"/>
        <v/>
      </c>
      <c r="B993" s="13"/>
      <c r="C993" s="14"/>
      <c r="D993" s="3"/>
      <c r="E993" s="3"/>
      <c r="F993" s="14"/>
      <c r="G993" s="7">
        <f>RawObservationsTable[[#This Row],[Maturity Date]]-RawObservationsTable[[#This Row],[Timestamp]]</f>
        <v>0</v>
      </c>
      <c r="H993" s="2"/>
      <c r="I993" s="4"/>
      <c r="J993" s="5" t="str">
        <f>IF(OR(H993="",G993="",C993=""),"",LET(n,COUNTIFS(Bank_Rates!$A$2:$A$501,H993,Bank_Rates!$B$2:$B$501,"&lt;="&amp;C993),IF(n=0,"",LET(t,MAXIFS(Bank_Rates!$B$2:$B$501,Bank_Rates!$A$2:$A$501,H993,Bank_Rates!$B$2:$B$501,"&lt;="&amp;C993),m,COUNTIFS(Bank_Rates!$A$2:$A$501,H993,Bank_Rates!$B$2:$B$501,t,Bank_Rates!$D$2:$D$501,"&lt;="&amp;G993),IF(m=0,"",LET(d,MAXIFS(Bank_Rates!$D$2:$D$501,Bank_Rates!$A$2:$A$501,H993,Bank_Rates!$B$2:$B$501,t,Bank_Rates!$D$2:$D$501,"&lt;="&amp;G993),SUMIFS(Bank_Rates!$C$2:$C$501,Bank_Rates!$A$2:$A$501,H993,Bank_Rates!$B$2:$B$501,t,Bank_Rates!$D$2:$D$501,d)))))))</f>
        <v/>
      </c>
      <c r="K993" s="6" t="str">
        <f t="shared" si="30"/>
        <v/>
      </c>
    </row>
    <row r="994" spans="1:11">
      <c r="A994" s="18" t="str">
        <f t="shared" si="31"/>
        <v/>
      </c>
      <c r="B994" s="13"/>
      <c r="C994" s="14"/>
      <c r="D994" s="3"/>
      <c r="E994" s="3"/>
      <c r="F994" s="14"/>
      <c r="G994" s="7">
        <f>RawObservationsTable[[#This Row],[Maturity Date]]-RawObservationsTable[[#This Row],[Timestamp]]</f>
        <v>0</v>
      </c>
      <c r="H994" s="2"/>
      <c r="I994" s="4"/>
      <c r="J994" s="5" t="str">
        <f>IF(OR(H994="",G994="",C994=""),"",LET(n,COUNTIFS(Bank_Rates!$A$2:$A$501,H994,Bank_Rates!$B$2:$B$501,"&lt;="&amp;C994),IF(n=0,"",LET(t,MAXIFS(Bank_Rates!$B$2:$B$501,Bank_Rates!$A$2:$A$501,H994,Bank_Rates!$B$2:$B$501,"&lt;="&amp;C994),m,COUNTIFS(Bank_Rates!$A$2:$A$501,H994,Bank_Rates!$B$2:$B$501,t,Bank_Rates!$D$2:$D$501,"&lt;="&amp;G994),IF(m=0,"",LET(d,MAXIFS(Bank_Rates!$D$2:$D$501,Bank_Rates!$A$2:$A$501,H994,Bank_Rates!$B$2:$B$501,t,Bank_Rates!$D$2:$D$501,"&lt;="&amp;G994),SUMIFS(Bank_Rates!$C$2:$C$501,Bank_Rates!$A$2:$A$501,H994,Bank_Rates!$B$2:$B$501,t,Bank_Rates!$D$2:$D$501,d)))))))</f>
        <v/>
      </c>
      <c r="K994" s="6" t="str">
        <f t="shared" si="30"/>
        <v/>
      </c>
    </row>
    <row r="995" spans="1:11">
      <c r="A995" s="18" t="str">
        <f t="shared" si="31"/>
        <v/>
      </c>
      <c r="B995" s="13"/>
      <c r="C995" s="14"/>
      <c r="D995" s="3"/>
      <c r="E995" s="3"/>
      <c r="F995" s="14"/>
      <c r="G995" s="7">
        <f>RawObservationsTable[[#This Row],[Maturity Date]]-RawObservationsTable[[#This Row],[Timestamp]]</f>
        <v>0</v>
      </c>
      <c r="H995" s="2"/>
      <c r="I995" s="4"/>
      <c r="J995" s="5" t="str">
        <f>IF(OR(H995="",G995="",C995=""),"",LET(n,COUNTIFS(Bank_Rates!$A$2:$A$501,H995,Bank_Rates!$B$2:$B$501,"&lt;="&amp;C995),IF(n=0,"",LET(t,MAXIFS(Bank_Rates!$B$2:$B$501,Bank_Rates!$A$2:$A$501,H995,Bank_Rates!$B$2:$B$501,"&lt;="&amp;C995),m,COUNTIFS(Bank_Rates!$A$2:$A$501,H995,Bank_Rates!$B$2:$B$501,t,Bank_Rates!$D$2:$D$501,"&lt;="&amp;G995),IF(m=0,"",LET(d,MAXIFS(Bank_Rates!$D$2:$D$501,Bank_Rates!$A$2:$A$501,H995,Bank_Rates!$B$2:$B$501,t,Bank_Rates!$D$2:$D$501,"&lt;="&amp;G995),SUMIFS(Bank_Rates!$C$2:$C$501,Bank_Rates!$A$2:$A$501,H995,Bank_Rates!$B$2:$B$501,t,Bank_Rates!$D$2:$D$501,d)))))))</f>
        <v/>
      </c>
      <c r="K995" s="6" t="str">
        <f t="shared" si="30"/>
        <v/>
      </c>
    </row>
    <row r="996" spans="1:11">
      <c r="A996" s="18" t="str">
        <f t="shared" si="31"/>
        <v/>
      </c>
      <c r="B996" s="13"/>
      <c r="C996" s="14"/>
      <c r="D996" s="3"/>
      <c r="E996" s="3"/>
      <c r="F996" s="14"/>
      <c r="G996" s="7">
        <f>RawObservationsTable[[#This Row],[Maturity Date]]-RawObservationsTable[[#This Row],[Timestamp]]</f>
        <v>0</v>
      </c>
      <c r="H996" s="2"/>
      <c r="I996" s="4"/>
      <c r="J996" s="5" t="str">
        <f>IF(OR(H996="",G996="",C996=""),"",LET(n,COUNTIFS(Bank_Rates!$A$2:$A$501,H996,Bank_Rates!$B$2:$B$501,"&lt;="&amp;C996),IF(n=0,"",LET(t,MAXIFS(Bank_Rates!$B$2:$B$501,Bank_Rates!$A$2:$A$501,H996,Bank_Rates!$B$2:$B$501,"&lt;="&amp;C996),m,COUNTIFS(Bank_Rates!$A$2:$A$501,H996,Bank_Rates!$B$2:$B$501,t,Bank_Rates!$D$2:$D$501,"&lt;="&amp;G996),IF(m=0,"",LET(d,MAXIFS(Bank_Rates!$D$2:$D$501,Bank_Rates!$A$2:$A$501,H996,Bank_Rates!$B$2:$B$501,t,Bank_Rates!$D$2:$D$501,"&lt;="&amp;G996),SUMIFS(Bank_Rates!$C$2:$C$501,Bank_Rates!$A$2:$A$501,H996,Bank_Rates!$B$2:$B$501,t,Bank_Rates!$D$2:$D$501,d)))))))</f>
        <v/>
      </c>
      <c r="K996" s="6" t="str">
        <f t="shared" si="30"/>
        <v/>
      </c>
    </row>
    <row r="997" spans="1:11">
      <c r="A997" s="18" t="str">
        <f t="shared" si="31"/>
        <v/>
      </c>
      <c r="B997" s="13"/>
      <c r="C997" s="14"/>
      <c r="D997" s="3"/>
      <c r="E997" s="3"/>
      <c r="F997" s="14"/>
      <c r="G997" s="7">
        <f>RawObservationsTable[[#This Row],[Maturity Date]]-RawObservationsTable[[#This Row],[Timestamp]]</f>
        <v>0</v>
      </c>
      <c r="H997" s="2"/>
      <c r="I997" s="4"/>
      <c r="J997" s="5" t="str">
        <f>IF(OR(H997="",G997="",C997=""),"",LET(n,COUNTIFS(Bank_Rates!$A$2:$A$501,H997,Bank_Rates!$B$2:$B$501,"&lt;="&amp;C997),IF(n=0,"",LET(t,MAXIFS(Bank_Rates!$B$2:$B$501,Bank_Rates!$A$2:$A$501,H997,Bank_Rates!$B$2:$B$501,"&lt;="&amp;C997),m,COUNTIFS(Bank_Rates!$A$2:$A$501,H997,Bank_Rates!$B$2:$B$501,t,Bank_Rates!$D$2:$D$501,"&lt;="&amp;G997),IF(m=0,"",LET(d,MAXIFS(Bank_Rates!$D$2:$D$501,Bank_Rates!$A$2:$A$501,H997,Bank_Rates!$B$2:$B$501,t,Bank_Rates!$D$2:$D$501,"&lt;="&amp;G997),SUMIFS(Bank_Rates!$C$2:$C$501,Bank_Rates!$A$2:$A$501,H997,Bank_Rates!$B$2:$B$501,t,Bank_Rates!$D$2:$D$501,d)))))))</f>
        <v/>
      </c>
      <c r="K997" s="6" t="str">
        <f t="shared" si="30"/>
        <v/>
      </c>
    </row>
    <row r="998" spans="1:11">
      <c r="A998" s="18" t="str">
        <f t="shared" si="31"/>
        <v/>
      </c>
      <c r="B998" s="13"/>
      <c r="C998" s="14"/>
      <c r="D998" s="3"/>
      <c r="E998" s="3"/>
      <c r="F998" s="14"/>
      <c r="G998" s="7">
        <f>RawObservationsTable[[#This Row],[Maturity Date]]-RawObservationsTable[[#This Row],[Timestamp]]</f>
        <v>0</v>
      </c>
      <c r="H998" s="2"/>
      <c r="I998" s="4"/>
      <c r="J998" s="5" t="str">
        <f>IF(OR(H998="",G998="",C998=""),"",LET(n,COUNTIFS(Bank_Rates!$A$2:$A$501,H998,Bank_Rates!$B$2:$B$501,"&lt;="&amp;C998),IF(n=0,"",LET(t,MAXIFS(Bank_Rates!$B$2:$B$501,Bank_Rates!$A$2:$A$501,H998,Bank_Rates!$B$2:$B$501,"&lt;="&amp;C998),m,COUNTIFS(Bank_Rates!$A$2:$A$501,H998,Bank_Rates!$B$2:$B$501,t,Bank_Rates!$D$2:$D$501,"&lt;="&amp;G998),IF(m=0,"",LET(d,MAXIFS(Bank_Rates!$D$2:$D$501,Bank_Rates!$A$2:$A$501,H998,Bank_Rates!$B$2:$B$501,t,Bank_Rates!$D$2:$D$501,"&lt;="&amp;G998),SUMIFS(Bank_Rates!$C$2:$C$501,Bank_Rates!$A$2:$A$501,H998,Bank_Rates!$B$2:$B$501,t,Bank_Rates!$D$2:$D$501,d)))))))</f>
        <v/>
      </c>
      <c r="K998" s="6" t="str">
        <f t="shared" si="30"/>
        <v/>
      </c>
    </row>
    <row r="999" spans="1:11">
      <c r="A999" s="18" t="str">
        <f t="shared" si="31"/>
        <v/>
      </c>
      <c r="B999" s="13"/>
      <c r="C999" s="14"/>
      <c r="D999" s="3"/>
      <c r="E999" s="3"/>
      <c r="F999" s="14"/>
      <c r="G999" s="7">
        <f>RawObservationsTable[[#This Row],[Maturity Date]]-RawObservationsTable[[#This Row],[Timestamp]]</f>
        <v>0</v>
      </c>
      <c r="H999" s="2"/>
      <c r="I999" s="4"/>
      <c r="J999" s="5" t="str">
        <f>IF(OR(H999="",G999="",C999=""),"",LET(n,COUNTIFS(Bank_Rates!$A$2:$A$501,H999,Bank_Rates!$B$2:$B$501,"&lt;="&amp;C999),IF(n=0,"",LET(t,MAXIFS(Bank_Rates!$B$2:$B$501,Bank_Rates!$A$2:$A$501,H999,Bank_Rates!$B$2:$B$501,"&lt;="&amp;C999),m,COUNTIFS(Bank_Rates!$A$2:$A$501,H999,Bank_Rates!$B$2:$B$501,t,Bank_Rates!$D$2:$D$501,"&lt;="&amp;G999),IF(m=0,"",LET(d,MAXIFS(Bank_Rates!$D$2:$D$501,Bank_Rates!$A$2:$A$501,H999,Bank_Rates!$B$2:$B$501,t,Bank_Rates!$D$2:$D$501,"&lt;="&amp;G999),SUMIFS(Bank_Rates!$C$2:$C$501,Bank_Rates!$A$2:$A$501,H999,Bank_Rates!$B$2:$B$501,t,Bank_Rates!$D$2:$D$501,d)))))))</f>
        <v/>
      </c>
      <c r="K999" s="6" t="str">
        <f t="shared" si="30"/>
        <v/>
      </c>
    </row>
    <row r="1000" spans="1:11">
      <c r="A1000" s="18" t="str">
        <f t="shared" si="31"/>
        <v/>
      </c>
      <c r="B1000" s="13"/>
      <c r="C1000" s="14"/>
      <c r="D1000" s="3"/>
      <c r="E1000" s="3"/>
      <c r="F1000" s="14"/>
      <c r="G1000" s="7">
        <f>RawObservationsTable[[#This Row],[Maturity Date]]-RawObservationsTable[[#This Row],[Timestamp]]</f>
        <v>0</v>
      </c>
      <c r="H1000" s="2"/>
      <c r="I1000" s="4"/>
      <c r="J1000" s="5" t="str">
        <f>IF(OR(H1000="",G1000="",C1000=""),"",LET(n,COUNTIFS(Bank_Rates!$A$2:$A$501,H1000,Bank_Rates!$B$2:$B$501,"&lt;="&amp;C1000),IF(n=0,"",LET(t,MAXIFS(Bank_Rates!$B$2:$B$501,Bank_Rates!$A$2:$A$501,H1000,Bank_Rates!$B$2:$B$501,"&lt;="&amp;C1000),m,COUNTIFS(Bank_Rates!$A$2:$A$501,H1000,Bank_Rates!$B$2:$B$501,t,Bank_Rates!$D$2:$D$501,"&lt;="&amp;G1000),IF(m=0,"",LET(d,MAXIFS(Bank_Rates!$D$2:$D$501,Bank_Rates!$A$2:$A$501,H1000,Bank_Rates!$B$2:$B$501,t,Bank_Rates!$D$2:$D$501,"&lt;="&amp;G1000),SUMIFS(Bank_Rates!$C$2:$C$501,Bank_Rates!$A$2:$A$501,H1000,Bank_Rates!$B$2:$B$501,t,Bank_Rates!$D$2:$D$501,d)))))))</f>
        <v/>
      </c>
      <c r="K1000" s="6" t="str">
        <f t="shared" si="30"/>
        <v/>
      </c>
    </row>
    <row r="1001" spans="1:11">
      <c r="A1001" s="18" t="str">
        <f t="shared" si="31"/>
        <v/>
      </c>
      <c r="B1001" s="13"/>
      <c r="C1001" s="14"/>
      <c r="D1001" s="3"/>
      <c r="E1001" s="3"/>
      <c r="F1001" s="14"/>
      <c r="G1001" s="7">
        <f>RawObservationsTable[[#This Row],[Maturity Date]]-RawObservationsTable[[#This Row],[Timestamp]]</f>
        <v>0</v>
      </c>
      <c r="H1001" s="2"/>
      <c r="I1001" s="4"/>
      <c r="J1001" s="5" t="str">
        <f>IF(OR(H1001="",G1001="",C1001=""),"",LET(n,COUNTIFS(Bank_Rates!$A$2:$A$501,H1001,Bank_Rates!$B$2:$B$501,"&lt;="&amp;C1001),IF(n=0,"",LET(t,MAXIFS(Bank_Rates!$B$2:$B$501,Bank_Rates!$A$2:$A$501,H1001,Bank_Rates!$B$2:$B$501,"&lt;="&amp;C1001),m,COUNTIFS(Bank_Rates!$A$2:$A$501,H1001,Bank_Rates!$B$2:$B$501,t,Bank_Rates!$D$2:$D$501,"&lt;="&amp;G1001),IF(m=0,"",LET(d,MAXIFS(Bank_Rates!$D$2:$D$501,Bank_Rates!$A$2:$A$501,H1001,Bank_Rates!$B$2:$B$501,t,Bank_Rates!$D$2:$D$501,"&lt;="&amp;G1001),SUMIFS(Bank_Rates!$C$2:$C$501,Bank_Rates!$A$2:$A$501,H1001,Bank_Rates!$B$2:$B$501,t,Bank_Rates!$D$2:$D$501,d)))))))</f>
        <v/>
      </c>
      <c r="K1001" s="6" t="str">
        <f t="shared" si="30"/>
        <v/>
      </c>
    </row>
  </sheetData>
  <conditionalFormatting sqref="K2:K100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J28:J1001">
    <cfRule type="expression" dxfId="13" priority="7">
      <formula>AND($A28&lt;&gt;"",$J28="")</formula>
    </cfRule>
  </conditionalFormatting>
  <dataValidations count="1">
    <dataValidation type="decimal" operator="greaterThan" sqref="G2:G1001 D2:E1001" xr:uid="{00000000-0002-0000-0000-000000000000}">
      <formula1>0</formula1>
    </dataValidation>
  </dataValidation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1"/>
  <sheetViews>
    <sheetView workbookViewId="0">
      <pane xSplit="1" ySplit="1" topLeftCell="B2" activePane="bottomRight" state="frozen"/>
      <selection pane="topRight"/>
      <selection pane="bottomLeft"/>
      <selection pane="bottomRight" activeCell="F2" sqref="F2"/>
    </sheetView>
  </sheetViews>
  <sheetFormatPr defaultRowHeight="13.8"/>
  <cols>
    <col min="1" max="2" width="16" customWidth="1"/>
    <col min="3" max="3" width="20" customWidth="1"/>
    <col min="4" max="4" width="16" customWidth="1"/>
    <col min="5" max="7" width="18" customWidth="1"/>
    <col min="8" max="8" width="16" customWidth="1"/>
    <col min="9" max="9" width="18" customWidth="1"/>
  </cols>
  <sheetData>
    <row r="1" spans="1:9" ht="25.65" customHeight="1">
      <c r="A1" s="1" t="s">
        <v>0</v>
      </c>
      <c r="B1" s="1" t="s">
        <v>1</v>
      </c>
      <c r="C1" s="1" t="s">
        <v>7</v>
      </c>
      <c r="D1" s="1" t="s">
        <v>28</v>
      </c>
      <c r="E1" s="1" t="s">
        <v>8</v>
      </c>
      <c r="F1" s="1" t="s">
        <v>9</v>
      </c>
      <c r="G1" s="1" t="s">
        <v>29</v>
      </c>
      <c r="H1" s="1" t="s">
        <v>30</v>
      </c>
      <c r="I1" s="1" t="s">
        <v>31</v>
      </c>
    </row>
    <row r="2" spans="1:9">
      <c r="A2" s="16" t="s">
        <v>32</v>
      </c>
      <c r="B2" s="17" t="s">
        <v>33</v>
      </c>
      <c r="C2" s="3">
        <f t="array" ref="C2">INDEX(Raw_Observations!$E$2:$E$1000,MATCH(1,(Raw_Observations!$A$2:$A$1000=A2)*(Raw_Observations!$B$2:$B$1000=B2),0))</f>
        <v>4671001</v>
      </c>
      <c r="D2" s="7">
        <f ca="1">MAX(IF(COUNTIFS(Raw_Observations!$A:$A,A2,Raw_Observations!$B:$B,B2)=0,"",SUMIFS(Raw_Observations!$F:$F,Raw_Observations!$A:$A,A2,Raw_Observations!$B:$B,B2)-TODAY()),0)</f>
        <v>17</v>
      </c>
      <c r="E2" s="4">
        <f ca="1">IFERROR(LOOKUP(2,1/((Bank_Rates!$A$2:$A$100=LOOKUP(2,1/((Raw_Observations!$A$2:$A$1000=A2)*(Raw_Observations!$B$2:$B$1000=B2)),Raw_Observations!$H$2:$H$1000))*(Bank_Rates!$B$2:$B$100=LOOKUP(2,1/((Bank_Rates!$A$2:$A$100=LOOKUP(2,1/((Raw_Observations!$A$2:$A$1000=A2)*(Raw_Observations!$B$2:$B$1000=B2)),Raw_Observations!$H$2:$H$1000))*(Bank_Rates!$B$2:$B$100&lt;=TODAY())),Bank_Rates!$B$2:$B$100))*(Bank_Rates!$D$2:$D$100&lt;=D2)),Bank_Rates!$C$2:$C$100),"No Match")</f>
        <v>0.04</v>
      </c>
      <c r="F2" s="4">
        <f t="array" ref="F2">INDEX(Raw_Observations!$K$2:$K$1000,MATCH(1,(Raw_Observations!$A$2:$A$1000=A2)*(Raw_Observations!$B$2:$B$1000=B2),0))</f>
        <v>2.6869530770370388E-2</v>
      </c>
      <c r="G2" s="4">
        <v>0.02</v>
      </c>
      <c r="H2" s="4">
        <f ca="1">E2+G2</f>
        <v>0.06</v>
      </c>
      <c r="I2" s="3">
        <f ca="1">C2/((1+E2+G2)^(D2/365))</f>
        <v>4658341.582703175</v>
      </c>
    </row>
    <row r="3" spans="1:9">
      <c r="A3" s="2" t="s">
        <v>37</v>
      </c>
      <c r="B3" t="s">
        <v>36</v>
      </c>
      <c r="C3" s="3">
        <f t="array" ref="C3">INDEX(Raw_Observations!$E$2:$E$1000,MATCH(1,(Raw_Observations!$A$2:$A$1000=A3)*(Raw_Observations!$B$2:$B$1000=B3),0))</f>
        <v>3520202</v>
      </c>
      <c r="D3" s="7">
        <f ca="1">MAX(IF(COUNTIFS(Raw_Observations!$A:$A,A3,Raw_Observations!$B:$B,B3)=0,"",SUMIFS(Raw_Observations!$F:$F,Raw_Observations!$A:$A,A3,Raw_Observations!$B:$B,B3)-TODAY()),0)</f>
        <v>15</v>
      </c>
      <c r="E3" s="4">
        <f ca="1">IFERROR(LOOKUP(2,1/((Bank_Rates!$A$2:$A$100=LOOKUP(2,1/((Raw_Observations!$A$2:$A$1000=A3)*(Raw_Observations!$B$2:$B$1000=B3)),Raw_Observations!$H$2:$H$1000))*(Bank_Rates!$B$2:$B$100=LOOKUP(2,1/((Bank_Rates!$A$2:$A$100=LOOKUP(2,1/((Raw_Observations!$A$2:$A$1000=A3)*(Raw_Observations!$B$2:$B$1000=B3)),Raw_Observations!$H$2:$H$1000))*(Bank_Rates!$B$2:$B$100&lt;=TODAY())),Bank_Rates!$B$2:$B$100))*(Bank_Rates!$D$2:$D$100&lt;=D3)),Bank_Rates!$C$2:$C$100),"No Match")</f>
        <v>0.04</v>
      </c>
      <c r="F3" s="4">
        <f t="array" ref="F3">INDEX(Raw_Observations!$K$2:$K$1000,MATCH(1,(Raw_Observations!$A$2:$A$1000=A3)*(Raw_Observations!$B$2:$B$1000=B3),0))</f>
        <v>2.6845321750421904E-2</v>
      </c>
      <c r="G3" s="4">
        <v>0.02</v>
      </c>
      <c r="H3" s="4">
        <f t="shared" ref="H3:H10" ca="1" si="0">E3+G3</f>
        <v>0.06</v>
      </c>
      <c r="I3" s="3">
        <f t="shared" ref="I3:I10" ca="1" si="1">C3/((1+E3+G3)^(D3/365))</f>
        <v>3511782.5643825643</v>
      </c>
    </row>
    <row r="4" spans="1:9">
      <c r="A4" s="2" t="s">
        <v>38</v>
      </c>
      <c r="B4" t="s">
        <v>34</v>
      </c>
      <c r="C4" s="3">
        <f t="array" ref="C4">INDEX(Raw_Observations!$E$2:$E$1000,MATCH(1,(Raw_Observations!$A$2:$A$1000=A4)*(Raw_Observations!$B$2:$B$1000=B4),0))</f>
        <v>4626551</v>
      </c>
      <c r="D4" s="7">
        <f ca="1">MAX(IF(COUNTIFS(Raw_Observations!$A:$A,A4,Raw_Observations!$B:$B,B4)=0,"",SUMIFS(Raw_Observations!$F:$F,Raw_Observations!$A:$A,A4,Raw_Observations!$B:$B,B4)-TODAY()),0)</f>
        <v>15</v>
      </c>
      <c r="E4" s="4">
        <f ca="1">IFERROR(LOOKUP(2,1/((Bank_Rates!$A$2:$A$100=LOOKUP(2,1/((Raw_Observations!$A$2:$A$1000=A4)*(Raw_Observations!$B$2:$B$1000=B4)),Raw_Observations!$H$2:$H$1000))*(Bank_Rates!$B$2:$B$100=LOOKUP(2,1/((Bank_Rates!$A$2:$A$100=LOOKUP(2,1/((Raw_Observations!$A$2:$A$1000=A4)*(Raw_Observations!$B$2:$B$1000=B4)),Raw_Observations!$H$2:$H$1000))*(Bank_Rates!$B$2:$B$100&lt;=TODAY())),Bank_Rates!$B$2:$B$100))*(Bank_Rates!$D$2:$D$100&lt;=D4)),Bank_Rates!$C$2:$C$100),"No Match")</f>
        <v>0.04</v>
      </c>
      <c r="F4" s="4">
        <f t="array" ref="F4">INDEX(Raw_Observations!$K$2:$K$1000,MATCH(1,(Raw_Observations!$A$2:$A$1000=A4)*(Raw_Observations!$B$2:$B$1000=B4),0))</f>
        <v>2.6879994290029331E-2</v>
      </c>
      <c r="G4" s="4">
        <v>0.02</v>
      </c>
      <c r="H4" s="4">
        <f t="shared" ca="1" si="0"/>
        <v>0.06</v>
      </c>
      <c r="I4" s="3">
        <f t="shared" ca="1" si="1"/>
        <v>4615485.4565240052</v>
      </c>
    </row>
    <row r="5" spans="1:9">
      <c r="A5" s="2" t="s">
        <v>39</v>
      </c>
      <c r="B5" t="s">
        <v>35</v>
      </c>
      <c r="C5" s="3">
        <f t="array" ref="C5">INDEX(Raw_Observations!$E$2:$E$1000,MATCH(1,(Raw_Observations!$A$2:$A$1000=A5)*(Raw_Observations!$B$2:$B$1000=B5),0))</f>
        <v>3520202</v>
      </c>
      <c r="D5" s="7">
        <f ca="1">MAX(IF(COUNTIFS(Raw_Observations!$A:$A,A5,Raw_Observations!$B:$B,B5)=0,"",SUMIFS(Raw_Observations!$F:$F,Raw_Observations!$A:$A,A5,Raw_Observations!$B:$B,B5)-TODAY()),0)</f>
        <v>15</v>
      </c>
      <c r="E5" s="4">
        <f ca="1">IFERROR(LOOKUP(2,1/((Bank_Rates!$A$2:$A$100=LOOKUP(2,1/((Raw_Observations!$A$2:$A$1000=A5)*(Raw_Observations!$B$2:$B$1000=B5)),Raw_Observations!$H$2:$H$1000))*(Bank_Rates!$B$2:$B$100=LOOKUP(2,1/((Bank_Rates!$A$2:$A$100=LOOKUP(2,1/((Raw_Observations!$A$2:$A$1000=A5)*(Raw_Observations!$B$2:$B$1000=B5)),Raw_Observations!$H$2:$H$1000))*(Bank_Rates!$B$2:$B$100&lt;=TODAY())),Bank_Rates!$B$2:$B$100))*(Bank_Rates!$D$2:$D$100&lt;=D5)),Bank_Rates!$C$2:$C$100),"No Match")</f>
        <v>0.04</v>
      </c>
      <c r="F5" s="4">
        <f t="array" ref="F5">INDEX(Raw_Observations!$K$2:$K$1000,MATCH(1,(Raw_Observations!$A$2:$A$1000=A5)*(Raw_Observations!$B$2:$B$1000=B5),0))</f>
        <v>2.631387039865344E-2</v>
      </c>
      <c r="G5" s="4">
        <v>0.02</v>
      </c>
      <c r="H5" s="4">
        <f t="shared" ca="1" si="0"/>
        <v>0.06</v>
      </c>
      <c r="I5" s="3">
        <f t="shared" ca="1" si="1"/>
        <v>3511782.5643825643</v>
      </c>
    </row>
    <row r="6" spans="1:9">
      <c r="A6" s="21" t="str">
        <f t="shared" ref="A6:A10" si="2">IF(B6&lt;&gt;"","L-"&amp;TEXT(ROW()-1,"0000"),"")</f>
        <v>L-0005</v>
      </c>
      <c r="B6" s="17" t="s">
        <v>40</v>
      </c>
      <c r="C6" s="3">
        <f t="array" ref="C6">INDEX(Raw_Observations!$E$2:$E$1000,MATCH(1,(Raw_Observations!$A$2:$A$1000=A6)*(Raw_Observations!$B$2:$B$1000=B6),0))</f>
        <v>6749674</v>
      </c>
      <c r="D6" s="7">
        <f ca="1">MAX(IF(COUNTIFS(Raw_Observations!$A:$A,A6,Raw_Observations!$B:$B,B6)=0,"",SUMIFS(Raw_Observations!$F:$F,Raw_Observations!$A:$A,A6,Raw_Observations!$B:$B,B6)-TODAY()),0)</f>
        <v>48</v>
      </c>
      <c r="E6" s="4">
        <f ca="1">IFERROR(LOOKUP(2,1/((Bank_Rates!$A$2:$A$100=LOOKUP(2,1/((Raw_Observations!$A$2:$A$1000=A6)*(Raw_Observations!$B$2:$B$1000=B6)),Raw_Observations!$H$2:$H$1000))*(Bank_Rates!$B$2:$B$100=LOOKUP(2,1/((Bank_Rates!$A$2:$A$100=LOOKUP(2,1/((Raw_Observations!$A$2:$A$1000=A6)*(Raw_Observations!$B$2:$B$1000=B6)),Raw_Observations!$H$2:$H$1000))*(Bank_Rates!$B$2:$B$100&lt;=TODAY())),Bank_Rates!$B$2:$B$100))*(Bank_Rates!$D$2:$D$100&lt;=D6)),Bank_Rates!$C$2:$C$100),"No Match")</f>
        <v>6.5000000000000002E-2</v>
      </c>
      <c r="F6" s="4">
        <f t="array" ref="F6">INDEX(Raw_Observations!$K$2:$K$1000,MATCH(1,(Raw_Observations!$A$2:$A$1000=A6)*(Raw_Observations!$B$2:$B$1000=B6),0))</f>
        <v>6.0869003828364909E-3</v>
      </c>
      <c r="G6" s="4">
        <v>2E-3</v>
      </c>
      <c r="H6" s="4">
        <f t="shared" ca="1" si="0"/>
        <v>6.7000000000000004E-2</v>
      </c>
      <c r="I6" s="3">
        <f t="shared" ca="1" si="1"/>
        <v>6692355.202400161</v>
      </c>
    </row>
    <row r="7" spans="1:9">
      <c r="A7" s="20" t="str">
        <f t="shared" si="2"/>
        <v>L-0006</v>
      </c>
      <c r="B7" s="19" t="s">
        <v>41</v>
      </c>
      <c r="C7" s="3">
        <f t="array" ref="C7">INDEX(Raw_Observations!$E$2:$E$1000,MATCH(1,(Raw_Observations!$A$2:$A$1000=A7)*(Raw_Observations!$B$2:$B$1000=B7),0))</f>
        <v>20826744</v>
      </c>
      <c r="D7" s="7">
        <f ca="1">MAX(IF(COUNTIFS(Raw_Observations!$A:$A,A7,Raw_Observations!$B:$B,B7)=0,"",SUMIFS(Raw_Observations!$F:$F,Raw_Observations!$A:$A,A7,Raw_Observations!$B:$B,B7)-TODAY()),0)</f>
        <v>173</v>
      </c>
      <c r="E7" s="4">
        <f ca="1">IFERROR(LOOKUP(2,1/((Bank_Rates!$A$2:$A$100=LOOKUP(2,1/((Raw_Observations!$A$2:$A$1000=A7)*(Raw_Observations!$B$2:$B$1000=B7)),Raw_Observations!$H$2:$H$1000))*(Bank_Rates!$B$2:$B$100=LOOKUP(2,1/((Bank_Rates!$A$2:$A$100=LOOKUP(2,1/((Raw_Observations!$A$2:$A$1000=A7)*(Raw_Observations!$B$2:$B$1000=B7)),Raw_Observations!$H$2:$H$1000))*(Bank_Rates!$B$2:$B$100&lt;=TODAY())),Bank_Rates!$B$2:$B$100))*(Bank_Rates!$D$2:$D$100&lt;=D7)),Bank_Rates!$C$2:$C$100),"No Match")</f>
        <v>7.0000000000000007E-2</v>
      </c>
      <c r="F7" s="4">
        <f t="array" ref="F7">INDEX(Raw_Observations!$K$2:$K$1000,MATCH(1,(Raw_Observations!$A$2:$A$1000=A7)*(Raw_Observations!$B$2:$B$1000=B7),0))</f>
        <v>6.6851072775846038E-3</v>
      </c>
      <c r="G7" s="4">
        <v>3.0000000000000001E-3</v>
      </c>
      <c r="H7" s="4">
        <f t="shared" ca="1" si="0"/>
        <v>7.3000000000000009E-2</v>
      </c>
      <c r="I7" s="3">
        <f t="shared" ca="1" si="1"/>
        <v>20142712.262277469</v>
      </c>
    </row>
    <row r="8" spans="1:9">
      <c r="A8" s="21" t="str">
        <f t="shared" si="2"/>
        <v>L-0007</v>
      </c>
      <c r="B8" s="17" t="s">
        <v>42</v>
      </c>
      <c r="C8" s="3">
        <f t="array" ref="C8">INDEX(Raw_Observations!$E$2:$E$1000,MATCH(1,(Raw_Observations!$A$2:$A$1000=A8)*(Raw_Observations!$B$2:$B$1000=B8),0))</f>
        <v>30297331</v>
      </c>
      <c r="D8" s="7">
        <f ca="1">MAX(IF(COUNTIFS(Raw_Observations!$A:$A,A8,Raw_Observations!$B:$B,B8)=0,"",SUMIFS(Raw_Observations!$F:$F,Raw_Observations!$A:$A,A8,Raw_Observations!$B:$B,B8)-TODAY()),0)</f>
        <v>89</v>
      </c>
      <c r="E8" s="4">
        <f ca="1">IFERROR(LOOKUP(2,1/((Bank_Rates!$A$2:$A$100=LOOKUP(2,1/((Raw_Observations!$A$2:$A$1000=A8)*(Raw_Observations!$B$2:$B$1000=B8)),Raw_Observations!$H$2:$H$1000))*(Bank_Rates!$B$2:$B$100=LOOKUP(2,1/((Bank_Rates!$A$2:$A$100=LOOKUP(2,1/((Raw_Observations!$A$2:$A$1000=A8)*(Raw_Observations!$B$2:$B$1000=B8)),Raw_Observations!$H$2:$H$1000))*(Bank_Rates!$B$2:$B$100&lt;=TODAY())),Bank_Rates!$B$2:$B$100))*(Bank_Rates!$D$2:$D$100&lt;=D8)),Bank_Rates!$C$2:$C$100),"No Match")</f>
        <v>6.7000000000000004E-2</v>
      </c>
      <c r="F8" s="4">
        <f t="array" ref="F8">INDEX(Raw_Observations!$K$2:$K$1000,MATCH(1,(Raw_Observations!$A$2:$A$1000=A8)*(Raw_Observations!$B$2:$B$1000=B8),0))</f>
        <v>8.9830704899290237E-3</v>
      </c>
      <c r="G8" s="4">
        <v>3.3999999999999998E-3</v>
      </c>
      <c r="H8" s="4">
        <f t="shared" ca="1" si="0"/>
        <v>7.0400000000000004E-2</v>
      </c>
      <c r="I8" s="3">
        <f t="shared" ca="1" si="1"/>
        <v>29798882.657727435</v>
      </c>
    </row>
    <row r="9" spans="1:9">
      <c r="A9" s="20" t="str">
        <f t="shared" si="2"/>
        <v>L-0008</v>
      </c>
      <c r="B9" s="19" t="s">
        <v>43</v>
      </c>
      <c r="C9" s="3">
        <f t="array" ref="C9">INDEX(Raw_Observations!$E$2:$E$1000,MATCH(1,(Raw_Observations!$A$2:$A$1000=A9)*(Raw_Observations!$B$2:$B$1000=B9),0))</f>
        <v>31206091</v>
      </c>
      <c r="D9" s="7">
        <f ca="1">MAX(IF(COUNTIFS(Raw_Observations!$A:$A,A9,Raw_Observations!$B:$B,B9)=0,"",SUMIFS(Raw_Observations!$F:$F,Raw_Observations!$A:$A,A9,Raw_Observations!$B:$B,B9)-TODAY()),0)</f>
        <v>174</v>
      </c>
      <c r="E9" s="4">
        <f ca="1">IFERROR(LOOKUP(2,1/((Bank_Rates!$A$2:$A$100=LOOKUP(2,1/((Raw_Observations!$A$2:$A$1000=A9)*(Raw_Observations!$B$2:$B$1000=B9)),Raw_Observations!$H$2:$H$1000))*(Bank_Rates!$B$2:$B$100=LOOKUP(2,1/((Bank_Rates!$A$2:$A$100=LOOKUP(2,1/((Raw_Observations!$A$2:$A$1000=A9)*(Raw_Observations!$B$2:$B$1000=B9)),Raw_Observations!$H$2:$H$1000))*(Bank_Rates!$B$2:$B$100&lt;=TODAY())),Bank_Rates!$B$2:$B$100))*(Bank_Rates!$D$2:$D$100&lt;=D9)),Bank_Rates!$C$2:$C$100),"No Match")</f>
        <v>7.0000000000000007E-2</v>
      </c>
      <c r="F9" s="4">
        <f t="array" ref="F9">INDEX(Raw_Observations!$K$2:$K$1000,MATCH(1,(Raw_Observations!$A$2:$A$1000=A9)*(Raw_Observations!$B$2:$B$1000=B9),0))</f>
        <v>7.4884784833213064E-3</v>
      </c>
      <c r="G9" s="4">
        <v>3.0000000000000001E-3</v>
      </c>
      <c r="H9" s="4">
        <f t="shared" ca="1" si="0"/>
        <v>7.3000000000000009E-2</v>
      </c>
      <c r="I9" s="3">
        <f t="shared" ca="1" si="1"/>
        <v>30175335.392455451</v>
      </c>
    </row>
    <row r="10" spans="1:9">
      <c r="A10" s="21" t="str">
        <f t="shared" si="2"/>
        <v>L-0009</v>
      </c>
      <c r="B10" s="17" t="s">
        <v>44</v>
      </c>
      <c r="C10" s="3">
        <f t="array" ref="C10">INDEX(Raw_Observations!$E$2:$E$1000,MATCH(1,(Raw_Observations!$A$2:$A$1000=A10)*(Raw_Observations!$B$2:$B$1000=B10),0))</f>
        <v>20110411</v>
      </c>
      <c r="D10" s="7">
        <f ca="1">MAX(IF(COUNTIFS(Raw_Observations!$A:$A,A10,Raw_Observations!$B:$B,B10)=0,"",SUMIFS(Raw_Observations!$F:$F,Raw_Observations!$A:$A,A10,Raw_Observations!$B:$B,B10)-TODAY()),0)</f>
        <v>7</v>
      </c>
      <c r="E10" s="4">
        <f ca="1">IFERROR(LOOKUP(2,1/((Bank_Rates!$A$2:$A$100=LOOKUP(2,1/((Raw_Observations!$A$2:$A$1000=A10)*(Raw_Observations!$B$2:$B$1000=B10)),Raw_Observations!$H$2:$H$1000))*(Bank_Rates!$B$2:$B$100=LOOKUP(2,1/((Bank_Rates!$A$2:$A$100=LOOKUP(2,1/((Raw_Observations!$A$2:$A$1000=A10)*(Raw_Observations!$B$2:$B$1000=B10)),Raw_Observations!$H$2:$H$1000))*(Bank_Rates!$B$2:$B$100&lt;=TODAY())),Bank_Rates!$B$2:$B$100))*(Bank_Rates!$D$2:$D$100&lt;=D10)),Bank_Rates!$C$2:$C$100),"No Match")</f>
        <v>0.04</v>
      </c>
      <c r="F10" s="4">
        <f t="array" ref="F10">INDEX(Raw_Observations!$K$2:$K$1000,MATCH(1,(Raw_Observations!$A$2:$A$1000=A10)*(Raw_Observations!$B$2:$B$1000=B10),0))</f>
        <v>2.7021452010702864E-2</v>
      </c>
      <c r="G10" s="4">
        <v>0.01</v>
      </c>
      <c r="H10" s="4">
        <f t="shared" ca="1" si="0"/>
        <v>0.05</v>
      </c>
      <c r="I10" s="3">
        <f t="shared" ca="1" si="1"/>
        <v>20091602.453626532</v>
      </c>
    </row>
    <row r="11" spans="1:9">
      <c r="A11" s="2" t="s">
        <v>51</v>
      </c>
      <c r="B11" t="s">
        <v>50</v>
      </c>
      <c r="C11" s="3">
        <f t="array" ref="C11">INDEX(Raw_Observations!$E$2:$E$1000,MATCH(1,(Raw_Observations!$A$2:$A$1000=A11)*(Raw_Observations!$B$2:$B$1000=B11),0))</f>
        <v>50305612</v>
      </c>
      <c r="D11" s="7">
        <f ca="1">MAX(IF(COUNTIFS(Raw_Observations!$A:$A,A11,Raw_Observations!$B:$B,B11)=0,"",SUMIFS(Raw_Observations!$F:$F,Raw_Observations!$A:$A,A11,Raw_Observations!$B:$B,B11)-TODAY()),0)</f>
        <v>9</v>
      </c>
      <c r="E11" s="4">
        <f ca="1">IFERROR(LOOKUP(2,1/((Bank_Rates!$A$2:$A$100=LOOKUP(2,1/((Raw_Observations!$A$2:$A$1000=A11)*(Raw_Observations!$B$2:$B$1000=B11)),Raw_Observations!$H$2:$H$1000))*(Bank_Rates!$B$2:$B$100=LOOKUP(2,1/((Bank_Rates!$A$2:$A$100=LOOKUP(2,1/((Raw_Observations!$A$2:$A$1000=A11)*(Raw_Observations!$B$2:$B$1000=B11)),Raw_Observations!$H$2:$H$1000))*(Bank_Rates!$B$2:$B$100&lt;=TODAY())),Bank_Rates!$B$2:$B$100))*(Bank_Rates!$D$2:$D$100&lt;=D11)),Bank_Rates!$C$2:$C$100),"No Match")</f>
        <v>0.04</v>
      </c>
      <c r="F11" s="4">
        <f t="array" ref="F11">INDEX(Raw_Observations!$K$2:$K$1000,MATCH(1,(Raw_Observations!$A$2:$A$1000=A11)*(Raw_Observations!$B$2:$B$1000=B11),0))</f>
        <v>2.6039853031993666E-2</v>
      </c>
      <c r="G11" s="4">
        <v>1.7000000000000001E-2</v>
      </c>
      <c r="H11" s="4">
        <f t="shared" ref="H11:H15" ca="1" si="3">E11+G11</f>
        <v>5.7000000000000002E-2</v>
      </c>
      <c r="I11" s="3">
        <f t="shared" ref="I11:I15" ca="1" si="4">C11/((1+E11+G11)^(D11/365))</f>
        <v>50236897.078253634</v>
      </c>
    </row>
    <row r="12" spans="1:9">
      <c r="A12" s="2" t="s">
        <v>56</v>
      </c>
      <c r="B12" t="s">
        <v>52</v>
      </c>
      <c r="C12" s="3">
        <f t="array" ref="C12">INDEX(Raw_Observations!$E$2:$E$1000,MATCH(1,(Raw_Observations!$A$2:$A$1000=A12)*(Raw_Observations!$B$2:$B$1000=B12),0))</f>
        <v>9963029</v>
      </c>
      <c r="D12" s="7">
        <f ca="1">MAX(IF(COUNTIFS(Raw_Observations!$A:$A,A12,Raw_Observations!$B:$B,B12)=0,"",SUMIFS(Raw_Observations!$F:$F,Raw_Observations!$A:$A,A12,Raw_Observations!$B:$B,B12)-TODAY()),0)</f>
        <v>19</v>
      </c>
      <c r="E12" s="4">
        <f ca="1">IFERROR(LOOKUP(2,1/((Bank_Rates!$A$2:$A$100=LOOKUP(2,1/((Raw_Observations!$A$2:$A$1000=A12)*(Raw_Observations!$B$2:$B$1000=B12)),Raw_Observations!$H$2:$H$1000))*(Bank_Rates!$B$2:$B$100=LOOKUP(2,1/((Bank_Rates!$A$2:$A$100=LOOKUP(2,1/((Raw_Observations!$A$2:$A$1000=A12)*(Raw_Observations!$B$2:$B$1000=B12)),Raw_Observations!$H$2:$H$1000))*(Bank_Rates!$B$2:$B$100&lt;=TODAY())),Bank_Rates!$B$2:$B$100))*(Bank_Rates!$D$2:$D$100&lt;=D12)),Bank_Rates!$C$2:$C$100),"No Match")</f>
        <v>0.04</v>
      </c>
      <c r="F12" s="4">
        <f t="array" ref="F12">INDEX(Raw_Observations!$K$2:$K$1000,MATCH(1,(Raw_Observations!$A$2:$A$1000=A12)*(Raw_Observations!$B$2:$B$1000=B12),0))</f>
        <v>2.8160720007433228E-2</v>
      </c>
      <c r="G12" s="4">
        <v>1.7000000000000001E-2</v>
      </c>
      <c r="H12" s="4">
        <f t="shared" ca="1" si="3"/>
        <v>5.7000000000000002E-2</v>
      </c>
      <c r="I12" s="3">
        <f t="shared" ca="1" si="4"/>
        <v>9934320.7031754293</v>
      </c>
    </row>
    <row r="13" spans="1:9">
      <c r="A13" s="2" t="s">
        <v>57</v>
      </c>
      <c r="B13" t="s">
        <v>53</v>
      </c>
      <c r="C13" s="3">
        <f t="array" ref="C13">INDEX(Raw_Observations!$E$2:$E$1000,MATCH(1,(Raw_Observations!$A$2:$A$1000=A13)*(Raw_Observations!$B$2:$B$1000=B13),0))</f>
        <v>6584707</v>
      </c>
      <c r="D13" s="7">
        <f ca="1">MAX(IF(COUNTIFS(Raw_Observations!$A:$A,A13,Raw_Observations!$B:$B,B13)=0,"",SUMIFS(Raw_Observations!$F:$F,Raw_Observations!$A:$A,A13,Raw_Observations!$B:$B,B13)-TODAY()),0)</f>
        <v>12</v>
      </c>
      <c r="E13" s="4">
        <f ca="1">IFERROR(LOOKUP(2,1/((Bank_Rates!$A$2:$A$100=LOOKUP(2,1/((Raw_Observations!$A$2:$A$1000=A13)*(Raw_Observations!$B$2:$B$1000=B13)),Raw_Observations!$H$2:$H$1000))*(Bank_Rates!$B$2:$B$100=LOOKUP(2,1/((Bank_Rates!$A$2:$A$100=LOOKUP(2,1/((Raw_Observations!$A$2:$A$1000=A13)*(Raw_Observations!$B$2:$B$1000=B13)),Raw_Observations!$H$2:$H$1000))*(Bank_Rates!$B$2:$B$100&lt;=TODAY())),Bank_Rates!$B$2:$B$100))*(Bank_Rates!$D$2:$D$100&lt;=D13)),Bank_Rates!$C$2:$C$100),"No Match")</f>
        <v>0.04</v>
      </c>
      <c r="F13" s="4">
        <f t="array" ref="F13">INDEX(Raw_Observations!$K$2:$K$1000,MATCH(1,(Raw_Observations!$A$2:$A$1000=A13)*(Raw_Observations!$B$2:$B$1000=B13),0))</f>
        <v>8.1407237699947316E-2</v>
      </c>
      <c r="G13" s="4">
        <v>1.7000000000000001E-2</v>
      </c>
      <c r="H13" s="4">
        <f t="shared" ca="1" si="3"/>
        <v>5.7000000000000002E-2</v>
      </c>
      <c r="I13" s="3">
        <f t="shared" ca="1" si="4"/>
        <v>6572717.2287074141</v>
      </c>
    </row>
    <row r="14" spans="1:9">
      <c r="A14" s="2" t="s">
        <v>58</v>
      </c>
      <c r="B14" t="s">
        <v>54</v>
      </c>
      <c r="C14" s="3">
        <f t="array" ref="C14">INDEX(Raw_Observations!$E$2:$E$1000,MATCH(1,(Raw_Observations!$A$2:$A$1000=A14)*(Raw_Observations!$B$2:$B$1000=B14),0))</f>
        <v>4574570</v>
      </c>
      <c r="D14" s="7">
        <f ca="1">MAX(IF(COUNTIFS(Raw_Observations!$A:$A,A14,Raw_Observations!$B:$B,B14)=0,"",SUMIFS(Raw_Observations!$F:$F,Raw_Observations!$A:$A,A14,Raw_Observations!$B:$B,B14)-TODAY()),0)</f>
        <v>24</v>
      </c>
      <c r="E14" s="4">
        <f ca="1">IFERROR(LOOKUP(2,1/((Bank_Rates!$A$2:$A$100=LOOKUP(2,1/((Raw_Observations!$A$2:$A$1000=A14)*(Raw_Observations!$B$2:$B$1000=B14)),Raw_Observations!$H$2:$H$1000))*(Bank_Rates!$B$2:$B$100=LOOKUP(2,1/((Bank_Rates!$A$2:$A$100=LOOKUP(2,1/((Raw_Observations!$A$2:$A$1000=A14)*(Raw_Observations!$B$2:$B$1000=B14)),Raw_Observations!$H$2:$H$1000))*(Bank_Rates!$B$2:$B$100&lt;=TODAY())),Bank_Rates!$B$2:$B$100))*(Bank_Rates!$D$2:$D$100&lt;=D14)),Bank_Rates!$C$2:$C$100),"No Match")</f>
        <v>0.04</v>
      </c>
      <c r="F14" s="4">
        <f t="array" ref="F14">INDEX(Raw_Observations!$K$2:$K$1000,MATCH(1,(Raw_Observations!$A$2:$A$1000=A14)*(Raw_Observations!$B$2:$B$1000=B14),0))</f>
        <v>2.6926527424052028E-2</v>
      </c>
      <c r="G14" s="4">
        <v>1.7000000000000001E-2</v>
      </c>
      <c r="H14" s="4">
        <f t="shared" ca="1" si="3"/>
        <v>5.7000000000000002E-2</v>
      </c>
      <c r="I14" s="3">
        <f t="shared" ca="1" si="4"/>
        <v>4557925.9449201562</v>
      </c>
    </row>
    <row r="15" spans="1:9">
      <c r="A15" s="2" t="s">
        <v>59</v>
      </c>
      <c r="B15" t="s">
        <v>55</v>
      </c>
      <c r="C15" s="3">
        <f t="array" ref="C15">INDEX(Raw_Observations!$E$2:$E$1000,MATCH(1,(Raw_Observations!$A$2:$A$1000=A15)*(Raw_Observations!$B$2:$B$1000=B15),0))</f>
        <v>51993393</v>
      </c>
      <c r="D15" s="7">
        <f ca="1">MAX(IF(COUNTIFS(Raw_Observations!$A:$A,A15,Raw_Observations!$B:$B,B15)=0,"",SUMIFS(Raw_Observations!$F:$F,Raw_Observations!$A:$A,A15,Raw_Observations!$B:$B,B15)-TODAY()),0)</f>
        <v>182</v>
      </c>
      <c r="E15" s="4">
        <f ca="1">IFERROR(LOOKUP(2,1/((Bank_Rates!$A$2:$A$100=LOOKUP(2,1/((Raw_Observations!$A$2:$A$1000=A15)*(Raw_Observations!$B$2:$B$1000=B15)),Raw_Observations!$H$2:$H$1000))*(Bank_Rates!$B$2:$B$100=LOOKUP(2,1/((Bank_Rates!$A$2:$A$100=LOOKUP(2,1/((Raw_Observations!$A$2:$A$1000=A15)*(Raw_Observations!$B$2:$B$1000=B15)),Raw_Observations!$H$2:$H$1000))*(Bank_Rates!$B$2:$B$100&lt;=TODAY())),Bank_Rates!$B$2:$B$100))*(Bank_Rates!$D$2:$D$100&lt;=D15)),Bank_Rates!$C$2:$C$100),"No Match")</f>
        <v>7.0999999999999994E-2</v>
      </c>
      <c r="F15" s="4">
        <f t="array" ref="F15">INDEX(Raw_Observations!$K$2:$K$1000,MATCH(1,(Raw_Observations!$A$2:$A$1000=A15)*(Raw_Observations!$B$2:$B$1000=B15),0))</f>
        <v>1.1432327380667309E-2</v>
      </c>
      <c r="G15" s="4">
        <v>9.2999999999999992E-3</v>
      </c>
      <c r="H15" s="4">
        <f t="shared" ca="1" si="3"/>
        <v>8.0299999999999996E-2</v>
      </c>
      <c r="I15" s="3">
        <f t="shared" ca="1" si="4"/>
        <v>50029011.601799637</v>
      </c>
    </row>
    <row r="16" spans="1:9">
      <c r="A16" s="2"/>
      <c r="C16" s="3"/>
      <c r="D16" s="7"/>
      <c r="E16" s="4"/>
      <c r="F16" s="4"/>
      <c r="G16" s="4"/>
      <c r="H16" s="4"/>
      <c r="I16" s="3"/>
    </row>
    <row r="17" spans="1:9">
      <c r="A17" s="2"/>
      <c r="C17" s="3"/>
      <c r="D17" s="7"/>
      <c r="E17" s="4"/>
      <c r="F17" s="4"/>
      <c r="G17" s="4"/>
      <c r="H17" s="4"/>
      <c r="I17" s="3"/>
    </row>
    <row r="18" spans="1:9">
      <c r="A18" s="2"/>
      <c r="C18" s="3"/>
      <c r="D18" s="7"/>
      <c r="E18" s="4"/>
      <c r="F18" s="4"/>
      <c r="G18" s="4"/>
      <c r="H18" s="4"/>
      <c r="I18" s="3"/>
    </row>
    <row r="19" spans="1:9">
      <c r="A19" s="2"/>
      <c r="C19" s="3"/>
      <c r="D19" s="7"/>
      <c r="E19" s="4"/>
      <c r="F19" s="4"/>
      <c r="G19" s="4"/>
      <c r="H19" s="4"/>
      <c r="I19" s="3"/>
    </row>
    <row r="20" spans="1:9">
      <c r="A20" s="2"/>
      <c r="C20" s="3"/>
      <c r="D20" s="7"/>
      <c r="E20" s="4"/>
      <c r="F20" s="4"/>
      <c r="G20" s="4"/>
      <c r="H20" s="4"/>
      <c r="I20" s="3"/>
    </row>
    <row r="21" spans="1:9">
      <c r="A21" s="2"/>
      <c r="C21" s="3"/>
      <c r="D21" s="7"/>
      <c r="E21" s="4"/>
      <c r="F21" s="4"/>
      <c r="G21" s="4"/>
      <c r="H21" s="4"/>
      <c r="I21" s="3"/>
    </row>
    <row r="22" spans="1:9">
      <c r="A22" s="2"/>
      <c r="C22" s="3"/>
      <c r="D22" s="7"/>
      <c r="E22" s="4"/>
      <c r="F22" s="4"/>
      <c r="G22" s="4"/>
      <c r="H22" s="4"/>
      <c r="I22" s="3"/>
    </row>
    <row r="23" spans="1:9">
      <c r="A23" s="2"/>
      <c r="C23" s="3"/>
      <c r="D23" s="7"/>
      <c r="E23" s="4"/>
      <c r="F23" s="4"/>
      <c r="G23" s="4"/>
      <c r="H23" s="4"/>
      <c r="I23" s="3"/>
    </row>
    <row r="24" spans="1:9">
      <c r="A24" s="2"/>
      <c r="C24" s="3"/>
      <c r="D24" s="7"/>
      <c r="E24" s="4"/>
      <c r="F24" s="4"/>
      <c r="G24" s="4"/>
      <c r="H24" s="4"/>
      <c r="I24" s="3"/>
    </row>
    <row r="25" spans="1:9">
      <c r="A25" s="2"/>
      <c r="C25" s="3"/>
      <c r="D25" s="7"/>
      <c r="E25" s="4"/>
      <c r="F25" s="4"/>
      <c r="G25" s="4"/>
      <c r="H25" s="4"/>
      <c r="I25" s="3"/>
    </row>
    <row r="26" spans="1:9">
      <c r="A26" s="2"/>
      <c r="C26" s="3"/>
      <c r="D26" s="7"/>
      <c r="E26" s="4"/>
      <c r="F26" s="4"/>
      <c r="G26" s="4"/>
      <c r="H26" s="4"/>
      <c r="I26" s="3"/>
    </row>
    <row r="27" spans="1:9">
      <c r="A27" s="2"/>
      <c r="C27" s="3"/>
      <c r="D27" s="7"/>
      <c r="E27" s="4"/>
      <c r="F27" s="4"/>
      <c r="G27" s="4"/>
      <c r="H27" s="4"/>
      <c r="I27" s="3"/>
    </row>
    <row r="28" spans="1:9">
      <c r="A28" s="2"/>
      <c r="C28" s="3"/>
      <c r="D28" s="7"/>
      <c r="E28" s="4"/>
      <c r="F28" s="4"/>
      <c r="G28" s="4"/>
      <c r="H28" s="4"/>
      <c r="I28" s="3"/>
    </row>
    <row r="29" spans="1:9">
      <c r="A29" s="2"/>
      <c r="C29" s="3"/>
      <c r="D29" s="7"/>
      <c r="E29" s="4"/>
      <c r="F29" s="4"/>
      <c r="G29" s="4"/>
      <c r="H29" s="4"/>
      <c r="I29" s="3"/>
    </row>
    <row r="30" spans="1:9">
      <c r="A30" s="2"/>
      <c r="C30" s="3"/>
      <c r="D30" s="7"/>
      <c r="E30" s="4"/>
      <c r="F30" s="4"/>
      <c r="G30" s="4"/>
      <c r="H30" s="4"/>
      <c r="I30" s="3"/>
    </row>
    <row r="31" spans="1:9">
      <c r="A31" s="2"/>
      <c r="C31" s="3"/>
      <c r="D31" s="7"/>
      <c r="E31" s="4"/>
      <c r="F31" s="4"/>
      <c r="G31" s="4"/>
      <c r="H31" s="4"/>
      <c r="I31" s="3"/>
    </row>
    <row r="32" spans="1:9">
      <c r="A32" s="2"/>
      <c r="C32" s="3"/>
      <c r="D32" s="7"/>
      <c r="E32" s="4"/>
      <c r="F32" s="4"/>
      <c r="G32" s="4"/>
      <c r="H32" s="4"/>
      <c r="I32" s="3"/>
    </row>
    <row r="33" spans="1:9">
      <c r="A33" s="2"/>
      <c r="C33" s="3"/>
      <c r="D33" s="7"/>
      <c r="E33" s="4"/>
      <c r="F33" s="4"/>
      <c r="G33" s="4"/>
      <c r="H33" s="4"/>
      <c r="I33" s="3"/>
    </row>
    <row r="34" spans="1:9">
      <c r="A34" s="2"/>
      <c r="C34" s="3"/>
      <c r="D34" s="7"/>
      <c r="E34" s="4"/>
      <c r="F34" s="4"/>
      <c r="G34" s="4"/>
      <c r="H34" s="4"/>
      <c r="I34" s="3"/>
    </row>
    <row r="35" spans="1:9">
      <c r="A35" s="2"/>
      <c r="C35" s="3"/>
      <c r="D35" s="7"/>
      <c r="E35" s="4"/>
      <c r="F35" s="4"/>
      <c r="G35" s="4"/>
      <c r="H35" s="4"/>
      <c r="I35" s="3"/>
    </row>
    <row r="36" spans="1:9">
      <c r="A36" s="2"/>
      <c r="C36" s="3"/>
      <c r="D36" s="7"/>
      <c r="E36" s="4"/>
      <c r="F36" s="4"/>
      <c r="G36" s="4"/>
      <c r="H36" s="4"/>
      <c r="I36" s="3"/>
    </row>
    <row r="37" spans="1:9">
      <c r="A37" s="2"/>
      <c r="C37" s="3"/>
      <c r="D37" s="7"/>
      <c r="E37" s="4"/>
      <c r="F37" s="4"/>
      <c r="G37" s="4"/>
      <c r="H37" s="4"/>
      <c r="I37" s="3"/>
    </row>
    <row r="38" spans="1:9">
      <c r="A38" s="2"/>
      <c r="C38" s="3"/>
      <c r="D38" s="7"/>
      <c r="E38" s="4"/>
      <c r="F38" s="4"/>
      <c r="G38" s="4"/>
      <c r="H38" s="4"/>
      <c r="I38" s="3"/>
    </row>
    <row r="39" spans="1:9">
      <c r="A39" s="2"/>
      <c r="C39" s="3"/>
      <c r="D39" s="7"/>
      <c r="E39" s="4"/>
      <c r="F39" s="4"/>
      <c r="G39" s="4"/>
      <c r="H39" s="4"/>
      <c r="I39" s="3"/>
    </row>
    <row r="40" spans="1:9">
      <c r="A40" s="2"/>
      <c r="C40" s="3"/>
      <c r="D40" s="7"/>
      <c r="E40" s="4"/>
      <c r="F40" s="4"/>
      <c r="G40" s="4"/>
      <c r="H40" s="4"/>
      <c r="I40" s="3"/>
    </row>
    <row r="41" spans="1:9">
      <c r="A41" s="2"/>
      <c r="C41" s="3"/>
      <c r="D41" s="7"/>
      <c r="E41" s="4"/>
      <c r="F41" s="4"/>
      <c r="G41" s="4"/>
      <c r="H41" s="4"/>
      <c r="I41" s="3"/>
    </row>
    <row r="42" spans="1:9">
      <c r="A42" s="2"/>
      <c r="C42" s="3"/>
      <c r="D42" s="7"/>
      <c r="E42" s="4"/>
      <c r="F42" s="4"/>
      <c r="G42" s="4"/>
      <c r="H42" s="4"/>
      <c r="I42" s="3"/>
    </row>
    <row r="43" spans="1:9">
      <c r="A43" s="2"/>
      <c r="C43" s="3"/>
      <c r="D43" s="7"/>
      <c r="E43" s="4"/>
      <c r="F43" s="4"/>
      <c r="G43" s="4"/>
      <c r="H43" s="4"/>
      <c r="I43" s="3"/>
    </row>
    <row r="44" spans="1:9">
      <c r="A44" s="2"/>
      <c r="C44" s="3"/>
      <c r="D44" s="7"/>
      <c r="E44" s="4"/>
      <c r="F44" s="4"/>
      <c r="G44" s="4"/>
      <c r="H44" s="4"/>
      <c r="I44" s="3"/>
    </row>
    <row r="45" spans="1:9">
      <c r="A45" s="2"/>
      <c r="C45" s="3"/>
      <c r="D45" s="7"/>
      <c r="E45" s="4"/>
      <c r="F45" s="4"/>
      <c r="G45" s="4"/>
      <c r="H45" s="4"/>
      <c r="I45" s="3"/>
    </row>
    <row r="46" spans="1:9">
      <c r="A46" s="2"/>
      <c r="C46" s="3"/>
      <c r="D46" s="7"/>
      <c r="E46" s="4"/>
      <c r="F46" s="4"/>
      <c r="G46" s="4"/>
      <c r="H46" s="4"/>
      <c r="I46" s="3"/>
    </row>
    <row r="47" spans="1:9">
      <c r="A47" s="2"/>
      <c r="C47" s="3"/>
      <c r="D47" s="7"/>
      <c r="E47" s="4"/>
      <c r="F47" s="4"/>
      <c r="G47" s="4"/>
      <c r="H47" s="4"/>
      <c r="I47" s="3"/>
    </row>
    <row r="48" spans="1:9">
      <c r="A48" s="2"/>
      <c r="C48" s="3"/>
      <c r="D48" s="7"/>
      <c r="E48" s="4"/>
      <c r="F48" s="4"/>
      <c r="G48" s="4"/>
      <c r="H48" s="4"/>
      <c r="I48" s="3"/>
    </row>
    <row r="49" spans="1:9">
      <c r="A49" s="2"/>
      <c r="C49" s="3"/>
      <c r="D49" s="7"/>
      <c r="E49" s="4"/>
      <c r="F49" s="4"/>
      <c r="G49" s="4"/>
      <c r="H49" s="4"/>
      <c r="I49" s="3"/>
    </row>
    <row r="50" spans="1:9">
      <c r="A50" s="2"/>
      <c r="C50" s="3"/>
      <c r="D50" s="7"/>
      <c r="E50" s="4"/>
      <c r="F50" s="4"/>
      <c r="G50" s="4"/>
      <c r="H50" s="4"/>
      <c r="I50" s="3"/>
    </row>
    <row r="51" spans="1:9">
      <c r="A51" s="2"/>
      <c r="C51" s="3"/>
      <c r="D51" s="7"/>
      <c r="E51" s="4"/>
      <c r="F51" s="4"/>
      <c r="G51" s="4"/>
      <c r="H51" s="4"/>
      <c r="I51" s="3"/>
    </row>
    <row r="52" spans="1:9">
      <c r="A52" s="2"/>
      <c r="C52" s="3"/>
      <c r="D52" s="7"/>
      <c r="E52" s="4"/>
      <c r="F52" s="4"/>
      <c r="G52" s="4"/>
      <c r="H52" s="4"/>
      <c r="I52" s="3"/>
    </row>
    <row r="53" spans="1:9">
      <c r="A53" s="2"/>
      <c r="C53" s="3"/>
      <c r="D53" s="7"/>
      <c r="E53" s="4"/>
      <c r="F53" s="4"/>
      <c r="G53" s="4"/>
      <c r="H53" s="4"/>
      <c r="I53" s="3"/>
    </row>
    <row r="54" spans="1:9">
      <c r="A54" s="2"/>
      <c r="C54" s="3"/>
      <c r="D54" s="7"/>
      <c r="E54" s="4"/>
      <c r="F54" s="4"/>
      <c r="G54" s="4"/>
      <c r="H54" s="4"/>
      <c r="I54" s="3"/>
    </row>
    <row r="55" spans="1:9">
      <c r="A55" s="2"/>
      <c r="C55" s="3"/>
      <c r="D55" s="7"/>
      <c r="E55" s="4"/>
      <c r="F55" s="4"/>
      <c r="G55" s="4"/>
      <c r="H55" s="4"/>
      <c r="I55" s="3"/>
    </row>
    <row r="56" spans="1:9">
      <c r="A56" s="2"/>
      <c r="C56" s="3"/>
      <c r="D56" s="7"/>
      <c r="E56" s="4"/>
      <c r="F56" s="4"/>
      <c r="G56" s="4"/>
      <c r="H56" s="4"/>
      <c r="I56" s="3"/>
    </row>
    <row r="57" spans="1:9">
      <c r="A57" s="2"/>
      <c r="C57" s="3"/>
      <c r="D57" s="7"/>
      <c r="E57" s="4"/>
      <c r="F57" s="4"/>
      <c r="G57" s="4"/>
      <c r="H57" s="4"/>
      <c r="I57" s="3"/>
    </row>
    <row r="58" spans="1:9">
      <c r="A58" s="2"/>
      <c r="C58" s="3"/>
      <c r="D58" s="7"/>
      <c r="E58" s="4"/>
      <c r="F58" s="4"/>
      <c r="G58" s="4"/>
      <c r="H58" s="4"/>
      <c r="I58" s="3"/>
    </row>
    <row r="59" spans="1:9">
      <c r="A59" s="2"/>
      <c r="C59" s="3"/>
      <c r="D59" s="7"/>
      <c r="E59" s="4"/>
      <c r="F59" s="4"/>
      <c r="G59" s="4"/>
      <c r="H59" s="4"/>
      <c r="I59" s="3"/>
    </row>
    <row r="60" spans="1:9">
      <c r="A60" s="2"/>
      <c r="C60" s="3"/>
      <c r="D60" s="7"/>
      <c r="E60" s="4"/>
      <c r="F60" s="4"/>
      <c r="G60" s="4"/>
      <c r="H60" s="4"/>
      <c r="I60" s="3"/>
    </row>
    <row r="61" spans="1:9">
      <c r="A61" s="2"/>
      <c r="C61" s="3"/>
      <c r="D61" s="7"/>
      <c r="E61" s="4"/>
      <c r="F61" s="4"/>
      <c r="G61" s="4"/>
      <c r="H61" s="4"/>
      <c r="I61" s="3"/>
    </row>
    <row r="62" spans="1:9">
      <c r="A62" s="2"/>
      <c r="C62" s="3"/>
      <c r="D62" s="7"/>
      <c r="E62" s="4"/>
      <c r="F62" s="4"/>
      <c r="G62" s="4"/>
      <c r="H62" s="4"/>
      <c r="I62" s="3"/>
    </row>
    <row r="63" spans="1:9">
      <c r="A63" s="2"/>
      <c r="C63" s="3"/>
      <c r="D63" s="7"/>
      <c r="E63" s="4"/>
      <c r="F63" s="4"/>
      <c r="G63" s="4"/>
      <c r="H63" s="4"/>
      <c r="I63" s="3"/>
    </row>
    <row r="64" spans="1:9">
      <c r="A64" s="2"/>
      <c r="C64" s="3"/>
      <c r="D64" s="7"/>
      <c r="E64" s="4"/>
      <c r="F64" s="4"/>
      <c r="G64" s="4"/>
      <c r="H64" s="4"/>
      <c r="I64" s="3"/>
    </row>
    <row r="65" spans="1:9">
      <c r="A65" s="2"/>
      <c r="C65" s="3"/>
      <c r="D65" s="7"/>
      <c r="E65" s="4"/>
      <c r="F65" s="4"/>
      <c r="G65" s="4"/>
      <c r="H65" s="4"/>
      <c r="I65" s="3"/>
    </row>
    <row r="66" spans="1:9">
      <c r="A66" s="2"/>
      <c r="C66" s="3"/>
      <c r="D66" s="7"/>
      <c r="E66" s="4"/>
      <c r="F66" s="4"/>
      <c r="G66" s="4"/>
      <c r="H66" s="4"/>
      <c r="I66" s="3"/>
    </row>
    <row r="67" spans="1:9">
      <c r="A67" s="2"/>
      <c r="C67" s="3"/>
      <c r="D67" s="7"/>
      <c r="E67" s="4"/>
      <c r="F67" s="4"/>
      <c r="G67" s="4"/>
      <c r="H67" s="4"/>
      <c r="I67" s="3"/>
    </row>
    <row r="68" spans="1:9">
      <c r="A68" s="2"/>
      <c r="C68" s="3"/>
      <c r="D68" s="7"/>
      <c r="E68" s="4"/>
      <c r="F68" s="4"/>
      <c r="G68" s="4"/>
      <c r="H68" s="4"/>
      <c r="I68" s="3"/>
    </row>
    <row r="69" spans="1:9">
      <c r="A69" s="2"/>
      <c r="C69" s="3"/>
      <c r="D69" s="7"/>
      <c r="E69" s="4"/>
      <c r="F69" s="4"/>
      <c r="G69" s="4"/>
      <c r="H69" s="4"/>
      <c r="I69" s="3"/>
    </row>
    <row r="70" spans="1:9">
      <c r="A70" s="2"/>
      <c r="C70" s="3"/>
      <c r="D70" s="7"/>
      <c r="E70" s="4"/>
      <c r="F70" s="4"/>
      <c r="G70" s="4"/>
      <c r="H70" s="4"/>
      <c r="I70" s="3"/>
    </row>
    <row r="71" spans="1:9">
      <c r="A71" s="2"/>
      <c r="C71" s="3"/>
      <c r="D71" s="7"/>
      <c r="E71" s="4"/>
      <c r="F71" s="4"/>
      <c r="G71" s="4"/>
      <c r="H71" s="4"/>
      <c r="I71" s="3"/>
    </row>
    <row r="72" spans="1:9">
      <c r="A72" s="2"/>
      <c r="C72" s="3"/>
      <c r="D72" s="7"/>
      <c r="E72" s="4"/>
      <c r="F72" s="4"/>
      <c r="G72" s="4"/>
      <c r="H72" s="4"/>
      <c r="I72" s="3"/>
    </row>
    <row r="73" spans="1:9">
      <c r="A73" s="2"/>
      <c r="C73" s="3"/>
      <c r="D73" s="7"/>
      <c r="E73" s="4"/>
      <c r="F73" s="4"/>
      <c r="G73" s="4"/>
      <c r="H73" s="4"/>
      <c r="I73" s="3"/>
    </row>
    <row r="74" spans="1:9">
      <c r="A74" s="2"/>
      <c r="C74" s="3"/>
      <c r="D74" s="7"/>
      <c r="E74" s="4"/>
      <c r="F74" s="4"/>
      <c r="G74" s="4"/>
      <c r="H74" s="4"/>
      <c r="I74" s="3"/>
    </row>
    <row r="75" spans="1:9">
      <c r="A75" s="2"/>
      <c r="C75" s="3"/>
      <c r="D75" s="7"/>
      <c r="E75" s="4"/>
      <c r="F75" s="4"/>
      <c r="G75" s="4"/>
      <c r="H75" s="4"/>
      <c r="I75" s="3"/>
    </row>
    <row r="76" spans="1:9">
      <c r="A76" s="2"/>
      <c r="C76" s="3"/>
      <c r="D76" s="7"/>
      <c r="E76" s="4"/>
      <c r="F76" s="4"/>
      <c r="G76" s="4"/>
      <c r="H76" s="4"/>
      <c r="I76" s="3"/>
    </row>
    <row r="77" spans="1:9">
      <c r="A77" s="2"/>
      <c r="C77" s="3"/>
      <c r="D77" s="7"/>
      <c r="E77" s="4"/>
      <c r="F77" s="4"/>
      <c r="G77" s="4"/>
      <c r="H77" s="4"/>
      <c r="I77" s="3"/>
    </row>
    <row r="78" spans="1:9">
      <c r="A78" s="2"/>
      <c r="C78" s="3"/>
      <c r="D78" s="7"/>
      <c r="E78" s="4"/>
      <c r="F78" s="4"/>
      <c r="G78" s="4"/>
      <c r="H78" s="4"/>
      <c r="I78" s="3"/>
    </row>
    <row r="79" spans="1:9">
      <c r="A79" s="2"/>
      <c r="C79" s="3"/>
      <c r="D79" s="7"/>
      <c r="E79" s="4"/>
      <c r="F79" s="4"/>
      <c r="G79" s="4"/>
      <c r="H79" s="4"/>
      <c r="I79" s="3"/>
    </row>
    <row r="80" spans="1:9">
      <c r="A80" s="2"/>
      <c r="C80" s="3"/>
      <c r="D80" s="7"/>
      <c r="E80" s="4"/>
      <c r="F80" s="4"/>
      <c r="G80" s="4"/>
      <c r="H80" s="4"/>
      <c r="I80" s="3"/>
    </row>
    <row r="81" spans="1:9">
      <c r="A81" s="2"/>
      <c r="C81" s="3"/>
      <c r="D81" s="7"/>
      <c r="E81" s="4"/>
      <c r="F81" s="4"/>
      <c r="G81" s="4"/>
      <c r="H81" s="4"/>
      <c r="I81" s="3"/>
    </row>
    <row r="82" spans="1:9">
      <c r="A82" s="2"/>
      <c r="C82" s="3"/>
      <c r="D82" s="7"/>
      <c r="E82" s="4"/>
      <c r="F82" s="4"/>
      <c r="G82" s="4"/>
      <c r="H82" s="4"/>
      <c r="I82" s="3"/>
    </row>
    <row r="83" spans="1:9">
      <c r="A83" s="2"/>
      <c r="C83" s="3"/>
      <c r="D83" s="7"/>
      <c r="E83" s="4"/>
      <c r="F83" s="4"/>
      <c r="G83" s="4"/>
      <c r="H83" s="4"/>
      <c r="I83" s="3"/>
    </row>
    <row r="84" spans="1:9">
      <c r="A84" s="2"/>
      <c r="C84" s="3"/>
      <c r="D84" s="7"/>
      <c r="E84" s="4"/>
      <c r="F84" s="4"/>
      <c r="G84" s="4"/>
      <c r="H84" s="4"/>
      <c r="I84" s="3"/>
    </row>
    <row r="85" spans="1:9">
      <c r="A85" s="2"/>
      <c r="C85" s="3"/>
      <c r="D85" s="7"/>
      <c r="E85" s="4"/>
      <c r="F85" s="4"/>
      <c r="G85" s="4"/>
      <c r="H85" s="4"/>
      <c r="I85" s="3"/>
    </row>
    <row r="86" spans="1:9">
      <c r="A86" s="2"/>
      <c r="C86" s="3"/>
      <c r="D86" s="7"/>
      <c r="E86" s="4"/>
      <c r="F86" s="4"/>
      <c r="G86" s="4"/>
      <c r="H86" s="4"/>
      <c r="I86" s="3"/>
    </row>
    <row r="87" spans="1:9">
      <c r="A87" s="2"/>
      <c r="C87" s="3"/>
      <c r="D87" s="7"/>
      <c r="E87" s="4"/>
      <c r="F87" s="4"/>
      <c r="G87" s="4"/>
      <c r="H87" s="4"/>
      <c r="I87" s="3"/>
    </row>
    <row r="88" spans="1:9">
      <c r="A88" s="2"/>
      <c r="C88" s="3"/>
      <c r="D88" s="7"/>
      <c r="E88" s="4"/>
      <c r="F88" s="4"/>
      <c r="G88" s="4"/>
      <c r="H88" s="4"/>
      <c r="I88" s="3"/>
    </row>
    <row r="89" spans="1:9">
      <c r="A89" s="2"/>
      <c r="C89" s="3"/>
      <c r="D89" s="7"/>
      <c r="E89" s="4"/>
      <c r="F89" s="4"/>
      <c r="G89" s="4"/>
      <c r="H89" s="4"/>
      <c r="I89" s="3"/>
    </row>
    <row r="90" spans="1:9">
      <c r="A90" s="2"/>
      <c r="C90" s="3"/>
      <c r="D90" s="7"/>
      <c r="E90" s="4"/>
      <c r="F90" s="4"/>
      <c r="G90" s="4"/>
      <c r="H90" s="4"/>
      <c r="I90" s="3"/>
    </row>
    <row r="91" spans="1:9">
      <c r="A91" s="2"/>
      <c r="C91" s="3"/>
      <c r="D91" s="7"/>
      <c r="E91" s="4"/>
      <c r="F91" s="4"/>
      <c r="G91" s="4"/>
      <c r="H91" s="4"/>
      <c r="I91" s="3"/>
    </row>
    <row r="92" spans="1:9">
      <c r="A92" s="2"/>
      <c r="C92" s="3"/>
      <c r="D92" s="7"/>
      <c r="E92" s="4"/>
      <c r="F92" s="4"/>
      <c r="G92" s="4"/>
      <c r="H92" s="4"/>
      <c r="I92" s="3"/>
    </row>
    <row r="93" spans="1:9">
      <c r="A93" s="2"/>
      <c r="C93" s="3"/>
      <c r="D93" s="7"/>
      <c r="E93" s="4"/>
      <c r="F93" s="4"/>
      <c r="G93" s="4"/>
      <c r="H93" s="4"/>
      <c r="I93" s="3"/>
    </row>
    <row r="94" spans="1:9">
      <c r="A94" s="2"/>
      <c r="C94" s="3"/>
      <c r="D94" s="7"/>
      <c r="E94" s="4"/>
      <c r="F94" s="4"/>
      <c r="G94" s="4"/>
      <c r="H94" s="4"/>
      <c r="I94" s="3"/>
    </row>
    <row r="95" spans="1:9">
      <c r="A95" s="2"/>
      <c r="C95" s="3"/>
      <c r="D95" s="7"/>
      <c r="E95" s="4"/>
      <c r="F95" s="4"/>
      <c r="G95" s="4"/>
      <c r="H95" s="4"/>
      <c r="I95" s="3"/>
    </row>
    <row r="96" spans="1:9">
      <c r="A96" s="2"/>
      <c r="C96" s="3"/>
      <c r="D96" s="7"/>
      <c r="E96" s="4"/>
      <c r="F96" s="4"/>
      <c r="G96" s="4"/>
      <c r="H96" s="4"/>
      <c r="I96" s="3"/>
    </row>
    <row r="97" spans="1:9">
      <c r="A97" s="2"/>
      <c r="C97" s="3"/>
      <c r="D97" s="7"/>
      <c r="E97" s="4"/>
      <c r="F97" s="4"/>
      <c r="G97" s="4"/>
      <c r="H97" s="4"/>
      <c r="I97" s="3"/>
    </row>
    <row r="98" spans="1:9">
      <c r="A98" s="2"/>
      <c r="C98" s="3"/>
      <c r="D98" s="7"/>
      <c r="E98" s="4"/>
      <c r="F98" s="4"/>
      <c r="G98" s="4"/>
      <c r="H98" s="4"/>
      <c r="I98" s="3"/>
    </row>
    <row r="99" spans="1:9">
      <c r="A99" s="2"/>
      <c r="C99" s="3"/>
      <c r="D99" s="7"/>
      <c r="E99" s="4"/>
      <c r="F99" s="4"/>
      <c r="G99" s="4"/>
      <c r="H99" s="4"/>
      <c r="I99" s="3"/>
    </row>
    <row r="100" spans="1:9">
      <c r="A100" s="2"/>
      <c r="C100" s="3"/>
      <c r="D100" s="7"/>
      <c r="E100" s="4"/>
      <c r="F100" s="4"/>
      <c r="G100" s="4"/>
      <c r="H100" s="4"/>
      <c r="I100" s="3"/>
    </row>
    <row r="101" spans="1:9">
      <c r="A101" s="2"/>
      <c r="C101" s="3"/>
      <c r="D101" s="7"/>
      <c r="E101" s="4"/>
      <c r="F101" s="4"/>
      <c r="G101" s="4"/>
      <c r="H101" s="4"/>
      <c r="I101" s="3"/>
    </row>
  </sheetData>
  <autoFilter ref="A1:I101" xr:uid="{00000000-0009-0000-0000-000006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1"/>
  <sheetViews>
    <sheetView workbookViewId="0">
      <selection activeCell="A11" sqref="A11:C11"/>
    </sheetView>
  </sheetViews>
  <sheetFormatPr defaultRowHeight="13.8"/>
  <cols>
    <col min="1" max="2" width="18" customWidth="1"/>
    <col min="3" max="3" width="22" customWidth="1"/>
  </cols>
  <sheetData>
    <row r="1" spans="1:3" ht="25.65" customHeight="1">
      <c r="A1" s="1" t="s">
        <v>0</v>
      </c>
      <c r="B1" s="1" t="s">
        <v>1</v>
      </c>
      <c r="C1" s="1" t="s">
        <v>13</v>
      </c>
    </row>
    <row r="2" spans="1:3">
      <c r="A2" t="str">
        <f t="shared" ref="A2:A65" si="0">IF(B2&lt;&gt;"","L-"&amp;TEXT(ROW()-1,"0000"),"")</f>
        <v>L-0001</v>
      </c>
      <c r="B2" s="13" t="s">
        <v>33</v>
      </c>
      <c r="C2" s="14">
        <v>46253</v>
      </c>
    </row>
    <row r="3" spans="1:3">
      <c r="A3" t="str">
        <f t="shared" si="0"/>
        <v>L-0002</v>
      </c>
      <c r="B3" s="13" t="s">
        <v>36</v>
      </c>
      <c r="C3" s="14">
        <v>46253</v>
      </c>
    </row>
    <row r="4" spans="1:3">
      <c r="A4" t="str">
        <f t="shared" si="0"/>
        <v>L-0003</v>
      </c>
      <c r="B4" s="13" t="s">
        <v>34</v>
      </c>
      <c r="C4" s="14">
        <v>46253</v>
      </c>
    </row>
    <row r="5" spans="1:3">
      <c r="A5" t="str">
        <f t="shared" si="0"/>
        <v>L-0004</v>
      </c>
      <c r="B5" s="13" t="s">
        <v>35</v>
      </c>
      <c r="C5" s="14">
        <v>46253</v>
      </c>
    </row>
    <row r="6" spans="1:3">
      <c r="A6" s="2" t="s">
        <v>45</v>
      </c>
      <c r="B6" s="2" t="s">
        <v>40</v>
      </c>
      <c r="C6" s="14">
        <v>46245</v>
      </c>
    </row>
    <row r="7" spans="1:3">
      <c r="A7" s="2" t="s">
        <v>46</v>
      </c>
      <c r="B7" s="2" t="s">
        <v>41</v>
      </c>
      <c r="C7" s="14">
        <v>46247</v>
      </c>
    </row>
    <row r="8" spans="1:3">
      <c r="A8" s="2" t="s">
        <v>47</v>
      </c>
      <c r="B8" s="2" t="s">
        <v>42</v>
      </c>
      <c r="C8" s="14">
        <v>46248</v>
      </c>
    </row>
    <row r="9" spans="1:3">
      <c r="A9" s="2" t="s">
        <v>48</v>
      </c>
      <c r="B9" s="2" t="s">
        <v>43</v>
      </c>
      <c r="C9" s="14">
        <v>46248</v>
      </c>
    </row>
    <row r="10" spans="1:3">
      <c r="A10" s="2" t="s">
        <v>49</v>
      </c>
      <c r="B10" s="2" t="s">
        <v>44</v>
      </c>
      <c r="C10" s="14">
        <v>46251</v>
      </c>
    </row>
    <row r="11" spans="1:3">
      <c r="A11" s="2" t="s">
        <v>51</v>
      </c>
      <c r="B11" s="2" t="s">
        <v>50</v>
      </c>
      <c r="C11" s="14">
        <v>46256</v>
      </c>
    </row>
    <row r="12" spans="1:3">
      <c r="A12" s="2" t="str">
        <f t="shared" si="0"/>
        <v/>
      </c>
      <c r="B12" s="2"/>
      <c r="C12" s="14"/>
    </row>
    <row r="13" spans="1:3">
      <c r="A13" s="2" t="str">
        <f t="shared" si="0"/>
        <v/>
      </c>
      <c r="B13" s="2"/>
      <c r="C13" s="14"/>
    </row>
    <row r="14" spans="1:3">
      <c r="A14" s="2" t="str">
        <f t="shared" si="0"/>
        <v/>
      </c>
      <c r="B14" s="2"/>
      <c r="C14" s="14"/>
    </row>
    <row r="15" spans="1:3">
      <c r="A15" s="2" t="str">
        <f t="shared" si="0"/>
        <v/>
      </c>
      <c r="B15" s="2"/>
      <c r="C15" s="14"/>
    </row>
    <row r="16" spans="1:3">
      <c r="A16" s="2" t="str">
        <f t="shared" si="0"/>
        <v/>
      </c>
      <c r="B16" s="2"/>
      <c r="C16" s="14"/>
    </row>
    <row r="17" spans="1:3">
      <c r="A17" s="2" t="str">
        <f t="shared" si="0"/>
        <v/>
      </c>
      <c r="B17" s="2"/>
      <c r="C17" s="14"/>
    </row>
    <row r="18" spans="1:3">
      <c r="A18" s="2" t="str">
        <f t="shared" si="0"/>
        <v/>
      </c>
      <c r="B18" s="2"/>
      <c r="C18" s="14"/>
    </row>
    <row r="19" spans="1:3">
      <c r="A19" s="2" t="str">
        <f t="shared" si="0"/>
        <v/>
      </c>
      <c r="B19" s="2"/>
      <c r="C19" s="14"/>
    </row>
    <row r="20" spans="1:3">
      <c r="A20" s="2" t="str">
        <f t="shared" si="0"/>
        <v/>
      </c>
      <c r="B20" s="2"/>
      <c r="C20" s="14"/>
    </row>
    <row r="21" spans="1:3">
      <c r="A21" s="2" t="str">
        <f t="shared" si="0"/>
        <v/>
      </c>
      <c r="B21" s="2"/>
      <c r="C21" s="14"/>
    </row>
    <row r="22" spans="1:3">
      <c r="A22" s="2" t="str">
        <f t="shared" si="0"/>
        <v/>
      </c>
      <c r="B22" s="2"/>
      <c r="C22" s="14"/>
    </row>
    <row r="23" spans="1:3">
      <c r="A23" s="2" t="str">
        <f t="shared" si="0"/>
        <v/>
      </c>
      <c r="B23" s="2"/>
      <c r="C23" s="14"/>
    </row>
    <row r="24" spans="1:3">
      <c r="A24" s="2" t="str">
        <f t="shared" si="0"/>
        <v/>
      </c>
      <c r="B24" s="2"/>
      <c r="C24" s="14"/>
    </row>
    <row r="25" spans="1:3">
      <c r="A25" s="2" t="str">
        <f t="shared" si="0"/>
        <v/>
      </c>
      <c r="B25" s="2"/>
      <c r="C25" s="14"/>
    </row>
    <row r="26" spans="1:3">
      <c r="A26" s="2" t="str">
        <f t="shared" si="0"/>
        <v/>
      </c>
      <c r="B26" s="2"/>
      <c r="C26" s="14"/>
    </row>
    <row r="27" spans="1:3">
      <c r="A27" s="2" t="str">
        <f t="shared" si="0"/>
        <v/>
      </c>
      <c r="B27" s="2"/>
      <c r="C27" s="14"/>
    </row>
    <row r="28" spans="1:3">
      <c r="A28" s="2" t="str">
        <f t="shared" si="0"/>
        <v/>
      </c>
      <c r="B28" s="2"/>
      <c r="C28" s="14"/>
    </row>
    <row r="29" spans="1:3">
      <c r="A29" s="2" t="str">
        <f t="shared" si="0"/>
        <v/>
      </c>
      <c r="B29" s="2"/>
      <c r="C29" s="14"/>
    </row>
    <row r="30" spans="1:3">
      <c r="A30" s="2" t="str">
        <f t="shared" si="0"/>
        <v/>
      </c>
      <c r="B30" s="2"/>
      <c r="C30" s="14"/>
    </row>
    <row r="31" spans="1:3">
      <c r="A31" s="2" t="str">
        <f t="shared" si="0"/>
        <v/>
      </c>
      <c r="B31" s="2"/>
      <c r="C31" s="14"/>
    </row>
    <row r="32" spans="1:3">
      <c r="A32" s="2" t="str">
        <f t="shared" si="0"/>
        <v/>
      </c>
      <c r="B32" s="2"/>
      <c r="C32" s="14"/>
    </row>
    <row r="33" spans="1:3">
      <c r="A33" s="2" t="str">
        <f t="shared" si="0"/>
        <v/>
      </c>
      <c r="B33" s="2"/>
      <c r="C33" s="14"/>
    </row>
    <row r="34" spans="1:3">
      <c r="A34" s="2" t="str">
        <f t="shared" si="0"/>
        <v/>
      </c>
      <c r="B34" s="2"/>
      <c r="C34" s="14"/>
    </row>
    <row r="35" spans="1:3">
      <c r="A35" s="2" t="str">
        <f t="shared" si="0"/>
        <v/>
      </c>
      <c r="B35" s="2"/>
      <c r="C35" s="14"/>
    </row>
    <row r="36" spans="1:3">
      <c r="A36" s="2" t="str">
        <f t="shared" si="0"/>
        <v/>
      </c>
      <c r="B36" s="2"/>
      <c r="C36" s="14"/>
    </row>
    <row r="37" spans="1:3">
      <c r="A37" s="2" t="str">
        <f t="shared" si="0"/>
        <v/>
      </c>
      <c r="B37" s="2"/>
      <c r="C37" s="14"/>
    </row>
    <row r="38" spans="1:3">
      <c r="A38" s="2" t="str">
        <f t="shared" si="0"/>
        <v/>
      </c>
      <c r="B38" s="2"/>
      <c r="C38" s="14"/>
    </row>
    <row r="39" spans="1:3">
      <c r="A39" s="2" t="str">
        <f t="shared" si="0"/>
        <v/>
      </c>
      <c r="B39" s="2"/>
      <c r="C39" s="14"/>
    </row>
    <row r="40" spans="1:3">
      <c r="A40" s="2" t="str">
        <f t="shared" si="0"/>
        <v/>
      </c>
      <c r="B40" s="2"/>
      <c r="C40" s="14"/>
    </row>
    <row r="41" spans="1:3">
      <c r="A41" s="2" t="str">
        <f t="shared" si="0"/>
        <v/>
      </c>
      <c r="B41" s="2"/>
      <c r="C41" s="14"/>
    </row>
    <row r="42" spans="1:3">
      <c r="A42" s="2" t="str">
        <f t="shared" si="0"/>
        <v/>
      </c>
      <c r="B42" s="2"/>
      <c r="C42" s="14"/>
    </row>
    <row r="43" spans="1:3">
      <c r="A43" s="2" t="str">
        <f t="shared" si="0"/>
        <v/>
      </c>
      <c r="B43" s="2"/>
      <c r="C43" s="14"/>
    </row>
    <row r="44" spans="1:3">
      <c r="A44" s="2" t="str">
        <f t="shared" si="0"/>
        <v/>
      </c>
      <c r="B44" s="2"/>
      <c r="C44" s="14"/>
    </row>
    <row r="45" spans="1:3">
      <c r="A45" s="2" t="str">
        <f t="shared" si="0"/>
        <v/>
      </c>
      <c r="B45" s="2"/>
      <c r="C45" s="14"/>
    </row>
    <row r="46" spans="1:3">
      <c r="A46" s="2" t="str">
        <f t="shared" si="0"/>
        <v/>
      </c>
      <c r="B46" s="2"/>
      <c r="C46" s="14"/>
    </row>
    <row r="47" spans="1:3">
      <c r="A47" s="2" t="str">
        <f t="shared" si="0"/>
        <v/>
      </c>
      <c r="B47" s="2"/>
      <c r="C47" s="14"/>
    </row>
    <row r="48" spans="1:3">
      <c r="A48" s="2" t="str">
        <f t="shared" si="0"/>
        <v/>
      </c>
      <c r="B48" s="2"/>
      <c r="C48" s="14"/>
    </row>
    <row r="49" spans="1:3">
      <c r="A49" s="2" t="str">
        <f t="shared" si="0"/>
        <v/>
      </c>
      <c r="B49" s="2"/>
      <c r="C49" s="14"/>
    </row>
    <row r="50" spans="1:3">
      <c r="A50" s="2" t="str">
        <f t="shared" si="0"/>
        <v/>
      </c>
      <c r="B50" s="2"/>
      <c r="C50" s="14"/>
    </row>
    <row r="51" spans="1:3">
      <c r="A51" s="2" t="str">
        <f t="shared" si="0"/>
        <v/>
      </c>
      <c r="B51" s="2"/>
      <c r="C51" s="14"/>
    </row>
    <row r="52" spans="1:3">
      <c r="A52" s="2" t="str">
        <f t="shared" si="0"/>
        <v/>
      </c>
      <c r="B52" s="2"/>
      <c r="C52" s="14"/>
    </row>
    <row r="53" spans="1:3">
      <c r="A53" s="2" t="str">
        <f t="shared" si="0"/>
        <v/>
      </c>
      <c r="B53" s="2"/>
      <c r="C53" s="14"/>
    </row>
    <row r="54" spans="1:3">
      <c r="A54" s="2" t="str">
        <f t="shared" si="0"/>
        <v/>
      </c>
      <c r="B54" s="2"/>
      <c r="C54" s="14"/>
    </row>
    <row r="55" spans="1:3">
      <c r="A55" s="2" t="str">
        <f t="shared" si="0"/>
        <v/>
      </c>
      <c r="B55" s="2"/>
      <c r="C55" s="14"/>
    </row>
    <row r="56" spans="1:3">
      <c r="A56" s="2" t="str">
        <f t="shared" si="0"/>
        <v/>
      </c>
      <c r="B56" s="2"/>
      <c r="C56" s="14"/>
    </row>
    <row r="57" spans="1:3">
      <c r="A57" s="2" t="str">
        <f t="shared" si="0"/>
        <v/>
      </c>
      <c r="B57" s="2"/>
      <c r="C57" s="14"/>
    </row>
    <row r="58" spans="1:3">
      <c r="A58" s="2" t="str">
        <f t="shared" si="0"/>
        <v/>
      </c>
      <c r="B58" s="2"/>
      <c r="C58" s="14"/>
    </row>
    <row r="59" spans="1:3">
      <c r="A59" s="2" t="str">
        <f t="shared" si="0"/>
        <v/>
      </c>
      <c r="B59" s="2"/>
      <c r="C59" s="14"/>
    </row>
    <row r="60" spans="1:3">
      <c r="A60" s="2" t="str">
        <f t="shared" si="0"/>
        <v/>
      </c>
      <c r="B60" s="2"/>
      <c r="C60" s="14"/>
    </row>
    <row r="61" spans="1:3">
      <c r="A61" s="2" t="str">
        <f t="shared" si="0"/>
        <v/>
      </c>
      <c r="B61" s="2"/>
      <c r="C61" s="14"/>
    </row>
    <row r="62" spans="1:3">
      <c r="A62" s="2" t="str">
        <f t="shared" si="0"/>
        <v/>
      </c>
      <c r="B62" s="2"/>
      <c r="C62" s="14"/>
    </row>
    <row r="63" spans="1:3">
      <c r="A63" s="2" t="str">
        <f t="shared" si="0"/>
        <v/>
      </c>
      <c r="B63" s="2"/>
      <c r="C63" s="14"/>
    </row>
    <row r="64" spans="1:3">
      <c r="A64" s="2" t="str">
        <f t="shared" si="0"/>
        <v/>
      </c>
      <c r="B64" s="2"/>
      <c r="C64" s="14"/>
    </row>
    <row r="65" spans="1:3">
      <c r="A65" s="2" t="str">
        <f t="shared" si="0"/>
        <v/>
      </c>
      <c r="B65" s="2"/>
      <c r="C65" s="14"/>
    </row>
    <row r="66" spans="1:3">
      <c r="A66" s="2" t="str">
        <f t="shared" ref="A66:A129" si="1">IF(B66&lt;&gt;"","L-"&amp;TEXT(ROW()-1,"0000"),"")</f>
        <v/>
      </c>
      <c r="B66" s="2"/>
      <c r="C66" s="14"/>
    </row>
    <row r="67" spans="1:3">
      <c r="A67" s="2" t="str">
        <f t="shared" si="1"/>
        <v/>
      </c>
      <c r="B67" s="2"/>
      <c r="C67" s="14"/>
    </row>
    <row r="68" spans="1:3">
      <c r="A68" s="2" t="str">
        <f t="shared" si="1"/>
        <v/>
      </c>
      <c r="B68" s="2"/>
      <c r="C68" s="14"/>
    </row>
    <row r="69" spans="1:3">
      <c r="A69" s="2" t="str">
        <f t="shared" si="1"/>
        <v/>
      </c>
      <c r="B69" s="2"/>
      <c r="C69" s="14"/>
    </row>
    <row r="70" spans="1:3">
      <c r="A70" s="2" t="str">
        <f t="shared" si="1"/>
        <v/>
      </c>
      <c r="B70" s="2"/>
      <c r="C70" s="14"/>
    </row>
    <row r="71" spans="1:3">
      <c r="A71" s="2" t="str">
        <f t="shared" si="1"/>
        <v/>
      </c>
      <c r="B71" s="2"/>
      <c r="C71" s="14"/>
    </row>
    <row r="72" spans="1:3">
      <c r="A72" s="2" t="str">
        <f t="shared" si="1"/>
        <v/>
      </c>
      <c r="B72" s="2"/>
      <c r="C72" s="14"/>
    </row>
    <row r="73" spans="1:3">
      <c r="A73" s="2" t="str">
        <f t="shared" si="1"/>
        <v/>
      </c>
      <c r="B73" s="2"/>
      <c r="C73" s="14"/>
    </row>
    <row r="74" spans="1:3">
      <c r="A74" s="2" t="str">
        <f t="shared" si="1"/>
        <v/>
      </c>
      <c r="B74" s="2"/>
      <c r="C74" s="14"/>
    </row>
    <row r="75" spans="1:3">
      <c r="A75" s="2" t="str">
        <f t="shared" si="1"/>
        <v/>
      </c>
      <c r="B75" s="2"/>
      <c r="C75" s="14"/>
    </row>
    <row r="76" spans="1:3">
      <c r="A76" s="2" t="str">
        <f t="shared" si="1"/>
        <v/>
      </c>
      <c r="B76" s="2"/>
      <c r="C76" s="14"/>
    </row>
    <row r="77" spans="1:3">
      <c r="A77" s="2" t="str">
        <f t="shared" si="1"/>
        <v/>
      </c>
      <c r="B77" s="2"/>
      <c r="C77" s="14"/>
    </row>
    <row r="78" spans="1:3">
      <c r="A78" s="2" t="str">
        <f t="shared" si="1"/>
        <v/>
      </c>
      <c r="B78" s="2"/>
      <c r="C78" s="14"/>
    </row>
    <row r="79" spans="1:3">
      <c r="A79" s="2" t="str">
        <f t="shared" si="1"/>
        <v/>
      </c>
      <c r="B79" s="2"/>
      <c r="C79" s="14"/>
    </row>
    <row r="80" spans="1:3">
      <c r="A80" s="2" t="str">
        <f t="shared" si="1"/>
        <v/>
      </c>
      <c r="B80" s="2"/>
      <c r="C80" s="14"/>
    </row>
    <row r="81" spans="1:3">
      <c r="A81" s="2" t="str">
        <f t="shared" si="1"/>
        <v/>
      </c>
      <c r="B81" s="2"/>
      <c r="C81" s="14"/>
    </row>
    <row r="82" spans="1:3">
      <c r="A82" s="2" t="str">
        <f t="shared" si="1"/>
        <v/>
      </c>
      <c r="B82" s="2"/>
      <c r="C82" s="14"/>
    </row>
    <row r="83" spans="1:3">
      <c r="A83" s="2" t="str">
        <f t="shared" si="1"/>
        <v/>
      </c>
      <c r="B83" s="2"/>
      <c r="C83" s="14"/>
    </row>
    <row r="84" spans="1:3">
      <c r="A84" s="2" t="str">
        <f t="shared" si="1"/>
        <v/>
      </c>
      <c r="B84" s="2"/>
      <c r="C84" s="14"/>
    </row>
    <row r="85" spans="1:3">
      <c r="A85" s="2" t="str">
        <f t="shared" si="1"/>
        <v/>
      </c>
      <c r="B85" s="2"/>
      <c r="C85" s="14"/>
    </row>
    <row r="86" spans="1:3">
      <c r="A86" s="2" t="str">
        <f t="shared" si="1"/>
        <v/>
      </c>
      <c r="B86" s="2"/>
      <c r="C86" s="14"/>
    </row>
    <row r="87" spans="1:3">
      <c r="A87" s="2" t="str">
        <f t="shared" si="1"/>
        <v/>
      </c>
      <c r="B87" s="2"/>
      <c r="C87" s="14"/>
    </row>
    <row r="88" spans="1:3">
      <c r="A88" s="2" t="str">
        <f t="shared" si="1"/>
        <v/>
      </c>
      <c r="B88" s="2"/>
      <c r="C88" s="14"/>
    </row>
    <row r="89" spans="1:3">
      <c r="A89" s="2" t="str">
        <f t="shared" si="1"/>
        <v/>
      </c>
      <c r="B89" s="2"/>
      <c r="C89" s="14"/>
    </row>
    <row r="90" spans="1:3">
      <c r="A90" s="2" t="str">
        <f t="shared" si="1"/>
        <v/>
      </c>
      <c r="B90" s="2"/>
      <c r="C90" s="14"/>
    </row>
    <row r="91" spans="1:3">
      <c r="A91" s="2" t="str">
        <f t="shared" si="1"/>
        <v/>
      </c>
      <c r="B91" s="2"/>
      <c r="C91" s="14"/>
    </row>
    <row r="92" spans="1:3">
      <c r="A92" s="2" t="str">
        <f t="shared" si="1"/>
        <v/>
      </c>
      <c r="B92" s="2"/>
      <c r="C92" s="14"/>
    </row>
    <row r="93" spans="1:3">
      <c r="A93" s="2" t="str">
        <f t="shared" si="1"/>
        <v/>
      </c>
      <c r="B93" s="2"/>
      <c r="C93" s="14"/>
    </row>
    <row r="94" spans="1:3">
      <c r="A94" s="2" t="str">
        <f t="shared" si="1"/>
        <v/>
      </c>
      <c r="B94" s="2"/>
      <c r="C94" s="14"/>
    </row>
    <row r="95" spans="1:3">
      <c r="A95" s="2" t="str">
        <f t="shared" si="1"/>
        <v/>
      </c>
      <c r="B95" s="2"/>
      <c r="C95" s="14"/>
    </row>
    <row r="96" spans="1:3">
      <c r="A96" s="2" t="str">
        <f t="shared" si="1"/>
        <v/>
      </c>
      <c r="B96" s="2"/>
      <c r="C96" s="14"/>
    </row>
    <row r="97" spans="1:3">
      <c r="A97" s="2" t="str">
        <f t="shared" si="1"/>
        <v/>
      </c>
      <c r="B97" s="2"/>
      <c r="C97" s="14"/>
    </row>
    <row r="98" spans="1:3">
      <c r="A98" s="2" t="str">
        <f t="shared" si="1"/>
        <v/>
      </c>
      <c r="B98" s="2"/>
      <c r="C98" s="14"/>
    </row>
    <row r="99" spans="1:3">
      <c r="A99" s="2" t="str">
        <f t="shared" si="1"/>
        <v/>
      </c>
      <c r="B99" s="2"/>
      <c r="C99" s="14"/>
    </row>
    <row r="100" spans="1:3">
      <c r="A100" s="2" t="str">
        <f t="shared" si="1"/>
        <v/>
      </c>
      <c r="B100" s="2"/>
      <c r="C100" s="14"/>
    </row>
    <row r="101" spans="1:3">
      <c r="A101" s="2" t="str">
        <f t="shared" si="1"/>
        <v/>
      </c>
      <c r="B101" s="2"/>
      <c r="C101" s="14"/>
    </row>
    <row r="102" spans="1:3">
      <c r="A102" s="2" t="str">
        <f t="shared" si="1"/>
        <v/>
      </c>
      <c r="B102" s="2"/>
      <c r="C102" s="14"/>
    </row>
    <row r="103" spans="1:3">
      <c r="A103" s="2" t="str">
        <f t="shared" si="1"/>
        <v/>
      </c>
      <c r="B103" s="2"/>
      <c r="C103" s="14"/>
    </row>
    <row r="104" spans="1:3">
      <c r="A104" s="2" t="str">
        <f t="shared" si="1"/>
        <v/>
      </c>
      <c r="B104" s="2"/>
      <c r="C104" s="14"/>
    </row>
    <row r="105" spans="1:3">
      <c r="A105" s="2" t="str">
        <f t="shared" si="1"/>
        <v/>
      </c>
      <c r="B105" s="2"/>
      <c r="C105" s="14"/>
    </row>
    <row r="106" spans="1:3">
      <c r="A106" s="2" t="str">
        <f t="shared" si="1"/>
        <v/>
      </c>
      <c r="B106" s="2"/>
      <c r="C106" s="14"/>
    </row>
    <row r="107" spans="1:3">
      <c r="A107" s="2" t="str">
        <f t="shared" si="1"/>
        <v/>
      </c>
      <c r="B107" s="2"/>
      <c r="C107" s="14"/>
    </row>
    <row r="108" spans="1:3">
      <c r="A108" s="2" t="str">
        <f t="shared" si="1"/>
        <v/>
      </c>
      <c r="B108" s="2"/>
      <c r="C108" s="14"/>
    </row>
    <row r="109" spans="1:3">
      <c r="A109" s="2" t="str">
        <f t="shared" si="1"/>
        <v/>
      </c>
      <c r="B109" s="2"/>
      <c r="C109" s="14"/>
    </row>
    <row r="110" spans="1:3">
      <c r="A110" s="2" t="str">
        <f t="shared" si="1"/>
        <v/>
      </c>
      <c r="B110" s="2"/>
      <c r="C110" s="14"/>
    </row>
    <row r="111" spans="1:3">
      <c r="A111" s="2" t="str">
        <f t="shared" si="1"/>
        <v/>
      </c>
      <c r="B111" s="2"/>
      <c r="C111" s="14"/>
    </row>
    <row r="112" spans="1:3">
      <c r="A112" s="2" t="str">
        <f t="shared" si="1"/>
        <v/>
      </c>
      <c r="B112" s="2"/>
      <c r="C112" s="14"/>
    </row>
    <row r="113" spans="1:3">
      <c r="A113" s="2" t="str">
        <f t="shared" si="1"/>
        <v/>
      </c>
      <c r="B113" s="2"/>
      <c r="C113" s="14"/>
    </row>
    <row r="114" spans="1:3">
      <c r="A114" s="2" t="str">
        <f t="shared" si="1"/>
        <v/>
      </c>
      <c r="B114" s="2"/>
      <c r="C114" s="14"/>
    </row>
    <row r="115" spans="1:3">
      <c r="A115" s="2" t="str">
        <f t="shared" si="1"/>
        <v/>
      </c>
      <c r="B115" s="2"/>
      <c r="C115" s="14"/>
    </row>
    <row r="116" spans="1:3">
      <c r="A116" s="2" t="str">
        <f t="shared" si="1"/>
        <v/>
      </c>
      <c r="B116" s="2"/>
      <c r="C116" s="14"/>
    </row>
    <row r="117" spans="1:3">
      <c r="A117" s="2" t="str">
        <f t="shared" si="1"/>
        <v/>
      </c>
      <c r="B117" s="2"/>
      <c r="C117" s="14"/>
    </row>
    <row r="118" spans="1:3">
      <c r="A118" s="2" t="str">
        <f t="shared" si="1"/>
        <v/>
      </c>
      <c r="B118" s="2"/>
      <c r="C118" s="14"/>
    </row>
    <row r="119" spans="1:3">
      <c r="A119" s="2" t="str">
        <f t="shared" si="1"/>
        <v/>
      </c>
      <c r="B119" s="2"/>
      <c r="C119" s="14"/>
    </row>
    <row r="120" spans="1:3">
      <c r="A120" s="2" t="str">
        <f t="shared" si="1"/>
        <v/>
      </c>
      <c r="B120" s="2"/>
      <c r="C120" s="14"/>
    </row>
    <row r="121" spans="1:3">
      <c r="A121" s="2" t="str">
        <f t="shared" si="1"/>
        <v/>
      </c>
      <c r="B121" s="2"/>
      <c r="C121" s="14"/>
    </row>
    <row r="122" spans="1:3">
      <c r="A122" s="2" t="str">
        <f t="shared" si="1"/>
        <v/>
      </c>
      <c r="B122" s="2"/>
      <c r="C122" s="14"/>
    </row>
    <row r="123" spans="1:3">
      <c r="A123" s="2" t="str">
        <f t="shared" si="1"/>
        <v/>
      </c>
      <c r="B123" s="2"/>
      <c r="C123" s="14"/>
    </row>
    <row r="124" spans="1:3">
      <c r="A124" s="2" t="str">
        <f t="shared" si="1"/>
        <v/>
      </c>
      <c r="B124" s="2"/>
      <c r="C124" s="14"/>
    </row>
    <row r="125" spans="1:3">
      <c r="A125" s="2" t="str">
        <f t="shared" si="1"/>
        <v/>
      </c>
      <c r="B125" s="2"/>
      <c r="C125" s="14"/>
    </row>
    <row r="126" spans="1:3">
      <c r="A126" s="2" t="str">
        <f t="shared" si="1"/>
        <v/>
      </c>
      <c r="B126" s="2"/>
      <c r="C126" s="14"/>
    </row>
    <row r="127" spans="1:3">
      <c r="A127" s="2" t="str">
        <f t="shared" si="1"/>
        <v/>
      </c>
      <c r="B127" s="2"/>
      <c r="C127" s="14"/>
    </row>
    <row r="128" spans="1:3">
      <c r="A128" s="2" t="str">
        <f t="shared" si="1"/>
        <v/>
      </c>
      <c r="B128" s="2"/>
      <c r="C128" s="14"/>
    </row>
    <row r="129" spans="1:3">
      <c r="A129" s="2" t="str">
        <f t="shared" si="1"/>
        <v/>
      </c>
      <c r="B129" s="2"/>
      <c r="C129" s="14"/>
    </row>
    <row r="130" spans="1:3">
      <c r="A130" s="2" t="str">
        <f t="shared" ref="A130:A193" si="2">IF(B130&lt;&gt;"","L-"&amp;TEXT(ROW()-1,"0000"),"")</f>
        <v/>
      </c>
      <c r="B130" s="2"/>
      <c r="C130" s="14"/>
    </row>
    <row r="131" spans="1:3">
      <c r="A131" s="2" t="str">
        <f t="shared" si="2"/>
        <v/>
      </c>
      <c r="B131" s="2"/>
      <c r="C131" s="14"/>
    </row>
    <row r="132" spans="1:3">
      <c r="A132" s="2" t="str">
        <f t="shared" si="2"/>
        <v/>
      </c>
      <c r="B132" s="2"/>
      <c r="C132" s="14"/>
    </row>
    <row r="133" spans="1:3">
      <c r="A133" s="2" t="str">
        <f t="shared" si="2"/>
        <v/>
      </c>
      <c r="B133" s="2"/>
      <c r="C133" s="14"/>
    </row>
    <row r="134" spans="1:3">
      <c r="A134" s="2" t="str">
        <f t="shared" si="2"/>
        <v/>
      </c>
      <c r="B134" s="2"/>
      <c r="C134" s="14"/>
    </row>
    <row r="135" spans="1:3">
      <c r="A135" s="2" t="str">
        <f t="shared" si="2"/>
        <v/>
      </c>
      <c r="B135" s="2"/>
      <c r="C135" s="14"/>
    </row>
    <row r="136" spans="1:3">
      <c r="A136" s="2" t="str">
        <f t="shared" si="2"/>
        <v/>
      </c>
      <c r="B136" s="2"/>
      <c r="C136" s="14"/>
    </row>
    <row r="137" spans="1:3">
      <c r="A137" s="2" t="str">
        <f t="shared" si="2"/>
        <v/>
      </c>
      <c r="B137" s="2"/>
      <c r="C137" s="14"/>
    </row>
    <row r="138" spans="1:3">
      <c r="A138" s="2" t="str">
        <f t="shared" si="2"/>
        <v/>
      </c>
      <c r="B138" s="2"/>
      <c r="C138" s="14"/>
    </row>
    <row r="139" spans="1:3">
      <c r="A139" s="2" t="str">
        <f t="shared" si="2"/>
        <v/>
      </c>
      <c r="B139" s="2"/>
      <c r="C139" s="14"/>
    </row>
    <row r="140" spans="1:3">
      <c r="A140" s="2" t="str">
        <f t="shared" si="2"/>
        <v/>
      </c>
      <c r="B140" s="2"/>
      <c r="C140" s="14"/>
    </row>
    <row r="141" spans="1:3">
      <c r="A141" s="2" t="str">
        <f t="shared" si="2"/>
        <v/>
      </c>
      <c r="B141" s="2"/>
      <c r="C141" s="14"/>
    </row>
    <row r="142" spans="1:3">
      <c r="A142" s="2" t="str">
        <f t="shared" si="2"/>
        <v/>
      </c>
      <c r="B142" s="2"/>
      <c r="C142" s="14"/>
    </row>
    <row r="143" spans="1:3">
      <c r="A143" s="2" t="str">
        <f t="shared" si="2"/>
        <v/>
      </c>
      <c r="B143" s="2"/>
      <c r="C143" s="14"/>
    </row>
    <row r="144" spans="1:3">
      <c r="A144" s="2" t="str">
        <f t="shared" si="2"/>
        <v/>
      </c>
      <c r="B144" s="2"/>
      <c r="C144" s="14"/>
    </row>
    <row r="145" spans="1:3">
      <c r="A145" s="2" t="str">
        <f t="shared" si="2"/>
        <v/>
      </c>
      <c r="B145" s="2"/>
      <c r="C145" s="14"/>
    </row>
    <row r="146" spans="1:3">
      <c r="A146" s="2" t="str">
        <f t="shared" si="2"/>
        <v/>
      </c>
      <c r="B146" s="2"/>
      <c r="C146" s="14"/>
    </row>
    <row r="147" spans="1:3">
      <c r="A147" s="2" t="str">
        <f t="shared" si="2"/>
        <v/>
      </c>
      <c r="B147" s="2"/>
      <c r="C147" s="14"/>
    </row>
    <row r="148" spans="1:3">
      <c r="A148" s="2" t="str">
        <f t="shared" si="2"/>
        <v/>
      </c>
      <c r="B148" s="2"/>
      <c r="C148" s="14"/>
    </row>
    <row r="149" spans="1:3">
      <c r="A149" s="2" t="str">
        <f t="shared" si="2"/>
        <v/>
      </c>
      <c r="B149" s="2"/>
      <c r="C149" s="14"/>
    </row>
    <row r="150" spans="1:3">
      <c r="A150" s="2" t="str">
        <f t="shared" si="2"/>
        <v/>
      </c>
      <c r="B150" s="2"/>
      <c r="C150" s="14"/>
    </row>
    <row r="151" spans="1:3">
      <c r="A151" s="2" t="str">
        <f t="shared" si="2"/>
        <v/>
      </c>
      <c r="B151" s="2"/>
      <c r="C151" s="14"/>
    </row>
    <row r="152" spans="1:3">
      <c r="A152" s="2" t="str">
        <f t="shared" si="2"/>
        <v/>
      </c>
      <c r="B152" s="2"/>
      <c r="C152" s="14"/>
    </row>
    <row r="153" spans="1:3">
      <c r="A153" s="2" t="str">
        <f t="shared" si="2"/>
        <v/>
      </c>
      <c r="B153" s="2"/>
      <c r="C153" s="14"/>
    </row>
    <row r="154" spans="1:3">
      <c r="A154" s="2" t="str">
        <f t="shared" si="2"/>
        <v/>
      </c>
      <c r="B154" s="2"/>
      <c r="C154" s="14"/>
    </row>
    <row r="155" spans="1:3">
      <c r="A155" s="2" t="str">
        <f t="shared" si="2"/>
        <v/>
      </c>
      <c r="B155" s="2"/>
      <c r="C155" s="14"/>
    </row>
    <row r="156" spans="1:3">
      <c r="A156" s="2" t="str">
        <f t="shared" si="2"/>
        <v/>
      </c>
      <c r="B156" s="2"/>
      <c r="C156" s="14"/>
    </row>
    <row r="157" spans="1:3">
      <c r="A157" s="2" t="str">
        <f t="shared" si="2"/>
        <v/>
      </c>
      <c r="B157" s="2"/>
      <c r="C157" s="14"/>
    </row>
    <row r="158" spans="1:3">
      <c r="A158" s="2" t="str">
        <f t="shared" si="2"/>
        <v/>
      </c>
      <c r="B158" s="2"/>
      <c r="C158" s="14"/>
    </row>
    <row r="159" spans="1:3">
      <c r="A159" s="2" t="str">
        <f t="shared" si="2"/>
        <v/>
      </c>
      <c r="B159" s="2"/>
      <c r="C159" s="14"/>
    </row>
    <row r="160" spans="1:3">
      <c r="A160" s="2" t="str">
        <f t="shared" si="2"/>
        <v/>
      </c>
      <c r="B160" s="2"/>
      <c r="C160" s="14"/>
    </row>
    <row r="161" spans="1:3">
      <c r="A161" s="2" t="str">
        <f t="shared" si="2"/>
        <v/>
      </c>
      <c r="B161" s="2"/>
      <c r="C161" s="14"/>
    </row>
    <row r="162" spans="1:3">
      <c r="A162" s="2" t="str">
        <f t="shared" si="2"/>
        <v/>
      </c>
      <c r="B162" s="2"/>
      <c r="C162" s="14"/>
    </row>
    <row r="163" spans="1:3">
      <c r="A163" s="2" t="str">
        <f t="shared" si="2"/>
        <v/>
      </c>
      <c r="B163" s="2"/>
      <c r="C163" s="14"/>
    </row>
    <row r="164" spans="1:3">
      <c r="A164" s="2" t="str">
        <f t="shared" si="2"/>
        <v/>
      </c>
      <c r="B164" s="2"/>
      <c r="C164" s="14"/>
    </row>
    <row r="165" spans="1:3">
      <c r="A165" s="2" t="str">
        <f t="shared" si="2"/>
        <v/>
      </c>
      <c r="B165" s="2"/>
      <c r="C165" s="14"/>
    </row>
    <row r="166" spans="1:3">
      <c r="A166" s="2" t="str">
        <f t="shared" si="2"/>
        <v/>
      </c>
      <c r="B166" s="2"/>
      <c r="C166" s="14"/>
    </row>
    <row r="167" spans="1:3">
      <c r="A167" s="2" t="str">
        <f t="shared" si="2"/>
        <v/>
      </c>
      <c r="B167" s="2"/>
      <c r="C167" s="14"/>
    </row>
    <row r="168" spans="1:3">
      <c r="A168" s="2" t="str">
        <f t="shared" si="2"/>
        <v/>
      </c>
      <c r="B168" s="2"/>
      <c r="C168" s="14"/>
    </row>
    <row r="169" spans="1:3">
      <c r="A169" s="2" t="str">
        <f t="shared" si="2"/>
        <v/>
      </c>
      <c r="B169" s="2"/>
      <c r="C169" s="14"/>
    </row>
    <row r="170" spans="1:3">
      <c r="A170" s="2" t="str">
        <f t="shared" si="2"/>
        <v/>
      </c>
      <c r="B170" s="2"/>
      <c r="C170" s="14"/>
    </row>
    <row r="171" spans="1:3">
      <c r="A171" s="2" t="str">
        <f t="shared" si="2"/>
        <v/>
      </c>
      <c r="B171" s="2"/>
      <c r="C171" s="14"/>
    </row>
    <row r="172" spans="1:3">
      <c r="A172" s="2" t="str">
        <f t="shared" si="2"/>
        <v/>
      </c>
      <c r="B172" s="2"/>
      <c r="C172" s="14"/>
    </row>
    <row r="173" spans="1:3">
      <c r="A173" s="2" t="str">
        <f t="shared" si="2"/>
        <v/>
      </c>
      <c r="B173" s="2"/>
      <c r="C173" s="14"/>
    </row>
    <row r="174" spans="1:3">
      <c r="A174" s="2" t="str">
        <f t="shared" si="2"/>
        <v/>
      </c>
      <c r="B174" s="2"/>
      <c r="C174" s="14"/>
    </row>
    <row r="175" spans="1:3">
      <c r="A175" s="2" t="str">
        <f t="shared" si="2"/>
        <v/>
      </c>
      <c r="B175" s="2"/>
      <c r="C175" s="14"/>
    </row>
    <row r="176" spans="1:3">
      <c r="A176" s="2" t="str">
        <f t="shared" si="2"/>
        <v/>
      </c>
      <c r="B176" s="2"/>
      <c r="C176" s="14"/>
    </row>
    <row r="177" spans="1:3">
      <c r="A177" s="2" t="str">
        <f t="shared" si="2"/>
        <v/>
      </c>
      <c r="B177" s="2"/>
      <c r="C177" s="14"/>
    </row>
    <row r="178" spans="1:3">
      <c r="A178" s="2" t="str">
        <f t="shared" si="2"/>
        <v/>
      </c>
      <c r="B178" s="2"/>
      <c r="C178" s="14"/>
    </row>
    <row r="179" spans="1:3">
      <c r="A179" s="2" t="str">
        <f t="shared" si="2"/>
        <v/>
      </c>
      <c r="B179" s="2"/>
      <c r="C179" s="14"/>
    </row>
    <row r="180" spans="1:3">
      <c r="A180" s="2" t="str">
        <f t="shared" si="2"/>
        <v/>
      </c>
      <c r="B180" s="2"/>
      <c r="C180" s="14"/>
    </row>
    <row r="181" spans="1:3">
      <c r="A181" s="2" t="str">
        <f t="shared" si="2"/>
        <v/>
      </c>
      <c r="B181" s="2"/>
      <c r="C181" s="14"/>
    </row>
    <row r="182" spans="1:3">
      <c r="A182" s="2" t="str">
        <f t="shared" si="2"/>
        <v/>
      </c>
      <c r="B182" s="2"/>
      <c r="C182" s="14"/>
    </row>
    <row r="183" spans="1:3">
      <c r="A183" s="2" t="str">
        <f t="shared" si="2"/>
        <v/>
      </c>
      <c r="B183" s="2"/>
      <c r="C183" s="14"/>
    </row>
    <row r="184" spans="1:3">
      <c r="A184" s="2" t="str">
        <f t="shared" si="2"/>
        <v/>
      </c>
      <c r="B184" s="2"/>
      <c r="C184" s="14"/>
    </row>
    <row r="185" spans="1:3">
      <c r="A185" s="2" t="str">
        <f t="shared" si="2"/>
        <v/>
      </c>
      <c r="B185" s="2"/>
      <c r="C185" s="14"/>
    </row>
    <row r="186" spans="1:3">
      <c r="A186" s="2" t="str">
        <f t="shared" si="2"/>
        <v/>
      </c>
      <c r="B186" s="2"/>
      <c r="C186" s="14"/>
    </row>
    <row r="187" spans="1:3">
      <c r="A187" s="2" t="str">
        <f t="shared" si="2"/>
        <v/>
      </c>
      <c r="B187" s="2"/>
      <c r="C187" s="14"/>
    </row>
    <row r="188" spans="1:3">
      <c r="A188" s="2" t="str">
        <f t="shared" si="2"/>
        <v/>
      </c>
      <c r="B188" s="2"/>
      <c r="C188" s="14"/>
    </row>
    <row r="189" spans="1:3">
      <c r="A189" s="2" t="str">
        <f t="shared" si="2"/>
        <v/>
      </c>
      <c r="B189" s="2"/>
      <c r="C189" s="14"/>
    </row>
    <row r="190" spans="1:3">
      <c r="A190" s="2" t="str">
        <f t="shared" si="2"/>
        <v/>
      </c>
      <c r="B190" s="2"/>
      <c r="C190" s="14"/>
    </row>
    <row r="191" spans="1:3">
      <c r="A191" s="2" t="str">
        <f t="shared" si="2"/>
        <v/>
      </c>
      <c r="B191" s="2"/>
      <c r="C191" s="14"/>
    </row>
    <row r="192" spans="1:3">
      <c r="A192" s="2" t="str">
        <f t="shared" si="2"/>
        <v/>
      </c>
      <c r="B192" s="2"/>
      <c r="C192" s="14"/>
    </row>
    <row r="193" spans="1:3">
      <c r="A193" s="2" t="str">
        <f t="shared" si="2"/>
        <v/>
      </c>
      <c r="B193" s="2"/>
      <c r="C193" s="14"/>
    </row>
    <row r="194" spans="1:3">
      <c r="A194" s="2" t="str">
        <f t="shared" ref="A194:A257" si="3">IF(B194&lt;&gt;"","L-"&amp;TEXT(ROW()-1,"0000"),"")</f>
        <v/>
      </c>
      <c r="B194" s="2"/>
      <c r="C194" s="14"/>
    </row>
    <row r="195" spans="1:3">
      <c r="A195" s="2" t="str">
        <f t="shared" si="3"/>
        <v/>
      </c>
      <c r="B195" s="2"/>
      <c r="C195" s="14"/>
    </row>
    <row r="196" spans="1:3">
      <c r="A196" s="2" t="str">
        <f t="shared" si="3"/>
        <v/>
      </c>
      <c r="B196" s="2"/>
      <c r="C196" s="14"/>
    </row>
    <row r="197" spans="1:3">
      <c r="A197" s="2" t="str">
        <f t="shared" si="3"/>
        <v/>
      </c>
      <c r="B197" s="2"/>
      <c r="C197" s="14"/>
    </row>
    <row r="198" spans="1:3">
      <c r="A198" s="2" t="str">
        <f t="shared" si="3"/>
        <v/>
      </c>
      <c r="B198" s="2"/>
      <c r="C198" s="14"/>
    </row>
    <row r="199" spans="1:3">
      <c r="A199" s="2" t="str">
        <f t="shared" si="3"/>
        <v/>
      </c>
      <c r="B199" s="2"/>
      <c r="C199" s="14"/>
    </row>
    <row r="200" spans="1:3">
      <c r="A200" s="2" t="str">
        <f t="shared" si="3"/>
        <v/>
      </c>
      <c r="B200" s="2"/>
      <c r="C200" s="14"/>
    </row>
    <row r="201" spans="1:3">
      <c r="A201" s="2" t="str">
        <f t="shared" si="3"/>
        <v/>
      </c>
      <c r="B201" s="2"/>
      <c r="C201" s="14"/>
    </row>
    <row r="202" spans="1:3">
      <c r="A202" s="2" t="str">
        <f t="shared" si="3"/>
        <v/>
      </c>
      <c r="B202" s="2"/>
      <c r="C202" s="14"/>
    </row>
    <row r="203" spans="1:3">
      <c r="A203" s="2" t="str">
        <f t="shared" si="3"/>
        <v/>
      </c>
      <c r="B203" s="2"/>
      <c r="C203" s="14"/>
    </row>
    <row r="204" spans="1:3">
      <c r="A204" s="2" t="str">
        <f t="shared" si="3"/>
        <v/>
      </c>
      <c r="B204" s="2"/>
      <c r="C204" s="14"/>
    </row>
    <row r="205" spans="1:3">
      <c r="A205" s="2" t="str">
        <f t="shared" si="3"/>
        <v/>
      </c>
      <c r="B205" s="2"/>
      <c r="C205" s="14"/>
    </row>
    <row r="206" spans="1:3">
      <c r="A206" s="2" t="str">
        <f t="shared" si="3"/>
        <v/>
      </c>
      <c r="B206" s="2"/>
      <c r="C206" s="14"/>
    </row>
    <row r="207" spans="1:3">
      <c r="A207" s="2" t="str">
        <f t="shared" si="3"/>
        <v/>
      </c>
      <c r="B207" s="2"/>
      <c r="C207" s="14"/>
    </row>
    <row r="208" spans="1:3">
      <c r="A208" s="2" t="str">
        <f t="shared" si="3"/>
        <v/>
      </c>
      <c r="B208" s="2"/>
      <c r="C208" s="14"/>
    </row>
    <row r="209" spans="1:3">
      <c r="A209" s="2" t="str">
        <f t="shared" si="3"/>
        <v/>
      </c>
      <c r="B209" s="2"/>
      <c r="C209" s="14"/>
    </row>
    <row r="210" spans="1:3">
      <c r="A210" s="2" t="str">
        <f t="shared" si="3"/>
        <v/>
      </c>
      <c r="B210" s="2"/>
      <c r="C210" s="14"/>
    </row>
    <row r="211" spans="1:3">
      <c r="A211" s="2" t="str">
        <f t="shared" si="3"/>
        <v/>
      </c>
      <c r="B211" s="2"/>
      <c r="C211" s="14"/>
    </row>
    <row r="212" spans="1:3">
      <c r="A212" s="2" t="str">
        <f t="shared" si="3"/>
        <v/>
      </c>
      <c r="B212" s="2"/>
      <c r="C212" s="14"/>
    </row>
    <row r="213" spans="1:3">
      <c r="A213" s="2" t="str">
        <f t="shared" si="3"/>
        <v/>
      </c>
      <c r="B213" s="2"/>
      <c r="C213" s="14"/>
    </row>
    <row r="214" spans="1:3">
      <c r="A214" s="2" t="str">
        <f t="shared" si="3"/>
        <v/>
      </c>
      <c r="B214" s="2"/>
      <c r="C214" s="14"/>
    </row>
    <row r="215" spans="1:3">
      <c r="A215" s="2" t="str">
        <f t="shared" si="3"/>
        <v/>
      </c>
      <c r="B215" s="2"/>
      <c r="C215" s="14"/>
    </row>
    <row r="216" spans="1:3">
      <c r="A216" s="2" t="str">
        <f t="shared" si="3"/>
        <v/>
      </c>
      <c r="B216" s="2"/>
      <c r="C216" s="14"/>
    </row>
    <row r="217" spans="1:3">
      <c r="A217" s="2" t="str">
        <f t="shared" si="3"/>
        <v/>
      </c>
      <c r="B217" s="2"/>
      <c r="C217" s="14"/>
    </row>
    <row r="218" spans="1:3">
      <c r="A218" s="2" t="str">
        <f t="shared" si="3"/>
        <v/>
      </c>
      <c r="B218" s="2"/>
      <c r="C218" s="14"/>
    </row>
    <row r="219" spans="1:3">
      <c r="A219" s="2" t="str">
        <f t="shared" si="3"/>
        <v/>
      </c>
      <c r="B219" s="2"/>
      <c r="C219" s="14"/>
    </row>
    <row r="220" spans="1:3">
      <c r="A220" s="2" t="str">
        <f t="shared" si="3"/>
        <v/>
      </c>
      <c r="B220" s="2"/>
      <c r="C220" s="14"/>
    </row>
    <row r="221" spans="1:3">
      <c r="A221" s="2" t="str">
        <f t="shared" si="3"/>
        <v/>
      </c>
      <c r="B221" s="2"/>
      <c r="C221" s="14"/>
    </row>
    <row r="222" spans="1:3">
      <c r="A222" s="2" t="str">
        <f t="shared" si="3"/>
        <v/>
      </c>
      <c r="B222" s="2"/>
      <c r="C222" s="14"/>
    </row>
    <row r="223" spans="1:3">
      <c r="A223" s="2" t="str">
        <f t="shared" si="3"/>
        <v/>
      </c>
      <c r="B223" s="2"/>
      <c r="C223" s="14"/>
    </row>
    <row r="224" spans="1:3">
      <c r="A224" s="2" t="str">
        <f t="shared" si="3"/>
        <v/>
      </c>
      <c r="B224" s="2"/>
      <c r="C224" s="14"/>
    </row>
    <row r="225" spans="1:3">
      <c r="A225" s="2" t="str">
        <f t="shared" si="3"/>
        <v/>
      </c>
      <c r="B225" s="2"/>
      <c r="C225" s="14"/>
    </row>
    <row r="226" spans="1:3">
      <c r="A226" s="2" t="str">
        <f t="shared" si="3"/>
        <v/>
      </c>
      <c r="B226" s="2"/>
      <c r="C226" s="14"/>
    </row>
    <row r="227" spans="1:3">
      <c r="A227" s="2" t="str">
        <f t="shared" si="3"/>
        <v/>
      </c>
      <c r="B227" s="2"/>
      <c r="C227" s="14"/>
    </row>
    <row r="228" spans="1:3">
      <c r="A228" s="2" t="str">
        <f t="shared" si="3"/>
        <v/>
      </c>
      <c r="B228" s="2"/>
      <c r="C228" s="14"/>
    </row>
    <row r="229" spans="1:3">
      <c r="A229" s="2" t="str">
        <f t="shared" si="3"/>
        <v/>
      </c>
      <c r="B229" s="2"/>
      <c r="C229" s="14"/>
    </row>
    <row r="230" spans="1:3">
      <c r="A230" s="2" t="str">
        <f t="shared" si="3"/>
        <v/>
      </c>
      <c r="B230" s="2"/>
      <c r="C230" s="14"/>
    </row>
    <row r="231" spans="1:3">
      <c r="A231" s="2" t="str">
        <f t="shared" si="3"/>
        <v/>
      </c>
      <c r="B231" s="2"/>
      <c r="C231" s="14"/>
    </row>
    <row r="232" spans="1:3">
      <c r="A232" s="2" t="str">
        <f t="shared" si="3"/>
        <v/>
      </c>
      <c r="B232" s="2"/>
      <c r="C232" s="14"/>
    </row>
    <row r="233" spans="1:3">
      <c r="A233" s="2" t="str">
        <f t="shared" si="3"/>
        <v/>
      </c>
      <c r="B233" s="2"/>
      <c r="C233" s="14"/>
    </row>
    <row r="234" spans="1:3">
      <c r="A234" s="2" t="str">
        <f t="shared" si="3"/>
        <v/>
      </c>
      <c r="B234" s="2"/>
      <c r="C234" s="14"/>
    </row>
    <row r="235" spans="1:3">
      <c r="A235" s="2" t="str">
        <f t="shared" si="3"/>
        <v/>
      </c>
      <c r="B235" s="2"/>
      <c r="C235" s="14"/>
    </row>
    <row r="236" spans="1:3">
      <c r="A236" s="2" t="str">
        <f t="shared" si="3"/>
        <v/>
      </c>
      <c r="B236" s="2"/>
      <c r="C236" s="14"/>
    </row>
    <row r="237" spans="1:3">
      <c r="A237" s="2" t="str">
        <f t="shared" si="3"/>
        <v/>
      </c>
      <c r="B237" s="2"/>
      <c r="C237" s="14"/>
    </row>
    <row r="238" spans="1:3">
      <c r="A238" s="2" t="str">
        <f t="shared" si="3"/>
        <v/>
      </c>
      <c r="B238" s="2"/>
      <c r="C238" s="14"/>
    </row>
    <row r="239" spans="1:3">
      <c r="A239" s="2" t="str">
        <f t="shared" si="3"/>
        <v/>
      </c>
      <c r="B239" s="2"/>
      <c r="C239" s="14"/>
    </row>
    <row r="240" spans="1:3">
      <c r="A240" s="2" t="str">
        <f t="shared" si="3"/>
        <v/>
      </c>
      <c r="B240" s="2"/>
      <c r="C240" s="14"/>
    </row>
    <row r="241" spans="1:3">
      <c r="A241" s="2" t="str">
        <f t="shared" si="3"/>
        <v/>
      </c>
      <c r="B241" s="2"/>
      <c r="C241" s="14"/>
    </row>
    <row r="242" spans="1:3">
      <c r="A242" s="2" t="str">
        <f t="shared" si="3"/>
        <v/>
      </c>
      <c r="B242" s="2"/>
      <c r="C242" s="14"/>
    </row>
    <row r="243" spans="1:3">
      <c r="A243" s="2" t="str">
        <f t="shared" si="3"/>
        <v/>
      </c>
      <c r="B243" s="2"/>
      <c r="C243" s="14"/>
    </row>
    <row r="244" spans="1:3">
      <c r="A244" s="2" t="str">
        <f t="shared" si="3"/>
        <v/>
      </c>
      <c r="B244" s="2"/>
      <c r="C244" s="14"/>
    </row>
    <row r="245" spans="1:3">
      <c r="A245" s="2" t="str">
        <f t="shared" si="3"/>
        <v/>
      </c>
      <c r="B245" s="2"/>
      <c r="C245" s="14"/>
    </row>
    <row r="246" spans="1:3">
      <c r="A246" s="2" t="str">
        <f t="shared" si="3"/>
        <v/>
      </c>
      <c r="B246" s="2"/>
      <c r="C246" s="14"/>
    </row>
    <row r="247" spans="1:3">
      <c r="A247" s="2" t="str">
        <f t="shared" si="3"/>
        <v/>
      </c>
      <c r="B247" s="2"/>
      <c r="C247" s="14"/>
    </row>
    <row r="248" spans="1:3">
      <c r="A248" s="2" t="str">
        <f t="shared" si="3"/>
        <v/>
      </c>
      <c r="B248" s="2"/>
      <c r="C248" s="14"/>
    </row>
    <row r="249" spans="1:3">
      <c r="A249" s="2" t="str">
        <f t="shared" si="3"/>
        <v/>
      </c>
      <c r="B249" s="2"/>
      <c r="C249" s="14"/>
    </row>
    <row r="250" spans="1:3">
      <c r="A250" s="2" t="str">
        <f t="shared" si="3"/>
        <v/>
      </c>
      <c r="B250" s="2"/>
      <c r="C250" s="14"/>
    </row>
    <row r="251" spans="1:3">
      <c r="A251" s="2" t="str">
        <f t="shared" si="3"/>
        <v/>
      </c>
      <c r="B251" s="2"/>
      <c r="C251" s="14"/>
    </row>
    <row r="252" spans="1:3">
      <c r="A252" s="2" t="str">
        <f t="shared" si="3"/>
        <v/>
      </c>
      <c r="B252" s="2"/>
      <c r="C252" s="14"/>
    </row>
    <row r="253" spans="1:3">
      <c r="A253" s="2" t="str">
        <f t="shared" si="3"/>
        <v/>
      </c>
      <c r="B253" s="2"/>
      <c r="C253" s="14"/>
    </row>
    <row r="254" spans="1:3">
      <c r="A254" s="2" t="str">
        <f t="shared" si="3"/>
        <v/>
      </c>
      <c r="B254" s="2"/>
      <c r="C254" s="14"/>
    </row>
    <row r="255" spans="1:3">
      <c r="A255" s="2" t="str">
        <f t="shared" si="3"/>
        <v/>
      </c>
      <c r="B255" s="2"/>
      <c r="C255" s="14"/>
    </row>
    <row r="256" spans="1:3">
      <c r="A256" s="2" t="str">
        <f t="shared" si="3"/>
        <v/>
      </c>
      <c r="B256" s="2"/>
      <c r="C256" s="14"/>
    </row>
    <row r="257" spans="1:3">
      <c r="A257" s="2" t="str">
        <f t="shared" si="3"/>
        <v/>
      </c>
      <c r="B257" s="2"/>
      <c r="C257" s="14"/>
    </row>
    <row r="258" spans="1:3">
      <c r="A258" s="2" t="str">
        <f t="shared" ref="A258:A321" si="4">IF(B258&lt;&gt;"","L-"&amp;TEXT(ROW()-1,"0000"),"")</f>
        <v/>
      </c>
      <c r="B258" s="2"/>
      <c r="C258" s="14"/>
    </row>
    <row r="259" spans="1:3">
      <c r="A259" s="2" t="str">
        <f t="shared" si="4"/>
        <v/>
      </c>
      <c r="B259" s="2"/>
      <c r="C259" s="14"/>
    </row>
    <row r="260" spans="1:3">
      <c r="A260" s="2" t="str">
        <f t="shared" si="4"/>
        <v/>
      </c>
      <c r="B260" s="2"/>
      <c r="C260" s="14"/>
    </row>
    <row r="261" spans="1:3">
      <c r="A261" s="2" t="str">
        <f t="shared" si="4"/>
        <v/>
      </c>
      <c r="B261" s="2"/>
      <c r="C261" s="14"/>
    </row>
    <row r="262" spans="1:3">
      <c r="A262" s="2" t="str">
        <f t="shared" si="4"/>
        <v/>
      </c>
      <c r="B262" s="2"/>
      <c r="C262" s="14"/>
    </row>
    <row r="263" spans="1:3">
      <c r="A263" s="2" t="str">
        <f t="shared" si="4"/>
        <v/>
      </c>
      <c r="B263" s="2"/>
      <c r="C263" s="14"/>
    </row>
    <row r="264" spans="1:3">
      <c r="A264" s="2" t="str">
        <f t="shared" si="4"/>
        <v/>
      </c>
      <c r="B264" s="2"/>
      <c r="C264" s="14"/>
    </row>
    <row r="265" spans="1:3">
      <c r="A265" s="2" t="str">
        <f t="shared" si="4"/>
        <v/>
      </c>
      <c r="B265" s="2"/>
      <c r="C265" s="14"/>
    </row>
    <row r="266" spans="1:3">
      <c r="A266" s="2" t="str">
        <f t="shared" si="4"/>
        <v/>
      </c>
      <c r="B266" s="2"/>
      <c r="C266" s="14"/>
    </row>
    <row r="267" spans="1:3">
      <c r="A267" s="2" t="str">
        <f t="shared" si="4"/>
        <v/>
      </c>
      <c r="B267" s="2"/>
      <c r="C267" s="14"/>
    </row>
    <row r="268" spans="1:3">
      <c r="A268" s="2" t="str">
        <f t="shared" si="4"/>
        <v/>
      </c>
      <c r="B268" s="2"/>
      <c r="C268" s="14"/>
    </row>
    <row r="269" spans="1:3">
      <c r="A269" s="2" t="str">
        <f t="shared" si="4"/>
        <v/>
      </c>
      <c r="B269" s="2"/>
      <c r="C269" s="14"/>
    </row>
    <row r="270" spans="1:3">
      <c r="A270" s="2" t="str">
        <f t="shared" si="4"/>
        <v/>
      </c>
      <c r="B270" s="2"/>
      <c r="C270" s="14"/>
    </row>
    <row r="271" spans="1:3">
      <c r="A271" s="2" t="str">
        <f t="shared" si="4"/>
        <v/>
      </c>
      <c r="B271" s="2"/>
      <c r="C271" s="14"/>
    </row>
    <row r="272" spans="1:3">
      <c r="A272" s="2" t="str">
        <f t="shared" si="4"/>
        <v/>
      </c>
      <c r="B272" s="2"/>
      <c r="C272" s="14"/>
    </row>
    <row r="273" spans="1:3">
      <c r="A273" s="2" t="str">
        <f t="shared" si="4"/>
        <v/>
      </c>
      <c r="B273" s="2"/>
      <c r="C273" s="14"/>
    </row>
    <row r="274" spans="1:3">
      <c r="A274" s="2" t="str">
        <f t="shared" si="4"/>
        <v/>
      </c>
      <c r="B274" s="2"/>
      <c r="C274" s="14"/>
    </row>
    <row r="275" spans="1:3">
      <c r="A275" s="2" t="str">
        <f t="shared" si="4"/>
        <v/>
      </c>
      <c r="B275" s="2"/>
      <c r="C275" s="14"/>
    </row>
    <row r="276" spans="1:3">
      <c r="A276" s="2" t="str">
        <f t="shared" si="4"/>
        <v/>
      </c>
      <c r="B276" s="2"/>
      <c r="C276" s="14"/>
    </row>
    <row r="277" spans="1:3">
      <c r="A277" s="2" t="str">
        <f t="shared" si="4"/>
        <v/>
      </c>
      <c r="B277" s="2"/>
      <c r="C277" s="14"/>
    </row>
    <row r="278" spans="1:3">
      <c r="A278" s="2" t="str">
        <f t="shared" si="4"/>
        <v/>
      </c>
      <c r="B278" s="2"/>
      <c r="C278" s="14"/>
    </row>
    <row r="279" spans="1:3">
      <c r="A279" s="2" t="str">
        <f t="shared" si="4"/>
        <v/>
      </c>
      <c r="B279" s="2"/>
      <c r="C279" s="14"/>
    </row>
    <row r="280" spans="1:3">
      <c r="A280" s="2" t="str">
        <f t="shared" si="4"/>
        <v/>
      </c>
      <c r="B280" s="2"/>
      <c r="C280" s="14"/>
    </row>
    <row r="281" spans="1:3">
      <c r="A281" s="2" t="str">
        <f t="shared" si="4"/>
        <v/>
      </c>
      <c r="B281" s="2"/>
      <c r="C281" s="14"/>
    </row>
    <row r="282" spans="1:3">
      <c r="A282" s="2" t="str">
        <f t="shared" si="4"/>
        <v/>
      </c>
      <c r="B282" s="2"/>
      <c r="C282" s="14"/>
    </row>
    <row r="283" spans="1:3">
      <c r="A283" s="2" t="str">
        <f t="shared" si="4"/>
        <v/>
      </c>
      <c r="B283" s="2"/>
      <c r="C283" s="14"/>
    </row>
    <row r="284" spans="1:3">
      <c r="A284" s="2" t="str">
        <f t="shared" si="4"/>
        <v/>
      </c>
      <c r="B284" s="2"/>
      <c r="C284" s="14"/>
    </row>
    <row r="285" spans="1:3">
      <c r="A285" s="2" t="str">
        <f t="shared" si="4"/>
        <v/>
      </c>
      <c r="B285" s="2"/>
      <c r="C285" s="14"/>
    </row>
    <row r="286" spans="1:3">
      <c r="A286" s="2" t="str">
        <f t="shared" si="4"/>
        <v/>
      </c>
      <c r="B286" s="2"/>
      <c r="C286" s="14"/>
    </row>
    <row r="287" spans="1:3">
      <c r="A287" s="2" t="str">
        <f t="shared" si="4"/>
        <v/>
      </c>
      <c r="B287" s="2"/>
      <c r="C287" s="14"/>
    </row>
    <row r="288" spans="1:3">
      <c r="A288" s="2" t="str">
        <f t="shared" si="4"/>
        <v/>
      </c>
      <c r="B288" s="2"/>
      <c r="C288" s="14"/>
    </row>
    <row r="289" spans="1:3">
      <c r="A289" s="2" t="str">
        <f t="shared" si="4"/>
        <v/>
      </c>
      <c r="B289" s="2"/>
      <c r="C289" s="14"/>
    </row>
    <row r="290" spans="1:3">
      <c r="A290" s="2" t="str">
        <f t="shared" si="4"/>
        <v/>
      </c>
      <c r="B290" s="2"/>
      <c r="C290" s="14"/>
    </row>
    <row r="291" spans="1:3">
      <c r="A291" s="2" t="str">
        <f t="shared" si="4"/>
        <v/>
      </c>
      <c r="B291" s="2"/>
      <c r="C291" s="14"/>
    </row>
    <row r="292" spans="1:3">
      <c r="A292" s="2" t="str">
        <f t="shared" si="4"/>
        <v/>
      </c>
      <c r="B292" s="2"/>
      <c r="C292" s="14"/>
    </row>
    <row r="293" spans="1:3">
      <c r="A293" s="2" t="str">
        <f t="shared" si="4"/>
        <v/>
      </c>
      <c r="B293" s="2"/>
      <c r="C293" s="14"/>
    </row>
    <row r="294" spans="1:3">
      <c r="A294" s="2" t="str">
        <f t="shared" si="4"/>
        <v/>
      </c>
      <c r="B294" s="2"/>
      <c r="C294" s="14"/>
    </row>
    <row r="295" spans="1:3">
      <c r="A295" s="2" t="str">
        <f t="shared" si="4"/>
        <v/>
      </c>
      <c r="B295" s="2"/>
      <c r="C295" s="14"/>
    </row>
    <row r="296" spans="1:3">
      <c r="A296" s="2" t="str">
        <f t="shared" si="4"/>
        <v/>
      </c>
      <c r="B296" s="2"/>
      <c r="C296" s="14"/>
    </row>
    <row r="297" spans="1:3">
      <c r="A297" s="2" t="str">
        <f t="shared" si="4"/>
        <v/>
      </c>
      <c r="B297" s="2"/>
      <c r="C297" s="14"/>
    </row>
    <row r="298" spans="1:3">
      <c r="A298" s="2" t="str">
        <f t="shared" si="4"/>
        <v/>
      </c>
      <c r="B298" s="2"/>
      <c r="C298" s="14"/>
    </row>
    <row r="299" spans="1:3">
      <c r="A299" s="2" t="str">
        <f t="shared" si="4"/>
        <v/>
      </c>
      <c r="B299" s="2"/>
      <c r="C299" s="14"/>
    </row>
    <row r="300" spans="1:3">
      <c r="A300" s="2" t="str">
        <f t="shared" si="4"/>
        <v/>
      </c>
      <c r="B300" s="2"/>
      <c r="C300" s="14"/>
    </row>
    <row r="301" spans="1:3">
      <c r="A301" s="2" t="str">
        <f t="shared" si="4"/>
        <v/>
      </c>
      <c r="B301" s="2"/>
      <c r="C301" s="14"/>
    </row>
    <row r="302" spans="1:3">
      <c r="A302" s="2" t="str">
        <f t="shared" si="4"/>
        <v/>
      </c>
      <c r="B302" s="2"/>
      <c r="C302" s="14"/>
    </row>
    <row r="303" spans="1:3">
      <c r="A303" s="2" t="str">
        <f t="shared" si="4"/>
        <v/>
      </c>
      <c r="B303" s="2"/>
      <c r="C303" s="14"/>
    </row>
    <row r="304" spans="1:3">
      <c r="A304" s="2" t="str">
        <f t="shared" si="4"/>
        <v/>
      </c>
      <c r="B304" s="2"/>
      <c r="C304" s="14"/>
    </row>
    <row r="305" spans="1:3">
      <c r="A305" s="2" t="str">
        <f t="shared" si="4"/>
        <v/>
      </c>
      <c r="B305" s="2"/>
      <c r="C305" s="14"/>
    </row>
    <row r="306" spans="1:3">
      <c r="A306" s="2" t="str">
        <f t="shared" si="4"/>
        <v/>
      </c>
      <c r="B306" s="2"/>
      <c r="C306" s="14"/>
    </row>
    <row r="307" spans="1:3">
      <c r="A307" s="2" t="str">
        <f t="shared" si="4"/>
        <v/>
      </c>
      <c r="B307" s="2"/>
      <c r="C307" s="14"/>
    </row>
    <row r="308" spans="1:3">
      <c r="A308" s="2" t="str">
        <f t="shared" si="4"/>
        <v/>
      </c>
      <c r="B308" s="2"/>
      <c r="C308" s="14"/>
    </row>
    <row r="309" spans="1:3">
      <c r="A309" s="2" t="str">
        <f t="shared" si="4"/>
        <v/>
      </c>
      <c r="B309" s="2"/>
      <c r="C309" s="14"/>
    </row>
    <row r="310" spans="1:3">
      <c r="A310" s="2" t="str">
        <f t="shared" si="4"/>
        <v/>
      </c>
      <c r="B310" s="2"/>
      <c r="C310" s="14"/>
    </row>
    <row r="311" spans="1:3">
      <c r="A311" s="2" t="str">
        <f t="shared" si="4"/>
        <v/>
      </c>
      <c r="B311" s="2"/>
      <c r="C311" s="14"/>
    </row>
    <row r="312" spans="1:3">
      <c r="A312" s="2" t="str">
        <f t="shared" si="4"/>
        <v/>
      </c>
      <c r="B312" s="2"/>
      <c r="C312" s="14"/>
    </row>
    <row r="313" spans="1:3">
      <c r="A313" s="2" t="str">
        <f t="shared" si="4"/>
        <v/>
      </c>
      <c r="B313" s="2"/>
      <c r="C313" s="14"/>
    </row>
    <row r="314" spans="1:3">
      <c r="A314" s="2" t="str">
        <f t="shared" si="4"/>
        <v/>
      </c>
      <c r="B314" s="2"/>
      <c r="C314" s="14"/>
    </row>
    <row r="315" spans="1:3">
      <c r="A315" s="2" t="str">
        <f t="shared" si="4"/>
        <v/>
      </c>
      <c r="B315" s="2"/>
      <c r="C315" s="14"/>
    </row>
    <row r="316" spans="1:3">
      <c r="A316" s="2" t="str">
        <f t="shared" si="4"/>
        <v/>
      </c>
      <c r="B316" s="2"/>
      <c r="C316" s="14"/>
    </row>
    <row r="317" spans="1:3">
      <c r="A317" s="2" t="str">
        <f t="shared" si="4"/>
        <v/>
      </c>
      <c r="B317" s="2"/>
      <c r="C317" s="14"/>
    </row>
    <row r="318" spans="1:3">
      <c r="A318" s="2" t="str">
        <f t="shared" si="4"/>
        <v/>
      </c>
      <c r="B318" s="2"/>
      <c r="C318" s="14"/>
    </row>
    <row r="319" spans="1:3">
      <c r="A319" s="2" t="str">
        <f t="shared" si="4"/>
        <v/>
      </c>
      <c r="B319" s="2"/>
      <c r="C319" s="14"/>
    </row>
    <row r="320" spans="1:3">
      <c r="A320" s="2" t="str">
        <f t="shared" si="4"/>
        <v/>
      </c>
      <c r="B320" s="2"/>
      <c r="C320" s="14"/>
    </row>
    <row r="321" spans="1:3">
      <c r="A321" s="2" t="str">
        <f t="shared" si="4"/>
        <v/>
      </c>
      <c r="B321" s="2"/>
      <c r="C321" s="14"/>
    </row>
    <row r="322" spans="1:3">
      <c r="A322" s="2" t="str">
        <f t="shared" ref="A322:A385" si="5">IF(B322&lt;&gt;"","L-"&amp;TEXT(ROW()-1,"0000"),"")</f>
        <v/>
      </c>
      <c r="B322" s="2"/>
      <c r="C322" s="14"/>
    </row>
    <row r="323" spans="1:3">
      <c r="A323" s="2" t="str">
        <f t="shared" si="5"/>
        <v/>
      </c>
      <c r="B323" s="2"/>
      <c r="C323" s="14"/>
    </row>
    <row r="324" spans="1:3">
      <c r="A324" s="2" t="str">
        <f t="shared" si="5"/>
        <v/>
      </c>
      <c r="B324" s="2"/>
      <c r="C324" s="14"/>
    </row>
    <row r="325" spans="1:3">
      <c r="A325" s="2" t="str">
        <f t="shared" si="5"/>
        <v/>
      </c>
      <c r="B325" s="2"/>
      <c r="C325" s="14"/>
    </row>
    <row r="326" spans="1:3">
      <c r="A326" s="2" t="str">
        <f t="shared" si="5"/>
        <v/>
      </c>
      <c r="B326" s="2"/>
      <c r="C326" s="14"/>
    </row>
    <row r="327" spans="1:3">
      <c r="A327" s="2" t="str">
        <f t="shared" si="5"/>
        <v/>
      </c>
      <c r="B327" s="2"/>
      <c r="C327" s="14"/>
    </row>
    <row r="328" spans="1:3">
      <c r="A328" s="2" t="str">
        <f t="shared" si="5"/>
        <v/>
      </c>
      <c r="B328" s="2"/>
      <c r="C328" s="14"/>
    </row>
    <row r="329" spans="1:3">
      <c r="A329" s="2" t="str">
        <f t="shared" si="5"/>
        <v/>
      </c>
      <c r="B329" s="2"/>
      <c r="C329" s="14"/>
    </row>
    <row r="330" spans="1:3">
      <c r="A330" s="2" t="str">
        <f t="shared" si="5"/>
        <v/>
      </c>
      <c r="B330" s="2"/>
      <c r="C330" s="14"/>
    </row>
    <row r="331" spans="1:3">
      <c r="A331" s="2" t="str">
        <f t="shared" si="5"/>
        <v/>
      </c>
      <c r="B331" s="2"/>
      <c r="C331" s="14"/>
    </row>
    <row r="332" spans="1:3">
      <c r="A332" s="2" t="str">
        <f t="shared" si="5"/>
        <v/>
      </c>
      <c r="B332" s="2"/>
      <c r="C332" s="14"/>
    </row>
    <row r="333" spans="1:3">
      <c r="A333" s="2" t="str">
        <f t="shared" si="5"/>
        <v/>
      </c>
      <c r="B333" s="2"/>
      <c r="C333" s="14"/>
    </row>
    <row r="334" spans="1:3">
      <c r="A334" s="2" t="str">
        <f t="shared" si="5"/>
        <v/>
      </c>
      <c r="B334" s="2"/>
      <c r="C334" s="14"/>
    </row>
    <row r="335" spans="1:3">
      <c r="A335" s="2" t="str">
        <f t="shared" si="5"/>
        <v/>
      </c>
      <c r="B335" s="2"/>
      <c r="C335" s="14"/>
    </row>
    <row r="336" spans="1:3">
      <c r="A336" s="2" t="str">
        <f t="shared" si="5"/>
        <v/>
      </c>
      <c r="B336" s="2"/>
      <c r="C336" s="14"/>
    </row>
    <row r="337" spans="1:3">
      <c r="A337" s="2" t="str">
        <f t="shared" si="5"/>
        <v/>
      </c>
      <c r="B337" s="2"/>
      <c r="C337" s="14"/>
    </row>
    <row r="338" spans="1:3">
      <c r="A338" s="2" t="str">
        <f t="shared" si="5"/>
        <v/>
      </c>
      <c r="B338" s="2"/>
      <c r="C338" s="14"/>
    </row>
    <row r="339" spans="1:3">
      <c r="A339" s="2" t="str">
        <f t="shared" si="5"/>
        <v/>
      </c>
      <c r="B339" s="2"/>
      <c r="C339" s="14"/>
    </row>
    <row r="340" spans="1:3">
      <c r="A340" s="2" t="str">
        <f t="shared" si="5"/>
        <v/>
      </c>
      <c r="B340" s="2"/>
      <c r="C340" s="14"/>
    </row>
    <row r="341" spans="1:3">
      <c r="A341" s="2" t="str">
        <f t="shared" si="5"/>
        <v/>
      </c>
      <c r="B341" s="2"/>
      <c r="C341" s="14"/>
    </row>
    <row r="342" spans="1:3">
      <c r="A342" s="2" t="str">
        <f t="shared" si="5"/>
        <v/>
      </c>
      <c r="B342" s="2"/>
      <c r="C342" s="14"/>
    </row>
    <row r="343" spans="1:3">
      <c r="A343" s="2" t="str">
        <f t="shared" si="5"/>
        <v/>
      </c>
      <c r="B343" s="2"/>
      <c r="C343" s="14"/>
    </row>
    <row r="344" spans="1:3">
      <c r="A344" s="2" t="str">
        <f t="shared" si="5"/>
        <v/>
      </c>
      <c r="B344" s="2"/>
      <c r="C344" s="14"/>
    </row>
    <row r="345" spans="1:3">
      <c r="A345" s="2" t="str">
        <f t="shared" si="5"/>
        <v/>
      </c>
      <c r="B345" s="2"/>
      <c r="C345" s="14"/>
    </row>
    <row r="346" spans="1:3">
      <c r="A346" s="2" t="str">
        <f t="shared" si="5"/>
        <v/>
      </c>
      <c r="B346" s="2"/>
      <c r="C346" s="14"/>
    </row>
    <row r="347" spans="1:3">
      <c r="A347" s="2" t="str">
        <f t="shared" si="5"/>
        <v/>
      </c>
      <c r="B347" s="2"/>
      <c r="C347" s="14"/>
    </row>
    <row r="348" spans="1:3">
      <c r="A348" s="2" t="str">
        <f t="shared" si="5"/>
        <v/>
      </c>
      <c r="B348" s="2"/>
      <c r="C348" s="14"/>
    </row>
    <row r="349" spans="1:3">
      <c r="A349" s="2" t="str">
        <f t="shared" si="5"/>
        <v/>
      </c>
      <c r="B349" s="2"/>
      <c r="C349" s="14"/>
    </row>
    <row r="350" spans="1:3">
      <c r="A350" s="2" t="str">
        <f t="shared" si="5"/>
        <v/>
      </c>
      <c r="B350" s="2"/>
      <c r="C350" s="14"/>
    </row>
    <row r="351" spans="1:3">
      <c r="A351" s="2" t="str">
        <f t="shared" si="5"/>
        <v/>
      </c>
      <c r="B351" s="2"/>
      <c r="C351" s="14"/>
    </row>
    <row r="352" spans="1:3">
      <c r="A352" s="2" t="str">
        <f t="shared" si="5"/>
        <v/>
      </c>
      <c r="B352" s="2"/>
      <c r="C352" s="14"/>
    </row>
    <row r="353" spans="1:3">
      <c r="A353" s="2" t="str">
        <f t="shared" si="5"/>
        <v/>
      </c>
      <c r="B353" s="2"/>
      <c r="C353" s="14"/>
    </row>
    <row r="354" spans="1:3">
      <c r="A354" s="2" t="str">
        <f t="shared" si="5"/>
        <v/>
      </c>
      <c r="B354" s="2"/>
      <c r="C354" s="14"/>
    </row>
    <row r="355" spans="1:3">
      <c r="A355" s="2" t="str">
        <f t="shared" si="5"/>
        <v/>
      </c>
      <c r="B355" s="2"/>
      <c r="C355" s="14"/>
    </row>
    <row r="356" spans="1:3">
      <c r="A356" s="2" t="str">
        <f t="shared" si="5"/>
        <v/>
      </c>
      <c r="B356" s="2"/>
      <c r="C356" s="14"/>
    </row>
    <row r="357" spans="1:3">
      <c r="A357" s="2" t="str">
        <f t="shared" si="5"/>
        <v/>
      </c>
      <c r="B357" s="2"/>
      <c r="C357" s="14"/>
    </row>
    <row r="358" spans="1:3">
      <c r="A358" s="2" t="str">
        <f t="shared" si="5"/>
        <v/>
      </c>
      <c r="B358" s="2"/>
      <c r="C358" s="14"/>
    </row>
    <row r="359" spans="1:3">
      <c r="A359" s="2" t="str">
        <f t="shared" si="5"/>
        <v/>
      </c>
      <c r="B359" s="2"/>
      <c r="C359" s="14"/>
    </row>
    <row r="360" spans="1:3">
      <c r="A360" s="2" t="str">
        <f t="shared" si="5"/>
        <v/>
      </c>
      <c r="B360" s="2"/>
      <c r="C360" s="14"/>
    </row>
    <row r="361" spans="1:3">
      <c r="A361" s="2" t="str">
        <f t="shared" si="5"/>
        <v/>
      </c>
      <c r="B361" s="2"/>
      <c r="C361" s="14"/>
    </row>
    <row r="362" spans="1:3">
      <c r="A362" s="2" t="str">
        <f t="shared" si="5"/>
        <v/>
      </c>
      <c r="B362" s="2"/>
      <c r="C362" s="14"/>
    </row>
    <row r="363" spans="1:3">
      <c r="A363" s="2" t="str">
        <f t="shared" si="5"/>
        <v/>
      </c>
      <c r="B363" s="2"/>
      <c r="C363" s="14"/>
    </row>
    <row r="364" spans="1:3">
      <c r="A364" s="2" t="str">
        <f t="shared" si="5"/>
        <v/>
      </c>
      <c r="B364" s="2"/>
      <c r="C364" s="14"/>
    </row>
    <row r="365" spans="1:3">
      <c r="A365" s="2" t="str">
        <f t="shared" si="5"/>
        <v/>
      </c>
      <c r="B365" s="2"/>
      <c r="C365" s="14"/>
    </row>
    <row r="366" spans="1:3">
      <c r="A366" s="2" t="str">
        <f t="shared" si="5"/>
        <v/>
      </c>
      <c r="B366" s="2"/>
      <c r="C366" s="14"/>
    </row>
    <row r="367" spans="1:3">
      <c r="A367" s="2" t="str">
        <f t="shared" si="5"/>
        <v/>
      </c>
      <c r="B367" s="2"/>
      <c r="C367" s="14"/>
    </row>
    <row r="368" spans="1:3">
      <c r="A368" s="2" t="str">
        <f t="shared" si="5"/>
        <v/>
      </c>
      <c r="B368" s="2"/>
      <c r="C368" s="14"/>
    </row>
    <row r="369" spans="1:3">
      <c r="A369" s="2" t="str">
        <f t="shared" si="5"/>
        <v/>
      </c>
      <c r="B369" s="2"/>
      <c r="C369" s="14"/>
    </row>
    <row r="370" spans="1:3">
      <c r="A370" s="2" t="str">
        <f t="shared" si="5"/>
        <v/>
      </c>
      <c r="B370" s="2"/>
      <c r="C370" s="14"/>
    </row>
    <row r="371" spans="1:3">
      <c r="A371" s="2" t="str">
        <f t="shared" si="5"/>
        <v/>
      </c>
      <c r="B371" s="2"/>
      <c r="C371" s="14"/>
    </row>
    <row r="372" spans="1:3">
      <c r="A372" s="2" t="str">
        <f t="shared" si="5"/>
        <v/>
      </c>
      <c r="B372" s="2"/>
      <c r="C372" s="14"/>
    </row>
    <row r="373" spans="1:3">
      <c r="A373" s="2" t="str">
        <f t="shared" si="5"/>
        <v/>
      </c>
      <c r="B373" s="2"/>
      <c r="C373" s="14"/>
    </row>
    <row r="374" spans="1:3">
      <c r="A374" s="2" t="str">
        <f t="shared" si="5"/>
        <v/>
      </c>
      <c r="B374" s="2"/>
      <c r="C374" s="14"/>
    </row>
    <row r="375" spans="1:3">
      <c r="A375" s="2" t="str">
        <f t="shared" si="5"/>
        <v/>
      </c>
      <c r="B375" s="2"/>
      <c r="C375" s="14"/>
    </row>
    <row r="376" spans="1:3">
      <c r="A376" s="2" t="str">
        <f t="shared" si="5"/>
        <v/>
      </c>
      <c r="B376" s="2"/>
      <c r="C376" s="14"/>
    </row>
    <row r="377" spans="1:3">
      <c r="A377" s="2" t="str">
        <f t="shared" si="5"/>
        <v/>
      </c>
      <c r="B377" s="2"/>
      <c r="C377" s="14"/>
    </row>
    <row r="378" spans="1:3">
      <c r="A378" s="2" t="str">
        <f t="shared" si="5"/>
        <v/>
      </c>
      <c r="B378" s="2"/>
      <c r="C378" s="14"/>
    </row>
    <row r="379" spans="1:3">
      <c r="A379" s="2" t="str">
        <f t="shared" si="5"/>
        <v/>
      </c>
      <c r="B379" s="2"/>
      <c r="C379" s="14"/>
    </row>
    <row r="380" spans="1:3">
      <c r="A380" s="2" t="str">
        <f t="shared" si="5"/>
        <v/>
      </c>
      <c r="B380" s="2"/>
      <c r="C380" s="14"/>
    </row>
    <row r="381" spans="1:3">
      <c r="A381" s="2" t="str">
        <f t="shared" si="5"/>
        <v/>
      </c>
      <c r="B381" s="2"/>
      <c r="C381" s="14"/>
    </row>
    <row r="382" spans="1:3">
      <c r="A382" s="2" t="str">
        <f t="shared" si="5"/>
        <v/>
      </c>
      <c r="B382" s="2"/>
      <c r="C382" s="14"/>
    </row>
    <row r="383" spans="1:3">
      <c r="A383" s="2" t="str">
        <f t="shared" si="5"/>
        <v/>
      </c>
      <c r="B383" s="2"/>
      <c r="C383" s="14"/>
    </row>
    <row r="384" spans="1:3">
      <c r="A384" s="2" t="str">
        <f t="shared" si="5"/>
        <v/>
      </c>
      <c r="B384" s="2"/>
      <c r="C384" s="14"/>
    </row>
    <row r="385" spans="1:3">
      <c r="A385" s="2" t="str">
        <f t="shared" si="5"/>
        <v/>
      </c>
      <c r="B385" s="2"/>
      <c r="C385" s="14"/>
    </row>
    <row r="386" spans="1:3">
      <c r="A386" s="2" t="str">
        <f t="shared" ref="A386:A449" si="6">IF(B386&lt;&gt;"","L-"&amp;TEXT(ROW()-1,"0000"),"")</f>
        <v/>
      </c>
      <c r="B386" s="2"/>
      <c r="C386" s="14"/>
    </row>
    <row r="387" spans="1:3">
      <c r="A387" s="2" t="str">
        <f t="shared" si="6"/>
        <v/>
      </c>
      <c r="B387" s="2"/>
      <c r="C387" s="14"/>
    </row>
    <row r="388" spans="1:3">
      <c r="A388" s="2" t="str">
        <f t="shared" si="6"/>
        <v/>
      </c>
      <c r="B388" s="2"/>
      <c r="C388" s="14"/>
    </row>
    <row r="389" spans="1:3">
      <c r="A389" s="2" t="str">
        <f t="shared" si="6"/>
        <v/>
      </c>
      <c r="B389" s="2"/>
      <c r="C389" s="14"/>
    </row>
    <row r="390" spans="1:3">
      <c r="A390" s="2" t="str">
        <f t="shared" si="6"/>
        <v/>
      </c>
      <c r="B390" s="2"/>
      <c r="C390" s="14"/>
    </row>
    <row r="391" spans="1:3">
      <c r="A391" s="2" t="str">
        <f t="shared" si="6"/>
        <v/>
      </c>
      <c r="B391" s="2"/>
      <c r="C391" s="14"/>
    </row>
    <row r="392" spans="1:3">
      <c r="A392" s="2" t="str">
        <f t="shared" si="6"/>
        <v/>
      </c>
      <c r="B392" s="2"/>
      <c r="C392" s="14"/>
    </row>
    <row r="393" spans="1:3">
      <c r="A393" s="2" t="str">
        <f t="shared" si="6"/>
        <v/>
      </c>
      <c r="B393" s="2"/>
      <c r="C393" s="14"/>
    </row>
    <row r="394" spans="1:3">
      <c r="A394" s="2" t="str">
        <f t="shared" si="6"/>
        <v/>
      </c>
      <c r="B394" s="2"/>
      <c r="C394" s="14"/>
    </row>
    <row r="395" spans="1:3">
      <c r="A395" s="2" t="str">
        <f t="shared" si="6"/>
        <v/>
      </c>
      <c r="B395" s="2"/>
      <c r="C395" s="14"/>
    </row>
    <row r="396" spans="1:3">
      <c r="A396" s="2" t="str">
        <f t="shared" si="6"/>
        <v/>
      </c>
      <c r="B396" s="2"/>
      <c r="C396" s="14"/>
    </row>
    <row r="397" spans="1:3">
      <c r="A397" s="2" t="str">
        <f t="shared" si="6"/>
        <v/>
      </c>
      <c r="B397" s="2"/>
      <c r="C397" s="14"/>
    </row>
    <row r="398" spans="1:3">
      <c r="A398" s="2" t="str">
        <f t="shared" si="6"/>
        <v/>
      </c>
      <c r="B398" s="2"/>
      <c r="C398" s="14"/>
    </row>
    <row r="399" spans="1:3">
      <c r="A399" s="2" t="str">
        <f t="shared" si="6"/>
        <v/>
      </c>
      <c r="B399" s="2"/>
      <c r="C399" s="14"/>
    </row>
    <row r="400" spans="1:3">
      <c r="A400" s="2" t="str">
        <f t="shared" si="6"/>
        <v/>
      </c>
      <c r="B400" s="2"/>
      <c r="C400" s="14"/>
    </row>
    <row r="401" spans="1:3">
      <c r="A401" s="2" t="str">
        <f t="shared" si="6"/>
        <v/>
      </c>
      <c r="B401" s="2"/>
      <c r="C401" s="14"/>
    </row>
    <row r="402" spans="1:3">
      <c r="A402" s="2" t="str">
        <f t="shared" si="6"/>
        <v/>
      </c>
      <c r="B402" s="2"/>
      <c r="C402" s="14"/>
    </row>
    <row r="403" spans="1:3">
      <c r="A403" s="2" t="str">
        <f t="shared" si="6"/>
        <v/>
      </c>
      <c r="B403" s="2"/>
      <c r="C403" s="14"/>
    </row>
    <row r="404" spans="1:3">
      <c r="A404" s="2" t="str">
        <f t="shared" si="6"/>
        <v/>
      </c>
      <c r="B404" s="2"/>
      <c r="C404" s="14"/>
    </row>
    <row r="405" spans="1:3">
      <c r="A405" s="2" t="str">
        <f t="shared" si="6"/>
        <v/>
      </c>
      <c r="B405" s="2"/>
      <c r="C405" s="14"/>
    </row>
    <row r="406" spans="1:3">
      <c r="A406" s="2" t="str">
        <f t="shared" si="6"/>
        <v/>
      </c>
      <c r="B406" s="2"/>
      <c r="C406" s="14"/>
    </row>
    <row r="407" spans="1:3">
      <c r="A407" s="2" t="str">
        <f t="shared" si="6"/>
        <v/>
      </c>
      <c r="B407" s="2"/>
      <c r="C407" s="14"/>
    </row>
    <row r="408" spans="1:3">
      <c r="A408" s="2" t="str">
        <f t="shared" si="6"/>
        <v/>
      </c>
      <c r="B408" s="2"/>
      <c r="C408" s="14"/>
    </row>
    <row r="409" spans="1:3">
      <c r="A409" s="2" t="str">
        <f t="shared" si="6"/>
        <v/>
      </c>
      <c r="B409" s="2"/>
      <c r="C409" s="14"/>
    </row>
    <row r="410" spans="1:3">
      <c r="A410" s="2" t="str">
        <f t="shared" si="6"/>
        <v/>
      </c>
      <c r="B410" s="2"/>
      <c r="C410" s="14"/>
    </row>
    <row r="411" spans="1:3">
      <c r="A411" s="2" t="str">
        <f t="shared" si="6"/>
        <v/>
      </c>
      <c r="B411" s="2"/>
      <c r="C411" s="14"/>
    </row>
    <row r="412" spans="1:3">
      <c r="A412" s="2" t="str">
        <f t="shared" si="6"/>
        <v/>
      </c>
      <c r="B412" s="2"/>
      <c r="C412" s="14"/>
    </row>
    <row r="413" spans="1:3">
      <c r="A413" s="2" t="str">
        <f t="shared" si="6"/>
        <v/>
      </c>
      <c r="B413" s="2"/>
      <c r="C413" s="14"/>
    </row>
    <row r="414" spans="1:3">
      <c r="A414" s="2" t="str">
        <f t="shared" si="6"/>
        <v/>
      </c>
      <c r="B414" s="2"/>
      <c r="C414" s="14"/>
    </row>
    <row r="415" spans="1:3">
      <c r="A415" s="2" t="str">
        <f t="shared" si="6"/>
        <v/>
      </c>
      <c r="B415" s="2"/>
      <c r="C415" s="14"/>
    </row>
    <row r="416" spans="1:3">
      <c r="A416" s="2" t="str">
        <f t="shared" si="6"/>
        <v/>
      </c>
      <c r="B416" s="2"/>
      <c r="C416" s="14"/>
    </row>
    <row r="417" spans="1:3">
      <c r="A417" s="2" t="str">
        <f t="shared" si="6"/>
        <v/>
      </c>
      <c r="B417" s="2"/>
      <c r="C417" s="14"/>
    </row>
    <row r="418" spans="1:3">
      <c r="A418" s="2" t="str">
        <f t="shared" si="6"/>
        <v/>
      </c>
      <c r="B418" s="2"/>
      <c r="C418" s="14"/>
    </row>
    <row r="419" spans="1:3">
      <c r="A419" s="2" t="str">
        <f t="shared" si="6"/>
        <v/>
      </c>
      <c r="B419" s="2"/>
      <c r="C419" s="14"/>
    </row>
    <row r="420" spans="1:3">
      <c r="A420" s="2" t="str">
        <f t="shared" si="6"/>
        <v/>
      </c>
      <c r="B420" s="2"/>
      <c r="C420" s="14"/>
    </row>
    <row r="421" spans="1:3">
      <c r="A421" s="2" t="str">
        <f t="shared" si="6"/>
        <v/>
      </c>
      <c r="B421" s="2"/>
      <c r="C421" s="14"/>
    </row>
    <row r="422" spans="1:3">
      <c r="A422" s="2" t="str">
        <f t="shared" si="6"/>
        <v/>
      </c>
      <c r="B422" s="2"/>
      <c r="C422" s="14"/>
    </row>
    <row r="423" spans="1:3">
      <c r="A423" s="2" t="str">
        <f t="shared" si="6"/>
        <v/>
      </c>
      <c r="B423" s="2"/>
      <c r="C423" s="14"/>
    </row>
    <row r="424" spans="1:3">
      <c r="A424" s="2" t="str">
        <f t="shared" si="6"/>
        <v/>
      </c>
      <c r="B424" s="2"/>
      <c r="C424" s="14"/>
    </row>
    <row r="425" spans="1:3">
      <c r="A425" s="2" t="str">
        <f t="shared" si="6"/>
        <v/>
      </c>
      <c r="B425" s="2"/>
      <c r="C425" s="14"/>
    </row>
    <row r="426" spans="1:3">
      <c r="A426" s="2" t="str">
        <f t="shared" si="6"/>
        <v/>
      </c>
      <c r="B426" s="2"/>
      <c r="C426" s="14"/>
    </row>
    <row r="427" spans="1:3">
      <c r="A427" s="2" t="str">
        <f t="shared" si="6"/>
        <v/>
      </c>
      <c r="B427" s="2"/>
      <c r="C427" s="14"/>
    </row>
    <row r="428" spans="1:3">
      <c r="A428" s="2" t="str">
        <f t="shared" si="6"/>
        <v/>
      </c>
      <c r="B428" s="2"/>
      <c r="C428" s="14"/>
    </row>
    <row r="429" spans="1:3">
      <c r="A429" s="2" t="str">
        <f t="shared" si="6"/>
        <v/>
      </c>
      <c r="B429" s="2"/>
      <c r="C429" s="14"/>
    </row>
    <row r="430" spans="1:3">
      <c r="A430" s="2" t="str">
        <f t="shared" si="6"/>
        <v/>
      </c>
      <c r="B430" s="2"/>
      <c r="C430" s="14"/>
    </row>
    <row r="431" spans="1:3">
      <c r="A431" s="2" t="str">
        <f t="shared" si="6"/>
        <v/>
      </c>
      <c r="B431" s="2"/>
      <c r="C431" s="14"/>
    </row>
    <row r="432" spans="1:3">
      <c r="A432" s="2" t="str">
        <f t="shared" si="6"/>
        <v/>
      </c>
      <c r="B432" s="2"/>
      <c r="C432" s="14"/>
    </row>
    <row r="433" spans="1:3">
      <c r="A433" s="2" t="str">
        <f t="shared" si="6"/>
        <v/>
      </c>
      <c r="B433" s="2"/>
      <c r="C433" s="14"/>
    </row>
    <row r="434" spans="1:3">
      <c r="A434" s="2" t="str">
        <f t="shared" si="6"/>
        <v/>
      </c>
      <c r="B434" s="2"/>
      <c r="C434" s="14"/>
    </row>
    <row r="435" spans="1:3">
      <c r="A435" s="2" t="str">
        <f t="shared" si="6"/>
        <v/>
      </c>
      <c r="B435" s="2"/>
      <c r="C435" s="14"/>
    </row>
    <row r="436" spans="1:3">
      <c r="A436" s="2" t="str">
        <f t="shared" si="6"/>
        <v/>
      </c>
      <c r="B436" s="2"/>
      <c r="C436" s="14"/>
    </row>
    <row r="437" spans="1:3">
      <c r="A437" s="2" t="str">
        <f t="shared" si="6"/>
        <v/>
      </c>
      <c r="B437" s="2"/>
      <c r="C437" s="14"/>
    </row>
    <row r="438" spans="1:3">
      <c r="A438" s="2" t="str">
        <f t="shared" si="6"/>
        <v/>
      </c>
      <c r="B438" s="2"/>
      <c r="C438" s="14"/>
    </row>
    <row r="439" spans="1:3">
      <c r="A439" s="2" t="str">
        <f t="shared" si="6"/>
        <v/>
      </c>
      <c r="B439" s="2"/>
      <c r="C439" s="14"/>
    </row>
    <row r="440" spans="1:3">
      <c r="A440" s="2" t="str">
        <f t="shared" si="6"/>
        <v/>
      </c>
      <c r="B440" s="2"/>
      <c r="C440" s="14"/>
    </row>
    <row r="441" spans="1:3">
      <c r="A441" s="2" t="str">
        <f t="shared" si="6"/>
        <v/>
      </c>
      <c r="B441" s="2"/>
      <c r="C441" s="14"/>
    </row>
    <row r="442" spans="1:3">
      <c r="A442" s="2" t="str">
        <f t="shared" si="6"/>
        <v/>
      </c>
      <c r="B442" s="2"/>
      <c r="C442" s="14"/>
    </row>
    <row r="443" spans="1:3">
      <c r="A443" s="2" t="str">
        <f t="shared" si="6"/>
        <v/>
      </c>
      <c r="B443" s="2"/>
      <c r="C443" s="14"/>
    </row>
    <row r="444" spans="1:3">
      <c r="A444" s="2" t="str">
        <f t="shared" si="6"/>
        <v/>
      </c>
      <c r="B444" s="2"/>
      <c r="C444" s="14"/>
    </row>
    <row r="445" spans="1:3">
      <c r="A445" s="2" t="str">
        <f t="shared" si="6"/>
        <v/>
      </c>
      <c r="B445" s="2"/>
      <c r="C445" s="14"/>
    </row>
    <row r="446" spans="1:3">
      <c r="A446" s="2" t="str">
        <f t="shared" si="6"/>
        <v/>
      </c>
      <c r="B446" s="2"/>
      <c r="C446" s="14"/>
    </row>
    <row r="447" spans="1:3">
      <c r="A447" s="2" t="str">
        <f t="shared" si="6"/>
        <v/>
      </c>
      <c r="B447" s="2"/>
      <c r="C447" s="14"/>
    </row>
    <row r="448" spans="1:3">
      <c r="A448" s="2" t="str">
        <f t="shared" si="6"/>
        <v/>
      </c>
      <c r="B448" s="2"/>
      <c r="C448" s="14"/>
    </row>
    <row r="449" spans="1:3">
      <c r="A449" s="2" t="str">
        <f t="shared" si="6"/>
        <v/>
      </c>
      <c r="B449" s="2"/>
      <c r="C449" s="14"/>
    </row>
    <row r="450" spans="1:3">
      <c r="A450" s="2" t="str">
        <f t="shared" ref="A450:A501" si="7">IF(B450&lt;&gt;"","L-"&amp;TEXT(ROW()-1,"0000"),"")</f>
        <v/>
      </c>
      <c r="B450" s="2"/>
      <c r="C450" s="14"/>
    </row>
    <row r="451" spans="1:3">
      <c r="A451" s="2" t="str">
        <f t="shared" si="7"/>
        <v/>
      </c>
      <c r="B451" s="2"/>
      <c r="C451" s="14"/>
    </row>
    <row r="452" spans="1:3">
      <c r="A452" s="2" t="str">
        <f t="shared" si="7"/>
        <v/>
      </c>
      <c r="B452" s="2"/>
      <c r="C452" s="14"/>
    </row>
    <row r="453" spans="1:3">
      <c r="A453" s="2" t="str">
        <f t="shared" si="7"/>
        <v/>
      </c>
      <c r="B453" s="2"/>
      <c r="C453" s="14"/>
    </row>
    <row r="454" spans="1:3">
      <c r="A454" s="2" t="str">
        <f t="shared" si="7"/>
        <v/>
      </c>
      <c r="B454" s="2"/>
      <c r="C454" s="14"/>
    </row>
    <row r="455" spans="1:3">
      <c r="A455" s="2" t="str">
        <f t="shared" si="7"/>
        <v/>
      </c>
      <c r="B455" s="2"/>
      <c r="C455" s="14"/>
    </row>
    <row r="456" spans="1:3">
      <c r="A456" s="2" t="str">
        <f t="shared" si="7"/>
        <v/>
      </c>
      <c r="B456" s="2"/>
      <c r="C456" s="14"/>
    </row>
    <row r="457" spans="1:3">
      <c r="A457" s="2" t="str">
        <f t="shared" si="7"/>
        <v/>
      </c>
      <c r="B457" s="2"/>
      <c r="C457" s="14"/>
    </row>
    <row r="458" spans="1:3">
      <c r="A458" s="2" t="str">
        <f t="shared" si="7"/>
        <v/>
      </c>
      <c r="B458" s="2"/>
      <c r="C458" s="14"/>
    </row>
    <row r="459" spans="1:3">
      <c r="A459" s="2" t="str">
        <f t="shared" si="7"/>
        <v/>
      </c>
      <c r="B459" s="2"/>
      <c r="C459" s="14"/>
    </row>
    <row r="460" spans="1:3">
      <c r="A460" s="2" t="str">
        <f t="shared" si="7"/>
        <v/>
      </c>
      <c r="B460" s="2"/>
      <c r="C460" s="14"/>
    </row>
    <row r="461" spans="1:3">
      <c r="A461" s="2" t="str">
        <f t="shared" si="7"/>
        <v/>
      </c>
      <c r="B461" s="2"/>
      <c r="C461" s="14"/>
    </row>
    <row r="462" spans="1:3">
      <c r="A462" s="2" t="str">
        <f t="shared" si="7"/>
        <v/>
      </c>
      <c r="B462" s="2"/>
      <c r="C462" s="14"/>
    </row>
    <row r="463" spans="1:3">
      <c r="A463" s="2" t="str">
        <f t="shared" si="7"/>
        <v/>
      </c>
      <c r="B463" s="2"/>
      <c r="C463" s="14"/>
    </row>
    <row r="464" spans="1:3">
      <c r="A464" s="2" t="str">
        <f t="shared" si="7"/>
        <v/>
      </c>
      <c r="B464" s="2"/>
      <c r="C464" s="14"/>
    </row>
    <row r="465" spans="1:3">
      <c r="A465" s="2" t="str">
        <f t="shared" si="7"/>
        <v/>
      </c>
      <c r="B465" s="2"/>
      <c r="C465" s="14"/>
    </row>
    <row r="466" spans="1:3">
      <c r="A466" s="2" t="str">
        <f t="shared" si="7"/>
        <v/>
      </c>
      <c r="B466" s="2"/>
      <c r="C466" s="14"/>
    </row>
    <row r="467" spans="1:3">
      <c r="A467" s="2" t="str">
        <f t="shared" si="7"/>
        <v/>
      </c>
      <c r="B467" s="2"/>
      <c r="C467" s="14"/>
    </row>
    <row r="468" spans="1:3">
      <c r="A468" s="2" t="str">
        <f t="shared" si="7"/>
        <v/>
      </c>
      <c r="B468" s="2"/>
      <c r="C468" s="14"/>
    </row>
    <row r="469" spans="1:3">
      <c r="A469" s="2" t="str">
        <f t="shared" si="7"/>
        <v/>
      </c>
      <c r="B469" s="2"/>
      <c r="C469" s="14"/>
    </row>
    <row r="470" spans="1:3">
      <c r="A470" s="2" t="str">
        <f t="shared" si="7"/>
        <v/>
      </c>
      <c r="B470" s="2"/>
      <c r="C470" s="14"/>
    </row>
    <row r="471" spans="1:3">
      <c r="A471" s="2" t="str">
        <f t="shared" si="7"/>
        <v/>
      </c>
      <c r="B471" s="2"/>
      <c r="C471" s="14"/>
    </row>
    <row r="472" spans="1:3">
      <c r="A472" s="2" t="str">
        <f t="shared" si="7"/>
        <v/>
      </c>
      <c r="B472" s="2"/>
      <c r="C472" s="14"/>
    </row>
    <row r="473" spans="1:3">
      <c r="A473" s="2" t="str">
        <f t="shared" si="7"/>
        <v/>
      </c>
      <c r="B473" s="2"/>
      <c r="C473" s="14"/>
    </row>
    <row r="474" spans="1:3">
      <c r="A474" s="2" t="str">
        <f t="shared" si="7"/>
        <v/>
      </c>
      <c r="B474" s="2"/>
      <c r="C474" s="14"/>
    </row>
    <row r="475" spans="1:3">
      <c r="A475" s="2" t="str">
        <f t="shared" si="7"/>
        <v/>
      </c>
      <c r="B475" s="2"/>
      <c r="C475" s="14"/>
    </row>
    <row r="476" spans="1:3">
      <c r="A476" s="2" t="str">
        <f t="shared" si="7"/>
        <v/>
      </c>
      <c r="B476" s="2"/>
      <c r="C476" s="14"/>
    </row>
    <row r="477" spans="1:3">
      <c r="A477" s="2" t="str">
        <f t="shared" si="7"/>
        <v/>
      </c>
      <c r="B477" s="2"/>
      <c r="C477" s="14"/>
    </row>
    <row r="478" spans="1:3">
      <c r="A478" s="2" t="str">
        <f t="shared" si="7"/>
        <v/>
      </c>
      <c r="B478" s="2"/>
      <c r="C478" s="14"/>
    </row>
    <row r="479" spans="1:3">
      <c r="A479" s="2" t="str">
        <f t="shared" si="7"/>
        <v/>
      </c>
      <c r="B479" s="2"/>
      <c r="C479" s="14"/>
    </row>
    <row r="480" spans="1:3">
      <c r="A480" s="2" t="str">
        <f t="shared" si="7"/>
        <v/>
      </c>
      <c r="B480" s="2"/>
      <c r="C480" s="14"/>
    </row>
    <row r="481" spans="1:3">
      <c r="A481" s="2" t="str">
        <f t="shared" si="7"/>
        <v/>
      </c>
      <c r="B481" s="2"/>
      <c r="C481" s="14"/>
    </row>
    <row r="482" spans="1:3">
      <c r="A482" s="2" t="str">
        <f t="shared" si="7"/>
        <v/>
      </c>
      <c r="B482" s="2"/>
      <c r="C482" s="14"/>
    </row>
    <row r="483" spans="1:3">
      <c r="A483" s="2" t="str">
        <f t="shared" si="7"/>
        <v/>
      </c>
      <c r="B483" s="2"/>
      <c r="C483" s="14"/>
    </row>
    <row r="484" spans="1:3">
      <c r="A484" s="2" t="str">
        <f t="shared" si="7"/>
        <v/>
      </c>
      <c r="B484" s="2"/>
      <c r="C484" s="14"/>
    </row>
    <row r="485" spans="1:3">
      <c r="A485" s="2" t="str">
        <f t="shared" si="7"/>
        <v/>
      </c>
      <c r="B485" s="2"/>
      <c r="C485" s="14"/>
    </row>
    <row r="486" spans="1:3">
      <c r="A486" s="2" t="str">
        <f t="shared" si="7"/>
        <v/>
      </c>
      <c r="B486" s="2"/>
      <c r="C486" s="14"/>
    </row>
    <row r="487" spans="1:3">
      <c r="A487" s="2" t="str">
        <f t="shared" si="7"/>
        <v/>
      </c>
      <c r="B487" s="2"/>
      <c r="C487" s="14"/>
    </row>
    <row r="488" spans="1:3">
      <c r="A488" s="2" t="str">
        <f t="shared" si="7"/>
        <v/>
      </c>
      <c r="B488" s="2"/>
      <c r="C488" s="14"/>
    </row>
    <row r="489" spans="1:3">
      <c r="A489" s="2" t="str">
        <f t="shared" si="7"/>
        <v/>
      </c>
      <c r="B489" s="2"/>
      <c r="C489" s="14"/>
    </row>
    <row r="490" spans="1:3">
      <c r="A490" s="2" t="str">
        <f t="shared" si="7"/>
        <v/>
      </c>
      <c r="B490" s="2"/>
      <c r="C490" s="14"/>
    </row>
    <row r="491" spans="1:3">
      <c r="A491" s="2" t="str">
        <f t="shared" si="7"/>
        <v/>
      </c>
      <c r="B491" s="2"/>
      <c r="C491" s="14"/>
    </row>
    <row r="492" spans="1:3">
      <c r="A492" s="2" t="str">
        <f t="shared" si="7"/>
        <v/>
      </c>
      <c r="B492" s="2"/>
      <c r="C492" s="14"/>
    </row>
    <row r="493" spans="1:3">
      <c r="A493" s="2" t="str">
        <f t="shared" si="7"/>
        <v/>
      </c>
      <c r="B493" s="2"/>
      <c r="C493" s="14"/>
    </row>
    <row r="494" spans="1:3">
      <c r="A494" s="2" t="str">
        <f t="shared" si="7"/>
        <v/>
      </c>
      <c r="B494" s="2"/>
      <c r="C494" s="14"/>
    </row>
    <row r="495" spans="1:3">
      <c r="A495" s="2" t="str">
        <f t="shared" si="7"/>
        <v/>
      </c>
      <c r="B495" s="2"/>
      <c r="C495" s="14"/>
    </row>
    <row r="496" spans="1:3">
      <c r="A496" s="2" t="str">
        <f t="shared" si="7"/>
        <v/>
      </c>
      <c r="B496" s="2"/>
      <c r="C496" s="14"/>
    </row>
    <row r="497" spans="1:3">
      <c r="A497" s="2" t="str">
        <f t="shared" si="7"/>
        <v/>
      </c>
      <c r="B497" s="2"/>
      <c r="C497" s="14"/>
    </row>
    <row r="498" spans="1:3">
      <c r="A498" s="2" t="str">
        <f t="shared" si="7"/>
        <v/>
      </c>
      <c r="B498" s="2"/>
      <c r="C498" s="14"/>
    </row>
    <row r="499" spans="1:3">
      <c r="A499" s="2" t="str">
        <f t="shared" si="7"/>
        <v/>
      </c>
      <c r="B499" s="2"/>
      <c r="C499" s="14"/>
    </row>
    <row r="500" spans="1:3">
      <c r="A500" s="2" t="str">
        <f t="shared" si="7"/>
        <v/>
      </c>
      <c r="B500" s="2"/>
      <c r="C500" s="14"/>
    </row>
    <row r="501" spans="1:3">
      <c r="A501" s="2" t="str">
        <f t="shared" si="7"/>
        <v/>
      </c>
      <c r="B501" s="2"/>
      <c r="C501" s="14"/>
    </row>
  </sheetData>
  <conditionalFormatting sqref="A12:C501 C2:C5 A6:B11">
    <cfRule type="expression" dxfId="12" priority="1">
      <formula>AND($A2&lt;&gt;"",COUNTIFS($A:$A,$A2,$B:$B,$B2)&gt;1)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01"/>
  <sheetViews>
    <sheetView workbookViewId="0">
      <selection activeCell="A11" sqref="A11:B11"/>
    </sheetView>
  </sheetViews>
  <sheetFormatPr defaultRowHeight="13.8"/>
  <cols>
    <col min="1" max="2" width="18" customWidth="1"/>
    <col min="3" max="3" width="22" customWidth="1"/>
    <col min="4" max="4" width="18" customWidth="1"/>
  </cols>
  <sheetData>
    <row r="1" spans="1:4" ht="25.65" customHeight="1">
      <c r="A1" s="1" t="s">
        <v>0</v>
      </c>
      <c r="B1" s="1" t="s">
        <v>1</v>
      </c>
      <c r="C1" s="1" t="s">
        <v>14</v>
      </c>
      <c r="D1" s="1" t="s">
        <v>15</v>
      </c>
    </row>
    <row r="2" spans="1:4">
      <c r="A2" s="2" t="s">
        <v>32</v>
      </c>
      <c r="B2" s="2" t="s">
        <v>33</v>
      </c>
      <c r="C2" s="14">
        <v>46254</v>
      </c>
      <c r="D2" s="3">
        <v>4656111.1321041733</v>
      </c>
    </row>
    <row r="3" spans="1:4">
      <c r="A3" s="2" t="s">
        <v>37</v>
      </c>
      <c r="B3" s="2" t="s">
        <v>36</v>
      </c>
      <c r="C3" s="14">
        <v>46254</v>
      </c>
      <c r="D3" s="3">
        <v>3510101.0952620143</v>
      </c>
    </row>
    <row r="4" spans="1:4">
      <c r="A4" s="2" t="s">
        <v>38</v>
      </c>
      <c r="B4" s="2" t="s">
        <v>34</v>
      </c>
      <c r="C4" s="14">
        <v>46254</v>
      </c>
      <c r="D4" s="3">
        <v>4613275.525775387</v>
      </c>
    </row>
    <row r="5" spans="1:4">
      <c r="A5" s="2" t="s">
        <v>39</v>
      </c>
      <c r="B5" s="2" t="s">
        <v>35</v>
      </c>
      <c r="C5" s="14">
        <v>46254</v>
      </c>
      <c r="D5" s="3">
        <v>3510101.0952620143</v>
      </c>
    </row>
    <row r="6" spans="1:4">
      <c r="A6" s="2" t="s">
        <v>45</v>
      </c>
      <c r="B6" s="2" t="s">
        <v>40</v>
      </c>
      <c r="C6" s="14">
        <v>46249</v>
      </c>
      <c r="D6" s="3">
        <v>6673000</v>
      </c>
    </row>
    <row r="7" spans="1:4">
      <c r="A7" s="2" t="s">
        <v>46</v>
      </c>
      <c r="B7" s="2" t="s">
        <v>41</v>
      </c>
      <c r="C7" s="14">
        <v>46248</v>
      </c>
      <c r="D7" s="3">
        <v>20074367</v>
      </c>
    </row>
    <row r="8" spans="1:4">
      <c r="A8" s="2" t="s">
        <v>47</v>
      </c>
      <c r="B8" s="2" t="s">
        <v>42</v>
      </c>
      <c r="C8" s="14">
        <v>46248</v>
      </c>
      <c r="D8" s="3">
        <v>29702912</v>
      </c>
    </row>
    <row r="9" spans="1:4">
      <c r="A9" s="2" t="s">
        <v>48</v>
      </c>
      <c r="B9" s="2" t="s">
        <v>43</v>
      </c>
      <c r="C9" s="14">
        <v>46249</v>
      </c>
      <c r="D9" s="3">
        <v>30067117</v>
      </c>
    </row>
    <row r="10" spans="1:4">
      <c r="A10" s="2" t="s">
        <v>49</v>
      </c>
      <c r="B10" s="2" t="s">
        <v>44</v>
      </c>
      <c r="C10" s="14">
        <v>46253</v>
      </c>
      <c r="D10" s="3">
        <v>20087893</v>
      </c>
    </row>
    <row r="11" spans="1:4">
      <c r="A11" s="2" t="s">
        <v>51</v>
      </c>
      <c r="B11" s="2" t="s">
        <v>50</v>
      </c>
      <c r="C11" s="14">
        <v>46256</v>
      </c>
      <c r="D11" s="3">
        <v>50229267.883190483</v>
      </c>
    </row>
    <row r="12" spans="1:4">
      <c r="A12" s="2"/>
      <c r="B12" s="2"/>
      <c r="C12" s="14"/>
      <c r="D12" s="3"/>
    </row>
    <row r="13" spans="1:4">
      <c r="A13" s="2"/>
      <c r="B13" s="2"/>
      <c r="C13" s="14"/>
      <c r="D13" s="3"/>
    </row>
    <row r="14" spans="1:4">
      <c r="A14" s="2"/>
      <c r="B14" s="2"/>
      <c r="C14" s="14"/>
      <c r="D14" s="3"/>
    </row>
    <row r="15" spans="1:4">
      <c r="A15" s="2"/>
      <c r="B15" s="2"/>
      <c r="C15" s="14"/>
      <c r="D15" s="3"/>
    </row>
    <row r="16" spans="1:4">
      <c r="A16" s="2"/>
      <c r="B16" s="2"/>
      <c r="C16" s="14"/>
      <c r="D16" s="3"/>
    </row>
    <row r="17" spans="1:4">
      <c r="A17" s="2"/>
      <c r="B17" s="2"/>
      <c r="C17" s="14"/>
      <c r="D17" s="3"/>
    </row>
    <row r="18" spans="1:4">
      <c r="A18" s="2"/>
      <c r="B18" s="2"/>
      <c r="C18" s="14"/>
      <c r="D18" s="3"/>
    </row>
    <row r="19" spans="1:4">
      <c r="A19" s="2"/>
      <c r="B19" s="2"/>
      <c r="C19" s="14"/>
      <c r="D19" s="3"/>
    </row>
    <row r="20" spans="1:4">
      <c r="A20" s="2"/>
      <c r="B20" s="2"/>
      <c r="C20" s="14"/>
      <c r="D20" s="3"/>
    </row>
    <row r="21" spans="1:4">
      <c r="A21" s="2"/>
      <c r="B21" s="2"/>
      <c r="C21" s="14"/>
      <c r="D21" s="3"/>
    </row>
    <row r="22" spans="1:4">
      <c r="A22" s="2"/>
      <c r="B22" s="2"/>
      <c r="C22" s="14"/>
      <c r="D22" s="3"/>
    </row>
    <row r="23" spans="1:4">
      <c r="A23" s="2"/>
      <c r="B23" s="2"/>
      <c r="C23" s="14"/>
      <c r="D23" s="3"/>
    </row>
    <row r="24" spans="1:4">
      <c r="A24" s="2"/>
      <c r="B24" s="2"/>
      <c r="C24" s="14"/>
      <c r="D24" s="3"/>
    </row>
    <row r="25" spans="1:4">
      <c r="A25" s="2"/>
      <c r="B25" s="2"/>
      <c r="C25" s="14"/>
      <c r="D25" s="3"/>
    </row>
    <row r="26" spans="1:4">
      <c r="A26" s="2"/>
      <c r="B26" s="2"/>
      <c r="C26" s="14"/>
      <c r="D26" s="3"/>
    </row>
    <row r="27" spans="1:4">
      <c r="A27" s="2"/>
      <c r="B27" s="2"/>
      <c r="C27" s="14"/>
      <c r="D27" s="3"/>
    </row>
    <row r="28" spans="1:4">
      <c r="A28" s="2"/>
      <c r="B28" s="2"/>
      <c r="C28" s="14"/>
      <c r="D28" s="3"/>
    </row>
    <row r="29" spans="1:4">
      <c r="A29" s="2"/>
      <c r="B29" s="2"/>
      <c r="C29" s="14"/>
      <c r="D29" s="3"/>
    </row>
    <row r="30" spans="1:4">
      <c r="A30" s="2"/>
      <c r="B30" s="2"/>
      <c r="C30" s="14"/>
      <c r="D30" s="3"/>
    </row>
    <row r="31" spans="1:4">
      <c r="A31" s="2"/>
      <c r="B31" s="2"/>
      <c r="C31" s="14"/>
      <c r="D31" s="3"/>
    </row>
    <row r="32" spans="1:4">
      <c r="A32" s="2"/>
      <c r="B32" s="2"/>
      <c r="C32" s="14"/>
      <c r="D32" s="3"/>
    </row>
    <row r="33" spans="1:4">
      <c r="A33" s="2"/>
      <c r="B33" s="2"/>
      <c r="C33" s="14"/>
      <c r="D33" s="3"/>
    </row>
    <row r="34" spans="1:4">
      <c r="A34" s="2"/>
      <c r="B34" s="2"/>
      <c r="C34" s="14"/>
      <c r="D34" s="3"/>
    </row>
    <row r="35" spans="1:4">
      <c r="A35" s="2"/>
      <c r="B35" s="2"/>
      <c r="C35" s="14"/>
      <c r="D35" s="3"/>
    </row>
    <row r="36" spans="1:4">
      <c r="A36" s="2"/>
      <c r="B36" s="2"/>
      <c r="C36" s="14"/>
      <c r="D36" s="3"/>
    </row>
    <row r="37" spans="1:4">
      <c r="A37" s="2"/>
      <c r="B37" s="2"/>
      <c r="C37" s="14"/>
      <c r="D37" s="3"/>
    </row>
    <row r="38" spans="1:4">
      <c r="A38" s="2"/>
      <c r="B38" s="2"/>
      <c r="C38" s="14"/>
      <c r="D38" s="3"/>
    </row>
    <row r="39" spans="1:4">
      <c r="A39" s="2"/>
      <c r="B39" s="2"/>
      <c r="C39" s="14"/>
      <c r="D39" s="3"/>
    </row>
    <row r="40" spans="1:4">
      <c r="A40" s="2"/>
      <c r="B40" s="2"/>
      <c r="C40" s="14"/>
      <c r="D40" s="3"/>
    </row>
    <row r="41" spans="1:4">
      <c r="A41" s="2"/>
      <c r="B41" s="2"/>
      <c r="C41" s="14"/>
      <c r="D41" s="3"/>
    </row>
    <row r="42" spans="1:4">
      <c r="A42" s="2"/>
      <c r="B42" s="2"/>
      <c r="C42" s="14"/>
      <c r="D42" s="3"/>
    </row>
    <row r="43" spans="1:4">
      <c r="A43" s="2"/>
      <c r="B43" s="2"/>
      <c r="C43" s="14"/>
      <c r="D43" s="3"/>
    </row>
    <row r="44" spans="1:4">
      <c r="A44" s="2"/>
      <c r="B44" s="2"/>
      <c r="C44" s="14"/>
      <c r="D44" s="3"/>
    </row>
    <row r="45" spans="1:4">
      <c r="A45" s="2"/>
      <c r="B45" s="2"/>
      <c r="C45" s="14"/>
      <c r="D45" s="3"/>
    </row>
    <row r="46" spans="1:4">
      <c r="A46" s="2"/>
      <c r="B46" s="2"/>
      <c r="C46" s="14"/>
      <c r="D46" s="3"/>
    </row>
    <row r="47" spans="1:4">
      <c r="A47" s="2"/>
      <c r="B47" s="2"/>
      <c r="C47" s="14"/>
      <c r="D47" s="3"/>
    </row>
    <row r="48" spans="1:4">
      <c r="A48" s="2"/>
      <c r="B48" s="2"/>
      <c r="C48" s="14"/>
      <c r="D48" s="3"/>
    </row>
    <row r="49" spans="1:4">
      <c r="A49" s="2"/>
      <c r="B49" s="2"/>
      <c r="C49" s="14"/>
      <c r="D49" s="3"/>
    </row>
    <row r="50" spans="1:4">
      <c r="A50" s="2"/>
      <c r="B50" s="2"/>
      <c r="C50" s="14"/>
      <c r="D50" s="3"/>
    </row>
    <row r="51" spans="1:4">
      <c r="A51" s="2"/>
      <c r="B51" s="2"/>
      <c r="C51" s="14"/>
      <c r="D51" s="3"/>
    </row>
    <row r="52" spans="1:4">
      <c r="A52" s="2"/>
      <c r="B52" s="2"/>
      <c r="C52" s="14"/>
      <c r="D52" s="3"/>
    </row>
    <row r="53" spans="1:4">
      <c r="A53" s="2"/>
      <c r="B53" s="2"/>
      <c r="C53" s="14"/>
      <c r="D53" s="3"/>
    </row>
    <row r="54" spans="1:4">
      <c r="A54" s="2"/>
      <c r="B54" s="2"/>
      <c r="C54" s="14"/>
      <c r="D54" s="3"/>
    </row>
    <row r="55" spans="1:4">
      <c r="A55" s="2"/>
      <c r="B55" s="2"/>
      <c r="C55" s="14"/>
      <c r="D55" s="3"/>
    </row>
    <row r="56" spans="1:4">
      <c r="A56" s="2"/>
      <c r="B56" s="2"/>
      <c r="C56" s="14"/>
      <c r="D56" s="3"/>
    </row>
    <row r="57" spans="1:4">
      <c r="A57" s="2"/>
      <c r="B57" s="2"/>
      <c r="C57" s="14"/>
      <c r="D57" s="3"/>
    </row>
    <row r="58" spans="1:4">
      <c r="A58" s="2"/>
      <c r="B58" s="2"/>
      <c r="C58" s="14"/>
      <c r="D58" s="3"/>
    </row>
    <row r="59" spans="1:4">
      <c r="A59" s="2"/>
      <c r="B59" s="2"/>
      <c r="C59" s="14"/>
      <c r="D59" s="3"/>
    </row>
    <row r="60" spans="1:4">
      <c r="A60" s="2"/>
      <c r="B60" s="2"/>
      <c r="C60" s="14"/>
      <c r="D60" s="3"/>
    </row>
    <row r="61" spans="1:4">
      <c r="A61" s="2"/>
      <c r="B61" s="2"/>
      <c r="C61" s="14"/>
      <c r="D61" s="3"/>
    </row>
    <row r="62" spans="1:4">
      <c r="A62" s="2"/>
      <c r="B62" s="2"/>
      <c r="C62" s="14"/>
      <c r="D62" s="3"/>
    </row>
    <row r="63" spans="1:4">
      <c r="A63" s="2"/>
      <c r="B63" s="2"/>
      <c r="C63" s="14"/>
      <c r="D63" s="3"/>
    </row>
    <row r="64" spans="1:4">
      <c r="A64" s="2"/>
      <c r="B64" s="2"/>
      <c r="C64" s="14"/>
      <c r="D64" s="3"/>
    </row>
    <row r="65" spans="1:4">
      <c r="A65" s="2"/>
      <c r="B65" s="2"/>
      <c r="C65" s="14"/>
      <c r="D65" s="3"/>
    </row>
    <row r="66" spans="1:4">
      <c r="A66" s="2"/>
      <c r="B66" s="2"/>
      <c r="C66" s="14"/>
      <c r="D66" s="3"/>
    </row>
    <row r="67" spans="1:4">
      <c r="A67" s="2"/>
      <c r="B67" s="2"/>
      <c r="C67" s="14"/>
      <c r="D67" s="3"/>
    </row>
    <row r="68" spans="1:4">
      <c r="A68" s="2"/>
      <c r="B68" s="2"/>
      <c r="C68" s="14"/>
      <c r="D68" s="3"/>
    </row>
    <row r="69" spans="1:4">
      <c r="A69" s="2"/>
      <c r="B69" s="2"/>
      <c r="C69" s="14"/>
      <c r="D69" s="3"/>
    </row>
    <row r="70" spans="1:4">
      <c r="A70" s="2"/>
      <c r="B70" s="2"/>
      <c r="C70" s="14"/>
      <c r="D70" s="3"/>
    </row>
    <row r="71" spans="1:4">
      <c r="A71" s="2"/>
      <c r="B71" s="2"/>
      <c r="C71" s="14"/>
      <c r="D71" s="3"/>
    </row>
    <row r="72" spans="1:4">
      <c r="A72" s="2"/>
      <c r="B72" s="2"/>
      <c r="C72" s="14"/>
      <c r="D72" s="3"/>
    </row>
    <row r="73" spans="1:4">
      <c r="A73" s="2"/>
      <c r="B73" s="2"/>
      <c r="C73" s="14"/>
      <c r="D73" s="3"/>
    </row>
    <row r="74" spans="1:4">
      <c r="A74" s="2"/>
      <c r="B74" s="2"/>
      <c r="C74" s="14"/>
      <c r="D74" s="3"/>
    </row>
    <row r="75" spans="1:4">
      <c r="A75" s="2"/>
      <c r="B75" s="2"/>
      <c r="C75" s="14"/>
      <c r="D75" s="3"/>
    </row>
    <row r="76" spans="1:4">
      <c r="A76" s="2"/>
      <c r="B76" s="2"/>
      <c r="C76" s="14"/>
      <c r="D76" s="3"/>
    </row>
    <row r="77" spans="1:4">
      <c r="A77" s="2"/>
      <c r="B77" s="2"/>
      <c r="C77" s="14"/>
      <c r="D77" s="3"/>
    </row>
    <row r="78" spans="1:4">
      <c r="A78" s="2"/>
      <c r="B78" s="2"/>
      <c r="C78" s="14"/>
      <c r="D78" s="3"/>
    </row>
    <row r="79" spans="1:4">
      <c r="A79" s="2"/>
      <c r="B79" s="2"/>
      <c r="C79" s="14"/>
      <c r="D79" s="3"/>
    </row>
    <row r="80" spans="1:4">
      <c r="A80" s="2"/>
      <c r="B80" s="2"/>
      <c r="C80" s="14"/>
      <c r="D80" s="3"/>
    </row>
    <row r="81" spans="1:4">
      <c r="A81" s="2"/>
      <c r="B81" s="2"/>
      <c r="C81" s="14"/>
      <c r="D81" s="3"/>
    </row>
    <row r="82" spans="1:4">
      <c r="A82" s="2"/>
      <c r="B82" s="2"/>
      <c r="C82" s="14"/>
      <c r="D82" s="3"/>
    </row>
    <row r="83" spans="1:4">
      <c r="A83" s="2"/>
      <c r="B83" s="2"/>
      <c r="C83" s="14"/>
      <c r="D83" s="3"/>
    </row>
    <row r="84" spans="1:4">
      <c r="A84" s="2"/>
      <c r="B84" s="2"/>
      <c r="C84" s="14"/>
      <c r="D84" s="3"/>
    </row>
    <row r="85" spans="1:4">
      <c r="A85" s="2"/>
      <c r="B85" s="2"/>
      <c r="C85" s="14"/>
      <c r="D85" s="3"/>
    </row>
    <row r="86" spans="1:4">
      <c r="A86" s="2"/>
      <c r="B86" s="2"/>
      <c r="C86" s="14"/>
      <c r="D86" s="3"/>
    </row>
    <row r="87" spans="1:4">
      <c r="A87" s="2"/>
      <c r="B87" s="2"/>
      <c r="C87" s="14"/>
      <c r="D87" s="3"/>
    </row>
    <row r="88" spans="1:4">
      <c r="A88" s="2"/>
      <c r="B88" s="2"/>
      <c r="C88" s="14"/>
      <c r="D88" s="3"/>
    </row>
    <row r="89" spans="1:4">
      <c r="A89" s="2"/>
      <c r="B89" s="2"/>
      <c r="C89" s="14"/>
      <c r="D89" s="3"/>
    </row>
    <row r="90" spans="1:4">
      <c r="A90" s="2"/>
      <c r="B90" s="2"/>
      <c r="C90" s="14"/>
      <c r="D90" s="3"/>
    </row>
    <row r="91" spans="1:4">
      <c r="A91" s="2"/>
      <c r="B91" s="2"/>
      <c r="C91" s="14"/>
      <c r="D91" s="3"/>
    </row>
    <row r="92" spans="1:4">
      <c r="A92" s="2"/>
      <c r="B92" s="2"/>
      <c r="C92" s="14"/>
      <c r="D92" s="3"/>
    </row>
    <row r="93" spans="1:4">
      <c r="A93" s="2"/>
      <c r="B93" s="2"/>
      <c r="C93" s="14"/>
      <c r="D93" s="3"/>
    </row>
    <row r="94" spans="1:4">
      <c r="A94" s="2"/>
      <c r="B94" s="2"/>
      <c r="C94" s="14"/>
      <c r="D94" s="3"/>
    </row>
    <row r="95" spans="1:4">
      <c r="A95" s="2"/>
      <c r="B95" s="2"/>
      <c r="C95" s="14"/>
      <c r="D95" s="3"/>
    </row>
    <row r="96" spans="1:4">
      <c r="A96" s="2"/>
      <c r="B96" s="2"/>
      <c r="C96" s="14"/>
      <c r="D96" s="3"/>
    </row>
    <row r="97" spans="1:4">
      <c r="A97" s="2"/>
      <c r="B97" s="2"/>
      <c r="C97" s="14"/>
      <c r="D97" s="3"/>
    </row>
    <row r="98" spans="1:4">
      <c r="A98" s="2"/>
      <c r="B98" s="2"/>
      <c r="C98" s="14"/>
      <c r="D98" s="3"/>
    </row>
    <row r="99" spans="1:4">
      <c r="A99" s="2"/>
      <c r="B99" s="2"/>
      <c r="C99" s="14"/>
      <c r="D99" s="3"/>
    </row>
    <row r="100" spans="1:4">
      <c r="A100" s="2"/>
      <c r="B100" s="2"/>
      <c r="C100" s="14"/>
      <c r="D100" s="3"/>
    </row>
    <row r="101" spans="1:4">
      <c r="A101" s="2"/>
      <c r="B101" s="2"/>
      <c r="C101" s="14"/>
      <c r="D101" s="3"/>
    </row>
    <row r="102" spans="1:4">
      <c r="A102" s="2"/>
      <c r="B102" s="2"/>
      <c r="C102" s="14"/>
      <c r="D102" s="3"/>
    </row>
    <row r="103" spans="1:4">
      <c r="A103" s="2"/>
      <c r="B103" s="2"/>
      <c r="C103" s="14"/>
      <c r="D103" s="3"/>
    </row>
    <row r="104" spans="1:4">
      <c r="A104" s="2"/>
      <c r="B104" s="2"/>
      <c r="C104" s="14"/>
      <c r="D104" s="3"/>
    </row>
    <row r="105" spans="1:4">
      <c r="A105" s="2"/>
      <c r="B105" s="2"/>
      <c r="C105" s="14"/>
      <c r="D105" s="3"/>
    </row>
    <row r="106" spans="1:4">
      <c r="A106" s="2"/>
      <c r="B106" s="2"/>
      <c r="C106" s="14"/>
      <c r="D106" s="3"/>
    </row>
    <row r="107" spans="1:4">
      <c r="A107" s="2"/>
      <c r="B107" s="2"/>
      <c r="C107" s="14"/>
      <c r="D107" s="3"/>
    </row>
    <row r="108" spans="1:4">
      <c r="A108" s="2"/>
      <c r="B108" s="2"/>
      <c r="C108" s="14"/>
      <c r="D108" s="3"/>
    </row>
    <row r="109" spans="1:4">
      <c r="A109" s="2"/>
      <c r="B109" s="2"/>
      <c r="C109" s="14"/>
      <c r="D109" s="3"/>
    </row>
    <row r="110" spans="1:4">
      <c r="A110" s="2"/>
      <c r="B110" s="2"/>
      <c r="C110" s="14"/>
      <c r="D110" s="3"/>
    </row>
    <row r="111" spans="1:4">
      <c r="A111" s="2"/>
      <c r="B111" s="2"/>
      <c r="C111" s="14"/>
      <c r="D111" s="3"/>
    </row>
    <row r="112" spans="1:4">
      <c r="A112" s="2"/>
      <c r="B112" s="2"/>
      <c r="C112" s="14"/>
      <c r="D112" s="3"/>
    </row>
    <row r="113" spans="1:4">
      <c r="A113" s="2"/>
      <c r="B113" s="2"/>
      <c r="C113" s="14"/>
      <c r="D113" s="3"/>
    </row>
    <row r="114" spans="1:4">
      <c r="A114" s="2"/>
      <c r="B114" s="2"/>
      <c r="C114" s="14"/>
      <c r="D114" s="3"/>
    </row>
    <row r="115" spans="1:4">
      <c r="A115" s="2"/>
      <c r="B115" s="2"/>
      <c r="C115" s="14"/>
      <c r="D115" s="3"/>
    </row>
    <row r="116" spans="1:4">
      <c r="A116" s="2"/>
      <c r="B116" s="2"/>
      <c r="C116" s="14"/>
      <c r="D116" s="3"/>
    </row>
    <row r="117" spans="1:4">
      <c r="A117" s="2"/>
      <c r="B117" s="2"/>
      <c r="C117" s="14"/>
      <c r="D117" s="3"/>
    </row>
    <row r="118" spans="1:4">
      <c r="A118" s="2"/>
      <c r="B118" s="2"/>
      <c r="C118" s="14"/>
      <c r="D118" s="3"/>
    </row>
    <row r="119" spans="1:4">
      <c r="A119" s="2"/>
      <c r="B119" s="2"/>
      <c r="C119" s="14"/>
      <c r="D119" s="3"/>
    </row>
    <row r="120" spans="1:4">
      <c r="A120" s="2"/>
      <c r="B120" s="2"/>
      <c r="C120" s="14"/>
      <c r="D120" s="3"/>
    </row>
    <row r="121" spans="1:4">
      <c r="A121" s="2"/>
      <c r="B121" s="2"/>
      <c r="C121" s="14"/>
      <c r="D121" s="3"/>
    </row>
    <row r="122" spans="1:4">
      <c r="A122" s="2"/>
      <c r="B122" s="2"/>
      <c r="C122" s="14"/>
      <c r="D122" s="3"/>
    </row>
    <row r="123" spans="1:4">
      <c r="A123" s="2"/>
      <c r="B123" s="2"/>
      <c r="C123" s="14"/>
      <c r="D123" s="3"/>
    </row>
    <row r="124" spans="1:4">
      <c r="A124" s="2"/>
      <c r="B124" s="2"/>
      <c r="C124" s="14"/>
      <c r="D124" s="3"/>
    </row>
    <row r="125" spans="1:4">
      <c r="A125" s="2"/>
      <c r="B125" s="2"/>
      <c r="C125" s="14"/>
      <c r="D125" s="3"/>
    </row>
    <row r="126" spans="1:4">
      <c r="A126" s="2"/>
      <c r="B126" s="2"/>
      <c r="C126" s="14"/>
      <c r="D126" s="3"/>
    </row>
    <row r="127" spans="1:4">
      <c r="A127" s="2"/>
      <c r="B127" s="2"/>
      <c r="C127" s="14"/>
      <c r="D127" s="3"/>
    </row>
    <row r="128" spans="1:4">
      <c r="A128" s="2"/>
      <c r="B128" s="2"/>
      <c r="C128" s="14"/>
      <c r="D128" s="3"/>
    </row>
    <row r="129" spans="1:4">
      <c r="A129" s="2"/>
      <c r="B129" s="2"/>
      <c r="C129" s="14"/>
      <c r="D129" s="3"/>
    </row>
    <row r="130" spans="1:4">
      <c r="A130" s="2"/>
      <c r="B130" s="2"/>
      <c r="C130" s="14"/>
      <c r="D130" s="3"/>
    </row>
    <row r="131" spans="1:4">
      <c r="A131" s="2"/>
      <c r="B131" s="2"/>
      <c r="C131" s="14"/>
      <c r="D131" s="3"/>
    </row>
    <row r="132" spans="1:4">
      <c r="A132" s="2"/>
      <c r="B132" s="2"/>
      <c r="C132" s="14"/>
      <c r="D132" s="3"/>
    </row>
    <row r="133" spans="1:4">
      <c r="A133" s="2"/>
      <c r="B133" s="2"/>
      <c r="C133" s="14"/>
      <c r="D133" s="3"/>
    </row>
    <row r="134" spans="1:4">
      <c r="A134" s="2"/>
      <c r="B134" s="2"/>
      <c r="C134" s="14"/>
      <c r="D134" s="3"/>
    </row>
    <row r="135" spans="1:4">
      <c r="A135" s="2"/>
      <c r="B135" s="2"/>
      <c r="C135" s="14"/>
      <c r="D135" s="3"/>
    </row>
    <row r="136" spans="1:4">
      <c r="A136" s="2"/>
      <c r="B136" s="2"/>
      <c r="C136" s="14"/>
      <c r="D136" s="3"/>
    </row>
    <row r="137" spans="1:4">
      <c r="A137" s="2"/>
      <c r="B137" s="2"/>
      <c r="C137" s="14"/>
      <c r="D137" s="3"/>
    </row>
    <row r="138" spans="1:4">
      <c r="A138" s="2"/>
      <c r="B138" s="2"/>
      <c r="C138" s="14"/>
      <c r="D138" s="3"/>
    </row>
    <row r="139" spans="1:4">
      <c r="A139" s="2"/>
      <c r="B139" s="2"/>
      <c r="C139" s="14"/>
      <c r="D139" s="3"/>
    </row>
    <row r="140" spans="1:4">
      <c r="A140" s="2"/>
      <c r="B140" s="2"/>
      <c r="C140" s="14"/>
      <c r="D140" s="3"/>
    </row>
    <row r="141" spans="1:4">
      <c r="A141" s="2"/>
      <c r="B141" s="2"/>
      <c r="C141" s="14"/>
      <c r="D141" s="3"/>
    </row>
    <row r="142" spans="1:4">
      <c r="A142" s="2"/>
      <c r="B142" s="2"/>
      <c r="C142" s="14"/>
      <c r="D142" s="3"/>
    </row>
    <row r="143" spans="1:4">
      <c r="A143" s="2"/>
      <c r="B143" s="2"/>
      <c r="C143" s="14"/>
      <c r="D143" s="3"/>
    </row>
    <row r="144" spans="1:4">
      <c r="A144" s="2"/>
      <c r="B144" s="2"/>
      <c r="C144" s="14"/>
      <c r="D144" s="3"/>
    </row>
    <row r="145" spans="1:4">
      <c r="A145" s="2"/>
      <c r="B145" s="2"/>
      <c r="C145" s="14"/>
      <c r="D145" s="3"/>
    </row>
    <row r="146" spans="1:4">
      <c r="A146" s="2"/>
      <c r="B146" s="2"/>
      <c r="C146" s="14"/>
      <c r="D146" s="3"/>
    </row>
    <row r="147" spans="1:4">
      <c r="A147" s="2"/>
      <c r="B147" s="2"/>
      <c r="C147" s="14"/>
      <c r="D147" s="3"/>
    </row>
    <row r="148" spans="1:4">
      <c r="A148" s="2"/>
      <c r="B148" s="2"/>
      <c r="C148" s="14"/>
      <c r="D148" s="3"/>
    </row>
    <row r="149" spans="1:4">
      <c r="A149" s="2"/>
      <c r="B149" s="2"/>
      <c r="C149" s="14"/>
      <c r="D149" s="3"/>
    </row>
    <row r="150" spans="1:4">
      <c r="A150" s="2"/>
      <c r="B150" s="2"/>
      <c r="C150" s="14"/>
      <c r="D150" s="3"/>
    </row>
    <row r="151" spans="1:4">
      <c r="A151" s="2"/>
      <c r="B151" s="2"/>
      <c r="C151" s="14"/>
      <c r="D151" s="3"/>
    </row>
    <row r="152" spans="1:4">
      <c r="A152" s="2"/>
      <c r="B152" s="2"/>
      <c r="C152" s="14"/>
      <c r="D152" s="3"/>
    </row>
    <row r="153" spans="1:4">
      <c r="A153" s="2"/>
      <c r="B153" s="2"/>
      <c r="C153" s="14"/>
      <c r="D153" s="3"/>
    </row>
    <row r="154" spans="1:4">
      <c r="A154" s="2"/>
      <c r="B154" s="2"/>
      <c r="C154" s="14"/>
      <c r="D154" s="3"/>
    </row>
    <row r="155" spans="1:4">
      <c r="A155" s="2"/>
      <c r="B155" s="2"/>
      <c r="C155" s="14"/>
      <c r="D155" s="3"/>
    </row>
    <row r="156" spans="1:4">
      <c r="A156" s="2"/>
      <c r="B156" s="2"/>
      <c r="C156" s="14"/>
      <c r="D156" s="3"/>
    </row>
    <row r="157" spans="1:4">
      <c r="A157" s="2"/>
      <c r="B157" s="2"/>
      <c r="C157" s="14"/>
      <c r="D157" s="3"/>
    </row>
    <row r="158" spans="1:4">
      <c r="A158" s="2"/>
      <c r="B158" s="2"/>
      <c r="C158" s="14"/>
      <c r="D158" s="3"/>
    </row>
    <row r="159" spans="1:4">
      <c r="A159" s="2"/>
      <c r="B159" s="2"/>
      <c r="C159" s="14"/>
      <c r="D159" s="3"/>
    </row>
    <row r="160" spans="1:4">
      <c r="A160" s="2"/>
      <c r="B160" s="2"/>
      <c r="C160" s="14"/>
      <c r="D160" s="3"/>
    </row>
    <row r="161" spans="1:4">
      <c r="A161" s="2"/>
      <c r="B161" s="2"/>
      <c r="C161" s="14"/>
      <c r="D161" s="3"/>
    </row>
    <row r="162" spans="1:4">
      <c r="A162" s="2"/>
      <c r="B162" s="2"/>
      <c r="C162" s="14"/>
      <c r="D162" s="3"/>
    </row>
    <row r="163" spans="1:4">
      <c r="A163" s="2"/>
      <c r="B163" s="2"/>
      <c r="C163" s="14"/>
      <c r="D163" s="3"/>
    </row>
    <row r="164" spans="1:4">
      <c r="A164" s="2"/>
      <c r="B164" s="2"/>
      <c r="C164" s="14"/>
      <c r="D164" s="3"/>
    </row>
    <row r="165" spans="1:4">
      <c r="A165" s="2"/>
      <c r="B165" s="2"/>
      <c r="C165" s="14"/>
      <c r="D165" s="3"/>
    </row>
    <row r="166" spans="1:4">
      <c r="A166" s="2"/>
      <c r="B166" s="2"/>
      <c r="C166" s="14"/>
      <c r="D166" s="3"/>
    </row>
    <row r="167" spans="1:4">
      <c r="A167" s="2"/>
      <c r="B167" s="2"/>
      <c r="C167" s="14"/>
      <c r="D167" s="3"/>
    </row>
    <row r="168" spans="1:4">
      <c r="A168" s="2"/>
      <c r="B168" s="2"/>
      <c r="C168" s="14"/>
      <c r="D168" s="3"/>
    </row>
    <row r="169" spans="1:4">
      <c r="A169" s="2"/>
      <c r="B169" s="2"/>
      <c r="C169" s="14"/>
      <c r="D169" s="3"/>
    </row>
    <row r="170" spans="1:4">
      <c r="A170" s="2"/>
      <c r="B170" s="2"/>
      <c r="C170" s="14"/>
      <c r="D170" s="3"/>
    </row>
    <row r="171" spans="1:4">
      <c r="A171" s="2"/>
      <c r="B171" s="2"/>
      <c r="C171" s="14"/>
      <c r="D171" s="3"/>
    </row>
    <row r="172" spans="1:4">
      <c r="A172" s="2"/>
      <c r="B172" s="2"/>
      <c r="C172" s="14"/>
      <c r="D172" s="3"/>
    </row>
    <row r="173" spans="1:4">
      <c r="A173" s="2"/>
      <c r="B173" s="2"/>
      <c r="C173" s="14"/>
      <c r="D173" s="3"/>
    </row>
    <row r="174" spans="1:4">
      <c r="A174" s="2"/>
      <c r="B174" s="2"/>
      <c r="C174" s="14"/>
      <c r="D174" s="3"/>
    </row>
    <row r="175" spans="1:4">
      <c r="A175" s="2"/>
      <c r="B175" s="2"/>
      <c r="C175" s="14"/>
      <c r="D175" s="3"/>
    </row>
    <row r="176" spans="1:4">
      <c r="A176" s="2"/>
      <c r="B176" s="2"/>
      <c r="C176" s="14"/>
      <c r="D176" s="3"/>
    </row>
    <row r="177" spans="1:4">
      <c r="A177" s="2"/>
      <c r="B177" s="2"/>
      <c r="C177" s="14"/>
      <c r="D177" s="3"/>
    </row>
    <row r="178" spans="1:4">
      <c r="A178" s="2"/>
      <c r="B178" s="2"/>
      <c r="C178" s="14"/>
      <c r="D178" s="3"/>
    </row>
    <row r="179" spans="1:4">
      <c r="A179" s="2"/>
      <c r="B179" s="2"/>
      <c r="C179" s="14"/>
      <c r="D179" s="3"/>
    </row>
    <row r="180" spans="1:4">
      <c r="A180" s="2"/>
      <c r="B180" s="2"/>
      <c r="C180" s="14"/>
      <c r="D180" s="3"/>
    </row>
    <row r="181" spans="1:4">
      <c r="A181" s="2"/>
      <c r="B181" s="2"/>
      <c r="C181" s="14"/>
      <c r="D181" s="3"/>
    </row>
    <row r="182" spans="1:4">
      <c r="A182" s="2"/>
      <c r="B182" s="2"/>
      <c r="C182" s="14"/>
      <c r="D182" s="3"/>
    </row>
    <row r="183" spans="1:4">
      <c r="A183" s="2"/>
      <c r="B183" s="2"/>
      <c r="C183" s="14"/>
      <c r="D183" s="3"/>
    </row>
    <row r="184" spans="1:4">
      <c r="A184" s="2"/>
      <c r="B184" s="2"/>
      <c r="C184" s="14"/>
      <c r="D184" s="3"/>
    </row>
    <row r="185" spans="1:4">
      <c r="A185" s="2"/>
      <c r="B185" s="2"/>
      <c r="C185" s="14"/>
      <c r="D185" s="3"/>
    </row>
    <row r="186" spans="1:4">
      <c r="A186" s="2"/>
      <c r="B186" s="2"/>
      <c r="C186" s="14"/>
      <c r="D186" s="3"/>
    </row>
    <row r="187" spans="1:4">
      <c r="A187" s="2"/>
      <c r="B187" s="2"/>
      <c r="C187" s="14"/>
      <c r="D187" s="3"/>
    </row>
    <row r="188" spans="1:4">
      <c r="A188" s="2"/>
      <c r="B188" s="2"/>
      <c r="C188" s="14"/>
      <c r="D188" s="3"/>
    </row>
    <row r="189" spans="1:4">
      <c r="A189" s="2"/>
      <c r="B189" s="2"/>
      <c r="C189" s="14"/>
      <c r="D189" s="3"/>
    </row>
    <row r="190" spans="1:4">
      <c r="A190" s="2"/>
      <c r="B190" s="2"/>
      <c r="C190" s="14"/>
      <c r="D190" s="3"/>
    </row>
    <row r="191" spans="1:4">
      <c r="A191" s="2"/>
      <c r="B191" s="2"/>
      <c r="C191" s="14"/>
      <c r="D191" s="3"/>
    </row>
    <row r="192" spans="1:4">
      <c r="A192" s="2"/>
      <c r="B192" s="2"/>
      <c r="C192" s="14"/>
      <c r="D192" s="3"/>
    </row>
    <row r="193" spans="1:4">
      <c r="A193" s="2"/>
      <c r="B193" s="2"/>
      <c r="C193" s="14"/>
      <c r="D193" s="3"/>
    </row>
    <row r="194" spans="1:4">
      <c r="A194" s="2"/>
      <c r="B194" s="2"/>
      <c r="C194" s="14"/>
      <c r="D194" s="3"/>
    </row>
    <row r="195" spans="1:4">
      <c r="A195" s="2"/>
      <c r="B195" s="2"/>
      <c r="C195" s="14"/>
      <c r="D195" s="3"/>
    </row>
    <row r="196" spans="1:4">
      <c r="A196" s="2"/>
      <c r="B196" s="2"/>
      <c r="C196" s="14"/>
      <c r="D196" s="3"/>
    </row>
    <row r="197" spans="1:4">
      <c r="A197" s="2"/>
      <c r="B197" s="2"/>
      <c r="C197" s="14"/>
      <c r="D197" s="3"/>
    </row>
    <row r="198" spans="1:4">
      <c r="A198" s="2"/>
      <c r="B198" s="2"/>
      <c r="C198" s="14"/>
      <c r="D198" s="3"/>
    </row>
    <row r="199" spans="1:4">
      <c r="A199" s="2"/>
      <c r="B199" s="2"/>
      <c r="C199" s="14"/>
      <c r="D199" s="3"/>
    </row>
    <row r="200" spans="1:4">
      <c r="A200" s="2"/>
      <c r="B200" s="2"/>
      <c r="C200" s="14"/>
      <c r="D200" s="3"/>
    </row>
    <row r="201" spans="1:4">
      <c r="A201" s="2"/>
      <c r="B201" s="2"/>
      <c r="C201" s="14"/>
      <c r="D201" s="3"/>
    </row>
    <row r="202" spans="1:4">
      <c r="A202" s="2"/>
      <c r="B202" s="2"/>
      <c r="C202" s="14"/>
      <c r="D202" s="3"/>
    </row>
    <row r="203" spans="1:4">
      <c r="A203" s="2"/>
      <c r="B203" s="2"/>
      <c r="C203" s="14"/>
      <c r="D203" s="3"/>
    </row>
    <row r="204" spans="1:4">
      <c r="A204" s="2"/>
      <c r="B204" s="2"/>
      <c r="C204" s="14"/>
      <c r="D204" s="3"/>
    </row>
    <row r="205" spans="1:4">
      <c r="A205" s="2"/>
      <c r="B205" s="2"/>
      <c r="C205" s="14"/>
      <c r="D205" s="3"/>
    </row>
    <row r="206" spans="1:4">
      <c r="A206" s="2"/>
      <c r="B206" s="2"/>
      <c r="C206" s="14"/>
      <c r="D206" s="3"/>
    </row>
    <row r="207" spans="1:4">
      <c r="A207" s="2"/>
      <c r="B207" s="2"/>
      <c r="C207" s="14"/>
      <c r="D207" s="3"/>
    </row>
    <row r="208" spans="1:4">
      <c r="A208" s="2"/>
      <c r="B208" s="2"/>
      <c r="C208" s="14"/>
      <c r="D208" s="3"/>
    </row>
    <row r="209" spans="1:4">
      <c r="A209" s="2"/>
      <c r="B209" s="2"/>
      <c r="C209" s="14"/>
      <c r="D209" s="3"/>
    </row>
    <row r="210" spans="1:4">
      <c r="A210" s="2"/>
      <c r="B210" s="2"/>
      <c r="C210" s="14"/>
      <c r="D210" s="3"/>
    </row>
    <row r="211" spans="1:4">
      <c r="A211" s="2"/>
      <c r="B211" s="2"/>
      <c r="C211" s="14"/>
      <c r="D211" s="3"/>
    </row>
    <row r="212" spans="1:4">
      <c r="A212" s="2"/>
      <c r="B212" s="2"/>
      <c r="C212" s="14"/>
      <c r="D212" s="3"/>
    </row>
    <row r="213" spans="1:4">
      <c r="A213" s="2"/>
      <c r="B213" s="2"/>
      <c r="C213" s="14"/>
      <c r="D213" s="3"/>
    </row>
    <row r="214" spans="1:4">
      <c r="A214" s="2"/>
      <c r="B214" s="2"/>
      <c r="C214" s="14"/>
      <c r="D214" s="3"/>
    </row>
    <row r="215" spans="1:4">
      <c r="A215" s="2"/>
      <c r="B215" s="2"/>
      <c r="C215" s="14"/>
      <c r="D215" s="3"/>
    </row>
    <row r="216" spans="1:4">
      <c r="A216" s="2"/>
      <c r="B216" s="2"/>
      <c r="C216" s="14"/>
      <c r="D216" s="3"/>
    </row>
    <row r="217" spans="1:4">
      <c r="A217" s="2"/>
      <c r="B217" s="2"/>
      <c r="C217" s="14"/>
      <c r="D217" s="3"/>
    </row>
    <row r="218" spans="1:4">
      <c r="A218" s="2"/>
      <c r="B218" s="2"/>
      <c r="C218" s="14"/>
      <c r="D218" s="3"/>
    </row>
    <row r="219" spans="1:4">
      <c r="A219" s="2"/>
      <c r="B219" s="2"/>
      <c r="C219" s="14"/>
      <c r="D219" s="3"/>
    </row>
    <row r="220" spans="1:4">
      <c r="A220" s="2"/>
      <c r="B220" s="2"/>
      <c r="C220" s="14"/>
      <c r="D220" s="3"/>
    </row>
    <row r="221" spans="1:4">
      <c r="A221" s="2"/>
      <c r="B221" s="2"/>
      <c r="C221" s="14"/>
      <c r="D221" s="3"/>
    </row>
    <row r="222" spans="1:4">
      <c r="A222" s="2"/>
      <c r="B222" s="2"/>
      <c r="C222" s="14"/>
      <c r="D222" s="3"/>
    </row>
    <row r="223" spans="1:4">
      <c r="A223" s="2"/>
      <c r="B223" s="2"/>
      <c r="C223" s="14"/>
      <c r="D223" s="3"/>
    </row>
    <row r="224" spans="1:4">
      <c r="A224" s="2"/>
      <c r="B224" s="2"/>
      <c r="C224" s="14"/>
      <c r="D224" s="3"/>
    </row>
    <row r="225" spans="1:4">
      <c r="A225" s="2"/>
      <c r="B225" s="2"/>
      <c r="C225" s="14"/>
      <c r="D225" s="3"/>
    </row>
    <row r="226" spans="1:4">
      <c r="A226" s="2"/>
      <c r="B226" s="2"/>
      <c r="C226" s="14"/>
      <c r="D226" s="3"/>
    </row>
    <row r="227" spans="1:4">
      <c r="A227" s="2"/>
      <c r="B227" s="2"/>
      <c r="C227" s="14"/>
      <c r="D227" s="3"/>
    </row>
    <row r="228" spans="1:4">
      <c r="A228" s="2"/>
      <c r="B228" s="2"/>
      <c r="C228" s="14"/>
      <c r="D228" s="3"/>
    </row>
    <row r="229" spans="1:4">
      <c r="A229" s="2"/>
      <c r="B229" s="2"/>
      <c r="C229" s="14"/>
      <c r="D229" s="3"/>
    </row>
    <row r="230" spans="1:4">
      <c r="A230" s="2"/>
      <c r="B230" s="2"/>
      <c r="C230" s="14"/>
      <c r="D230" s="3"/>
    </row>
    <row r="231" spans="1:4">
      <c r="A231" s="2"/>
      <c r="B231" s="2"/>
      <c r="C231" s="14"/>
      <c r="D231" s="3"/>
    </row>
    <row r="232" spans="1:4">
      <c r="A232" s="2"/>
      <c r="B232" s="2"/>
      <c r="C232" s="14"/>
      <c r="D232" s="3"/>
    </row>
    <row r="233" spans="1:4">
      <c r="A233" s="2"/>
      <c r="B233" s="2"/>
      <c r="C233" s="14"/>
      <c r="D233" s="3"/>
    </row>
    <row r="234" spans="1:4">
      <c r="A234" s="2"/>
      <c r="B234" s="2"/>
      <c r="C234" s="14"/>
      <c r="D234" s="3"/>
    </row>
    <row r="235" spans="1:4">
      <c r="A235" s="2"/>
      <c r="B235" s="2"/>
      <c r="C235" s="14"/>
      <c r="D235" s="3"/>
    </row>
    <row r="236" spans="1:4">
      <c r="A236" s="2"/>
      <c r="B236" s="2"/>
      <c r="C236" s="14"/>
      <c r="D236" s="3"/>
    </row>
    <row r="237" spans="1:4">
      <c r="A237" s="2"/>
      <c r="B237" s="2"/>
      <c r="C237" s="14"/>
      <c r="D237" s="3"/>
    </row>
    <row r="238" spans="1:4">
      <c r="A238" s="2"/>
      <c r="B238" s="2"/>
      <c r="C238" s="14"/>
      <c r="D238" s="3"/>
    </row>
    <row r="239" spans="1:4">
      <c r="A239" s="2"/>
      <c r="B239" s="2"/>
      <c r="C239" s="14"/>
      <c r="D239" s="3"/>
    </row>
    <row r="240" spans="1:4">
      <c r="A240" s="2"/>
      <c r="B240" s="2"/>
      <c r="C240" s="14"/>
      <c r="D240" s="3"/>
    </row>
    <row r="241" spans="1:4">
      <c r="A241" s="2"/>
      <c r="B241" s="2"/>
      <c r="C241" s="14"/>
      <c r="D241" s="3"/>
    </row>
    <row r="242" spans="1:4">
      <c r="A242" s="2"/>
      <c r="B242" s="2"/>
      <c r="C242" s="14"/>
      <c r="D242" s="3"/>
    </row>
    <row r="243" spans="1:4">
      <c r="A243" s="2"/>
      <c r="B243" s="2"/>
      <c r="C243" s="14"/>
      <c r="D243" s="3"/>
    </row>
    <row r="244" spans="1:4">
      <c r="A244" s="2"/>
      <c r="B244" s="2"/>
      <c r="C244" s="14"/>
      <c r="D244" s="3"/>
    </row>
    <row r="245" spans="1:4">
      <c r="A245" s="2"/>
      <c r="B245" s="2"/>
      <c r="C245" s="14"/>
      <c r="D245" s="3"/>
    </row>
    <row r="246" spans="1:4">
      <c r="A246" s="2"/>
      <c r="B246" s="2"/>
      <c r="C246" s="14"/>
      <c r="D246" s="3"/>
    </row>
    <row r="247" spans="1:4">
      <c r="A247" s="2"/>
      <c r="B247" s="2"/>
      <c r="C247" s="14"/>
      <c r="D247" s="3"/>
    </row>
    <row r="248" spans="1:4">
      <c r="A248" s="2"/>
      <c r="B248" s="2"/>
      <c r="C248" s="14"/>
      <c r="D248" s="3"/>
    </row>
    <row r="249" spans="1:4">
      <c r="A249" s="2"/>
      <c r="B249" s="2"/>
      <c r="C249" s="14"/>
      <c r="D249" s="3"/>
    </row>
    <row r="250" spans="1:4">
      <c r="A250" s="2"/>
      <c r="B250" s="2"/>
      <c r="C250" s="14"/>
      <c r="D250" s="3"/>
    </row>
    <row r="251" spans="1:4">
      <c r="A251" s="2"/>
      <c r="B251" s="2"/>
      <c r="C251" s="14"/>
      <c r="D251" s="3"/>
    </row>
    <row r="252" spans="1:4">
      <c r="A252" s="2"/>
      <c r="B252" s="2"/>
      <c r="C252" s="14"/>
      <c r="D252" s="3"/>
    </row>
    <row r="253" spans="1:4">
      <c r="A253" s="2"/>
      <c r="B253" s="2"/>
      <c r="C253" s="14"/>
      <c r="D253" s="3"/>
    </row>
    <row r="254" spans="1:4">
      <c r="A254" s="2"/>
      <c r="B254" s="2"/>
      <c r="C254" s="14"/>
      <c r="D254" s="3"/>
    </row>
    <row r="255" spans="1:4">
      <c r="A255" s="2"/>
      <c r="B255" s="2"/>
      <c r="C255" s="14"/>
      <c r="D255" s="3"/>
    </row>
    <row r="256" spans="1:4">
      <c r="A256" s="2"/>
      <c r="B256" s="2"/>
      <c r="C256" s="14"/>
      <c r="D256" s="3"/>
    </row>
    <row r="257" spans="1:4">
      <c r="A257" s="2"/>
      <c r="B257" s="2"/>
      <c r="C257" s="14"/>
      <c r="D257" s="3"/>
    </row>
    <row r="258" spans="1:4">
      <c r="A258" s="2"/>
      <c r="B258" s="2"/>
      <c r="C258" s="14"/>
      <c r="D258" s="3"/>
    </row>
    <row r="259" spans="1:4">
      <c r="A259" s="2"/>
      <c r="B259" s="2"/>
      <c r="C259" s="14"/>
      <c r="D259" s="3"/>
    </row>
    <row r="260" spans="1:4">
      <c r="A260" s="2"/>
      <c r="B260" s="2"/>
      <c r="C260" s="14"/>
      <c r="D260" s="3"/>
    </row>
    <row r="261" spans="1:4">
      <c r="A261" s="2"/>
      <c r="B261" s="2"/>
      <c r="C261" s="14"/>
      <c r="D261" s="3"/>
    </row>
    <row r="262" spans="1:4">
      <c r="A262" s="2"/>
      <c r="B262" s="2"/>
      <c r="C262" s="14"/>
      <c r="D262" s="3"/>
    </row>
    <row r="263" spans="1:4">
      <c r="A263" s="2"/>
      <c r="B263" s="2"/>
      <c r="C263" s="14"/>
      <c r="D263" s="3"/>
    </row>
    <row r="264" spans="1:4">
      <c r="A264" s="2"/>
      <c r="B264" s="2"/>
      <c r="C264" s="14"/>
      <c r="D264" s="3"/>
    </row>
    <row r="265" spans="1:4">
      <c r="A265" s="2"/>
      <c r="B265" s="2"/>
      <c r="C265" s="14"/>
      <c r="D265" s="3"/>
    </row>
    <row r="266" spans="1:4">
      <c r="A266" s="2"/>
      <c r="B266" s="2"/>
      <c r="C266" s="14"/>
      <c r="D266" s="3"/>
    </row>
    <row r="267" spans="1:4">
      <c r="A267" s="2"/>
      <c r="B267" s="2"/>
      <c r="C267" s="14"/>
      <c r="D267" s="3"/>
    </row>
    <row r="268" spans="1:4">
      <c r="A268" s="2"/>
      <c r="B268" s="2"/>
      <c r="C268" s="14"/>
      <c r="D268" s="3"/>
    </row>
    <row r="269" spans="1:4">
      <c r="A269" s="2"/>
      <c r="B269" s="2"/>
      <c r="C269" s="14"/>
      <c r="D269" s="3"/>
    </row>
    <row r="270" spans="1:4">
      <c r="A270" s="2"/>
      <c r="B270" s="2"/>
      <c r="C270" s="14"/>
      <c r="D270" s="3"/>
    </row>
    <row r="271" spans="1:4">
      <c r="A271" s="2"/>
      <c r="B271" s="2"/>
      <c r="C271" s="14"/>
      <c r="D271" s="3"/>
    </row>
    <row r="272" spans="1:4">
      <c r="A272" s="2"/>
      <c r="B272" s="2"/>
      <c r="C272" s="14"/>
      <c r="D272" s="3"/>
    </row>
    <row r="273" spans="1:4">
      <c r="A273" s="2"/>
      <c r="B273" s="2"/>
      <c r="C273" s="14"/>
      <c r="D273" s="3"/>
    </row>
    <row r="274" spans="1:4">
      <c r="A274" s="2"/>
      <c r="B274" s="2"/>
      <c r="C274" s="14"/>
      <c r="D274" s="3"/>
    </row>
    <row r="275" spans="1:4">
      <c r="A275" s="2"/>
      <c r="B275" s="2"/>
      <c r="C275" s="14"/>
      <c r="D275" s="3"/>
    </row>
    <row r="276" spans="1:4">
      <c r="A276" s="2"/>
      <c r="B276" s="2"/>
      <c r="C276" s="14"/>
      <c r="D276" s="3"/>
    </row>
    <row r="277" spans="1:4">
      <c r="A277" s="2"/>
      <c r="B277" s="2"/>
      <c r="C277" s="14"/>
      <c r="D277" s="3"/>
    </row>
    <row r="278" spans="1:4">
      <c r="A278" s="2"/>
      <c r="B278" s="2"/>
      <c r="C278" s="14"/>
      <c r="D278" s="3"/>
    </row>
    <row r="279" spans="1:4">
      <c r="A279" s="2"/>
      <c r="B279" s="2"/>
      <c r="C279" s="14"/>
      <c r="D279" s="3"/>
    </row>
    <row r="280" spans="1:4">
      <c r="A280" s="2"/>
      <c r="B280" s="2"/>
      <c r="C280" s="14"/>
      <c r="D280" s="3"/>
    </row>
    <row r="281" spans="1:4">
      <c r="A281" s="2"/>
      <c r="B281" s="2"/>
      <c r="C281" s="14"/>
      <c r="D281" s="3"/>
    </row>
    <row r="282" spans="1:4">
      <c r="A282" s="2"/>
      <c r="B282" s="2"/>
      <c r="C282" s="14"/>
      <c r="D282" s="3"/>
    </row>
    <row r="283" spans="1:4">
      <c r="A283" s="2"/>
      <c r="B283" s="2"/>
      <c r="C283" s="14"/>
      <c r="D283" s="3"/>
    </row>
    <row r="284" spans="1:4">
      <c r="A284" s="2"/>
      <c r="B284" s="2"/>
      <c r="C284" s="14"/>
      <c r="D284" s="3"/>
    </row>
    <row r="285" spans="1:4">
      <c r="A285" s="2"/>
      <c r="B285" s="2"/>
      <c r="C285" s="14"/>
      <c r="D285" s="3"/>
    </row>
    <row r="286" spans="1:4">
      <c r="A286" s="2"/>
      <c r="B286" s="2"/>
      <c r="C286" s="14"/>
      <c r="D286" s="3"/>
    </row>
    <row r="287" spans="1:4">
      <c r="A287" s="2"/>
      <c r="B287" s="2"/>
      <c r="C287" s="14"/>
      <c r="D287" s="3"/>
    </row>
    <row r="288" spans="1:4">
      <c r="A288" s="2"/>
      <c r="B288" s="2"/>
      <c r="C288" s="14"/>
      <c r="D288" s="3"/>
    </row>
    <row r="289" spans="1:4">
      <c r="A289" s="2"/>
      <c r="B289" s="2"/>
      <c r="C289" s="14"/>
      <c r="D289" s="3"/>
    </row>
    <row r="290" spans="1:4">
      <c r="A290" s="2"/>
      <c r="B290" s="2"/>
      <c r="C290" s="14"/>
      <c r="D290" s="3"/>
    </row>
    <row r="291" spans="1:4">
      <c r="A291" s="2"/>
      <c r="B291" s="2"/>
      <c r="C291" s="14"/>
      <c r="D291" s="3"/>
    </row>
    <row r="292" spans="1:4">
      <c r="A292" s="2"/>
      <c r="B292" s="2"/>
      <c r="C292" s="14"/>
      <c r="D292" s="3"/>
    </row>
    <row r="293" spans="1:4">
      <c r="A293" s="2"/>
      <c r="B293" s="2"/>
      <c r="C293" s="14"/>
      <c r="D293" s="3"/>
    </row>
    <row r="294" spans="1:4">
      <c r="A294" s="2"/>
      <c r="B294" s="2"/>
      <c r="C294" s="14"/>
      <c r="D294" s="3"/>
    </row>
    <row r="295" spans="1:4">
      <c r="A295" s="2"/>
      <c r="B295" s="2"/>
      <c r="C295" s="14"/>
      <c r="D295" s="3"/>
    </row>
    <row r="296" spans="1:4">
      <c r="A296" s="2"/>
      <c r="B296" s="2"/>
      <c r="C296" s="14"/>
      <c r="D296" s="3"/>
    </row>
    <row r="297" spans="1:4">
      <c r="A297" s="2"/>
      <c r="B297" s="2"/>
      <c r="C297" s="14"/>
      <c r="D297" s="3"/>
    </row>
    <row r="298" spans="1:4">
      <c r="A298" s="2"/>
      <c r="B298" s="2"/>
      <c r="C298" s="14"/>
      <c r="D298" s="3"/>
    </row>
    <row r="299" spans="1:4">
      <c r="A299" s="2"/>
      <c r="B299" s="2"/>
      <c r="C299" s="14"/>
      <c r="D299" s="3"/>
    </row>
    <row r="300" spans="1:4">
      <c r="A300" s="2"/>
      <c r="B300" s="2"/>
      <c r="C300" s="14"/>
      <c r="D300" s="3"/>
    </row>
    <row r="301" spans="1:4">
      <c r="A301" s="2"/>
      <c r="B301" s="2"/>
      <c r="C301" s="14"/>
      <c r="D301" s="3"/>
    </row>
    <row r="302" spans="1:4">
      <c r="A302" s="2"/>
      <c r="B302" s="2"/>
      <c r="C302" s="14"/>
      <c r="D302" s="3"/>
    </row>
    <row r="303" spans="1:4">
      <c r="A303" s="2"/>
      <c r="B303" s="2"/>
      <c r="C303" s="14"/>
      <c r="D303" s="3"/>
    </row>
    <row r="304" spans="1:4">
      <c r="A304" s="2"/>
      <c r="B304" s="2"/>
      <c r="C304" s="14"/>
      <c r="D304" s="3"/>
    </row>
    <row r="305" spans="1:4">
      <c r="A305" s="2"/>
      <c r="B305" s="2"/>
      <c r="C305" s="14"/>
      <c r="D305" s="3"/>
    </row>
    <row r="306" spans="1:4">
      <c r="A306" s="2"/>
      <c r="B306" s="2"/>
      <c r="C306" s="14"/>
      <c r="D306" s="3"/>
    </row>
    <row r="307" spans="1:4">
      <c r="A307" s="2"/>
      <c r="B307" s="2"/>
      <c r="C307" s="14"/>
      <c r="D307" s="3"/>
    </row>
    <row r="308" spans="1:4">
      <c r="A308" s="2"/>
      <c r="B308" s="2"/>
      <c r="C308" s="14"/>
      <c r="D308" s="3"/>
    </row>
    <row r="309" spans="1:4">
      <c r="A309" s="2"/>
      <c r="B309" s="2"/>
      <c r="C309" s="14"/>
      <c r="D309" s="3"/>
    </row>
    <row r="310" spans="1:4">
      <c r="A310" s="2"/>
      <c r="B310" s="2"/>
      <c r="C310" s="14"/>
      <c r="D310" s="3"/>
    </row>
    <row r="311" spans="1:4">
      <c r="A311" s="2"/>
      <c r="B311" s="2"/>
      <c r="C311" s="14"/>
      <c r="D311" s="3"/>
    </row>
    <row r="312" spans="1:4">
      <c r="A312" s="2"/>
      <c r="B312" s="2"/>
      <c r="C312" s="14"/>
      <c r="D312" s="3"/>
    </row>
    <row r="313" spans="1:4">
      <c r="A313" s="2"/>
      <c r="B313" s="2"/>
      <c r="C313" s="14"/>
      <c r="D313" s="3"/>
    </row>
    <row r="314" spans="1:4">
      <c r="A314" s="2"/>
      <c r="B314" s="2"/>
      <c r="C314" s="14"/>
      <c r="D314" s="3"/>
    </row>
    <row r="315" spans="1:4">
      <c r="A315" s="2"/>
      <c r="B315" s="2"/>
      <c r="C315" s="14"/>
      <c r="D315" s="3"/>
    </row>
    <row r="316" spans="1:4">
      <c r="A316" s="2"/>
      <c r="B316" s="2"/>
      <c r="C316" s="14"/>
      <c r="D316" s="3"/>
    </row>
    <row r="317" spans="1:4">
      <c r="A317" s="2"/>
      <c r="B317" s="2"/>
      <c r="C317" s="14"/>
      <c r="D317" s="3"/>
    </row>
    <row r="318" spans="1:4">
      <c r="A318" s="2"/>
      <c r="B318" s="2"/>
      <c r="C318" s="14"/>
      <c r="D318" s="3"/>
    </row>
    <row r="319" spans="1:4">
      <c r="A319" s="2"/>
      <c r="B319" s="2"/>
      <c r="C319" s="14"/>
      <c r="D319" s="3"/>
    </row>
    <row r="320" spans="1:4">
      <c r="A320" s="2"/>
      <c r="B320" s="2"/>
      <c r="C320" s="14"/>
      <c r="D320" s="3"/>
    </row>
    <row r="321" spans="1:4">
      <c r="A321" s="2"/>
      <c r="B321" s="2"/>
      <c r="C321" s="14"/>
      <c r="D321" s="3"/>
    </row>
    <row r="322" spans="1:4">
      <c r="A322" s="2"/>
      <c r="B322" s="2"/>
      <c r="C322" s="14"/>
      <c r="D322" s="3"/>
    </row>
    <row r="323" spans="1:4">
      <c r="A323" s="2"/>
      <c r="B323" s="2"/>
      <c r="C323" s="14"/>
      <c r="D323" s="3"/>
    </row>
    <row r="324" spans="1:4">
      <c r="A324" s="2"/>
      <c r="B324" s="2"/>
      <c r="C324" s="14"/>
      <c r="D324" s="3"/>
    </row>
    <row r="325" spans="1:4">
      <c r="A325" s="2"/>
      <c r="B325" s="2"/>
      <c r="C325" s="14"/>
      <c r="D325" s="3"/>
    </row>
    <row r="326" spans="1:4">
      <c r="A326" s="2"/>
      <c r="B326" s="2"/>
      <c r="C326" s="14"/>
      <c r="D326" s="3"/>
    </row>
    <row r="327" spans="1:4">
      <c r="A327" s="2"/>
      <c r="B327" s="2"/>
      <c r="C327" s="14"/>
      <c r="D327" s="3"/>
    </row>
    <row r="328" spans="1:4">
      <c r="A328" s="2"/>
      <c r="B328" s="2"/>
      <c r="C328" s="14"/>
      <c r="D328" s="3"/>
    </row>
    <row r="329" spans="1:4">
      <c r="A329" s="2"/>
      <c r="B329" s="2"/>
      <c r="C329" s="14"/>
      <c r="D329" s="3"/>
    </row>
    <row r="330" spans="1:4">
      <c r="A330" s="2"/>
      <c r="B330" s="2"/>
      <c r="C330" s="14"/>
      <c r="D330" s="3"/>
    </row>
    <row r="331" spans="1:4">
      <c r="A331" s="2"/>
      <c r="B331" s="2"/>
      <c r="C331" s="14"/>
      <c r="D331" s="3"/>
    </row>
    <row r="332" spans="1:4">
      <c r="A332" s="2"/>
      <c r="B332" s="2"/>
      <c r="C332" s="14"/>
      <c r="D332" s="3"/>
    </row>
    <row r="333" spans="1:4">
      <c r="A333" s="2"/>
      <c r="B333" s="2"/>
      <c r="C333" s="14"/>
      <c r="D333" s="3"/>
    </row>
    <row r="334" spans="1:4">
      <c r="A334" s="2"/>
      <c r="B334" s="2"/>
      <c r="C334" s="14"/>
      <c r="D334" s="3"/>
    </row>
    <row r="335" spans="1:4">
      <c r="A335" s="2"/>
      <c r="B335" s="2"/>
      <c r="C335" s="14"/>
      <c r="D335" s="3"/>
    </row>
    <row r="336" spans="1:4">
      <c r="A336" s="2"/>
      <c r="B336" s="2"/>
      <c r="C336" s="14"/>
      <c r="D336" s="3"/>
    </row>
    <row r="337" spans="1:4">
      <c r="A337" s="2"/>
      <c r="B337" s="2"/>
      <c r="C337" s="14"/>
      <c r="D337" s="3"/>
    </row>
    <row r="338" spans="1:4">
      <c r="A338" s="2"/>
      <c r="B338" s="2"/>
      <c r="C338" s="14"/>
      <c r="D338" s="3"/>
    </row>
    <row r="339" spans="1:4">
      <c r="A339" s="2"/>
      <c r="B339" s="2"/>
      <c r="C339" s="14"/>
      <c r="D339" s="3"/>
    </row>
    <row r="340" spans="1:4">
      <c r="A340" s="2"/>
      <c r="B340" s="2"/>
      <c r="C340" s="14"/>
      <c r="D340" s="3"/>
    </row>
    <row r="341" spans="1:4">
      <c r="A341" s="2"/>
      <c r="B341" s="2"/>
      <c r="C341" s="14"/>
      <c r="D341" s="3"/>
    </row>
    <row r="342" spans="1:4">
      <c r="A342" s="2"/>
      <c r="B342" s="2"/>
      <c r="C342" s="14"/>
      <c r="D342" s="3"/>
    </row>
    <row r="343" spans="1:4">
      <c r="A343" s="2"/>
      <c r="B343" s="2"/>
      <c r="C343" s="14"/>
      <c r="D343" s="3"/>
    </row>
    <row r="344" spans="1:4">
      <c r="A344" s="2"/>
      <c r="B344" s="2"/>
      <c r="C344" s="14"/>
      <c r="D344" s="3"/>
    </row>
    <row r="345" spans="1:4">
      <c r="A345" s="2"/>
      <c r="B345" s="2"/>
      <c r="C345" s="14"/>
      <c r="D345" s="3"/>
    </row>
    <row r="346" spans="1:4">
      <c r="A346" s="2"/>
      <c r="B346" s="2"/>
      <c r="C346" s="14"/>
      <c r="D346" s="3"/>
    </row>
    <row r="347" spans="1:4">
      <c r="A347" s="2"/>
      <c r="B347" s="2"/>
      <c r="C347" s="14"/>
      <c r="D347" s="3"/>
    </row>
    <row r="348" spans="1:4">
      <c r="A348" s="2"/>
      <c r="B348" s="2"/>
      <c r="C348" s="14"/>
      <c r="D348" s="3"/>
    </row>
    <row r="349" spans="1:4">
      <c r="A349" s="2"/>
      <c r="B349" s="2"/>
      <c r="C349" s="14"/>
      <c r="D349" s="3"/>
    </row>
    <row r="350" spans="1:4">
      <c r="A350" s="2"/>
      <c r="B350" s="2"/>
      <c r="C350" s="14"/>
      <c r="D350" s="3"/>
    </row>
    <row r="351" spans="1:4">
      <c r="A351" s="2"/>
      <c r="B351" s="2"/>
      <c r="C351" s="14"/>
      <c r="D351" s="3"/>
    </row>
    <row r="352" spans="1:4">
      <c r="A352" s="2"/>
      <c r="B352" s="2"/>
      <c r="C352" s="14"/>
      <c r="D352" s="3"/>
    </row>
    <row r="353" spans="1:4">
      <c r="A353" s="2"/>
      <c r="B353" s="2"/>
      <c r="C353" s="14"/>
      <c r="D353" s="3"/>
    </row>
    <row r="354" spans="1:4">
      <c r="A354" s="2"/>
      <c r="B354" s="2"/>
      <c r="C354" s="14"/>
      <c r="D354" s="3"/>
    </row>
    <row r="355" spans="1:4">
      <c r="A355" s="2"/>
      <c r="B355" s="2"/>
      <c r="C355" s="14"/>
      <c r="D355" s="3"/>
    </row>
    <row r="356" spans="1:4">
      <c r="A356" s="2"/>
      <c r="B356" s="2"/>
      <c r="C356" s="14"/>
      <c r="D356" s="3"/>
    </row>
    <row r="357" spans="1:4">
      <c r="A357" s="2"/>
      <c r="B357" s="2"/>
      <c r="C357" s="14"/>
      <c r="D357" s="3"/>
    </row>
    <row r="358" spans="1:4">
      <c r="A358" s="2"/>
      <c r="B358" s="2"/>
      <c r="C358" s="14"/>
      <c r="D358" s="3"/>
    </row>
    <row r="359" spans="1:4">
      <c r="A359" s="2"/>
      <c r="B359" s="2"/>
      <c r="C359" s="14"/>
      <c r="D359" s="3"/>
    </row>
    <row r="360" spans="1:4">
      <c r="A360" s="2"/>
      <c r="B360" s="2"/>
      <c r="C360" s="14"/>
      <c r="D360" s="3"/>
    </row>
    <row r="361" spans="1:4">
      <c r="A361" s="2"/>
      <c r="B361" s="2"/>
      <c r="C361" s="14"/>
      <c r="D361" s="3"/>
    </row>
    <row r="362" spans="1:4">
      <c r="A362" s="2"/>
      <c r="B362" s="2"/>
      <c r="C362" s="14"/>
      <c r="D362" s="3"/>
    </row>
    <row r="363" spans="1:4">
      <c r="A363" s="2"/>
      <c r="B363" s="2"/>
      <c r="C363" s="14"/>
      <c r="D363" s="3"/>
    </row>
    <row r="364" spans="1:4">
      <c r="A364" s="2"/>
      <c r="B364" s="2"/>
      <c r="C364" s="14"/>
      <c r="D364" s="3"/>
    </row>
    <row r="365" spans="1:4">
      <c r="A365" s="2"/>
      <c r="B365" s="2"/>
      <c r="C365" s="14"/>
      <c r="D365" s="3"/>
    </row>
    <row r="366" spans="1:4">
      <c r="A366" s="2"/>
      <c r="B366" s="2"/>
      <c r="C366" s="14"/>
      <c r="D366" s="3"/>
    </row>
    <row r="367" spans="1:4">
      <c r="A367" s="2"/>
      <c r="B367" s="2"/>
      <c r="C367" s="14"/>
      <c r="D367" s="3"/>
    </row>
    <row r="368" spans="1:4">
      <c r="A368" s="2"/>
      <c r="B368" s="2"/>
      <c r="C368" s="14"/>
      <c r="D368" s="3"/>
    </row>
    <row r="369" spans="1:4">
      <c r="A369" s="2"/>
      <c r="B369" s="2"/>
      <c r="C369" s="14"/>
      <c r="D369" s="3"/>
    </row>
    <row r="370" spans="1:4">
      <c r="A370" s="2"/>
      <c r="B370" s="2"/>
      <c r="C370" s="14"/>
      <c r="D370" s="3"/>
    </row>
    <row r="371" spans="1:4">
      <c r="A371" s="2"/>
      <c r="B371" s="2"/>
      <c r="C371" s="14"/>
      <c r="D371" s="3"/>
    </row>
    <row r="372" spans="1:4">
      <c r="A372" s="2"/>
      <c r="B372" s="2"/>
      <c r="C372" s="14"/>
      <c r="D372" s="3"/>
    </row>
    <row r="373" spans="1:4">
      <c r="A373" s="2"/>
      <c r="B373" s="2"/>
      <c r="C373" s="14"/>
      <c r="D373" s="3"/>
    </row>
    <row r="374" spans="1:4">
      <c r="A374" s="2"/>
      <c r="B374" s="2"/>
      <c r="C374" s="14"/>
      <c r="D374" s="3"/>
    </row>
    <row r="375" spans="1:4">
      <c r="A375" s="2"/>
      <c r="B375" s="2"/>
      <c r="C375" s="14"/>
      <c r="D375" s="3"/>
    </row>
    <row r="376" spans="1:4">
      <c r="A376" s="2"/>
      <c r="B376" s="2"/>
      <c r="C376" s="14"/>
      <c r="D376" s="3"/>
    </row>
    <row r="377" spans="1:4">
      <c r="A377" s="2"/>
      <c r="B377" s="2"/>
      <c r="C377" s="14"/>
      <c r="D377" s="3"/>
    </row>
    <row r="378" spans="1:4">
      <c r="A378" s="2"/>
      <c r="B378" s="2"/>
      <c r="C378" s="14"/>
      <c r="D378" s="3"/>
    </row>
    <row r="379" spans="1:4">
      <c r="A379" s="2"/>
      <c r="B379" s="2"/>
      <c r="C379" s="14"/>
      <c r="D379" s="3"/>
    </row>
    <row r="380" spans="1:4">
      <c r="A380" s="2"/>
      <c r="B380" s="2"/>
      <c r="C380" s="14"/>
      <c r="D380" s="3"/>
    </row>
    <row r="381" spans="1:4">
      <c r="A381" s="2"/>
      <c r="B381" s="2"/>
      <c r="C381" s="14"/>
      <c r="D381" s="3"/>
    </row>
    <row r="382" spans="1:4">
      <c r="A382" s="2"/>
      <c r="B382" s="2"/>
      <c r="C382" s="14"/>
      <c r="D382" s="3"/>
    </row>
    <row r="383" spans="1:4">
      <c r="A383" s="2"/>
      <c r="B383" s="2"/>
      <c r="C383" s="14"/>
      <c r="D383" s="3"/>
    </row>
    <row r="384" spans="1:4">
      <c r="A384" s="2"/>
      <c r="B384" s="2"/>
      <c r="C384" s="14"/>
      <c r="D384" s="3"/>
    </row>
    <row r="385" spans="1:4">
      <c r="A385" s="2"/>
      <c r="B385" s="2"/>
      <c r="C385" s="14"/>
      <c r="D385" s="3"/>
    </row>
    <row r="386" spans="1:4">
      <c r="A386" s="2"/>
      <c r="B386" s="2"/>
      <c r="C386" s="14"/>
      <c r="D386" s="3"/>
    </row>
    <row r="387" spans="1:4">
      <c r="A387" s="2"/>
      <c r="B387" s="2"/>
      <c r="C387" s="14"/>
      <c r="D387" s="3"/>
    </row>
    <row r="388" spans="1:4">
      <c r="A388" s="2"/>
      <c r="B388" s="2"/>
      <c r="C388" s="14"/>
      <c r="D388" s="3"/>
    </row>
    <row r="389" spans="1:4">
      <c r="A389" s="2"/>
      <c r="B389" s="2"/>
      <c r="C389" s="14"/>
      <c r="D389" s="3"/>
    </row>
    <row r="390" spans="1:4">
      <c r="A390" s="2"/>
      <c r="B390" s="2"/>
      <c r="C390" s="14"/>
      <c r="D390" s="3"/>
    </row>
    <row r="391" spans="1:4">
      <c r="A391" s="2"/>
      <c r="B391" s="2"/>
      <c r="C391" s="14"/>
      <c r="D391" s="3"/>
    </row>
    <row r="392" spans="1:4">
      <c r="A392" s="2"/>
      <c r="B392" s="2"/>
      <c r="C392" s="14"/>
      <c r="D392" s="3"/>
    </row>
    <row r="393" spans="1:4">
      <c r="A393" s="2"/>
      <c r="B393" s="2"/>
      <c r="C393" s="14"/>
      <c r="D393" s="3"/>
    </row>
    <row r="394" spans="1:4">
      <c r="A394" s="2"/>
      <c r="B394" s="2"/>
      <c r="C394" s="14"/>
      <c r="D394" s="3"/>
    </row>
    <row r="395" spans="1:4">
      <c r="A395" s="2"/>
      <c r="B395" s="2"/>
      <c r="C395" s="14"/>
      <c r="D395" s="3"/>
    </row>
    <row r="396" spans="1:4">
      <c r="A396" s="2"/>
      <c r="B396" s="2"/>
      <c r="C396" s="14"/>
      <c r="D396" s="3"/>
    </row>
    <row r="397" spans="1:4">
      <c r="A397" s="2"/>
      <c r="B397" s="2"/>
      <c r="C397" s="14"/>
      <c r="D397" s="3"/>
    </row>
    <row r="398" spans="1:4">
      <c r="A398" s="2"/>
      <c r="B398" s="2"/>
      <c r="C398" s="14"/>
      <c r="D398" s="3"/>
    </row>
    <row r="399" spans="1:4">
      <c r="A399" s="2"/>
      <c r="B399" s="2"/>
      <c r="C399" s="14"/>
      <c r="D399" s="3"/>
    </row>
    <row r="400" spans="1:4">
      <c r="A400" s="2"/>
      <c r="B400" s="2"/>
      <c r="C400" s="14"/>
      <c r="D400" s="3"/>
    </row>
    <row r="401" spans="1:4">
      <c r="A401" s="2"/>
      <c r="B401" s="2"/>
      <c r="C401" s="14"/>
      <c r="D401" s="3"/>
    </row>
    <row r="402" spans="1:4">
      <c r="A402" s="2"/>
      <c r="B402" s="2"/>
      <c r="C402" s="14"/>
      <c r="D402" s="3"/>
    </row>
    <row r="403" spans="1:4">
      <c r="A403" s="2"/>
      <c r="B403" s="2"/>
      <c r="C403" s="14"/>
      <c r="D403" s="3"/>
    </row>
    <row r="404" spans="1:4">
      <c r="A404" s="2"/>
      <c r="B404" s="2"/>
      <c r="C404" s="14"/>
      <c r="D404" s="3"/>
    </row>
    <row r="405" spans="1:4">
      <c r="A405" s="2"/>
      <c r="B405" s="2"/>
      <c r="C405" s="14"/>
      <c r="D405" s="3"/>
    </row>
    <row r="406" spans="1:4">
      <c r="A406" s="2"/>
      <c r="B406" s="2"/>
      <c r="C406" s="14"/>
      <c r="D406" s="3"/>
    </row>
    <row r="407" spans="1:4">
      <c r="A407" s="2"/>
      <c r="B407" s="2"/>
      <c r="C407" s="14"/>
      <c r="D407" s="3"/>
    </row>
    <row r="408" spans="1:4">
      <c r="A408" s="2"/>
      <c r="B408" s="2"/>
      <c r="C408" s="14"/>
      <c r="D408" s="3"/>
    </row>
    <row r="409" spans="1:4">
      <c r="A409" s="2"/>
      <c r="B409" s="2"/>
      <c r="C409" s="14"/>
      <c r="D409" s="3"/>
    </row>
    <row r="410" spans="1:4">
      <c r="A410" s="2"/>
      <c r="B410" s="2"/>
      <c r="C410" s="14"/>
      <c r="D410" s="3"/>
    </row>
    <row r="411" spans="1:4">
      <c r="A411" s="2"/>
      <c r="B411" s="2"/>
      <c r="C411" s="14"/>
      <c r="D411" s="3"/>
    </row>
    <row r="412" spans="1:4">
      <c r="A412" s="2"/>
      <c r="B412" s="2"/>
      <c r="C412" s="14"/>
      <c r="D412" s="3"/>
    </row>
    <row r="413" spans="1:4">
      <c r="A413" s="2"/>
      <c r="B413" s="2"/>
      <c r="C413" s="14"/>
      <c r="D413" s="3"/>
    </row>
    <row r="414" spans="1:4">
      <c r="A414" s="2"/>
      <c r="B414" s="2"/>
      <c r="C414" s="14"/>
      <c r="D414" s="3"/>
    </row>
    <row r="415" spans="1:4">
      <c r="A415" s="2"/>
      <c r="B415" s="2"/>
      <c r="C415" s="14"/>
      <c r="D415" s="3"/>
    </row>
    <row r="416" spans="1:4">
      <c r="A416" s="2"/>
      <c r="B416" s="2"/>
      <c r="C416" s="14"/>
      <c r="D416" s="3"/>
    </row>
    <row r="417" spans="1:4">
      <c r="A417" s="2"/>
      <c r="B417" s="2"/>
      <c r="C417" s="14"/>
      <c r="D417" s="3"/>
    </row>
    <row r="418" spans="1:4">
      <c r="A418" s="2"/>
      <c r="B418" s="2"/>
      <c r="C418" s="14"/>
      <c r="D418" s="3"/>
    </row>
    <row r="419" spans="1:4">
      <c r="A419" s="2"/>
      <c r="B419" s="2"/>
      <c r="C419" s="14"/>
      <c r="D419" s="3"/>
    </row>
    <row r="420" spans="1:4">
      <c r="A420" s="2"/>
      <c r="B420" s="2"/>
      <c r="C420" s="14"/>
      <c r="D420" s="3"/>
    </row>
    <row r="421" spans="1:4">
      <c r="A421" s="2"/>
      <c r="B421" s="2"/>
      <c r="C421" s="14"/>
      <c r="D421" s="3"/>
    </row>
    <row r="422" spans="1:4">
      <c r="A422" s="2"/>
      <c r="B422" s="2"/>
      <c r="C422" s="14"/>
      <c r="D422" s="3"/>
    </row>
    <row r="423" spans="1:4">
      <c r="A423" s="2"/>
      <c r="B423" s="2"/>
      <c r="C423" s="14"/>
      <c r="D423" s="3"/>
    </row>
    <row r="424" spans="1:4">
      <c r="A424" s="2"/>
      <c r="B424" s="2"/>
      <c r="C424" s="14"/>
      <c r="D424" s="3"/>
    </row>
    <row r="425" spans="1:4">
      <c r="A425" s="2"/>
      <c r="B425" s="2"/>
      <c r="C425" s="14"/>
      <c r="D425" s="3"/>
    </row>
    <row r="426" spans="1:4">
      <c r="A426" s="2"/>
      <c r="B426" s="2"/>
      <c r="C426" s="14"/>
      <c r="D426" s="3"/>
    </row>
    <row r="427" spans="1:4">
      <c r="A427" s="2"/>
      <c r="B427" s="2"/>
      <c r="C427" s="14"/>
      <c r="D427" s="3"/>
    </row>
    <row r="428" spans="1:4">
      <c r="A428" s="2"/>
      <c r="B428" s="2"/>
      <c r="C428" s="14"/>
      <c r="D428" s="3"/>
    </row>
    <row r="429" spans="1:4">
      <c r="A429" s="2"/>
      <c r="B429" s="2"/>
      <c r="C429" s="14"/>
      <c r="D429" s="3"/>
    </row>
    <row r="430" spans="1:4">
      <c r="A430" s="2"/>
      <c r="B430" s="2"/>
      <c r="C430" s="14"/>
      <c r="D430" s="3"/>
    </row>
    <row r="431" spans="1:4">
      <c r="A431" s="2"/>
      <c r="B431" s="2"/>
      <c r="C431" s="14"/>
      <c r="D431" s="3"/>
    </row>
    <row r="432" spans="1:4">
      <c r="A432" s="2"/>
      <c r="B432" s="2"/>
      <c r="C432" s="14"/>
      <c r="D432" s="3"/>
    </row>
    <row r="433" spans="1:4">
      <c r="A433" s="2"/>
      <c r="B433" s="2"/>
      <c r="C433" s="14"/>
      <c r="D433" s="3"/>
    </row>
    <row r="434" spans="1:4">
      <c r="A434" s="2"/>
      <c r="B434" s="2"/>
      <c r="C434" s="14"/>
      <c r="D434" s="3"/>
    </row>
    <row r="435" spans="1:4">
      <c r="A435" s="2"/>
      <c r="B435" s="2"/>
      <c r="C435" s="14"/>
      <c r="D435" s="3"/>
    </row>
    <row r="436" spans="1:4">
      <c r="A436" s="2"/>
      <c r="B436" s="2"/>
      <c r="C436" s="14"/>
      <c r="D436" s="3"/>
    </row>
    <row r="437" spans="1:4">
      <c r="A437" s="2"/>
      <c r="B437" s="2"/>
      <c r="C437" s="14"/>
      <c r="D437" s="3"/>
    </row>
    <row r="438" spans="1:4">
      <c r="A438" s="2"/>
      <c r="B438" s="2"/>
      <c r="C438" s="14"/>
      <c r="D438" s="3"/>
    </row>
    <row r="439" spans="1:4">
      <c r="A439" s="2"/>
      <c r="B439" s="2"/>
      <c r="C439" s="14"/>
      <c r="D439" s="3"/>
    </row>
    <row r="440" spans="1:4">
      <c r="A440" s="2"/>
      <c r="B440" s="2"/>
      <c r="C440" s="14"/>
      <c r="D440" s="3"/>
    </row>
    <row r="441" spans="1:4">
      <c r="A441" s="2"/>
      <c r="B441" s="2"/>
      <c r="C441" s="14"/>
      <c r="D441" s="3"/>
    </row>
    <row r="442" spans="1:4">
      <c r="A442" s="2"/>
      <c r="B442" s="2"/>
      <c r="C442" s="14"/>
      <c r="D442" s="3"/>
    </row>
    <row r="443" spans="1:4">
      <c r="A443" s="2"/>
      <c r="B443" s="2"/>
      <c r="C443" s="14"/>
      <c r="D443" s="3"/>
    </row>
    <row r="444" spans="1:4">
      <c r="A444" s="2"/>
      <c r="B444" s="2"/>
      <c r="C444" s="14"/>
      <c r="D444" s="3"/>
    </row>
    <row r="445" spans="1:4">
      <c r="A445" s="2"/>
      <c r="B445" s="2"/>
      <c r="C445" s="14"/>
      <c r="D445" s="3"/>
    </row>
    <row r="446" spans="1:4">
      <c r="A446" s="2"/>
      <c r="B446" s="2"/>
      <c r="C446" s="14"/>
      <c r="D446" s="3"/>
    </row>
    <row r="447" spans="1:4">
      <c r="A447" s="2"/>
      <c r="B447" s="2"/>
      <c r="C447" s="14"/>
      <c r="D447" s="3"/>
    </row>
    <row r="448" spans="1:4">
      <c r="A448" s="2"/>
      <c r="B448" s="2"/>
      <c r="C448" s="14"/>
      <c r="D448" s="3"/>
    </row>
    <row r="449" spans="1:4">
      <c r="A449" s="2"/>
      <c r="B449" s="2"/>
      <c r="C449" s="14"/>
      <c r="D449" s="3"/>
    </row>
    <row r="450" spans="1:4">
      <c r="A450" s="2"/>
      <c r="B450" s="2"/>
      <c r="C450" s="14"/>
      <c r="D450" s="3"/>
    </row>
    <row r="451" spans="1:4">
      <c r="A451" s="2"/>
      <c r="B451" s="2"/>
      <c r="C451" s="14"/>
      <c r="D451" s="3"/>
    </row>
    <row r="452" spans="1:4">
      <c r="A452" s="2"/>
      <c r="B452" s="2"/>
      <c r="C452" s="14"/>
      <c r="D452" s="3"/>
    </row>
    <row r="453" spans="1:4">
      <c r="A453" s="2"/>
      <c r="B453" s="2"/>
      <c r="C453" s="14"/>
      <c r="D453" s="3"/>
    </row>
    <row r="454" spans="1:4">
      <c r="A454" s="2"/>
      <c r="B454" s="2"/>
      <c r="C454" s="14"/>
      <c r="D454" s="3"/>
    </row>
    <row r="455" spans="1:4">
      <c r="A455" s="2"/>
      <c r="B455" s="2"/>
      <c r="C455" s="14"/>
      <c r="D455" s="3"/>
    </row>
    <row r="456" spans="1:4">
      <c r="A456" s="2"/>
      <c r="B456" s="2"/>
      <c r="C456" s="14"/>
      <c r="D456" s="3"/>
    </row>
    <row r="457" spans="1:4">
      <c r="A457" s="2"/>
      <c r="B457" s="2"/>
      <c r="C457" s="14"/>
      <c r="D457" s="3"/>
    </row>
    <row r="458" spans="1:4">
      <c r="A458" s="2"/>
      <c r="B458" s="2"/>
      <c r="C458" s="14"/>
      <c r="D458" s="3"/>
    </row>
    <row r="459" spans="1:4">
      <c r="A459" s="2"/>
      <c r="B459" s="2"/>
      <c r="C459" s="14"/>
      <c r="D459" s="3"/>
    </row>
    <row r="460" spans="1:4">
      <c r="A460" s="2"/>
      <c r="B460" s="2"/>
      <c r="C460" s="14"/>
      <c r="D460" s="3"/>
    </row>
    <row r="461" spans="1:4">
      <c r="A461" s="2"/>
      <c r="B461" s="2"/>
      <c r="C461" s="14"/>
      <c r="D461" s="3"/>
    </row>
    <row r="462" spans="1:4">
      <c r="A462" s="2"/>
      <c r="B462" s="2"/>
      <c r="C462" s="14"/>
      <c r="D462" s="3"/>
    </row>
    <row r="463" spans="1:4">
      <c r="A463" s="2"/>
      <c r="B463" s="2"/>
      <c r="C463" s="14"/>
      <c r="D463" s="3"/>
    </row>
    <row r="464" spans="1:4">
      <c r="A464" s="2"/>
      <c r="B464" s="2"/>
      <c r="C464" s="14"/>
      <c r="D464" s="3"/>
    </row>
    <row r="465" spans="1:4">
      <c r="A465" s="2"/>
      <c r="B465" s="2"/>
      <c r="C465" s="14"/>
      <c r="D465" s="3"/>
    </row>
    <row r="466" spans="1:4">
      <c r="A466" s="2"/>
      <c r="B466" s="2"/>
      <c r="C466" s="14"/>
      <c r="D466" s="3"/>
    </row>
    <row r="467" spans="1:4">
      <c r="A467" s="2"/>
      <c r="B467" s="2"/>
      <c r="C467" s="14"/>
      <c r="D467" s="3"/>
    </row>
    <row r="468" spans="1:4">
      <c r="A468" s="2"/>
      <c r="B468" s="2"/>
      <c r="C468" s="14"/>
      <c r="D468" s="3"/>
    </row>
    <row r="469" spans="1:4">
      <c r="A469" s="2"/>
      <c r="B469" s="2"/>
      <c r="C469" s="14"/>
      <c r="D469" s="3"/>
    </row>
    <row r="470" spans="1:4">
      <c r="A470" s="2"/>
      <c r="B470" s="2"/>
      <c r="C470" s="14"/>
      <c r="D470" s="3"/>
    </row>
    <row r="471" spans="1:4">
      <c r="A471" s="2"/>
      <c r="B471" s="2"/>
      <c r="C471" s="14"/>
      <c r="D471" s="3"/>
    </row>
    <row r="472" spans="1:4">
      <c r="A472" s="2"/>
      <c r="B472" s="2"/>
      <c r="C472" s="14"/>
      <c r="D472" s="3"/>
    </row>
    <row r="473" spans="1:4">
      <c r="A473" s="2"/>
      <c r="B473" s="2"/>
      <c r="C473" s="14"/>
      <c r="D473" s="3"/>
    </row>
    <row r="474" spans="1:4">
      <c r="A474" s="2"/>
      <c r="B474" s="2"/>
      <c r="C474" s="14"/>
      <c r="D474" s="3"/>
    </row>
    <row r="475" spans="1:4">
      <c r="A475" s="2"/>
      <c r="B475" s="2"/>
      <c r="C475" s="14"/>
      <c r="D475" s="3"/>
    </row>
    <row r="476" spans="1:4">
      <c r="A476" s="2"/>
      <c r="B476" s="2"/>
      <c r="C476" s="14"/>
      <c r="D476" s="3"/>
    </row>
    <row r="477" spans="1:4">
      <c r="A477" s="2"/>
      <c r="B477" s="2"/>
      <c r="C477" s="14"/>
      <c r="D477" s="3"/>
    </row>
    <row r="478" spans="1:4">
      <c r="A478" s="2"/>
      <c r="B478" s="2"/>
      <c r="C478" s="14"/>
      <c r="D478" s="3"/>
    </row>
    <row r="479" spans="1:4">
      <c r="A479" s="2"/>
      <c r="B479" s="2"/>
      <c r="C479" s="14"/>
      <c r="D479" s="3"/>
    </row>
    <row r="480" spans="1:4">
      <c r="A480" s="2"/>
      <c r="B480" s="2"/>
      <c r="C480" s="14"/>
      <c r="D480" s="3"/>
    </row>
    <row r="481" spans="1:4">
      <c r="A481" s="2"/>
      <c r="B481" s="2"/>
      <c r="C481" s="14"/>
      <c r="D481" s="3"/>
    </row>
    <row r="482" spans="1:4">
      <c r="A482" s="2"/>
      <c r="B482" s="2"/>
      <c r="C482" s="14"/>
      <c r="D482" s="3"/>
    </row>
    <row r="483" spans="1:4">
      <c r="A483" s="2"/>
      <c r="B483" s="2"/>
      <c r="C483" s="14"/>
      <c r="D483" s="3"/>
    </row>
    <row r="484" spans="1:4">
      <c r="A484" s="2"/>
      <c r="B484" s="2"/>
      <c r="C484" s="14"/>
      <c r="D484" s="3"/>
    </row>
    <row r="485" spans="1:4">
      <c r="A485" s="2"/>
      <c r="B485" s="2"/>
      <c r="C485" s="14"/>
      <c r="D485" s="3"/>
    </row>
    <row r="486" spans="1:4">
      <c r="A486" s="2"/>
      <c r="B486" s="2"/>
      <c r="C486" s="14"/>
      <c r="D486" s="3"/>
    </row>
    <row r="487" spans="1:4">
      <c r="A487" s="2"/>
      <c r="B487" s="2"/>
      <c r="C487" s="14"/>
      <c r="D487" s="3"/>
    </row>
    <row r="488" spans="1:4">
      <c r="A488" s="2"/>
      <c r="B488" s="2"/>
      <c r="C488" s="14"/>
      <c r="D488" s="3"/>
    </row>
    <row r="489" spans="1:4">
      <c r="A489" s="2"/>
      <c r="B489" s="2"/>
      <c r="C489" s="14"/>
      <c r="D489" s="3"/>
    </row>
    <row r="490" spans="1:4">
      <c r="A490" s="2"/>
      <c r="B490" s="2"/>
      <c r="C490" s="14"/>
      <c r="D490" s="3"/>
    </row>
    <row r="491" spans="1:4">
      <c r="A491" s="2"/>
      <c r="B491" s="2"/>
      <c r="C491" s="14"/>
      <c r="D491" s="3"/>
    </row>
    <row r="492" spans="1:4">
      <c r="A492" s="2"/>
      <c r="B492" s="2"/>
      <c r="C492" s="14"/>
      <c r="D492" s="3"/>
    </row>
    <row r="493" spans="1:4">
      <c r="A493" s="2"/>
      <c r="B493" s="2"/>
      <c r="C493" s="14"/>
      <c r="D493" s="3"/>
    </row>
    <row r="494" spans="1:4">
      <c r="A494" s="2"/>
      <c r="B494" s="2"/>
      <c r="C494" s="14"/>
      <c r="D494" s="3"/>
    </row>
    <row r="495" spans="1:4">
      <c r="A495" s="2"/>
      <c r="B495" s="2"/>
      <c r="C495" s="14"/>
      <c r="D495" s="3"/>
    </row>
    <row r="496" spans="1:4">
      <c r="A496" s="2"/>
      <c r="B496" s="2"/>
      <c r="C496" s="14"/>
      <c r="D496" s="3"/>
    </row>
    <row r="497" spans="1:4">
      <c r="A497" s="2"/>
      <c r="B497" s="2"/>
      <c r="C497" s="14"/>
      <c r="D497" s="3"/>
    </row>
    <row r="498" spans="1:4">
      <c r="A498" s="2"/>
      <c r="B498" s="2"/>
      <c r="C498" s="14"/>
      <c r="D498" s="3"/>
    </row>
    <row r="499" spans="1:4">
      <c r="A499" s="2"/>
      <c r="B499" s="2"/>
      <c r="C499" s="14"/>
      <c r="D499" s="3"/>
    </row>
    <row r="500" spans="1:4">
      <c r="A500" s="2"/>
      <c r="B500" s="2"/>
      <c r="C500" s="14"/>
      <c r="D500" s="3"/>
    </row>
    <row r="501" spans="1:4">
      <c r="A501" s="2"/>
      <c r="B501" s="2"/>
      <c r="C501" s="14"/>
      <c r="D501" s="3"/>
    </row>
  </sheetData>
  <conditionalFormatting sqref="A2:D10 A12:D501 D11">
    <cfRule type="expression" dxfId="11" priority="2">
      <formula>AND($A2&lt;&gt;"",COUNTIFS($A:$A,$A2,$B:$B,$B2)&gt;1)</formula>
    </cfRule>
  </conditionalFormatting>
  <conditionalFormatting sqref="A11:B11">
    <cfRule type="expression" dxfId="10" priority="1">
      <formula>AND($A11&lt;&gt;"",COUNTIFS($A:$A,$A11,$B:$B,$B11)&gt;1)</formula>
    </cfRule>
  </conditionalFormatting>
  <dataValidations count="1">
    <dataValidation type="decimal" operator="greaterThan" sqref="D2:D501" xr:uid="{00000000-0002-0000-0300-000000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01"/>
  <sheetViews>
    <sheetView workbookViewId="0">
      <selection activeCell="A11" sqref="A11:B11"/>
    </sheetView>
  </sheetViews>
  <sheetFormatPr defaultRowHeight="13.8"/>
  <cols>
    <col min="1" max="2" width="18" customWidth="1"/>
    <col min="3" max="3" width="22" customWidth="1"/>
  </cols>
  <sheetData>
    <row r="1" spans="1:3" ht="25.65" customHeight="1">
      <c r="A1" s="1" t="s">
        <v>0</v>
      </c>
      <c r="B1" s="1" t="s">
        <v>1</v>
      </c>
      <c r="C1" s="1" t="s">
        <v>16</v>
      </c>
    </row>
    <row r="2" spans="1:3">
      <c r="A2" s="2" t="s">
        <v>32</v>
      </c>
      <c r="B2" s="2" t="s">
        <v>33</v>
      </c>
      <c r="C2" s="14">
        <v>46255</v>
      </c>
    </row>
    <row r="3" spans="1:3">
      <c r="A3" s="2" t="s">
        <v>37</v>
      </c>
      <c r="B3" s="2" t="s">
        <v>36</v>
      </c>
      <c r="C3" s="14">
        <v>46255</v>
      </c>
    </row>
    <row r="4" spans="1:3">
      <c r="A4" s="2" t="s">
        <v>38</v>
      </c>
      <c r="B4" s="2" t="s">
        <v>34</v>
      </c>
      <c r="C4" s="14">
        <v>46255</v>
      </c>
    </row>
    <row r="5" spans="1:3">
      <c r="A5" s="2" t="s">
        <v>39</v>
      </c>
      <c r="B5" s="2" t="s">
        <v>35</v>
      </c>
      <c r="C5" s="14">
        <v>46255</v>
      </c>
    </row>
    <row r="6" spans="1:3">
      <c r="A6" s="2" t="s">
        <v>45</v>
      </c>
      <c r="B6" s="2" t="s">
        <v>40</v>
      </c>
      <c r="C6" s="14">
        <v>46249</v>
      </c>
    </row>
    <row r="7" spans="1:3">
      <c r="A7" s="2" t="s">
        <v>46</v>
      </c>
      <c r="B7" s="2" t="s">
        <v>41</v>
      </c>
      <c r="C7" s="14">
        <v>46248</v>
      </c>
    </row>
    <row r="8" spans="1:3">
      <c r="A8" s="2" t="s">
        <v>47</v>
      </c>
      <c r="B8" s="2" t="s">
        <v>42</v>
      </c>
      <c r="C8" s="14">
        <v>46248</v>
      </c>
    </row>
    <row r="9" spans="1:3">
      <c r="A9" s="2" t="s">
        <v>48</v>
      </c>
      <c r="B9" s="2" t="s">
        <v>43</v>
      </c>
      <c r="C9" s="14">
        <v>46249</v>
      </c>
    </row>
    <row r="10" spans="1:3">
      <c r="A10" s="2" t="s">
        <v>49</v>
      </c>
      <c r="B10" s="2" t="s">
        <v>44</v>
      </c>
      <c r="C10" s="14">
        <v>46253</v>
      </c>
    </row>
    <row r="11" spans="1:3">
      <c r="A11" s="2" t="s">
        <v>51</v>
      </c>
      <c r="B11" s="2" t="s">
        <v>50</v>
      </c>
      <c r="C11" s="14">
        <v>46257</v>
      </c>
    </row>
    <row r="12" spans="1:3">
      <c r="A12" s="2"/>
      <c r="B12" s="2"/>
      <c r="C12" s="14"/>
    </row>
    <row r="13" spans="1:3">
      <c r="A13" s="2"/>
      <c r="B13" s="2"/>
      <c r="C13" s="14"/>
    </row>
    <row r="14" spans="1:3">
      <c r="A14" s="2"/>
      <c r="B14" s="2"/>
      <c r="C14" s="14"/>
    </row>
    <row r="15" spans="1:3">
      <c r="A15" s="2"/>
      <c r="B15" s="2"/>
      <c r="C15" s="14"/>
    </row>
    <row r="16" spans="1:3">
      <c r="A16" s="2"/>
      <c r="B16" s="2"/>
      <c r="C16" s="14"/>
    </row>
    <row r="17" spans="1:3">
      <c r="A17" s="2"/>
      <c r="B17" s="2"/>
      <c r="C17" s="14"/>
    </row>
    <row r="18" spans="1:3">
      <c r="A18" s="2"/>
      <c r="B18" s="2"/>
      <c r="C18" s="14"/>
    </row>
    <row r="19" spans="1:3">
      <c r="A19" s="2"/>
      <c r="B19" s="2"/>
      <c r="C19" s="14"/>
    </row>
    <row r="20" spans="1:3">
      <c r="A20" s="2"/>
      <c r="B20" s="2"/>
      <c r="C20" s="14"/>
    </row>
    <row r="21" spans="1:3">
      <c r="A21" s="2"/>
      <c r="B21" s="2"/>
      <c r="C21" s="14"/>
    </row>
    <row r="22" spans="1:3">
      <c r="A22" s="2"/>
      <c r="B22" s="2"/>
      <c r="C22" s="14"/>
    </row>
    <row r="23" spans="1:3">
      <c r="A23" s="2"/>
      <c r="B23" s="2"/>
      <c r="C23" s="14"/>
    </row>
    <row r="24" spans="1:3">
      <c r="A24" s="2"/>
      <c r="B24" s="2"/>
      <c r="C24" s="14"/>
    </row>
    <row r="25" spans="1:3">
      <c r="A25" s="2"/>
      <c r="B25" s="2"/>
      <c r="C25" s="14"/>
    </row>
    <row r="26" spans="1:3">
      <c r="A26" s="2"/>
      <c r="B26" s="2"/>
      <c r="C26" s="14"/>
    </row>
    <row r="27" spans="1:3">
      <c r="A27" s="2"/>
      <c r="B27" s="2"/>
      <c r="C27" s="14"/>
    </row>
    <row r="28" spans="1:3">
      <c r="A28" s="2"/>
      <c r="B28" s="2"/>
      <c r="C28" s="14"/>
    </row>
    <row r="29" spans="1:3">
      <c r="A29" s="2"/>
      <c r="B29" s="2"/>
      <c r="C29" s="14"/>
    </row>
    <row r="30" spans="1:3">
      <c r="A30" s="2"/>
      <c r="B30" s="2"/>
      <c r="C30" s="14"/>
    </row>
    <row r="31" spans="1:3">
      <c r="A31" s="2"/>
      <c r="B31" s="2"/>
      <c r="C31" s="14"/>
    </row>
    <row r="32" spans="1:3">
      <c r="A32" s="2"/>
      <c r="B32" s="2"/>
      <c r="C32" s="14"/>
    </row>
    <row r="33" spans="1:3">
      <c r="A33" s="2"/>
      <c r="B33" s="2"/>
      <c r="C33" s="14"/>
    </row>
    <row r="34" spans="1:3">
      <c r="A34" s="2"/>
      <c r="B34" s="2"/>
      <c r="C34" s="14"/>
    </row>
    <row r="35" spans="1:3">
      <c r="A35" s="2"/>
      <c r="B35" s="2"/>
      <c r="C35" s="14"/>
    </row>
    <row r="36" spans="1:3">
      <c r="A36" s="2"/>
      <c r="B36" s="2"/>
      <c r="C36" s="14"/>
    </row>
    <row r="37" spans="1:3">
      <c r="A37" s="2"/>
      <c r="B37" s="2"/>
      <c r="C37" s="14"/>
    </row>
    <row r="38" spans="1:3">
      <c r="A38" s="2"/>
      <c r="B38" s="2"/>
      <c r="C38" s="14"/>
    </row>
    <row r="39" spans="1:3">
      <c r="A39" s="2"/>
      <c r="B39" s="2"/>
      <c r="C39" s="14"/>
    </row>
    <row r="40" spans="1:3">
      <c r="A40" s="2"/>
      <c r="B40" s="2"/>
      <c r="C40" s="14"/>
    </row>
    <row r="41" spans="1:3">
      <c r="A41" s="2"/>
      <c r="B41" s="2"/>
      <c r="C41" s="14"/>
    </row>
    <row r="42" spans="1:3">
      <c r="A42" s="2"/>
      <c r="B42" s="2"/>
      <c r="C42" s="14"/>
    </row>
    <row r="43" spans="1:3">
      <c r="A43" s="2"/>
      <c r="B43" s="2"/>
      <c r="C43" s="14"/>
    </row>
    <row r="44" spans="1:3">
      <c r="A44" s="2"/>
      <c r="B44" s="2"/>
      <c r="C44" s="14"/>
    </row>
    <row r="45" spans="1:3">
      <c r="A45" s="2"/>
      <c r="B45" s="2"/>
      <c r="C45" s="14"/>
    </row>
    <row r="46" spans="1:3">
      <c r="A46" s="2"/>
      <c r="B46" s="2"/>
      <c r="C46" s="14"/>
    </row>
    <row r="47" spans="1:3">
      <c r="A47" s="2"/>
      <c r="B47" s="2"/>
      <c r="C47" s="14"/>
    </row>
    <row r="48" spans="1:3">
      <c r="A48" s="2"/>
      <c r="B48" s="2"/>
      <c r="C48" s="14"/>
    </row>
    <row r="49" spans="1:3">
      <c r="A49" s="2"/>
      <c r="B49" s="2"/>
      <c r="C49" s="14"/>
    </row>
    <row r="50" spans="1:3">
      <c r="A50" s="2"/>
      <c r="B50" s="2"/>
      <c r="C50" s="14"/>
    </row>
    <row r="51" spans="1:3">
      <c r="A51" s="2"/>
      <c r="B51" s="2"/>
      <c r="C51" s="14"/>
    </row>
    <row r="52" spans="1:3">
      <c r="A52" s="2"/>
      <c r="B52" s="2"/>
      <c r="C52" s="14"/>
    </row>
    <row r="53" spans="1:3">
      <c r="A53" s="2"/>
      <c r="B53" s="2"/>
      <c r="C53" s="14"/>
    </row>
    <row r="54" spans="1:3">
      <c r="A54" s="2"/>
      <c r="B54" s="2"/>
      <c r="C54" s="14"/>
    </row>
    <row r="55" spans="1:3">
      <c r="A55" s="2"/>
      <c r="B55" s="2"/>
      <c r="C55" s="14"/>
    </row>
    <row r="56" spans="1:3">
      <c r="A56" s="2"/>
      <c r="B56" s="2"/>
      <c r="C56" s="14"/>
    </row>
    <row r="57" spans="1:3">
      <c r="A57" s="2"/>
      <c r="B57" s="2"/>
      <c r="C57" s="14"/>
    </row>
    <row r="58" spans="1:3">
      <c r="A58" s="2"/>
      <c r="B58" s="2"/>
      <c r="C58" s="14"/>
    </row>
    <row r="59" spans="1:3">
      <c r="A59" s="2"/>
      <c r="B59" s="2"/>
      <c r="C59" s="14"/>
    </row>
    <row r="60" spans="1:3">
      <c r="A60" s="2"/>
      <c r="B60" s="2"/>
      <c r="C60" s="14"/>
    </row>
    <row r="61" spans="1:3">
      <c r="A61" s="2"/>
      <c r="B61" s="2"/>
      <c r="C61" s="14"/>
    </row>
    <row r="62" spans="1:3">
      <c r="A62" s="2"/>
      <c r="B62" s="2"/>
      <c r="C62" s="14"/>
    </row>
    <row r="63" spans="1:3">
      <c r="A63" s="2"/>
      <c r="B63" s="2"/>
      <c r="C63" s="14"/>
    </row>
    <row r="64" spans="1:3">
      <c r="A64" s="2"/>
      <c r="B64" s="2"/>
      <c r="C64" s="14"/>
    </row>
    <row r="65" spans="1:3">
      <c r="A65" s="2"/>
      <c r="B65" s="2"/>
      <c r="C65" s="14"/>
    </row>
    <row r="66" spans="1:3">
      <c r="A66" s="2"/>
      <c r="B66" s="2"/>
      <c r="C66" s="14"/>
    </row>
    <row r="67" spans="1:3">
      <c r="A67" s="2"/>
      <c r="B67" s="2"/>
      <c r="C67" s="14"/>
    </row>
    <row r="68" spans="1:3">
      <c r="A68" s="2"/>
      <c r="B68" s="2"/>
      <c r="C68" s="14"/>
    </row>
    <row r="69" spans="1:3">
      <c r="A69" s="2"/>
      <c r="B69" s="2"/>
      <c r="C69" s="14"/>
    </row>
    <row r="70" spans="1:3">
      <c r="A70" s="2"/>
      <c r="B70" s="2"/>
      <c r="C70" s="14"/>
    </row>
    <row r="71" spans="1:3">
      <c r="A71" s="2"/>
      <c r="B71" s="2"/>
      <c r="C71" s="14"/>
    </row>
    <row r="72" spans="1:3">
      <c r="A72" s="2"/>
      <c r="B72" s="2"/>
      <c r="C72" s="14"/>
    </row>
    <row r="73" spans="1:3">
      <c r="A73" s="2"/>
      <c r="B73" s="2"/>
      <c r="C73" s="14"/>
    </row>
    <row r="74" spans="1:3">
      <c r="A74" s="2"/>
      <c r="B74" s="2"/>
      <c r="C74" s="14"/>
    </row>
    <row r="75" spans="1:3">
      <c r="A75" s="2"/>
      <c r="B75" s="2"/>
      <c r="C75" s="14"/>
    </row>
    <row r="76" spans="1:3">
      <c r="A76" s="2"/>
      <c r="B76" s="2"/>
      <c r="C76" s="14"/>
    </row>
    <row r="77" spans="1:3">
      <c r="A77" s="2"/>
      <c r="B77" s="2"/>
      <c r="C77" s="14"/>
    </row>
    <row r="78" spans="1:3">
      <c r="A78" s="2"/>
      <c r="B78" s="2"/>
      <c r="C78" s="14"/>
    </row>
    <row r="79" spans="1:3">
      <c r="A79" s="2"/>
      <c r="B79" s="2"/>
      <c r="C79" s="14"/>
    </row>
    <row r="80" spans="1:3">
      <c r="A80" s="2"/>
      <c r="B80" s="2"/>
      <c r="C80" s="14"/>
    </row>
    <row r="81" spans="1:3">
      <c r="A81" s="2"/>
      <c r="B81" s="2"/>
      <c r="C81" s="14"/>
    </row>
    <row r="82" spans="1:3">
      <c r="A82" s="2"/>
      <c r="B82" s="2"/>
      <c r="C82" s="14"/>
    </row>
    <row r="83" spans="1:3">
      <c r="A83" s="2"/>
      <c r="B83" s="2"/>
      <c r="C83" s="14"/>
    </row>
    <row r="84" spans="1:3">
      <c r="A84" s="2"/>
      <c r="B84" s="2"/>
      <c r="C84" s="14"/>
    </row>
    <row r="85" spans="1:3">
      <c r="A85" s="2"/>
      <c r="B85" s="2"/>
      <c r="C85" s="14"/>
    </row>
    <row r="86" spans="1:3">
      <c r="A86" s="2"/>
      <c r="B86" s="2"/>
      <c r="C86" s="14"/>
    </row>
    <row r="87" spans="1:3">
      <c r="A87" s="2"/>
      <c r="B87" s="2"/>
      <c r="C87" s="14"/>
    </row>
    <row r="88" spans="1:3">
      <c r="A88" s="2"/>
      <c r="B88" s="2"/>
      <c r="C88" s="14"/>
    </row>
    <row r="89" spans="1:3">
      <c r="A89" s="2"/>
      <c r="B89" s="2"/>
      <c r="C89" s="14"/>
    </row>
    <row r="90" spans="1:3">
      <c r="A90" s="2"/>
      <c r="B90" s="2"/>
      <c r="C90" s="14"/>
    </row>
    <row r="91" spans="1:3">
      <c r="A91" s="2"/>
      <c r="B91" s="2"/>
      <c r="C91" s="14"/>
    </row>
    <row r="92" spans="1:3">
      <c r="A92" s="2"/>
      <c r="B92" s="2"/>
      <c r="C92" s="14"/>
    </row>
    <row r="93" spans="1:3">
      <c r="A93" s="2"/>
      <c r="B93" s="2"/>
      <c r="C93" s="14"/>
    </row>
    <row r="94" spans="1:3">
      <c r="A94" s="2"/>
      <c r="B94" s="2"/>
      <c r="C94" s="14"/>
    </row>
    <row r="95" spans="1:3">
      <c r="A95" s="2"/>
      <c r="B95" s="2"/>
      <c r="C95" s="14"/>
    </row>
    <row r="96" spans="1:3">
      <c r="A96" s="2"/>
      <c r="B96" s="2"/>
      <c r="C96" s="14"/>
    </row>
    <row r="97" spans="1:3">
      <c r="A97" s="2"/>
      <c r="B97" s="2"/>
      <c r="C97" s="14"/>
    </row>
    <row r="98" spans="1:3">
      <c r="A98" s="2"/>
      <c r="B98" s="2"/>
      <c r="C98" s="14"/>
    </row>
    <row r="99" spans="1:3">
      <c r="A99" s="2"/>
      <c r="B99" s="2"/>
      <c r="C99" s="14"/>
    </row>
    <row r="100" spans="1:3">
      <c r="A100" s="2"/>
      <c r="B100" s="2"/>
      <c r="C100" s="14"/>
    </row>
    <row r="101" spans="1:3">
      <c r="A101" s="2"/>
      <c r="B101" s="2"/>
      <c r="C101" s="14"/>
    </row>
    <row r="102" spans="1:3">
      <c r="A102" s="2"/>
      <c r="B102" s="2"/>
      <c r="C102" s="14"/>
    </row>
    <row r="103" spans="1:3">
      <c r="A103" s="2"/>
      <c r="B103" s="2"/>
      <c r="C103" s="14"/>
    </row>
    <row r="104" spans="1:3">
      <c r="A104" s="2"/>
      <c r="B104" s="2"/>
      <c r="C104" s="14"/>
    </row>
    <row r="105" spans="1:3">
      <c r="A105" s="2"/>
      <c r="B105" s="2"/>
      <c r="C105" s="14"/>
    </row>
    <row r="106" spans="1:3">
      <c r="A106" s="2"/>
      <c r="B106" s="2"/>
      <c r="C106" s="14"/>
    </row>
    <row r="107" spans="1:3">
      <c r="A107" s="2"/>
      <c r="B107" s="2"/>
      <c r="C107" s="14"/>
    </row>
    <row r="108" spans="1:3">
      <c r="A108" s="2"/>
      <c r="B108" s="2"/>
      <c r="C108" s="14"/>
    </row>
    <row r="109" spans="1:3">
      <c r="A109" s="2"/>
      <c r="B109" s="2"/>
      <c r="C109" s="14"/>
    </row>
    <row r="110" spans="1:3">
      <c r="A110" s="2"/>
      <c r="B110" s="2"/>
      <c r="C110" s="14"/>
    </row>
    <row r="111" spans="1:3">
      <c r="A111" s="2"/>
      <c r="B111" s="2"/>
      <c r="C111" s="14"/>
    </row>
    <row r="112" spans="1:3">
      <c r="A112" s="2"/>
      <c r="B112" s="2"/>
      <c r="C112" s="14"/>
    </row>
    <row r="113" spans="1:3">
      <c r="A113" s="2"/>
      <c r="B113" s="2"/>
      <c r="C113" s="14"/>
    </row>
    <row r="114" spans="1:3">
      <c r="A114" s="2"/>
      <c r="B114" s="2"/>
      <c r="C114" s="14"/>
    </row>
    <row r="115" spans="1:3">
      <c r="A115" s="2"/>
      <c r="B115" s="2"/>
      <c r="C115" s="14"/>
    </row>
    <row r="116" spans="1:3">
      <c r="A116" s="2"/>
      <c r="B116" s="2"/>
      <c r="C116" s="14"/>
    </row>
    <row r="117" spans="1:3">
      <c r="A117" s="2"/>
      <c r="B117" s="2"/>
      <c r="C117" s="14"/>
    </row>
    <row r="118" spans="1:3">
      <c r="A118" s="2"/>
      <c r="B118" s="2"/>
      <c r="C118" s="14"/>
    </row>
    <row r="119" spans="1:3">
      <c r="A119" s="2"/>
      <c r="B119" s="2"/>
      <c r="C119" s="14"/>
    </row>
    <row r="120" spans="1:3">
      <c r="A120" s="2"/>
      <c r="B120" s="2"/>
      <c r="C120" s="14"/>
    </row>
    <row r="121" spans="1:3">
      <c r="A121" s="2"/>
      <c r="B121" s="2"/>
      <c r="C121" s="14"/>
    </row>
    <row r="122" spans="1:3">
      <c r="A122" s="2"/>
      <c r="B122" s="2"/>
      <c r="C122" s="14"/>
    </row>
    <row r="123" spans="1:3">
      <c r="A123" s="2"/>
      <c r="B123" s="2"/>
      <c r="C123" s="14"/>
    </row>
    <row r="124" spans="1:3">
      <c r="A124" s="2"/>
      <c r="B124" s="2"/>
      <c r="C124" s="14"/>
    </row>
    <row r="125" spans="1:3">
      <c r="A125" s="2"/>
      <c r="B125" s="2"/>
      <c r="C125" s="14"/>
    </row>
    <row r="126" spans="1:3">
      <c r="A126" s="2"/>
      <c r="B126" s="2"/>
      <c r="C126" s="14"/>
    </row>
    <row r="127" spans="1:3">
      <c r="A127" s="2"/>
      <c r="B127" s="2"/>
      <c r="C127" s="14"/>
    </row>
    <row r="128" spans="1:3">
      <c r="A128" s="2"/>
      <c r="B128" s="2"/>
      <c r="C128" s="14"/>
    </row>
    <row r="129" spans="1:3">
      <c r="A129" s="2"/>
      <c r="B129" s="2"/>
      <c r="C129" s="14"/>
    </row>
    <row r="130" spans="1:3">
      <c r="A130" s="2"/>
      <c r="B130" s="2"/>
      <c r="C130" s="14"/>
    </row>
    <row r="131" spans="1:3">
      <c r="A131" s="2"/>
      <c r="B131" s="2"/>
      <c r="C131" s="14"/>
    </row>
    <row r="132" spans="1:3">
      <c r="A132" s="2"/>
      <c r="B132" s="2"/>
      <c r="C132" s="14"/>
    </row>
    <row r="133" spans="1:3">
      <c r="A133" s="2"/>
      <c r="B133" s="2"/>
      <c r="C133" s="14"/>
    </row>
    <row r="134" spans="1:3">
      <c r="A134" s="2"/>
      <c r="B134" s="2"/>
      <c r="C134" s="14"/>
    </row>
    <row r="135" spans="1:3">
      <c r="A135" s="2"/>
      <c r="B135" s="2"/>
      <c r="C135" s="14"/>
    </row>
    <row r="136" spans="1:3">
      <c r="A136" s="2"/>
      <c r="B136" s="2"/>
      <c r="C136" s="14"/>
    </row>
    <row r="137" spans="1:3">
      <c r="A137" s="2"/>
      <c r="B137" s="2"/>
      <c r="C137" s="14"/>
    </row>
    <row r="138" spans="1:3">
      <c r="A138" s="2"/>
      <c r="B138" s="2"/>
      <c r="C138" s="14"/>
    </row>
    <row r="139" spans="1:3">
      <c r="A139" s="2"/>
      <c r="B139" s="2"/>
      <c r="C139" s="14"/>
    </row>
    <row r="140" spans="1:3">
      <c r="A140" s="2"/>
      <c r="B140" s="2"/>
      <c r="C140" s="14"/>
    </row>
    <row r="141" spans="1:3">
      <c r="A141" s="2"/>
      <c r="B141" s="2"/>
      <c r="C141" s="14"/>
    </row>
    <row r="142" spans="1:3">
      <c r="A142" s="2"/>
      <c r="B142" s="2"/>
      <c r="C142" s="14"/>
    </row>
    <row r="143" spans="1:3">
      <c r="A143" s="2"/>
      <c r="B143" s="2"/>
      <c r="C143" s="14"/>
    </row>
    <row r="144" spans="1:3">
      <c r="A144" s="2"/>
      <c r="B144" s="2"/>
      <c r="C144" s="14"/>
    </row>
    <row r="145" spans="1:3">
      <c r="A145" s="2"/>
      <c r="B145" s="2"/>
      <c r="C145" s="14"/>
    </row>
    <row r="146" spans="1:3">
      <c r="A146" s="2"/>
      <c r="B146" s="2"/>
      <c r="C146" s="14"/>
    </row>
    <row r="147" spans="1:3">
      <c r="A147" s="2"/>
      <c r="B147" s="2"/>
      <c r="C147" s="14"/>
    </row>
    <row r="148" spans="1:3">
      <c r="A148" s="2"/>
      <c r="B148" s="2"/>
      <c r="C148" s="14"/>
    </row>
    <row r="149" spans="1:3">
      <c r="A149" s="2"/>
      <c r="B149" s="2"/>
      <c r="C149" s="14"/>
    </row>
    <row r="150" spans="1:3">
      <c r="A150" s="2"/>
      <c r="B150" s="2"/>
      <c r="C150" s="14"/>
    </row>
    <row r="151" spans="1:3">
      <c r="A151" s="2"/>
      <c r="B151" s="2"/>
      <c r="C151" s="14"/>
    </row>
    <row r="152" spans="1:3">
      <c r="A152" s="2"/>
      <c r="B152" s="2"/>
      <c r="C152" s="14"/>
    </row>
    <row r="153" spans="1:3">
      <c r="A153" s="2"/>
      <c r="B153" s="2"/>
      <c r="C153" s="14"/>
    </row>
    <row r="154" spans="1:3">
      <c r="A154" s="2"/>
      <c r="B154" s="2"/>
      <c r="C154" s="14"/>
    </row>
    <row r="155" spans="1:3">
      <c r="A155" s="2"/>
      <c r="B155" s="2"/>
      <c r="C155" s="14"/>
    </row>
    <row r="156" spans="1:3">
      <c r="A156" s="2"/>
      <c r="B156" s="2"/>
      <c r="C156" s="14"/>
    </row>
    <row r="157" spans="1:3">
      <c r="A157" s="2"/>
      <c r="B157" s="2"/>
      <c r="C157" s="14"/>
    </row>
    <row r="158" spans="1:3">
      <c r="A158" s="2"/>
      <c r="B158" s="2"/>
      <c r="C158" s="14"/>
    </row>
    <row r="159" spans="1:3">
      <c r="A159" s="2"/>
      <c r="B159" s="2"/>
      <c r="C159" s="14"/>
    </row>
    <row r="160" spans="1:3">
      <c r="A160" s="2"/>
      <c r="B160" s="2"/>
      <c r="C160" s="14"/>
    </row>
    <row r="161" spans="1:3">
      <c r="A161" s="2"/>
      <c r="B161" s="2"/>
      <c r="C161" s="14"/>
    </row>
    <row r="162" spans="1:3">
      <c r="A162" s="2"/>
      <c r="B162" s="2"/>
      <c r="C162" s="14"/>
    </row>
    <row r="163" spans="1:3">
      <c r="A163" s="2"/>
      <c r="B163" s="2"/>
      <c r="C163" s="14"/>
    </row>
    <row r="164" spans="1:3">
      <c r="A164" s="2"/>
      <c r="B164" s="2"/>
      <c r="C164" s="14"/>
    </row>
    <row r="165" spans="1:3">
      <c r="A165" s="2"/>
      <c r="B165" s="2"/>
      <c r="C165" s="14"/>
    </row>
    <row r="166" spans="1:3">
      <c r="A166" s="2"/>
      <c r="B166" s="2"/>
      <c r="C166" s="14"/>
    </row>
    <row r="167" spans="1:3">
      <c r="A167" s="2"/>
      <c r="B167" s="2"/>
      <c r="C167" s="14"/>
    </row>
    <row r="168" spans="1:3">
      <c r="A168" s="2"/>
      <c r="B168" s="2"/>
      <c r="C168" s="14"/>
    </row>
    <row r="169" spans="1:3">
      <c r="A169" s="2"/>
      <c r="B169" s="2"/>
      <c r="C169" s="14"/>
    </row>
    <row r="170" spans="1:3">
      <c r="A170" s="2"/>
      <c r="B170" s="2"/>
      <c r="C170" s="14"/>
    </row>
    <row r="171" spans="1:3">
      <c r="A171" s="2"/>
      <c r="B171" s="2"/>
      <c r="C171" s="14"/>
    </row>
    <row r="172" spans="1:3">
      <c r="A172" s="2"/>
      <c r="B172" s="2"/>
      <c r="C172" s="14"/>
    </row>
    <row r="173" spans="1:3">
      <c r="A173" s="2"/>
      <c r="B173" s="2"/>
      <c r="C173" s="14"/>
    </row>
    <row r="174" spans="1:3">
      <c r="A174" s="2"/>
      <c r="B174" s="2"/>
      <c r="C174" s="14"/>
    </row>
    <row r="175" spans="1:3">
      <c r="A175" s="2"/>
      <c r="B175" s="2"/>
      <c r="C175" s="14"/>
    </row>
    <row r="176" spans="1:3">
      <c r="A176" s="2"/>
      <c r="B176" s="2"/>
      <c r="C176" s="14"/>
    </row>
    <row r="177" spans="1:3">
      <c r="A177" s="2"/>
      <c r="B177" s="2"/>
      <c r="C177" s="14"/>
    </row>
    <row r="178" spans="1:3">
      <c r="A178" s="2"/>
      <c r="B178" s="2"/>
      <c r="C178" s="14"/>
    </row>
    <row r="179" spans="1:3">
      <c r="A179" s="2"/>
      <c r="B179" s="2"/>
      <c r="C179" s="14"/>
    </row>
    <row r="180" spans="1:3">
      <c r="A180" s="2"/>
      <c r="B180" s="2"/>
      <c r="C180" s="14"/>
    </row>
    <row r="181" spans="1:3">
      <c r="A181" s="2"/>
      <c r="B181" s="2"/>
      <c r="C181" s="14"/>
    </row>
    <row r="182" spans="1:3">
      <c r="A182" s="2"/>
      <c r="B182" s="2"/>
      <c r="C182" s="14"/>
    </row>
    <row r="183" spans="1:3">
      <c r="A183" s="2"/>
      <c r="B183" s="2"/>
      <c r="C183" s="14"/>
    </row>
    <row r="184" spans="1:3">
      <c r="A184" s="2"/>
      <c r="B184" s="2"/>
      <c r="C184" s="14"/>
    </row>
    <row r="185" spans="1:3">
      <c r="A185" s="2"/>
      <c r="B185" s="2"/>
      <c r="C185" s="14"/>
    </row>
    <row r="186" spans="1:3">
      <c r="A186" s="2"/>
      <c r="B186" s="2"/>
      <c r="C186" s="14"/>
    </row>
    <row r="187" spans="1:3">
      <c r="A187" s="2"/>
      <c r="B187" s="2"/>
      <c r="C187" s="14"/>
    </row>
    <row r="188" spans="1:3">
      <c r="A188" s="2"/>
      <c r="B188" s="2"/>
      <c r="C188" s="14"/>
    </row>
    <row r="189" spans="1:3">
      <c r="A189" s="2"/>
      <c r="B189" s="2"/>
      <c r="C189" s="14"/>
    </row>
    <row r="190" spans="1:3">
      <c r="A190" s="2"/>
      <c r="B190" s="2"/>
      <c r="C190" s="14"/>
    </row>
    <row r="191" spans="1:3">
      <c r="A191" s="2"/>
      <c r="B191" s="2"/>
      <c r="C191" s="14"/>
    </row>
    <row r="192" spans="1:3">
      <c r="A192" s="2"/>
      <c r="B192" s="2"/>
      <c r="C192" s="14"/>
    </row>
    <row r="193" spans="1:3">
      <c r="A193" s="2"/>
      <c r="B193" s="2"/>
      <c r="C193" s="14"/>
    </row>
    <row r="194" spans="1:3">
      <c r="A194" s="2"/>
      <c r="B194" s="2"/>
      <c r="C194" s="14"/>
    </row>
    <row r="195" spans="1:3">
      <c r="A195" s="2"/>
      <c r="B195" s="2"/>
      <c r="C195" s="14"/>
    </row>
    <row r="196" spans="1:3">
      <c r="A196" s="2"/>
      <c r="B196" s="2"/>
      <c r="C196" s="14"/>
    </row>
    <row r="197" spans="1:3">
      <c r="A197" s="2"/>
      <c r="B197" s="2"/>
      <c r="C197" s="14"/>
    </row>
    <row r="198" spans="1:3">
      <c r="A198" s="2"/>
      <c r="B198" s="2"/>
      <c r="C198" s="14"/>
    </row>
    <row r="199" spans="1:3">
      <c r="A199" s="2"/>
      <c r="B199" s="2"/>
      <c r="C199" s="14"/>
    </row>
    <row r="200" spans="1:3">
      <c r="A200" s="2"/>
      <c r="B200" s="2"/>
      <c r="C200" s="14"/>
    </row>
    <row r="201" spans="1:3">
      <c r="A201" s="2"/>
      <c r="B201" s="2"/>
      <c r="C201" s="14"/>
    </row>
    <row r="202" spans="1:3">
      <c r="A202" s="2"/>
      <c r="B202" s="2"/>
      <c r="C202" s="14"/>
    </row>
    <row r="203" spans="1:3">
      <c r="A203" s="2"/>
      <c r="B203" s="2"/>
      <c r="C203" s="14"/>
    </row>
    <row r="204" spans="1:3">
      <c r="A204" s="2"/>
      <c r="B204" s="2"/>
      <c r="C204" s="14"/>
    </row>
    <row r="205" spans="1:3">
      <c r="A205" s="2"/>
      <c r="B205" s="2"/>
      <c r="C205" s="14"/>
    </row>
    <row r="206" spans="1:3">
      <c r="A206" s="2"/>
      <c r="B206" s="2"/>
      <c r="C206" s="14"/>
    </row>
    <row r="207" spans="1:3">
      <c r="A207" s="2"/>
      <c r="B207" s="2"/>
      <c r="C207" s="14"/>
    </row>
    <row r="208" spans="1:3">
      <c r="A208" s="2"/>
      <c r="B208" s="2"/>
      <c r="C208" s="14"/>
    </row>
    <row r="209" spans="1:3">
      <c r="A209" s="2"/>
      <c r="B209" s="2"/>
      <c r="C209" s="14"/>
    </row>
    <row r="210" spans="1:3">
      <c r="A210" s="2"/>
      <c r="B210" s="2"/>
      <c r="C210" s="14"/>
    </row>
    <row r="211" spans="1:3">
      <c r="A211" s="2"/>
      <c r="B211" s="2"/>
      <c r="C211" s="14"/>
    </row>
    <row r="212" spans="1:3">
      <c r="A212" s="2"/>
      <c r="B212" s="2"/>
      <c r="C212" s="14"/>
    </row>
    <row r="213" spans="1:3">
      <c r="A213" s="2"/>
      <c r="B213" s="2"/>
      <c r="C213" s="14"/>
    </row>
    <row r="214" spans="1:3">
      <c r="A214" s="2"/>
      <c r="B214" s="2"/>
      <c r="C214" s="14"/>
    </row>
    <row r="215" spans="1:3">
      <c r="A215" s="2"/>
      <c r="B215" s="2"/>
      <c r="C215" s="14"/>
    </row>
    <row r="216" spans="1:3">
      <c r="A216" s="2"/>
      <c r="B216" s="2"/>
      <c r="C216" s="14"/>
    </row>
    <row r="217" spans="1:3">
      <c r="A217" s="2"/>
      <c r="B217" s="2"/>
      <c r="C217" s="14"/>
    </row>
    <row r="218" spans="1:3">
      <c r="A218" s="2"/>
      <c r="B218" s="2"/>
      <c r="C218" s="14"/>
    </row>
    <row r="219" spans="1:3">
      <c r="A219" s="2"/>
      <c r="B219" s="2"/>
      <c r="C219" s="14"/>
    </row>
    <row r="220" spans="1:3">
      <c r="A220" s="2"/>
      <c r="B220" s="2"/>
      <c r="C220" s="14"/>
    </row>
    <row r="221" spans="1:3">
      <c r="A221" s="2"/>
      <c r="B221" s="2"/>
      <c r="C221" s="14"/>
    </row>
    <row r="222" spans="1:3">
      <c r="A222" s="2"/>
      <c r="B222" s="2"/>
      <c r="C222" s="14"/>
    </row>
    <row r="223" spans="1:3">
      <c r="A223" s="2"/>
      <c r="B223" s="2"/>
      <c r="C223" s="14"/>
    </row>
    <row r="224" spans="1:3">
      <c r="A224" s="2"/>
      <c r="B224" s="2"/>
      <c r="C224" s="14"/>
    </row>
    <row r="225" spans="1:3">
      <c r="A225" s="2"/>
      <c r="B225" s="2"/>
      <c r="C225" s="14"/>
    </row>
    <row r="226" spans="1:3">
      <c r="A226" s="2"/>
      <c r="B226" s="2"/>
      <c r="C226" s="14"/>
    </row>
    <row r="227" spans="1:3">
      <c r="A227" s="2"/>
      <c r="B227" s="2"/>
      <c r="C227" s="14"/>
    </row>
    <row r="228" spans="1:3">
      <c r="A228" s="2"/>
      <c r="B228" s="2"/>
      <c r="C228" s="14"/>
    </row>
    <row r="229" spans="1:3">
      <c r="A229" s="2"/>
      <c r="B229" s="2"/>
      <c r="C229" s="14"/>
    </row>
    <row r="230" spans="1:3">
      <c r="A230" s="2"/>
      <c r="B230" s="2"/>
      <c r="C230" s="14"/>
    </row>
    <row r="231" spans="1:3">
      <c r="A231" s="2"/>
      <c r="B231" s="2"/>
      <c r="C231" s="14"/>
    </row>
    <row r="232" spans="1:3">
      <c r="A232" s="2"/>
      <c r="B232" s="2"/>
      <c r="C232" s="14"/>
    </row>
    <row r="233" spans="1:3">
      <c r="A233" s="2"/>
      <c r="B233" s="2"/>
      <c r="C233" s="14"/>
    </row>
    <row r="234" spans="1:3">
      <c r="A234" s="2"/>
      <c r="B234" s="2"/>
      <c r="C234" s="14"/>
    </row>
    <row r="235" spans="1:3">
      <c r="A235" s="2"/>
      <c r="B235" s="2"/>
      <c r="C235" s="14"/>
    </row>
    <row r="236" spans="1:3">
      <c r="A236" s="2"/>
      <c r="B236" s="2"/>
      <c r="C236" s="14"/>
    </row>
    <row r="237" spans="1:3">
      <c r="A237" s="2"/>
      <c r="B237" s="2"/>
      <c r="C237" s="14"/>
    </row>
    <row r="238" spans="1:3">
      <c r="A238" s="2"/>
      <c r="B238" s="2"/>
      <c r="C238" s="14"/>
    </row>
    <row r="239" spans="1:3">
      <c r="A239" s="2"/>
      <c r="B239" s="2"/>
      <c r="C239" s="14"/>
    </row>
    <row r="240" spans="1:3">
      <c r="A240" s="2"/>
      <c r="B240" s="2"/>
      <c r="C240" s="14"/>
    </row>
    <row r="241" spans="1:3">
      <c r="A241" s="2"/>
      <c r="B241" s="2"/>
      <c r="C241" s="14"/>
    </row>
    <row r="242" spans="1:3">
      <c r="A242" s="2"/>
      <c r="B242" s="2"/>
      <c r="C242" s="14"/>
    </row>
    <row r="243" spans="1:3">
      <c r="A243" s="2"/>
      <c r="B243" s="2"/>
      <c r="C243" s="14"/>
    </row>
    <row r="244" spans="1:3">
      <c r="A244" s="2"/>
      <c r="B244" s="2"/>
      <c r="C244" s="14"/>
    </row>
    <row r="245" spans="1:3">
      <c r="A245" s="2"/>
      <c r="B245" s="2"/>
      <c r="C245" s="14"/>
    </row>
    <row r="246" spans="1:3">
      <c r="A246" s="2"/>
      <c r="B246" s="2"/>
      <c r="C246" s="14"/>
    </row>
    <row r="247" spans="1:3">
      <c r="A247" s="2"/>
      <c r="B247" s="2"/>
      <c r="C247" s="14"/>
    </row>
    <row r="248" spans="1:3">
      <c r="A248" s="2"/>
      <c r="B248" s="2"/>
      <c r="C248" s="14"/>
    </row>
    <row r="249" spans="1:3">
      <c r="A249" s="2"/>
      <c r="B249" s="2"/>
      <c r="C249" s="14"/>
    </row>
    <row r="250" spans="1:3">
      <c r="A250" s="2"/>
      <c r="B250" s="2"/>
      <c r="C250" s="14"/>
    </row>
    <row r="251" spans="1:3">
      <c r="A251" s="2"/>
      <c r="B251" s="2"/>
      <c r="C251" s="14"/>
    </row>
    <row r="252" spans="1:3">
      <c r="A252" s="2"/>
      <c r="B252" s="2"/>
      <c r="C252" s="14"/>
    </row>
    <row r="253" spans="1:3">
      <c r="A253" s="2"/>
      <c r="B253" s="2"/>
      <c r="C253" s="14"/>
    </row>
    <row r="254" spans="1:3">
      <c r="A254" s="2"/>
      <c r="B254" s="2"/>
      <c r="C254" s="14"/>
    </row>
    <row r="255" spans="1:3">
      <c r="A255" s="2"/>
      <c r="B255" s="2"/>
      <c r="C255" s="14"/>
    </row>
    <row r="256" spans="1:3">
      <c r="A256" s="2"/>
      <c r="B256" s="2"/>
      <c r="C256" s="14"/>
    </row>
    <row r="257" spans="1:3">
      <c r="A257" s="2"/>
      <c r="B257" s="2"/>
      <c r="C257" s="14"/>
    </row>
    <row r="258" spans="1:3">
      <c r="A258" s="2"/>
      <c r="B258" s="2"/>
      <c r="C258" s="14"/>
    </row>
    <row r="259" spans="1:3">
      <c r="A259" s="2"/>
      <c r="B259" s="2"/>
      <c r="C259" s="14"/>
    </row>
    <row r="260" spans="1:3">
      <c r="A260" s="2"/>
      <c r="B260" s="2"/>
      <c r="C260" s="14"/>
    </row>
    <row r="261" spans="1:3">
      <c r="A261" s="2"/>
      <c r="B261" s="2"/>
      <c r="C261" s="14"/>
    </row>
    <row r="262" spans="1:3">
      <c r="A262" s="2"/>
      <c r="B262" s="2"/>
      <c r="C262" s="14"/>
    </row>
    <row r="263" spans="1:3">
      <c r="A263" s="2"/>
      <c r="B263" s="2"/>
      <c r="C263" s="14"/>
    </row>
    <row r="264" spans="1:3">
      <c r="A264" s="2"/>
      <c r="B264" s="2"/>
      <c r="C264" s="14"/>
    </row>
    <row r="265" spans="1:3">
      <c r="A265" s="2"/>
      <c r="B265" s="2"/>
      <c r="C265" s="14"/>
    </row>
    <row r="266" spans="1:3">
      <c r="A266" s="2"/>
      <c r="B266" s="2"/>
      <c r="C266" s="14"/>
    </row>
    <row r="267" spans="1:3">
      <c r="A267" s="2"/>
      <c r="B267" s="2"/>
      <c r="C267" s="14"/>
    </row>
    <row r="268" spans="1:3">
      <c r="A268" s="2"/>
      <c r="B268" s="2"/>
      <c r="C268" s="14"/>
    </row>
    <row r="269" spans="1:3">
      <c r="A269" s="2"/>
      <c r="B269" s="2"/>
      <c r="C269" s="14"/>
    </row>
    <row r="270" spans="1:3">
      <c r="A270" s="2"/>
      <c r="B270" s="2"/>
      <c r="C270" s="14"/>
    </row>
    <row r="271" spans="1:3">
      <c r="A271" s="2"/>
      <c r="B271" s="2"/>
      <c r="C271" s="14"/>
    </row>
    <row r="272" spans="1:3">
      <c r="A272" s="2"/>
      <c r="B272" s="2"/>
      <c r="C272" s="14"/>
    </row>
    <row r="273" spans="1:3">
      <c r="A273" s="2"/>
      <c r="B273" s="2"/>
      <c r="C273" s="14"/>
    </row>
    <row r="274" spans="1:3">
      <c r="A274" s="2"/>
      <c r="B274" s="2"/>
      <c r="C274" s="14"/>
    </row>
    <row r="275" spans="1:3">
      <c r="A275" s="2"/>
      <c r="B275" s="2"/>
      <c r="C275" s="14"/>
    </row>
    <row r="276" spans="1:3">
      <c r="A276" s="2"/>
      <c r="B276" s="2"/>
      <c r="C276" s="14"/>
    </row>
    <row r="277" spans="1:3">
      <c r="A277" s="2"/>
      <c r="B277" s="2"/>
      <c r="C277" s="14"/>
    </row>
    <row r="278" spans="1:3">
      <c r="A278" s="2"/>
      <c r="B278" s="2"/>
      <c r="C278" s="14"/>
    </row>
    <row r="279" spans="1:3">
      <c r="A279" s="2"/>
      <c r="B279" s="2"/>
      <c r="C279" s="14"/>
    </row>
    <row r="280" spans="1:3">
      <c r="A280" s="2"/>
      <c r="B280" s="2"/>
      <c r="C280" s="14"/>
    </row>
    <row r="281" spans="1:3">
      <c r="A281" s="2"/>
      <c r="B281" s="2"/>
      <c r="C281" s="14"/>
    </row>
    <row r="282" spans="1:3">
      <c r="A282" s="2"/>
      <c r="B282" s="2"/>
      <c r="C282" s="14"/>
    </row>
    <row r="283" spans="1:3">
      <c r="A283" s="2"/>
      <c r="B283" s="2"/>
      <c r="C283" s="14"/>
    </row>
    <row r="284" spans="1:3">
      <c r="A284" s="2"/>
      <c r="B284" s="2"/>
      <c r="C284" s="14"/>
    </row>
    <row r="285" spans="1:3">
      <c r="A285" s="2"/>
      <c r="B285" s="2"/>
      <c r="C285" s="14"/>
    </row>
    <row r="286" spans="1:3">
      <c r="A286" s="2"/>
      <c r="B286" s="2"/>
      <c r="C286" s="14"/>
    </row>
    <row r="287" spans="1:3">
      <c r="A287" s="2"/>
      <c r="B287" s="2"/>
      <c r="C287" s="14"/>
    </row>
    <row r="288" spans="1:3">
      <c r="A288" s="2"/>
      <c r="B288" s="2"/>
      <c r="C288" s="14"/>
    </row>
    <row r="289" spans="1:3">
      <c r="A289" s="2"/>
      <c r="B289" s="2"/>
      <c r="C289" s="14"/>
    </row>
    <row r="290" spans="1:3">
      <c r="A290" s="2"/>
      <c r="B290" s="2"/>
      <c r="C290" s="14"/>
    </row>
    <row r="291" spans="1:3">
      <c r="A291" s="2"/>
      <c r="B291" s="2"/>
      <c r="C291" s="14"/>
    </row>
    <row r="292" spans="1:3">
      <c r="A292" s="2"/>
      <c r="B292" s="2"/>
      <c r="C292" s="14"/>
    </row>
    <row r="293" spans="1:3">
      <c r="A293" s="2"/>
      <c r="B293" s="2"/>
      <c r="C293" s="14"/>
    </row>
    <row r="294" spans="1:3">
      <c r="A294" s="2"/>
      <c r="B294" s="2"/>
      <c r="C294" s="14"/>
    </row>
    <row r="295" spans="1:3">
      <c r="A295" s="2"/>
      <c r="B295" s="2"/>
      <c r="C295" s="14"/>
    </row>
    <row r="296" spans="1:3">
      <c r="A296" s="2"/>
      <c r="B296" s="2"/>
      <c r="C296" s="14"/>
    </row>
    <row r="297" spans="1:3">
      <c r="A297" s="2"/>
      <c r="B297" s="2"/>
      <c r="C297" s="14"/>
    </row>
    <row r="298" spans="1:3">
      <c r="A298" s="2"/>
      <c r="B298" s="2"/>
      <c r="C298" s="14"/>
    </row>
    <row r="299" spans="1:3">
      <c r="A299" s="2"/>
      <c r="B299" s="2"/>
      <c r="C299" s="14"/>
    </row>
    <row r="300" spans="1:3">
      <c r="A300" s="2"/>
      <c r="B300" s="2"/>
      <c r="C300" s="14"/>
    </row>
    <row r="301" spans="1:3">
      <c r="A301" s="2"/>
      <c r="B301" s="2"/>
      <c r="C301" s="14"/>
    </row>
    <row r="302" spans="1:3">
      <c r="A302" s="2"/>
      <c r="B302" s="2"/>
      <c r="C302" s="14"/>
    </row>
    <row r="303" spans="1:3">
      <c r="A303" s="2"/>
      <c r="B303" s="2"/>
      <c r="C303" s="14"/>
    </row>
    <row r="304" spans="1:3">
      <c r="A304" s="2"/>
      <c r="B304" s="2"/>
      <c r="C304" s="14"/>
    </row>
    <row r="305" spans="1:3">
      <c r="A305" s="2"/>
      <c r="B305" s="2"/>
      <c r="C305" s="14"/>
    </row>
    <row r="306" spans="1:3">
      <c r="A306" s="2"/>
      <c r="B306" s="2"/>
      <c r="C306" s="14"/>
    </row>
    <row r="307" spans="1:3">
      <c r="A307" s="2"/>
      <c r="B307" s="2"/>
      <c r="C307" s="14"/>
    </row>
    <row r="308" spans="1:3">
      <c r="A308" s="2"/>
      <c r="B308" s="2"/>
      <c r="C308" s="14"/>
    </row>
    <row r="309" spans="1:3">
      <c r="A309" s="2"/>
      <c r="B309" s="2"/>
      <c r="C309" s="14"/>
    </row>
    <row r="310" spans="1:3">
      <c r="A310" s="2"/>
      <c r="B310" s="2"/>
      <c r="C310" s="14"/>
    </row>
    <row r="311" spans="1:3">
      <c r="A311" s="2"/>
      <c r="B311" s="2"/>
      <c r="C311" s="14"/>
    </row>
    <row r="312" spans="1:3">
      <c r="A312" s="2"/>
      <c r="B312" s="2"/>
      <c r="C312" s="14"/>
    </row>
    <row r="313" spans="1:3">
      <c r="A313" s="2"/>
      <c r="B313" s="2"/>
      <c r="C313" s="14"/>
    </row>
    <row r="314" spans="1:3">
      <c r="A314" s="2"/>
      <c r="B314" s="2"/>
      <c r="C314" s="14"/>
    </row>
    <row r="315" spans="1:3">
      <c r="A315" s="2"/>
      <c r="B315" s="2"/>
      <c r="C315" s="14"/>
    </row>
    <row r="316" spans="1:3">
      <c r="A316" s="2"/>
      <c r="B316" s="2"/>
      <c r="C316" s="14"/>
    </row>
    <row r="317" spans="1:3">
      <c r="A317" s="2"/>
      <c r="B317" s="2"/>
      <c r="C317" s="14"/>
    </row>
    <row r="318" spans="1:3">
      <c r="A318" s="2"/>
      <c r="B318" s="2"/>
      <c r="C318" s="14"/>
    </row>
    <row r="319" spans="1:3">
      <c r="A319" s="2"/>
      <c r="B319" s="2"/>
      <c r="C319" s="14"/>
    </row>
    <row r="320" spans="1:3">
      <c r="A320" s="2"/>
      <c r="B320" s="2"/>
      <c r="C320" s="14"/>
    </row>
    <row r="321" spans="1:3">
      <c r="A321" s="2"/>
      <c r="B321" s="2"/>
      <c r="C321" s="14"/>
    </row>
    <row r="322" spans="1:3">
      <c r="A322" s="2"/>
      <c r="B322" s="2"/>
      <c r="C322" s="14"/>
    </row>
    <row r="323" spans="1:3">
      <c r="A323" s="2"/>
      <c r="B323" s="2"/>
      <c r="C323" s="14"/>
    </row>
    <row r="324" spans="1:3">
      <c r="A324" s="2"/>
      <c r="B324" s="2"/>
      <c r="C324" s="14"/>
    </row>
    <row r="325" spans="1:3">
      <c r="A325" s="2"/>
      <c r="B325" s="2"/>
      <c r="C325" s="14"/>
    </row>
    <row r="326" spans="1:3">
      <c r="A326" s="2"/>
      <c r="B326" s="2"/>
      <c r="C326" s="14"/>
    </row>
    <row r="327" spans="1:3">
      <c r="A327" s="2"/>
      <c r="B327" s="2"/>
      <c r="C327" s="14"/>
    </row>
    <row r="328" spans="1:3">
      <c r="A328" s="2"/>
      <c r="B328" s="2"/>
      <c r="C328" s="14"/>
    </row>
    <row r="329" spans="1:3">
      <c r="A329" s="2"/>
      <c r="B329" s="2"/>
      <c r="C329" s="14"/>
    </row>
    <row r="330" spans="1:3">
      <c r="A330" s="2"/>
      <c r="B330" s="2"/>
      <c r="C330" s="14"/>
    </row>
    <row r="331" spans="1:3">
      <c r="A331" s="2"/>
      <c r="B331" s="2"/>
      <c r="C331" s="14"/>
    </row>
    <row r="332" spans="1:3">
      <c r="A332" s="2"/>
      <c r="B332" s="2"/>
      <c r="C332" s="14"/>
    </row>
    <row r="333" spans="1:3">
      <c r="A333" s="2"/>
      <c r="B333" s="2"/>
      <c r="C333" s="14"/>
    </row>
    <row r="334" spans="1:3">
      <c r="A334" s="2"/>
      <c r="B334" s="2"/>
      <c r="C334" s="14"/>
    </row>
    <row r="335" spans="1:3">
      <c r="A335" s="2"/>
      <c r="B335" s="2"/>
      <c r="C335" s="14"/>
    </row>
    <row r="336" spans="1:3">
      <c r="A336" s="2"/>
      <c r="B336" s="2"/>
      <c r="C336" s="14"/>
    </row>
    <row r="337" spans="1:3">
      <c r="A337" s="2"/>
      <c r="B337" s="2"/>
      <c r="C337" s="14"/>
    </row>
    <row r="338" spans="1:3">
      <c r="A338" s="2"/>
      <c r="B338" s="2"/>
      <c r="C338" s="14"/>
    </row>
    <row r="339" spans="1:3">
      <c r="A339" s="2"/>
      <c r="B339" s="2"/>
      <c r="C339" s="14"/>
    </row>
    <row r="340" spans="1:3">
      <c r="A340" s="2"/>
      <c r="B340" s="2"/>
      <c r="C340" s="14"/>
    </row>
    <row r="341" spans="1:3">
      <c r="A341" s="2"/>
      <c r="B341" s="2"/>
      <c r="C341" s="14"/>
    </row>
    <row r="342" spans="1:3">
      <c r="A342" s="2"/>
      <c r="B342" s="2"/>
      <c r="C342" s="14"/>
    </row>
    <row r="343" spans="1:3">
      <c r="A343" s="2"/>
      <c r="B343" s="2"/>
      <c r="C343" s="14"/>
    </row>
    <row r="344" spans="1:3">
      <c r="A344" s="2"/>
      <c r="B344" s="2"/>
      <c r="C344" s="14"/>
    </row>
    <row r="345" spans="1:3">
      <c r="A345" s="2"/>
      <c r="B345" s="2"/>
      <c r="C345" s="14"/>
    </row>
    <row r="346" spans="1:3">
      <c r="A346" s="2"/>
      <c r="B346" s="2"/>
      <c r="C346" s="14"/>
    </row>
    <row r="347" spans="1:3">
      <c r="A347" s="2"/>
      <c r="B347" s="2"/>
      <c r="C347" s="14"/>
    </row>
    <row r="348" spans="1:3">
      <c r="A348" s="2"/>
      <c r="B348" s="2"/>
      <c r="C348" s="14"/>
    </row>
    <row r="349" spans="1:3">
      <c r="A349" s="2"/>
      <c r="B349" s="2"/>
      <c r="C349" s="14"/>
    </row>
    <row r="350" spans="1:3">
      <c r="A350" s="2"/>
      <c r="B350" s="2"/>
      <c r="C350" s="14"/>
    </row>
    <row r="351" spans="1:3">
      <c r="A351" s="2"/>
      <c r="B351" s="2"/>
      <c r="C351" s="14"/>
    </row>
    <row r="352" spans="1:3">
      <c r="A352" s="2"/>
      <c r="B352" s="2"/>
      <c r="C352" s="14"/>
    </row>
    <row r="353" spans="1:3">
      <c r="A353" s="2"/>
      <c r="B353" s="2"/>
      <c r="C353" s="14"/>
    </row>
    <row r="354" spans="1:3">
      <c r="A354" s="2"/>
      <c r="B354" s="2"/>
      <c r="C354" s="14"/>
    </row>
    <row r="355" spans="1:3">
      <c r="A355" s="2"/>
      <c r="B355" s="2"/>
      <c r="C355" s="14"/>
    </row>
    <row r="356" spans="1:3">
      <c r="A356" s="2"/>
      <c r="B356" s="2"/>
      <c r="C356" s="14"/>
    </row>
    <row r="357" spans="1:3">
      <c r="A357" s="2"/>
      <c r="B357" s="2"/>
      <c r="C357" s="14"/>
    </row>
    <row r="358" spans="1:3">
      <c r="A358" s="2"/>
      <c r="B358" s="2"/>
      <c r="C358" s="14"/>
    </row>
    <row r="359" spans="1:3">
      <c r="A359" s="2"/>
      <c r="B359" s="2"/>
      <c r="C359" s="14"/>
    </row>
    <row r="360" spans="1:3">
      <c r="A360" s="2"/>
      <c r="B360" s="2"/>
      <c r="C360" s="14"/>
    </row>
    <row r="361" spans="1:3">
      <c r="A361" s="2"/>
      <c r="B361" s="2"/>
      <c r="C361" s="14"/>
    </row>
    <row r="362" spans="1:3">
      <c r="A362" s="2"/>
      <c r="B362" s="2"/>
      <c r="C362" s="14"/>
    </row>
    <row r="363" spans="1:3">
      <c r="A363" s="2"/>
      <c r="B363" s="2"/>
      <c r="C363" s="14"/>
    </row>
    <row r="364" spans="1:3">
      <c r="A364" s="2"/>
      <c r="B364" s="2"/>
      <c r="C364" s="14"/>
    </row>
    <row r="365" spans="1:3">
      <c r="A365" s="2"/>
      <c r="B365" s="2"/>
      <c r="C365" s="14"/>
    </row>
    <row r="366" spans="1:3">
      <c r="A366" s="2"/>
      <c r="B366" s="2"/>
      <c r="C366" s="14"/>
    </row>
    <row r="367" spans="1:3">
      <c r="A367" s="2"/>
      <c r="B367" s="2"/>
      <c r="C367" s="14"/>
    </row>
    <row r="368" spans="1:3">
      <c r="A368" s="2"/>
      <c r="B368" s="2"/>
      <c r="C368" s="14"/>
    </row>
    <row r="369" spans="1:3">
      <c r="A369" s="2"/>
      <c r="B369" s="2"/>
      <c r="C369" s="14"/>
    </row>
    <row r="370" spans="1:3">
      <c r="A370" s="2"/>
      <c r="B370" s="2"/>
      <c r="C370" s="14"/>
    </row>
    <row r="371" spans="1:3">
      <c r="A371" s="2"/>
      <c r="B371" s="2"/>
      <c r="C371" s="14"/>
    </row>
    <row r="372" spans="1:3">
      <c r="A372" s="2"/>
      <c r="B372" s="2"/>
      <c r="C372" s="14"/>
    </row>
    <row r="373" spans="1:3">
      <c r="A373" s="2"/>
      <c r="B373" s="2"/>
      <c r="C373" s="14"/>
    </row>
    <row r="374" spans="1:3">
      <c r="A374" s="2"/>
      <c r="B374" s="2"/>
      <c r="C374" s="14"/>
    </row>
    <row r="375" spans="1:3">
      <c r="A375" s="2"/>
      <c r="B375" s="2"/>
      <c r="C375" s="14"/>
    </row>
    <row r="376" spans="1:3">
      <c r="A376" s="2"/>
      <c r="B376" s="2"/>
      <c r="C376" s="14"/>
    </row>
    <row r="377" spans="1:3">
      <c r="A377" s="2"/>
      <c r="B377" s="2"/>
      <c r="C377" s="14"/>
    </row>
    <row r="378" spans="1:3">
      <c r="A378" s="2"/>
      <c r="B378" s="2"/>
      <c r="C378" s="14"/>
    </row>
    <row r="379" spans="1:3">
      <c r="A379" s="2"/>
      <c r="B379" s="2"/>
      <c r="C379" s="14"/>
    </row>
    <row r="380" spans="1:3">
      <c r="A380" s="2"/>
      <c r="B380" s="2"/>
      <c r="C380" s="14"/>
    </row>
    <row r="381" spans="1:3">
      <c r="A381" s="2"/>
      <c r="B381" s="2"/>
      <c r="C381" s="14"/>
    </row>
    <row r="382" spans="1:3">
      <c r="A382" s="2"/>
      <c r="B382" s="2"/>
      <c r="C382" s="14"/>
    </row>
    <row r="383" spans="1:3">
      <c r="A383" s="2"/>
      <c r="B383" s="2"/>
      <c r="C383" s="14"/>
    </row>
    <row r="384" spans="1:3">
      <c r="A384" s="2"/>
      <c r="B384" s="2"/>
      <c r="C384" s="14"/>
    </row>
    <row r="385" spans="1:3">
      <c r="A385" s="2"/>
      <c r="B385" s="2"/>
      <c r="C385" s="14"/>
    </row>
    <row r="386" spans="1:3">
      <c r="A386" s="2"/>
      <c r="B386" s="2"/>
      <c r="C386" s="14"/>
    </row>
    <row r="387" spans="1:3">
      <c r="A387" s="2"/>
      <c r="B387" s="2"/>
      <c r="C387" s="14"/>
    </row>
    <row r="388" spans="1:3">
      <c r="A388" s="2"/>
      <c r="B388" s="2"/>
      <c r="C388" s="14"/>
    </row>
    <row r="389" spans="1:3">
      <c r="A389" s="2"/>
      <c r="B389" s="2"/>
      <c r="C389" s="14"/>
    </row>
    <row r="390" spans="1:3">
      <c r="A390" s="2"/>
      <c r="B390" s="2"/>
      <c r="C390" s="14"/>
    </row>
    <row r="391" spans="1:3">
      <c r="A391" s="2"/>
      <c r="B391" s="2"/>
      <c r="C391" s="14"/>
    </row>
    <row r="392" spans="1:3">
      <c r="A392" s="2"/>
      <c r="B392" s="2"/>
      <c r="C392" s="14"/>
    </row>
    <row r="393" spans="1:3">
      <c r="A393" s="2"/>
      <c r="B393" s="2"/>
      <c r="C393" s="14"/>
    </row>
    <row r="394" spans="1:3">
      <c r="A394" s="2"/>
      <c r="B394" s="2"/>
      <c r="C394" s="14"/>
    </row>
    <row r="395" spans="1:3">
      <c r="A395" s="2"/>
      <c r="B395" s="2"/>
      <c r="C395" s="14"/>
    </row>
    <row r="396" spans="1:3">
      <c r="A396" s="2"/>
      <c r="B396" s="2"/>
      <c r="C396" s="14"/>
    </row>
    <row r="397" spans="1:3">
      <c r="A397" s="2"/>
      <c r="B397" s="2"/>
      <c r="C397" s="14"/>
    </row>
    <row r="398" spans="1:3">
      <c r="A398" s="2"/>
      <c r="B398" s="2"/>
      <c r="C398" s="14"/>
    </row>
    <row r="399" spans="1:3">
      <c r="A399" s="2"/>
      <c r="B399" s="2"/>
      <c r="C399" s="14"/>
    </row>
    <row r="400" spans="1:3">
      <c r="A400" s="2"/>
      <c r="B400" s="2"/>
      <c r="C400" s="14"/>
    </row>
    <row r="401" spans="1:3">
      <c r="A401" s="2"/>
      <c r="B401" s="2"/>
      <c r="C401" s="14"/>
    </row>
    <row r="402" spans="1:3">
      <c r="A402" s="2"/>
      <c r="B402" s="2"/>
      <c r="C402" s="14"/>
    </row>
    <row r="403" spans="1:3">
      <c r="A403" s="2"/>
      <c r="B403" s="2"/>
      <c r="C403" s="14"/>
    </row>
    <row r="404" spans="1:3">
      <c r="A404" s="2"/>
      <c r="B404" s="2"/>
      <c r="C404" s="14"/>
    </row>
    <row r="405" spans="1:3">
      <c r="A405" s="2"/>
      <c r="B405" s="2"/>
      <c r="C405" s="14"/>
    </row>
    <row r="406" spans="1:3">
      <c r="A406" s="2"/>
      <c r="B406" s="2"/>
      <c r="C406" s="14"/>
    </row>
    <row r="407" spans="1:3">
      <c r="A407" s="2"/>
      <c r="B407" s="2"/>
      <c r="C407" s="14"/>
    </row>
    <row r="408" spans="1:3">
      <c r="A408" s="2"/>
      <c r="B408" s="2"/>
      <c r="C408" s="14"/>
    </row>
    <row r="409" spans="1:3">
      <c r="A409" s="2"/>
      <c r="B409" s="2"/>
      <c r="C409" s="14"/>
    </row>
    <row r="410" spans="1:3">
      <c r="A410" s="2"/>
      <c r="B410" s="2"/>
      <c r="C410" s="14"/>
    </row>
    <row r="411" spans="1:3">
      <c r="A411" s="2"/>
      <c r="B411" s="2"/>
      <c r="C411" s="14"/>
    </row>
    <row r="412" spans="1:3">
      <c r="A412" s="2"/>
      <c r="B412" s="2"/>
      <c r="C412" s="14"/>
    </row>
    <row r="413" spans="1:3">
      <c r="A413" s="2"/>
      <c r="B413" s="2"/>
      <c r="C413" s="14"/>
    </row>
    <row r="414" spans="1:3">
      <c r="A414" s="2"/>
      <c r="B414" s="2"/>
      <c r="C414" s="14"/>
    </row>
    <row r="415" spans="1:3">
      <c r="A415" s="2"/>
      <c r="B415" s="2"/>
      <c r="C415" s="14"/>
    </row>
    <row r="416" spans="1:3">
      <c r="A416" s="2"/>
      <c r="B416" s="2"/>
      <c r="C416" s="14"/>
    </row>
    <row r="417" spans="1:3">
      <c r="A417" s="2"/>
      <c r="B417" s="2"/>
      <c r="C417" s="14"/>
    </row>
    <row r="418" spans="1:3">
      <c r="A418" s="2"/>
      <c r="B418" s="2"/>
      <c r="C418" s="14"/>
    </row>
    <row r="419" spans="1:3">
      <c r="A419" s="2"/>
      <c r="B419" s="2"/>
      <c r="C419" s="14"/>
    </row>
    <row r="420" spans="1:3">
      <c r="A420" s="2"/>
      <c r="B420" s="2"/>
      <c r="C420" s="14"/>
    </row>
    <row r="421" spans="1:3">
      <c r="A421" s="2"/>
      <c r="B421" s="2"/>
      <c r="C421" s="14"/>
    </row>
    <row r="422" spans="1:3">
      <c r="A422" s="2"/>
      <c r="B422" s="2"/>
      <c r="C422" s="14"/>
    </row>
    <row r="423" spans="1:3">
      <c r="A423" s="2"/>
      <c r="B423" s="2"/>
      <c r="C423" s="14"/>
    </row>
    <row r="424" spans="1:3">
      <c r="A424" s="2"/>
      <c r="B424" s="2"/>
      <c r="C424" s="14"/>
    </row>
    <row r="425" spans="1:3">
      <c r="A425" s="2"/>
      <c r="B425" s="2"/>
      <c r="C425" s="14"/>
    </row>
    <row r="426" spans="1:3">
      <c r="A426" s="2"/>
      <c r="B426" s="2"/>
      <c r="C426" s="14"/>
    </row>
    <row r="427" spans="1:3">
      <c r="A427" s="2"/>
      <c r="B427" s="2"/>
      <c r="C427" s="14"/>
    </row>
    <row r="428" spans="1:3">
      <c r="A428" s="2"/>
      <c r="B428" s="2"/>
      <c r="C428" s="14"/>
    </row>
    <row r="429" spans="1:3">
      <c r="A429" s="2"/>
      <c r="B429" s="2"/>
      <c r="C429" s="14"/>
    </row>
    <row r="430" spans="1:3">
      <c r="A430" s="2"/>
      <c r="B430" s="2"/>
      <c r="C430" s="14"/>
    </row>
    <row r="431" spans="1:3">
      <c r="A431" s="2"/>
      <c r="B431" s="2"/>
      <c r="C431" s="14"/>
    </row>
    <row r="432" spans="1:3">
      <c r="A432" s="2"/>
      <c r="B432" s="2"/>
      <c r="C432" s="14"/>
    </row>
    <row r="433" spans="1:3">
      <c r="A433" s="2"/>
      <c r="B433" s="2"/>
      <c r="C433" s="14"/>
    </row>
    <row r="434" spans="1:3">
      <c r="A434" s="2"/>
      <c r="B434" s="2"/>
      <c r="C434" s="14"/>
    </row>
    <row r="435" spans="1:3">
      <c r="A435" s="2"/>
      <c r="B435" s="2"/>
      <c r="C435" s="14"/>
    </row>
    <row r="436" spans="1:3">
      <c r="A436" s="2"/>
      <c r="B436" s="2"/>
      <c r="C436" s="14"/>
    </row>
    <row r="437" spans="1:3">
      <c r="A437" s="2"/>
      <c r="B437" s="2"/>
      <c r="C437" s="14"/>
    </row>
    <row r="438" spans="1:3">
      <c r="A438" s="2"/>
      <c r="B438" s="2"/>
      <c r="C438" s="14"/>
    </row>
    <row r="439" spans="1:3">
      <c r="A439" s="2"/>
      <c r="B439" s="2"/>
      <c r="C439" s="14"/>
    </row>
    <row r="440" spans="1:3">
      <c r="A440" s="2"/>
      <c r="B440" s="2"/>
      <c r="C440" s="14"/>
    </row>
    <row r="441" spans="1:3">
      <c r="A441" s="2"/>
      <c r="B441" s="2"/>
      <c r="C441" s="14"/>
    </row>
    <row r="442" spans="1:3">
      <c r="A442" s="2"/>
      <c r="B442" s="2"/>
      <c r="C442" s="14"/>
    </row>
    <row r="443" spans="1:3">
      <c r="A443" s="2"/>
      <c r="B443" s="2"/>
      <c r="C443" s="14"/>
    </row>
    <row r="444" spans="1:3">
      <c r="A444" s="2"/>
      <c r="B444" s="2"/>
      <c r="C444" s="14"/>
    </row>
    <row r="445" spans="1:3">
      <c r="A445" s="2"/>
      <c r="B445" s="2"/>
      <c r="C445" s="14"/>
    </row>
    <row r="446" spans="1:3">
      <c r="A446" s="2"/>
      <c r="B446" s="2"/>
      <c r="C446" s="14"/>
    </row>
    <row r="447" spans="1:3">
      <c r="A447" s="2"/>
      <c r="B447" s="2"/>
      <c r="C447" s="14"/>
    </row>
    <row r="448" spans="1:3">
      <c r="A448" s="2"/>
      <c r="B448" s="2"/>
      <c r="C448" s="14"/>
    </row>
    <row r="449" spans="1:3">
      <c r="A449" s="2"/>
      <c r="B449" s="2"/>
      <c r="C449" s="14"/>
    </row>
    <row r="450" spans="1:3">
      <c r="A450" s="2"/>
      <c r="B450" s="2"/>
      <c r="C450" s="14"/>
    </row>
    <row r="451" spans="1:3">
      <c r="A451" s="2"/>
      <c r="B451" s="2"/>
      <c r="C451" s="14"/>
    </row>
    <row r="452" spans="1:3">
      <c r="A452" s="2"/>
      <c r="B452" s="2"/>
      <c r="C452" s="14"/>
    </row>
    <row r="453" spans="1:3">
      <c r="A453" s="2"/>
      <c r="B453" s="2"/>
      <c r="C453" s="14"/>
    </row>
    <row r="454" spans="1:3">
      <c r="A454" s="2"/>
      <c r="B454" s="2"/>
      <c r="C454" s="14"/>
    </row>
    <row r="455" spans="1:3">
      <c r="A455" s="2"/>
      <c r="B455" s="2"/>
      <c r="C455" s="14"/>
    </row>
    <row r="456" spans="1:3">
      <c r="A456" s="2"/>
      <c r="B456" s="2"/>
      <c r="C456" s="14"/>
    </row>
    <row r="457" spans="1:3">
      <c r="A457" s="2"/>
      <c r="B457" s="2"/>
      <c r="C457" s="14"/>
    </row>
    <row r="458" spans="1:3">
      <c r="A458" s="2"/>
      <c r="B458" s="2"/>
      <c r="C458" s="14"/>
    </row>
    <row r="459" spans="1:3">
      <c r="A459" s="2"/>
      <c r="B459" s="2"/>
      <c r="C459" s="14"/>
    </row>
    <row r="460" spans="1:3">
      <c r="A460" s="2"/>
      <c r="B460" s="2"/>
      <c r="C460" s="14"/>
    </row>
    <row r="461" spans="1:3">
      <c r="A461" s="2"/>
      <c r="B461" s="2"/>
      <c r="C461" s="14"/>
    </row>
    <row r="462" spans="1:3">
      <c r="A462" s="2"/>
      <c r="B462" s="2"/>
      <c r="C462" s="14"/>
    </row>
    <row r="463" spans="1:3">
      <c r="A463" s="2"/>
      <c r="B463" s="2"/>
      <c r="C463" s="14"/>
    </row>
    <row r="464" spans="1:3">
      <c r="A464" s="2"/>
      <c r="B464" s="2"/>
      <c r="C464" s="14"/>
    </row>
    <row r="465" spans="1:3">
      <c r="A465" s="2"/>
      <c r="B465" s="2"/>
      <c r="C465" s="14"/>
    </row>
    <row r="466" spans="1:3">
      <c r="A466" s="2"/>
      <c r="B466" s="2"/>
      <c r="C466" s="14"/>
    </row>
    <row r="467" spans="1:3">
      <c r="A467" s="2"/>
      <c r="B467" s="2"/>
      <c r="C467" s="14"/>
    </row>
    <row r="468" spans="1:3">
      <c r="A468" s="2"/>
      <c r="B468" s="2"/>
      <c r="C468" s="14"/>
    </row>
    <row r="469" spans="1:3">
      <c r="A469" s="2"/>
      <c r="B469" s="2"/>
      <c r="C469" s="14"/>
    </row>
    <row r="470" spans="1:3">
      <c r="A470" s="2"/>
      <c r="B470" s="2"/>
      <c r="C470" s="14"/>
    </row>
    <row r="471" spans="1:3">
      <c r="A471" s="2"/>
      <c r="B471" s="2"/>
      <c r="C471" s="14"/>
    </row>
    <row r="472" spans="1:3">
      <c r="A472" s="2"/>
      <c r="B472" s="2"/>
      <c r="C472" s="14"/>
    </row>
    <row r="473" spans="1:3">
      <c r="A473" s="2"/>
      <c r="B473" s="2"/>
      <c r="C473" s="14"/>
    </row>
    <row r="474" spans="1:3">
      <c r="A474" s="2"/>
      <c r="B474" s="2"/>
      <c r="C474" s="14"/>
    </row>
    <row r="475" spans="1:3">
      <c r="A475" s="2"/>
      <c r="B475" s="2"/>
      <c r="C475" s="14"/>
    </row>
    <row r="476" spans="1:3">
      <c r="A476" s="2"/>
      <c r="B476" s="2"/>
      <c r="C476" s="14"/>
    </row>
    <row r="477" spans="1:3">
      <c r="A477" s="2"/>
      <c r="B477" s="2"/>
      <c r="C477" s="14"/>
    </row>
    <row r="478" spans="1:3">
      <c r="A478" s="2"/>
      <c r="B478" s="2"/>
      <c r="C478" s="14"/>
    </row>
    <row r="479" spans="1:3">
      <c r="A479" s="2"/>
      <c r="B479" s="2"/>
      <c r="C479" s="14"/>
    </row>
    <row r="480" spans="1:3">
      <c r="A480" s="2"/>
      <c r="B480" s="2"/>
      <c r="C480" s="14"/>
    </row>
    <row r="481" spans="1:3">
      <c r="A481" s="2"/>
      <c r="B481" s="2"/>
      <c r="C481" s="14"/>
    </row>
    <row r="482" spans="1:3">
      <c r="A482" s="2"/>
      <c r="B482" s="2"/>
      <c r="C482" s="14"/>
    </row>
    <row r="483" spans="1:3">
      <c r="A483" s="2"/>
      <c r="B483" s="2"/>
      <c r="C483" s="14"/>
    </row>
    <row r="484" spans="1:3">
      <c r="A484" s="2"/>
      <c r="B484" s="2"/>
      <c r="C484" s="14"/>
    </row>
    <row r="485" spans="1:3">
      <c r="A485" s="2"/>
      <c r="B485" s="2"/>
      <c r="C485" s="14"/>
    </row>
    <row r="486" spans="1:3">
      <c r="A486" s="2"/>
      <c r="B486" s="2"/>
      <c r="C486" s="14"/>
    </row>
    <row r="487" spans="1:3">
      <c r="A487" s="2"/>
      <c r="B487" s="2"/>
      <c r="C487" s="14"/>
    </row>
    <row r="488" spans="1:3">
      <c r="A488" s="2"/>
      <c r="B488" s="2"/>
      <c r="C488" s="14"/>
    </row>
    <row r="489" spans="1:3">
      <c r="A489" s="2"/>
      <c r="B489" s="2"/>
      <c r="C489" s="14"/>
    </row>
    <row r="490" spans="1:3">
      <c r="A490" s="2"/>
      <c r="B490" s="2"/>
      <c r="C490" s="14"/>
    </row>
    <row r="491" spans="1:3">
      <c r="A491" s="2"/>
      <c r="B491" s="2"/>
      <c r="C491" s="14"/>
    </row>
    <row r="492" spans="1:3">
      <c r="A492" s="2"/>
      <c r="B492" s="2"/>
      <c r="C492" s="14"/>
    </row>
    <row r="493" spans="1:3">
      <c r="A493" s="2"/>
      <c r="B493" s="2"/>
      <c r="C493" s="14"/>
    </row>
    <row r="494" spans="1:3">
      <c r="A494" s="2"/>
      <c r="B494" s="2"/>
      <c r="C494" s="14"/>
    </row>
    <row r="495" spans="1:3">
      <c r="A495" s="2"/>
      <c r="B495" s="2"/>
      <c r="C495" s="14"/>
    </row>
    <row r="496" spans="1:3">
      <c r="A496" s="2"/>
      <c r="B496" s="2"/>
      <c r="C496" s="14"/>
    </row>
    <row r="497" spans="1:3">
      <c r="A497" s="2"/>
      <c r="B497" s="2"/>
      <c r="C497" s="14"/>
    </row>
    <row r="498" spans="1:3">
      <c r="A498" s="2"/>
      <c r="B498" s="2"/>
      <c r="C498" s="14"/>
    </row>
    <row r="499" spans="1:3">
      <c r="A499" s="2"/>
      <c r="B499" s="2"/>
      <c r="C499" s="14"/>
    </row>
    <row r="500" spans="1:3">
      <c r="A500" s="2"/>
      <c r="B500" s="2"/>
      <c r="C500" s="14"/>
    </row>
    <row r="501" spans="1:3">
      <c r="A501" s="2"/>
      <c r="B501" s="2"/>
      <c r="C501" s="14"/>
    </row>
  </sheetData>
  <conditionalFormatting sqref="A2:C5 A11:C501">
    <cfRule type="expression" dxfId="9" priority="3">
      <formula>AND($A2&lt;&gt;"",COUNTIFS($A:$A,$A2,$B:$B,$B2)&gt;1)</formula>
    </cfRule>
  </conditionalFormatting>
  <conditionalFormatting sqref="A6:B10">
    <cfRule type="expression" dxfId="8" priority="2">
      <formula>AND($A6&lt;&gt;"",COUNTIFS($A:$A,$A6,$B:$B,$B6)&gt;1)</formula>
    </cfRule>
  </conditionalFormatting>
  <conditionalFormatting sqref="C6:C10">
    <cfRule type="expression" dxfId="7" priority="1">
      <formula>AND($A6&lt;&gt;"",COUNTIFS($A:$A,$A6,$B:$B,$B6)&gt;1)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01"/>
  <sheetViews>
    <sheetView tabSelected="1" topLeftCell="C1" workbookViewId="0">
      <selection activeCell="M6" sqref="M6"/>
    </sheetView>
  </sheetViews>
  <sheetFormatPr defaultRowHeight="13.8"/>
  <cols>
    <col min="1" max="2" width="18" customWidth="1"/>
    <col min="3" max="4" width="22" customWidth="1"/>
    <col min="5" max="8" width="16" customWidth="1"/>
    <col min="9" max="10" width="12" customWidth="1"/>
    <col min="11" max="11" width="16" customWidth="1"/>
    <col min="12" max="12" width="14" customWidth="1"/>
    <col min="13" max="14" width="20" customWidth="1"/>
  </cols>
  <sheetData>
    <row r="1" spans="1:14" ht="25.65" customHeight="1">
      <c r="A1" s="1" t="s">
        <v>0</v>
      </c>
      <c r="B1" s="1" t="s">
        <v>1</v>
      </c>
      <c r="C1" s="1" t="s">
        <v>13</v>
      </c>
      <c r="D1" s="1" t="s">
        <v>17</v>
      </c>
      <c r="E1" s="1" t="s">
        <v>18</v>
      </c>
      <c r="F1" s="1" t="s">
        <v>19</v>
      </c>
      <c r="G1" s="1" t="s">
        <v>29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</row>
    <row r="2" spans="1:14">
      <c r="A2" s="2" t="s">
        <v>32</v>
      </c>
      <c r="B2" s="2" t="s">
        <v>33</v>
      </c>
      <c r="C2" s="22">
        <f>IF(COUNTIFS(Buy_History!$A:$A,A2,Buy_History!$B:$B,B2)=0,"",SUMIFS(Buy_History!$C:$C,Buy_History!$A:$A,A2,Buy_History!$B:$B,B2))</f>
        <v>46253</v>
      </c>
      <c r="D2" s="22">
        <f>IF(COUNTIFS(Sell_History!$A:$A,A2,Sell_History!$B:$B,B2)=0,"",SUMIFS(Sell_History!$C:$C,Sell_History!$A:$A,A2,Sell_History!$B:$B,B2))</f>
        <v>46255</v>
      </c>
      <c r="E2" s="8">
        <f>IF(COUNTIFS(Raw_Observations!$A:$A,A2,Raw_Observations!$B:$B,B2)=0,"",SUMIFS(Raw_Observations!$D:$D,Raw_Observations!$A:$A,A2,Raw_Observations!$B:$B,B2))</f>
        <v>4653638</v>
      </c>
      <c r="F2" s="8">
        <f>IF(COUNTIFS(Order_History!$A:$A,A2,Order_History!$B:$B,B2)=0,"",SUMIFS(Order_History!$D:$D,Order_History!$A:$A,A2,Order_History!$B:$B,B2))</f>
        <v>4656111.1321041733</v>
      </c>
      <c r="G2" s="23">
        <f>IF(COUNTIFS(Pricing!$A:$A,A2,Pricing!$B:$B,B2)=0,"",SUMIFS(Pricing!$G:$G,Pricing!$A:$A,A2,Pricing!$B:$B,B2))</f>
        <v>0.02</v>
      </c>
      <c r="H2" s="9">
        <f>IF(OR(E2="",F2=""),"",F2-E2)</f>
        <v>2473.1321041733027</v>
      </c>
      <c r="I2" s="3">
        <v>0</v>
      </c>
      <c r="J2" s="3">
        <v>0</v>
      </c>
      <c r="K2" s="9">
        <f t="shared" ref="K2:K65" si="0">IF(H2="","",H2-I2-J2)</f>
        <v>2473.1321041733027</v>
      </c>
      <c r="L2" s="6">
        <f>IF(OR(K2="",E2=""),"",K2/E2)</f>
        <v>5.3144058566078896E-4</v>
      </c>
      <c r="M2" s="10">
        <f>IF(OR(C2="",D2=""),"",MAX(1,ROUNDUP(D2-C2,0)))</f>
        <v>2</v>
      </c>
      <c r="N2" s="6">
        <f t="shared" ref="N2:N65" si="1">IF(OR(L2="",M2=""),"",(1+L2)^(365/M2)-1)</f>
        <v>0.10181866277553753</v>
      </c>
    </row>
    <row r="3" spans="1:14">
      <c r="A3" s="2" t="s">
        <v>37</v>
      </c>
      <c r="B3" s="2" t="s">
        <v>36</v>
      </c>
      <c r="C3" s="22">
        <f>IF(COUNTIFS(Buy_History!$A:$A,A3,Buy_History!$B:$B,B3)=0,"",SUMIFS(Buy_History!$C:$C,Buy_History!$A:$A,A3,Buy_History!$B:$B,B3))</f>
        <v>46253</v>
      </c>
      <c r="D3" s="22">
        <f>IF(COUNTIFS(Sell_History!$A:$A,A3,Sell_History!$B:$B,B3)=0,"",SUMIFS(Sell_History!$C:$C,Sell_History!$A:$A,A3,Sell_History!$B:$B,B3))</f>
        <v>46255</v>
      </c>
      <c r="E3" s="8">
        <f>IF(COUNTIFS(Raw_Observations!$A:$A,A3,Raw_Observations!$B:$B,B3)=0,"",SUMIFS(Raw_Observations!$D:$D,Raw_Observations!$A:$A,A3,Raw_Observations!$B:$B,B3))</f>
        <v>3508365</v>
      </c>
      <c r="F3" s="8">
        <f>IF(COUNTIFS(Order_History!$A:$A,A3,Order_History!$B:$B,B3)=0,"",SUMIFS(Order_History!$D:$D,Order_History!$A:$A,A3,Order_History!$B:$B,B3))</f>
        <v>3510101.0952620143</v>
      </c>
      <c r="G3" s="23">
        <f>IF(COUNTIFS(Pricing!$A:$A,A3,Pricing!$B:$B,B3)=0,"",SUMIFS(Pricing!$G:$G,Pricing!$A:$A,A3,Pricing!$B:$B,B3))</f>
        <v>0.02</v>
      </c>
      <c r="H3" s="9">
        <f>IF(OR(E3="",F3=""),"",F3-E3)</f>
        <v>1736.0952620143071</v>
      </c>
      <c r="I3" s="3">
        <v>0</v>
      </c>
      <c r="J3" s="3">
        <v>0</v>
      </c>
      <c r="K3" s="9">
        <f t="shared" si="0"/>
        <v>1736.0952620143071</v>
      </c>
      <c r="L3" s="6">
        <f>IF(OR(K3="",E3=""),"",K3/E3)</f>
        <v>4.9484453926951927E-4</v>
      </c>
      <c r="M3" s="10">
        <f>IF(OR(C3="",D3=""),"",MAX(1,ROUNDUP(D3-C3,0)))</f>
        <v>2</v>
      </c>
      <c r="N3" s="6">
        <f t="shared" si="1"/>
        <v>9.4488128367689939E-2</v>
      </c>
    </row>
    <row r="4" spans="1:14">
      <c r="A4" s="2" t="s">
        <v>38</v>
      </c>
      <c r="B4" s="2" t="s">
        <v>34</v>
      </c>
      <c r="C4" s="22">
        <f>IF(COUNTIFS(Buy_History!$A:$A,A4,Buy_History!$B:$B,B4)=0,"",SUMIFS(Buy_History!$C:$C,Buy_History!$A:$A,A4,Buy_History!$B:$B,B4))</f>
        <v>46253</v>
      </c>
      <c r="D4" s="22">
        <f>IF(COUNTIFS(Sell_History!$A:$A,A4,Sell_History!$B:$B,B4)=0,"",SUMIFS(Sell_History!$C:$C,Sell_History!$A:$A,A4,Sell_History!$B:$B,B4))</f>
        <v>46255</v>
      </c>
      <c r="E4" s="8">
        <f>IF(COUNTIFS(Raw_Observations!$A:$A,A4,Raw_Observations!$B:$B,B4)=0,"",SUMIFS(Raw_Observations!$D:$D,Raw_Observations!$A:$A,A4,Raw_Observations!$B:$B,B4))</f>
        <v>4610986</v>
      </c>
      <c r="F4" s="8">
        <f>IF(COUNTIFS(Order_History!$A:$A,A4,Order_History!$B:$B,B4)=0,"",SUMIFS(Order_History!$D:$D,Order_History!$A:$A,A4,Order_History!$B:$B,B4))</f>
        <v>4613275.525775387</v>
      </c>
      <c r="G4" s="23">
        <f>IF(COUNTIFS(Pricing!$A:$A,A4,Pricing!$B:$B,B4)=0,"",SUMIFS(Pricing!$G:$G,Pricing!$A:$A,A4,Pricing!$B:$B,B4))</f>
        <v>0.02</v>
      </c>
      <c r="H4" s="9">
        <f>IF(OR(E4="",F4=""),"",F4-E4)</f>
        <v>2289.5257753869519</v>
      </c>
      <c r="I4" s="3">
        <v>0</v>
      </c>
      <c r="J4" s="3">
        <v>0</v>
      </c>
      <c r="K4" s="9">
        <f t="shared" si="0"/>
        <v>2289.5257753869519</v>
      </c>
      <c r="L4" s="6">
        <f>IF(OR(K4="",E4=""),"",K4/E4)</f>
        <v>4.9653713444086623E-4</v>
      </c>
      <c r="M4" s="10">
        <f>IF(OR(C4="",D4=""),"",MAX(1,ROUNDUP(D4-C4,0)))</f>
        <v>2</v>
      </c>
      <c r="N4" s="6">
        <f t="shared" si="1"/>
        <v>9.4826098906491962E-2</v>
      </c>
    </row>
    <row r="5" spans="1:14">
      <c r="A5" s="2" t="s">
        <v>39</v>
      </c>
      <c r="B5" s="2" t="s">
        <v>35</v>
      </c>
      <c r="C5" s="22">
        <f>IF(COUNTIFS(Buy_History!$A:$A,A5,Buy_History!$B:$B,B5)=0,"",SUMIFS(Buy_History!$C:$C,Buy_History!$A:$A,A5,Buy_History!$B:$B,B5))</f>
        <v>46253</v>
      </c>
      <c r="D5" s="22">
        <f>IF(COUNTIFS(Sell_History!$A:$A,A5,Sell_History!$B:$B,B5)=0,"",SUMIFS(Sell_History!$C:$C,Sell_History!$A:$A,A5,Sell_History!$B:$B,B5))</f>
        <v>46255</v>
      </c>
      <c r="E5" s="8">
        <f>IF(COUNTIFS(Raw_Observations!$A:$A,A5,Raw_Observations!$B:$B,B5)=0,"",SUMIFS(Raw_Observations!$D:$D,Raw_Observations!$A:$A,A5,Raw_Observations!$B:$B,B5))</f>
        <v>3508456</v>
      </c>
      <c r="F5" s="8">
        <f>IF(COUNTIFS(Order_History!$A:$A,A5,Order_History!$B:$B,B5)=0,"",SUMIFS(Order_History!$D:$D,Order_History!$A:$A,A5,Order_History!$B:$B,B5))</f>
        <v>3510101.0952620143</v>
      </c>
      <c r="G5" s="23">
        <f>IF(COUNTIFS(Pricing!$A:$A,A5,Pricing!$B:$B,B5)=0,"",SUMIFS(Pricing!$G:$G,Pricing!$A:$A,A5,Pricing!$B:$B,B5))</f>
        <v>0.02</v>
      </c>
      <c r="H5" s="9">
        <f>IF(OR(E5="",F5=""),"",F5-E5)</f>
        <v>1645.0952620143071</v>
      </c>
      <c r="I5" s="3">
        <v>0</v>
      </c>
      <c r="J5" s="3">
        <v>0</v>
      </c>
      <c r="K5" s="9">
        <f t="shared" si="0"/>
        <v>1645.0952620143071</v>
      </c>
      <c r="L5" s="6">
        <f>IF(OR(K5="",E5=""),"",K5/E5)</f>
        <v>4.6889436892305533E-4</v>
      </c>
      <c r="M5" s="10">
        <f>IF(OR(C5="",D5=""),"",MAX(1,ROUNDUP(D5-C5,0)))</f>
        <v>2</v>
      </c>
      <c r="N5" s="6">
        <f t="shared" si="1"/>
        <v>8.931947477793778E-2</v>
      </c>
    </row>
    <row r="6" spans="1:14">
      <c r="A6" s="2" t="s">
        <v>45</v>
      </c>
      <c r="B6" s="2" t="s">
        <v>40</v>
      </c>
      <c r="C6" s="22">
        <f>IF(COUNTIFS(Buy_History!$A:$A,A6,Buy_History!$B:$B,B6)=0,"",SUMIFS(Buy_History!$C:$C,Buy_History!$A:$A,A6,Buy_History!$B:$B,B6))</f>
        <v>46245</v>
      </c>
      <c r="D6" s="22">
        <f>IF(COUNTIFS(Sell_History!$A:$A,A6,Sell_History!$B:$B,B6)=0,"",SUMIFS(Sell_History!$C:$C,Sell_History!$A:$A,A6,Sell_History!$B:$B,B6))</f>
        <v>46249</v>
      </c>
      <c r="E6" s="8">
        <f>IF(COUNTIFS(Raw_Observations!$A:$A,A6,Raw_Observations!$B:$B,B6)=0,"",SUMIFS(Raw_Observations!$D:$D,Raw_Observations!$A:$A,A6,Raw_Observations!$B:$B,B6))</f>
        <v>6671860</v>
      </c>
      <c r="F6" s="8">
        <f>IF(COUNTIFS(Order_History!$A:$A,A6,Order_History!$B:$B,B6)=0,"",SUMIFS(Order_History!$D:$D,Order_History!$A:$A,A6,Order_History!$B:$B,B6))</f>
        <v>6673000</v>
      </c>
      <c r="G6" s="23">
        <f>IF(COUNTIFS(Pricing!$A:$A,A6,Pricing!$B:$B,B6)=0,"",SUMIFS(Pricing!$G:$G,Pricing!$A:$A,A6,Pricing!$B:$B,B6))</f>
        <v>2E-3</v>
      </c>
      <c r="H6" s="9">
        <f>IF(OR(E6="",F6=""),"",F6-E6)</f>
        <v>1140</v>
      </c>
      <c r="I6" s="3">
        <v>0</v>
      </c>
      <c r="J6" s="3">
        <v>0</v>
      </c>
      <c r="K6" s="9">
        <f t="shared" si="0"/>
        <v>1140</v>
      </c>
      <c r="L6" s="6">
        <f>IF(OR(K6="",E6=""),"",K6/E6)</f>
        <v>1.7086689468903725E-4</v>
      </c>
      <c r="M6" s="10">
        <f>IF(OR(C6="",D6=""),"",MAX(1,ROUNDUP(D6-C6,0)))</f>
        <v>4</v>
      </c>
      <c r="N6" s="6">
        <f t="shared" si="1"/>
        <v>1.5712434564267408E-2</v>
      </c>
    </row>
    <row r="7" spans="1:14">
      <c r="A7" s="2" t="s">
        <v>46</v>
      </c>
      <c r="B7" s="2" t="s">
        <v>41</v>
      </c>
      <c r="C7" s="22">
        <f>IF(COUNTIFS(Buy_History!$A:$A,A7,Buy_History!$B:$B,B7)=0,"",SUMIFS(Buy_History!$C:$C,Buy_History!$A:$A,A7,Buy_History!$B:$B,B7))</f>
        <v>46247</v>
      </c>
      <c r="D7" s="22">
        <f>IF(COUNTIFS(Sell_History!$A:$A,A7,Sell_History!$B:$B,B7)=0,"",SUMIFS(Sell_History!$C:$C,Sell_History!$A:$A,A7,Sell_History!$B:$B,B7))</f>
        <v>46248</v>
      </c>
      <c r="E7" s="8">
        <f>IF(COUNTIFS(Raw_Observations!$A:$A,A7,Raw_Observations!$B:$B,B7)=0,"",SUMIFS(Raw_Observations!$D:$D,Raw_Observations!$A:$A,A7,Raw_Observations!$B:$B,B7))</f>
        <v>20060000</v>
      </c>
      <c r="F7" s="8">
        <f>IF(COUNTIFS(Order_History!$A:$A,A7,Order_History!$B:$B,B7)=0,"",SUMIFS(Order_History!$D:$D,Order_History!$A:$A,A7,Order_History!$B:$B,B7))</f>
        <v>20074367</v>
      </c>
      <c r="G7" s="23">
        <f>IF(COUNTIFS(Pricing!$A:$A,A7,Pricing!$B:$B,B7)=0,"",SUMIFS(Pricing!$G:$G,Pricing!$A:$A,A7,Pricing!$B:$B,B7))</f>
        <v>3.0000000000000001E-3</v>
      </c>
      <c r="H7" s="9">
        <f>IF(OR(E7="",F7=""),"",F7-E7)</f>
        <v>14367</v>
      </c>
      <c r="I7" s="3">
        <v>0</v>
      </c>
      <c r="J7" s="3">
        <v>0</v>
      </c>
      <c r="K7" s="9">
        <f t="shared" si="0"/>
        <v>14367</v>
      </c>
      <c r="L7" s="6">
        <f>IF(OR(K7="",E7=""),"",K7/E7)</f>
        <v>7.1620139581256227E-4</v>
      </c>
      <c r="M7" s="10">
        <f>IF(OR(C7="",D7=""),"",MAX(1,ROUNDUP(D7-C7,0)))</f>
        <v>1</v>
      </c>
      <c r="N7" s="6">
        <f t="shared" si="1"/>
        <v>0.29864308916155702</v>
      </c>
    </row>
    <row r="8" spans="1:14">
      <c r="A8" s="2" t="s">
        <v>47</v>
      </c>
      <c r="B8" s="2" t="s">
        <v>42</v>
      </c>
      <c r="C8" s="22">
        <f>IF(COUNTIFS(Buy_History!$A:$A,A8,Buy_History!$B:$B,B8)=0,"",SUMIFS(Buy_History!$C:$C,Buy_History!$A:$A,A8,Buy_History!$B:$B,B8))</f>
        <v>46248</v>
      </c>
      <c r="D8" s="22">
        <f>IF(COUNTIFS(Sell_History!$A:$A,A8,Sell_History!$B:$B,B8)=0,"",SUMIFS(Sell_History!$C:$C,Sell_History!$A:$A,A8,Sell_History!$B:$B,B8))</f>
        <v>46248</v>
      </c>
      <c r="E8" s="8">
        <f>IF(COUNTIFS(Raw_Observations!$A:$A,A8,Raw_Observations!$B:$B,B8)=0,"",SUMIFS(Raw_Observations!$D:$D,Raw_Observations!$A:$A,A8,Raw_Observations!$B:$B,B8))</f>
        <v>29685213</v>
      </c>
      <c r="F8" s="8">
        <f>IF(COUNTIFS(Order_History!$A:$A,A8,Order_History!$B:$B,B8)=0,"",SUMIFS(Order_History!$D:$D,Order_History!$A:$A,A8,Order_History!$B:$B,B8))</f>
        <v>29702912</v>
      </c>
      <c r="G8" s="23">
        <f>IF(COUNTIFS(Pricing!$A:$A,A8,Pricing!$B:$B,B8)=0,"",SUMIFS(Pricing!$G:$G,Pricing!$A:$A,A8,Pricing!$B:$B,B8))</f>
        <v>3.3999999999999998E-3</v>
      </c>
      <c r="H8" s="9">
        <f>IF(OR(E8="",F8=""),"",F8-E8)</f>
        <v>17699</v>
      </c>
      <c r="I8" s="3">
        <v>0</v>
      </c>
      <c r="J8" s="3">
        <v>0</v>
      </c>
      <c r="K8" s="9">
        <f t="shared" si="0"/>
        <v>17699</v>
      </c>
      <c r="L8" s="6">
        <f>IF(OR(K8="",E8=""),"",K8/E8)</f>
        <v>5.9622277259725233E-4</v>
      </c>
      <c r="M8" s="10">
        <f>IF(OR(C8="",D8=""),"",MAX(1,ROUNDUP(D8-C8,0)))</f>
        <v>1</v>
      </c>
      <c r="N8" s="6">
        <f t="shared" si="1"/>
        <v>0.24303561227829884</v>
      </c>
    </row>
    <row r="9" spans="1:14">
      <c r="A9" s="2" t="s">
        <v>48</v>
      </c>
      <c r="B9" s="2" t="s">
        <v>43</v>
      </c>
      <c r="C9" s="22">
        <f>IF(COUNTIFS(Buy_History!$A:$A,A9,Buy_History!$B:$B,B9)=0,"",SUMIFS(Buy_History!$C:$C,Buy_History!$A:$A,A9,Buy_History!$B:$B,B9))</f>
        <v>46248</v>
      </c>
      <c r="D9" s="22">
        <f>IF(COUNTIFS(Sell_History!$A:$A,A9,Sell_History!$B:$B,B9)=0,"",SUMIFS(Sell_History!$C:$C,Sell_History!$A:$A,A9,Sell_History!$B:$B,B9))</f>
        <v>46249</v>
      </c>
      <c r="E9" s="8">
        <f>IF(COUNTIFS(Raw_Observations!$A:$A,A9,Raw_Observations!$B:$B,B9)=0,"",SUMIFS(Raw_Observations!$D:$D,Raw_Observations!$A:$A,A9,Raw_Observations!$B:$B,B9))</f>
        <v>30046000</v>
      </c>
      <c r="F9" s="8">
        <f>IF(COUNTIFS(Order_History!$A:$A,A9,Order_History!$B:$B,B9)=0,"",SUMIFS(Order_History!$D:$D,Order_History!$A:$A,A9,Order_History!$B:$B,B9))</f>
        <v>30067117</v>
      </c>
      <c r="G9" s="23">
        <f>IF(COUNTIFS(Pricing!$A:$A,A9,Pricing!$B:$B,B9)=0,"",SUMIFS(Pricing!$G:$G,Pricing!$A:$A,A9,Pricing!$B:$B,B9))</f>
        <v>3.0000000000000001E-3</v>
      </c>
      <c r="H9" s="9">
        <f>IF(OR(E9="",F9=""),"",F9-E9)</f>
        <v>21117</v>
      </c>
      <c r="I9" s="3">
        <v>0</v>
      </c>
      <c r="J9" s="3">
        <v>0</v>
      </c>
      <c r="K9" s="9">
        <f t="shared" si="0"/>
        <v>21117</v>
      </c>
      <c r="L9" s="6">
        <f>IF(OR(K9="",E9=""),"",K9/E9)</f>
        <v>7.0282233908007725E-4</v>
      </c>
      <c r="M9" s="10">
        <f>IF(OR(C9="",D9=""),"",MAX(1,ROUNDUP(D9-C9,0)))</f>
        <v>1</v>
      </c>
      <c r="N9" s="6">
        <f t="shared" si="1"/>
        <v>0.29232128677309266</v>
      </c>
    </row>
    <row r="10" spans="1:14">
      <c r="A10" s="2" t="s">
        <v>49</v>
      </c>
      <c r="B10" s="2" t="s">
        <v>44</v>
      </c>
      <c r="C10" s="22">
        <f>IF(COUNTIFS(Buy_History!$A:$A,A10,Buy_History!$B:$B,B10)=0,"",SUMIFS(Buy_History!$C:$C,Buy_History!$A:$A,A10,Buy_History!$B:$B,B10))</f>
        <v>46251</v>
      </c>
      <c r="D10" s="22">
        <f>IF(COUNTIFS(Sell_History!$A:$A,A10,Sell_History!$B:$B,B10)=0,"",SUMIFS(Sell_History!$C:$C,Sell_History!$A:$A,A10,Sell_History!$B:$B,B10))</f>
        <v>46253</v>
      </c>
      <c r="E10" s="8">
        <f>IF(COUNTIFS(Raw_Observations!$A:$A,A10,Raw_Observations!$B:$B,B10)=0,"",SUMIFS(Raw_Observations!$D:$D,Raw_Observations!$A:$A,A10,Raw_Observations!$B:$B,B10))</f>
        <v>20064000</v>
      </c>
      <c r="F10" s="8">
        <f>IF(COUNTIFS(Order_History!$A:$A,A10,Order_History!$B:$B,B10)=0,"",SUMIFS(Order_History!$D:$D,Order_History!$A:$A,A10,Order_History!$B:$B,B10))</f>
        <v>20087893</v>
      </c>
      <c r="G10" s="23">
        <f>IF(COUNTIFS(Pricing!$A:$A,A10,Pricing!$B:$B,B10)=0,"",SUMIFS(Pricing!$G:$G,Pricing!$A:$A,A10,Pricing!$B:$B,B10))</f>
        <v>0.01</v>
      </c>
      <c r="H10" s="9">
        <f>IF(OR(E10="",F10=""),"",F10-E10)</f>
        <v>23893</v>
      </c>
      <c r="I10" s="3">
        <v>0</v>
      </c>
      <c r="J10" s="3">
        <v>0</v>
      </c>
      <c r="K10" s="9">
        <f t="shared" si="0"/>
        <v>23893</v>
      </c>
      <c r="L10" s="6">
        <f>IF(OR(K10="",E10=""),"",K10/E10)</f>
        <v>1.1908393141945774E-3</v>
      </c>
      <c r="M10" s="10">
        <f>IF(OR(C10="",D10=""),"",MAX(1,ROUNDUP(D10-C10,0)))</f>
        <v>2</v>
      </c>
      <c r="N10" s="6">
        <f t="shared" si="1"/>
        <v>0.2425911991488634</v>
      </c>
    </row>
    <row r="11" spans="1:14">
      <c r="A11" s="2" t="s">
        <v>51</v>
      </c>
      <c r="B11" s="2" t="s">
        <v>50</v>
      </c>
      <c r="C11" s="22">
        <f>IF(COUNTIFS(Buy_History!$A:$A,A11,Buy_History!$B:$B,B11)=0,"",SUMIFS(Buy_History!$C:$C,Buy_History!$A:$A,A11,Buy_History!$B:$B,B11))</f>
        <v>46256</v>
      </c>
      <c r="D11" s="22">
        <f>IF(COUNTIFS(Sell_History!$A:$A,A11,Sell_History!$B:$B,B11)=0,"",SUMIFS(Sell_History!$C:$C,Sell_History!$A:$A,A11,Sell_History!$B:$B,B11))</f>
        <v>46257</v>
      </c>
      <c r="E11" s="8">
        <f>IF(COUNTIFS(Raw_Observations!$A:$A,A11,Raw_Observations!$B:$B,B11)=0,"",SUMIFS(Raw_Observations!$D:$D,Raw_Observations!$A:$A,A11,Raw_Observations!$B:$B,B11))</f>
        <v>50217550</v>
      </c>
      <c r="F11" s="8">
        <f>IF(COUNTIFS(Order_History!$A:$A,A11,Order_History!$B:$B,B11)=0,"",SUMIFS(Order_History!$D:$D,Order_History!$A:$A,A11,Order_History!$B:$B,B11))</f>
        <v>50229267.883190483</v>
      </c>
      <c r="G11" s="23">
        <f>IF(COUNTIFS(Pricing!$A:$A,A11,Pricing!$B:$B,B11)=0,"",SUMIFS(Pricing!$G:$G,Pricing!$A:$A,A11,Pricing!$B:$B,B11))</f>
        <v>1.7000000000000001E-2</v>
      </c>
      <c r="H11" s="9">
        <f t="shared" ref="H11" si="2">IF(OR(E11="",F11=""),"",F11-E11)</f>
        <v>11717.883190482855</v>
      </c>
      <c r="I11" s="3">
        <v>0</v>
      </c>
      <c r="J11" s="3">
        <v>0</v>
      </c>
      <c r="K11" s="9">
        <f t="shared" ref="K11" si="3">IF(H11="","",H11-I11-J11)</f>
        <v>11717.883190482855</v>
      </c>
      <c r="L11" s="6">
        <f t="shared" ref="L11" si="4">IF(OR(K11="",E11=""),"",K11/E11)</f>
        <v>2.3334239106612836E-4</v>
      </c>
      <c r="M11" s="10">
        <f t="shared" ref="M11" si="5">IF(OR(C11="",D11=""),"",MAX(1,ROUNDUP(D11-C11,0)))</f>
        <v>1</v>
      </c>
      <c r="N11" s="6">
        <f t="shared" ref="N11" si="6">IF(OR(L11="",M11=""),"",(1+L11)^(365/M11)-1)</f>
        <v>8.8891316092242212E-2</v>
      </c>
    </row>
    <row r="12" spans="1:14">
      <c r="A12" s="2"/>
      <c r="B12" s="2"/>
      <c r="C12" s="22" t="str">
        <f>IF(OR(A12="",B12=""),"",IFERROR(XLOOKUP(1,(Buy_History!$A$2:$A$501=A12)*(Buy_History!$B$2:$B$501=B12),Buy_History!$C$2:$C$501,""),""))</f>
        <v/>
      </c>
      <c r="D12" s="22" t="str">
        <f>IF(OR(A12="",B12=""),"",IFERROR(XLOOKUP(1,(Sell_History!$A$2:$A$501=A12)*(Sell_History!$B$2:$B$501=B12),Sell_History!$C$2:$C$501,""),""))</f>
        <v/>
      </c>
      <c r="E12" s="8" t="str">
        <f>IF(OR(A12="",B12=""),"",IFERROR(XLOOKUP(1,(Raw_Observations!$A$2:$A$1001=A12)*(Raw_Observations!$B$2:$B$1001=B12),Raw_Observations!$D$2:$D$1001,""),""))</f>
        <v/>
      </c>
      <c r="F12" s="8" t="str">
        <f>IF(OR(A12="",B12=""),"",IFERROR(XLOOKUP(1,(Order_History!$A$2:$A$501=A12)*(Order_History!$B$2:$B$501=B12),Order_History!$D$2:$D$501,""),""))</f>
        <v/>
      </c>
      <c r="G12" s="8" t="str">
        <f>IF(COUNTIFS(Pricing!$A:$A,A12,Pricing!$B:$B,B12)=0,"",SUMIFS(Pricing!$G:$G,Pricing!$A:$A,A12,Pricing!$B:$B,B12))</f>
        <v/>
      </c>
      <c r="H12" s="9" t="str">
        <f>IF(OR(E12="",F12=""),"",F12-E12)</f>
        <v/>
      </c>
      <c r="I12" s="3">
        <v>0</v>
      </c>
      <c r="J12" s="3">
        <v>0</v>
      </c>
      <c r="K12" s="9" t="str">
        <f t="shared" si="0"/>
        <v/>
      </c>
      <c r="L12" s="6" t="str">
        <f>IF(OR(K12="",E12=""),"",K12/E12)</f>
        <v/>
      </c>
      <c r="M12" s="10" t="str">
        <f>IF(OR(C12="",D12=""),"",MAX(1,ROUNDUP(D12-C12,0)))</f>
        <v/>
      </c>
      <c r="N12" s="6" t="str">
        <f t="shared" si="1"/>
        <v/>
      </c>
    </row>
    <row r="13" spans="1:14">
      <c r="A13" s="2"/>
      <c r="B13" s="2"/>
      <c r="C13" s="22" t="str">
        <f>IF(OR(A13="",B13=""),"",IFERROR(XLOOKUP(1,(Buy_History!$A$2:$A$501=A13)*(Buy_History!$B$2:$B$501=B13),Buy_History!$C$2:$C$501,""),""))</f>
        <v/>
      </c>
      <c r="D13" s="22" t="str">
        <f>IF(OR(A13="",B13=""),"",IFERROR(XLOOKUP(1,(Sell_History!$A$2:$A$501=A13)*(Sell_History!$B$2:$B$501=B13),Sell_History!$C$2:$C$501,""),""))</f>
        <v/>
      </c>
      <c r="E13" s="8" t="str">
        <f>IF(OR(A13="",B13=""),"",IFERROR(XLOOKUP(1,(Raw_Observations!$A$2:$A$1001=A13)*(Raw_Observations!$B$2:$B$1001=B13),Raw_Observations!$D$2:$D$1001,""),""))</f>
        <v/>
      </c>
      <c r="F13" s="8" t="str">
        <f>IF(OR(A13="",B13=""),"",IFERROR(XLOOKUP(1,(Order_History!$A$2:$A$501=A13)*(Order_History!$B$2:$B$501=B13),Order_History!$D$2:$D$501,""),""))</f>
        <v/>
      </c>
      <c r="G13" s="8" t="str">
        <f>IF(COUNTIFS(Pricing!$A:$A,A13,Pricing!$B:$B,B13)=0,"",SUMIFS(Pricing!$G:$G,Pricing!$A:$A,A13,Pricing!$B:$B,B13))</f>
        <v/>
      </c>
      <c r="H13" s="9" t="str">
        <f>IF(OR(E13="",F13=""),"",F13-E13)</f>
        <v/>
      </c>
      <c r="I13" s="3">
        <v>0</v>
      </c>
      <c r="J13" s="3">
        <v>0</v>
      </c>
      <c r="K13" s="9" t="str">
        <f t="shared" si="0"/>
        <v/>
      </c>
      <c r="L13" s="6" t="str">
        <f>IF(OR(K13="",E13=""),"",K13/E13)</f>
        <v/>
      </c>
      <c r="M13" s="10" t="str">
        <f>IF(OR(C13="",D13=""),"",MAX(1,ROUNDUP(D13-C13,0)))</f>
        <v/>
      </c>
      <c r="N13" s="6" t="str">
        <f t="shared" si="1"/>
        <v/>
      </c>
    </row>
    <row r="14" spans="1:14">
      <c r="A14" s="2"/>
      <c r="B14" s="2"/>
      <c r="C14" s="22" t="str">
        <f>IF(OR(A14="",B14=""),"",IFERROR(XLOOKUP(1,(Buy_History!$A$2:$A$501=A14)*(Buy_History!$B$2:$B$501=B14),Buy_History!$C$2:$C$501,""),""))</f>
        <v/>
      </c>
      <c r="D14" s="22" t="str">
        <f>IF(OR(A14="",B14=""),"",IFERROR(XLOOKUP(1,(Sell_History!$A$2:$A$501=A14)*(Sell_History!$B$2:$B$501=B14),Sell_History!$C$2:$C$501,""),""))</f>
        <v/>
      </c>
      <c r="E14" s="8" t="str">
        <f>IF(OR(A14="",B14=""),"",IFERROR(XLOOKUP(1,(Raw_Observations!$A$2:$A$1001=A14)*(Raw_Observations!$B$2:$B$1001=B14),Raw_Observations!$D$2:$D$1001,""),""))</f>
        <v/>
      </c>
      <c r="F14" s="8" t="str">
        <f>IF(OR(A14="",B14=""),"",IFERROR(XLOOKUP(1,(Order_History!$A$2:$A$501=A14)*(Order_History!$B$2:$B$501=B14),Order_History!$D$2:$D$501,""),""))</f>
        <v/>
      </c>
      <c r="G14" s="8" t="str">
        <f>IF(COUNTIFS(Pricing!$A:$A,A14,Pricing!$B:$B,B14)=0,"",SUMIFS(Pricing!$G:$G,Pricing!$A:$A,A14,Pricing!$B:$B,B14))</f>
        <v/>
      </c>
      <c r="H14" s="9" t="str">
        <f>IF(OR(E14="",F14=""),"",F14-E14)</f>
        <v/>
      </c>
      <c r="I14" s="3">
        <v>0</v>
      </c>
      <c r="J14" s="3">
        <v>0</v>
      </c>
      <c r="K14" s="9" t="str">
        <f t="shared" si="0"/>
        <v/>
      </c>
      <c r="L14" s="6" t="str">
        <f>IF(OR(K14="",E14=""),"",K14/E14)</f>
        <v/>
      </c>
      <c r="M14" s="10" t="str">
        <f>IF(OR(C14="",D14=""),"",MAX(1,ROUNDUP(D14-C14,0)))</f>
        <v/>
      </c>
      <c r="N14" s="6" t="str">
        <f t="shared" si="1"/>
        <v/>
      </c>
    </row>
    <row r="15" spans="1:14">
      <c r="A15" s="2"/>
      <c r="B15" s="2"/>
      <c r="C15" s="22" t="str">
        <f>IF(OR(A15="",B15=""),"",IFERROR(XLOOKUP(1,(Buy_History!$A$2:$A$501=A15)*(Buy_History!$B$2:$B$501=B15),Buy_History!$C$2:$C$501,""),""))</f>
        <v/>
      </c>
      <c r="D15" s="22" t="str">
        <f>IF(OR(A15="",B15=""),"",IFERROR(XLOOKUP(1,(Sell_History!$A$2:$A$501=A15)*(Sell_History!$B$2:$B$501=B15),Sell_History!$C$2:$C$501,""),""))</f>
        <v/>
      </c>
      <c r="E15" s="8" t="str">
        <f>IF(OR(A15="",B15=""),"",IFERROR(XLOOKUP(1,(Raw_Observations!$A$2:$A$1001=A15)*(Raw_Observations!$B$2:$B$1001=B15),Raw_Observations!$D$2:$D$1001,""),""))</f>
        <v/>
      </c>
      <c r="F15" s="8" t="str">
        <f>IF(OR(A15="",B15=""),"",IFERROR(XLOOKUP(1,(Order_History!$A$2:$A$501=A15)*(Order_History!$B$2:$B$501=B15),Order_History!$D$2:$D$501,""),""))</f>
        <v/>
      </c>
      <c r="G15" s="8" t="str">
        <f>IF(COUNTIFS(Pricing!$A:$A,A15,Pricing!$B:$B,B15)=0,"",SUMIFS(Pricing!$G:$G,Pricing!$A:$A,A15,Pricing!$B:$B,B15))</f>
        <v/>
      </c>
      <c r="H15" s="9" t="str">
        <f>IF(OR(E15="",F15=""),"",F15-E15)</f>
        <v/>
      </c>
      <c r="I15" s="3">
        <v>0</v>
      </c>
      <c r="J15" s="3">
        <v>0</v>
      </c>
      <c r="K15" s="9" t="str">
        <f t="shared" si="0"/>
        <v/>
      </c>
      <c r="L15" s="6" t="str">
        <f>IF(OR(K15="",E15=""),"",K15/E15)</f>
        <v/>
      </c>
      <c r="M15" s="10" t="str">
        <f>IF(OR(C15="",D15=""),"",MAX(1,ROUNDUP(D15-C15,0)))</f>
        <v/>
      </c>
      <c r="N15" s="6" t="str">
        <f t="shared" si="1"/>
        <v/>
      </c>
    </row>
    <row r="16" spans="1:14">
      <c r="A16" s="2"/>
      <c r="B16" s="2"/>
      <c r="C16" s="22" t="str">
        <f>IF(OR(A16="",B16=""),"",IFERROR(XLOOKUP(1,(Buy_History!$A$2:$A$501=A16)*(Buy_History!$B$2:$B$501=B16),Buy_History!$C$2:$C$501,""),""))</f>
        <v/>
      </c>
      <c r="D16" s="22" t="str">
        <f>IF(OR(A16="",B16=""),"",IFERROR(XLOOKUP(1,(Sell_History!$A$2:$A$501=A16)*(Sell_History!$B$2:$B$501=B16),Sell_History!$C$2:$C$501,""),""))</f>
        <v/>
      </c>
      <c r="E16" s="8" t="str">
        <f>IF(OR(A16="",B16=""),"",IFERROR(XLOOKUP(1,(Raw_Observations!$A$2:$A$1001=A16)*(Raw_Observations!$B$2:$B$1001=B16),Raw_Observations!$D$2:$D$1001,""),""))</f>
        <v/>
      </c>
      <c r="F16" s="8" t="str">
        <f>IF(OR(A16="",B16=""),"",IFERROR(XLOOKUP(1,(Order_History!$A$2:$A$501=A16)*(Order_History!$B$2:$B$501=B16),Order_History!$D$2:$D$501,""),""))</f>
        <v/>
      </c>
      <c r="G16" s="8" t="str">
        <f>IF(COUNTIFS(Pricing!$A:$A,A16,Pricing!$B:$B,B16)=0,"",SUMIFS(Pricing!$G:$G,Pricing!$A:$A,A16,Pricing!$B:$B,B16))</f>
        <v/>
      </c>
      <c r="H16" s="9" t="str">
        <f>IF(OR(E16="",F16=""),"",F16-E16)</f>
        <v/>
      </c>
      <c r="I16" s="3">
        <v>0</v>
      </c>
      <c r="J16" s="3">
        <v>0</v>
      </c>
      <c r="K16" s="9" t="str">
        <f t="shared" si="0"/>
        <v/>
      </c>
      <c r="L16" s="6" t="str">
        <f>IF(OR(K16="",E16=""),"",K16/E16)</f>
        <v/>
      </c>
      <c r="M16" s="10" t="str">
        <f>IF(OR(C16="",D16=""),"",MAX(1,ROUNDUP(D16-C16,0)))</f>
        <v/>
      </c>
      <c r="N16" s="6" t="str">
        <f t="shared" si="1"/>
        <v/>
      </c>
    </row>
    <row r="17" spans="1:14">
      <c r="A17" s="2"/>
      <c r="B17" s="2"/>
      <c r="C17" s="22" t="str">
        <f>IF(OR(A17="",B17=""),"",IFERROR(XLOOKUP(1,(Buy_History!$A$2:$A$501=A17)*(Buy_History!$B$2:$B$501=B17),Buy_History!$C$2:$C$501,""),""))</f>
        <v/>
      </c>
      <c r="D17" s="22" t="str">
        <f>IF(OR(A17="",B17=""),"",IFERROR(XLOOKUP(1,(Sell_History!$A$2:$A$501=A17)*(Sell_History!$B$2:$B$501=B17),Sell_History!$C$2:$C$501,""),""))</f>
        <v/>
      </c>
      <c r="E17" s="8" t="str">
        <f>IF(OR(A17="",B17=""),"",IFERROR(XLOOKUP(1,(Raw_Observations!$A$2:$A$1001=A17)*(Raw_Observations!$B$2:$B$1001=B17),Raw_Observations!$D$2:$D$1001,""),""))</f>
        <v/>
      </c>
      <c r="F17" s="8" t="str">
        <f>IF(OR(A17="",B17=""),"",IFERROR(XLOOKUP(1,(Order_History!$A$2:$A$501=A17)*(Order_History!$B$2:$B$501=B17),Order_History!$D$2:$D$501,""),""))</f>
        <v/>
      </c>
      <c r="G17" s="8" t="str">
        <f>IF(COUNTIFS(Pricing!$A:$A,A17,Pricing!$B:$B,B17)=0,"",SUMIFS(Pricing!$G:$G,Pricing!$A:$A,A17,Pricing!$B:$B,B17))</f>
        <v/>
      </c>
      <c r="H17" s="9" t="str">
        <f>IF(OR(E17="",F17=""),"",F17-E17)</f>
        <v/>
      </c>
      <c r="I17" s="3">
        <v>0</v>
      </c>
      <c r="J17" s="3">
        <v>0</v>
      </c>
      <c r="K17" s="9" t="str">
        <f t="shared" si="0"/>
        <v/>
      </c>
      <c r="L17" s="6" t="str">
        <f>IF(OR(K17="",E17=""),"",K17/E17)</f>
        <v/>
      </c>
      <c r="M17" s="10" t="str">
        <f>IF(OR(C17="",D17=""),"",MAX(1,ROUNDUP(D17-C17,0)))</f>
        <v/>
      </c>
      <c r="N17" s="6" t="str">
        <f t="shared" si="1"/>
        <v/>
      </c>
    </row>
    <row r="18" spans="1:14">
      <c r="A18" s="2"/>
      <c r="B18" s="2"/>
      <c r="C18" s="22" t="str">
        <f>IF(OR(A18="",B18=""),"",IFERROR(XLOOKUP(1,(Buy_History!$A$2:$A$501=A18)*(Buy_History!$B$2:$B$501=B18),Buy_History!$C$2:$C$501,""),""))</f>
        <v/>
      </c>
      <c r="D18" s="22" t="str">
        <f>IF(OR(A18="",B18=""),"",IFERROR(XLOOKUP(1,(Sell_History!$A$2:$A$501=A18)*(Sell_History!$B$2:$B$501=B18),Sell_History!$C$2:$C$501,""),""))</f>
        <v/>
      </c>
      <c r="E18" s="8" t="str">
        <f>IF(OR(A18="",B18=""),"",IFERROR(XLOOKUP(1,(Raw_Observations!$A$2:$A$1001=A18)*(Raw_Observations!$B$2:$B$1001=B18),Raw_Observations!$D$2:$D$1001,""),""))</f>
        <v/>
      </c>
      <c r="F18" s="8" t="str">
        <f>IF(OR(A18="",B18=""),"",IFERROR(XLOOKUP(1,(Order_History!$A$2:$A$501=A18)*(Order_History!$B$2:$B$501=B18),Order_History!$D$2:$D$501,""),""))</f>
        <v/>
      </c>
      <c r="G18" s="8" t="str">
        <f>IF(COUNTIFS(Pricing!$A:$A,A18,Pricing!$B:$B,B18)=0,"",SUMIFS(Pricing!$G:$G,Pricing!$A:$A,A18,Pricing!$B:$B,B18))</f>
        <v/>
      </c>
      <c r="H18" s="9" t="str">
        <f>IF(OR(E18="",F18=""),"",F18-E18)</f>
        <v/>
      </c>
      <c r="I18" s="3">
        <v>0</v>
      </c>
      <c r="J18" s="3">
        <v>0</v>
      </c>
      <c r="K18" s="9" t="str">
        <f t="shared" si="0"/>
        <v/>
      </c>
      <c r="L18" s="6" t="str">
        <f>IF(OR(K18="",E18=""),"",K18/E18)</f>
        <v/>
      </c>
      <c r="M18" s="10" t="str">
        <f>IF(OR(C18="",D18=""),"",MAX(1,ROUNDUP(D18-C18,0)))</f>
        <v/>
      </c>
      <c r="N18" s="6" t="str">
        <f t="shared" si="1"/>
        <v/>
      </c>
    </row>
    <row r="19" spans="1:14">
      <c r="A19" s="2"/>
      <c r="B19" s="2"/>
      <c r="C19" s="22" t="str">
        <f>IF(OR(A19="",B19=""),"",IFERROR(XLOOKUP(1,(Buy_History!$A$2:$A$501=A19)*(Buy_History!$B$2:$B$501=B19),Buy_History!$C$2:$C$501,""),""))</f>
        <v/>
      </c>
      <c r="D19" s="22" t="str">
        <f>IF(OR(A19="",B19=""),"",IFERROR(XLOOKUP(1,(Sell_History!$A$2:$A$501=A19)*(Sell_History!$B$2:$B$501=B19),Sell_History!$C$2:$C$501,""),""))</f>
        <v/>
      </c>
      <c r="E19" s="8" t="str">
        <f>IF(OR(A19="",B19=""),"",IFERROR(XLOOKUP(1,(Raw_Observations!$A$2:$A$1001=A19)*(Raw_Observations!$B$2:$B$1001=B19),Raw_Observations!$D$2:$D$1001,""),""))</f>
        <v/>
      </c>
      <c r="F19" s="8" t="str">
        <f>IF(OR(A19="",B19=""),"",IFERROR(XLOOKUP(1,(Order_History!$A$2:$A$501=A19)*(Order_History!$B$2:$B$501=B19),Order_History!$D$2:$D$501,""),""))</f>
        <v/>
      </c>
      <c r="G19" s="8" t="str">
        <f>IF(COUNTIFS(Pricing!$A:$A,A19,Pricing!$B:$B,B19)=0,"",SUMIFS(Pricing!$G:$G,Pricing!$A:$A,A19,Pricing!$B:$B,B19))</f>
        <v/>
      </c>
      <c r="H19" s="9" t="str">
        <f>IF(OR(E19="",F19=""),"",F19-E19)</f>
        <v/>
      </c>
      <c r="I19" s="3">
        <v>0</v>
      </c>
      <c r="J19" s="3">
        <v>0</v>
      </c>
      <c r="K19" s="9" t="str">
        <f t="shared" si="0"/>
        <v/>
      </c>
      <c r="L19" s="6" t="str">
        <f>IF(OR(K19="",E19=""),"",K19/E19)</f>
        <v/>
      </c>
      <c r="M19" s="10" t="str">
        <f>IF(OR(C19="",D19=""),"",MAX(1,ROUNDUP(D19-C19,0)))</f>
        <v/>
      </c>
      <c r="N19" s="6" t="str">
        <f t="shared" si="1"/>
        <v/>
      </c>
    </row>
    <row r="20" spans="1:14">
      <c r="A20" s="2"/>
      <c r="B20" s="2"/>
      <c r="C20" s="22" t="str">
        <f>IF(OR(A20="",B20=""),"",IFERROR(XLOOKUP(1,(Buy_History!$A$2:$A$501=A20)*(Buy_History!$B$2:$B$501=B20),Buy_History!$C$2:$C$501,""),""))</f>
        <v/>
      </c>
      <c r="D20" s="22" t="str">
        <f>IF(OR(A20="",B20=""),"",IFERROR(XLOOKUP(1,(Sell_History!$A$2:$A$501=A20)*(Sell_History!$B$2:$B$501=B20),Sell_History!$C$2:$C$501,""),""))</f>
        <v/>
      </c>
      <c r="E20" s="8" t="str">
        <f>IF(OR(A20="",B20=""),"",IFERROR(XLOOKUP(1,(Raw_Observations!$A$2:$A$1001=A20)*(Raw_Observations!$B$2:$B$1001=B20),Raw_Observations!$D$2:$D$1001,""),""))</f>
        <v/>
      </c>
      <c r="F20" s="8" t="str">
        <f>IF(OR(A20="",B20=""),"",IFERROR(XLOOKUP(1,(Order_History!$A$2:$A$501=A20)*(Order_History!$B$2:$B$501=B20),Order_History!$D$2:$D$501,""),""))</f>
        <v/>
      </c>
      <c r="G20" s="8" t="str">
        <f>IF(COUNTIFS(Pricing!$A:$A,A20,Pricing!$B:$B,B20)=0,"",SUMIFS(Pricing!$G:$G,Pricing!$A:$A,A20,Pricing!$B:$B,B20))</f>
        <v/>
      </c>
      <c r="H20" s="9" t="str">
        <f>IF(OR(E20="",F20=""),"",F20-E20)</f>
        <v/>
      </c>
      <c r="I20" s="3">
        <v>0</v>
      </c>
      <c r="J20" s="3">
        <v>0</v>
      </c>
      <c r="K20" s="9" t="str">
        <f t="shared" si="0"/>
        <v/>
      </c>
      <c r="L20" s="6" t="str">
        <f>IF(OR(K20="",E20=""),"",K20/E20)</f>
        <v/>
      </c>
      <c r="M20" s="10" t="str">
        <f>IF(OR(C20="",D20=""),"",MAX(1,ROUNDUP(D20-C20,0)))</f>
        <v/>
      </c>
      <c r="N20" s="6" t="str">
        <f t="shared" si="1"/>
        <v/>
      </c>
    </row>
    <row r="21" spans="1:14">
      <c r="A21" s="2"/>
      <c r="B21" s="2"/>
      <c r="C21" s="22" t="str">
        <f>IF(OR(A21="",B21=""),"",IFERROR(XLOOKUP(1,(Buy_History!$A$2:$A$501=A21)*(Buy_History!$B$2:$B$501=B21),Buy_History!$C$2:$C$501,""),""))</f>
        <v/>
      </c>
      <c r="D21" s="22" t="str">
        <f>IF(OR(A21="",B21=""),"",IFERROR(XLOOKUP(1,(Sell_History!$A$2:$A$501=A21)*(Sell_History!$B$2:$B$501=B21),Sell_History!$C$2:$C$501,""),""))</f>
        <v/>
      </c>
      <c r="E21" s="8" t="str">
        <f>IF(OR(A21="",B21=""),"",IFERROR(XLOOKUP(1,(Raw_Observations!$A$2:$A$1001=A21)*(Raw_Observations!$B$2:$B$1001=B21),Raw_Observations!$D$2:$D$1001,""),""))</f>
        <v/>
      </c>
      <c r="F21" s="8" t="str">
        <f>IF(OR(A21="",B21=""),"",IFERROR(XLOOKUP(1,(Order_History!$A$2:$A$501=A21)*(Order_History!$B$2:$B$501=B21),Order_History!$D$2:$D$501,""),""))</f>
        <v/>
      </c>
      <c r="G21" s="8" t="str">
        <f>IF(COUNTIFS(Pricing!$A:$A,A21,Pricing!$B:$B,B21)=0,"",SUMIFS(Pricing!$G:$G,Pricing!$A:$A,A21,Pricing!$B:$B,B21))</f>
        <v/>
      </c>
      <c r="H21" s="9" t="str">
        <f>IF(OR(E21="",F21=""),"",F21-E21)</f>
        <v/>
      </c>
      <c r="I21" s="3">
        <v>0</v>
      </c>
      <c r="J21" s="3">
        <v>0</v>
      </c>
      <c r="K21" s="9" t="str">
        <f t="shared" si="0"/>
        <v/>
      </c>
      <c r="L21" s="6" t="str">
        <f>IF(OR(K21="",E21=""),"",K21/E21)</f>
        <v/>
      </c>
      <c r="M21" s="10" t="str">
        <f>IF(OR(C21="",D21=""),"",MAX(1,ROUNDUP(D21-C21,0)))</f>
        <v/>
      </c>
      <c r="N21" s="6" t="str">
        <f t="shared" si="1"/>
        <v/>
      </c>
    </row>
    <row r="22" spans="1:14">
      <c r="A22" s="2"/>
      <c r="B22" s="2"/>
      <c r="C22" s="22" t="str">
        <f>IF(OR(A22="",B22=""),"",IFERROR(XLOOKUP(1,(Buy_History!$A$2:$A$501=A22)*(Buy_History!$B$2:$B$501=B22),Buy_History!$C$2:$C$501,""),""))</f>
        <v/>
      </c>
      <c r="D22" s="22" t="str">
        <f>IF(OR(A22="",B22=""),"",IFERROR(XLOOKUP(1,(Sell_History!$A$2:$A$501=A22)*(Sell_History!$B$2:$B$501=B22),Sell_History!$C$2:$C$501,""),""))</f>
        <v/>
      </c>
      <c r="E22" s="8" t="str">
        <f>IF(OR(A22="",B22=""),"",IFERROR(XLOOKUP(1,(Raw_Observations!$A$2:$A$1001=A22)*(Raw_Observations!$B$2:$B$1001=B22),Raw_Observations!$D$2:$D$1001,""),""))</f>
        <v/>
      </c>
      <c r="F22" s="8" t="str">
        <f>IF(OR(A22="",B22=""),"",IFERROR(XLOOKUP(1,(Order_History!$A$2:$A$501=A22)*(Order_History!$B$2:$B$501=B22),Order_History!$D$2:$D$501,""),""))</f>
        <v/>
      </c>
      <c r="G22" s="8" t="str">
        <f>IF(COUNTIFS(Pricing!$A:$A,A22,Pricing!$B:$B,B22)=0,"",SUMIFS(Pricing!$G:$G,Pricing!$A:$A,A22,Pricing!$B:$B,B22))</f>
        <v/>
      </c>
      <c r="H22" s="9" t="str">
        <f>IF(OR(E22="",F22=""),"",F22-E22)</f>
        <v/>
      </c>
      <c r="I22" s="3">
        <v>0</v>
      </c>
      <c r="J22" s="3">
        <v>0</v>
      </c>
      <c r="K22" s="9" t="str">
        <f t="shared" si="0"/>
        <v/>
      </c>
      <c r="L22" s="6" t="str">
        <f>IF(OR(K22="",E22=""),"",K22/E22)</f>
        <v/>
      </c>
      <c r="M22" s="10" t="str">
        <f>IF(OR(C22="",D22=""),"",MAX(1,ROUNDUP(D22-C22,0)))</f>
        <v/>
      </c>
      <c r="N22" s="6" t="str">
        <f t="shared" si="1"/>
        <v/>
      </c>
    </row>
    <row r="23" spans="1:14">
      <c r="A23" s="2"/>
      <c r="B23" s="2"/>
      <c r="C23" s="22" t="str">
        <f>IF(OR(A23="",B23=""),"",IFERROR(XLOOKUP(1,(Buy_History!$A$2:$A$501=A23)*(Buy_History!$B$2:$B$501=B23),Buy_History!$C$2:$C$501,""),""))</f>
        <v/>
      </c>
      <c r="D23" s="22" t="str">
        <f>IF(OR(A23="",B23=""),"",IFERROR(XLOOKUP(1,(Sell_History!$A$2:$A$501=A23)*(Sell_History!$B$2:$B$501=B23),Sell_History!$C$2:$C$501,""),""))</f>
        <v/>
      </c>
      <c r="E23" s="8" t="str">
        <f>IF(OR(A23="",B23=""),"",IFERROR(XLOOKUP(1,(Raw_Observations!$A$2:$A$1001=A23)*(Raw_Observations!$B$2:$B$1001=B23),Raw_Observations!$D$2:$D$1001,""),""))</f>
        <v/>
      </c>
      <c r="F23" s="8" t="str">
        <f>IF(OR(A23="",B23=""),"",IFERROR(XLOOKUP(1,(Order_History!$A$2:$A$501=A23)*(Order_History!$B$2:$B$501=B23),Order_History!$D$2:$D$501,""),""))</f>
        <v/>
      </c>
      <c r="G23" s="8" t="str">
        <f>IF(COUNTIFS(Pricing!$A:$A,A23,Pricing!$B:$B,B23)=0,"",SUMIFS(Pricing!$G:$G,Pricing!$A:$A,A23,Pricing!$B:$B,B23))</f>
        <v/>
      </c>
      <c r="H23" s="9" t="str">
        <f>IF(OR(E23="",F23=""),"",F23-E23)</f>
        <v/>
      </c>
      <c r="I23" s="3">
        <v>0</v>
      </c>
      <c r="J23" s="3">
        <v>0</v>
      </c>
      <c r="K23" s="9" t="str">
        <f t="shared" si="0"/>
        <v/>
      </c>
      <c r="L23" s="6" t="str">
        <f>IF(OR(K23="",E23=""),"",K23/E23)</f>
        <v/>
      </c>
      <c r="M23" s="10" t="str">
        <f>IF(OR(C23="",D23=""),"",MAX(1,ROUNDUP(D23-C23,0)))</f>
        <v/>
      </c>
      <c r="N23" s="6" t="str">
        <f t="shared" si="1"/>
        <v/>
      </c>
    </row>
    <row r="24" spans="1:14">
      <c r="A24" s="2"/>
      <c r="B24" s="2"/>
      <c r="C24" s="22" t="str">
        <f>IF(OR(A24="",B24=""),"",IFERROR(XLOOKUP(1,(Buy_History!$A$2:$A$501=A24)*(Buy_History!$B$2:$B$501=B24),Buy_History!$C$2:$C$501,""),""))</f>
        <v/>
      </c>
      <c r="D24" s="22" t="str">
        <f>IF(OR(A24="",B24=""),"",IFERROR(XLOOKUP(1,(Sell_History!$A$2:$A$501=A24)*(Sell_History!$B$2:$B$501=B24),Sell_History!$C$2:$C$501,""),""))</f>
        <v/>
      </c>
      <c r="E24" s="8" t="str">
        <f>IF(OR(A24="",B24=""),"",IFERROR(XLOOKUP(1,(Raw_Observations!$A$2:$A$1001=A24)*(Raw_Observations!$B$2:$B$1001=B24),Raw_Observations!$D$2:$D$1001,""),""))</f>
        <v/>
      </c>
      <c r="F24" s="8" t="str">
        <f>IF(OR(A24="",B24=""),"",IFERROR(XLOOKUP(1,(Order_History!$A$2:$A$501=A24)*(Order_History!$B$2:$B$501=B24),Order_History!$D$2:$D$501,""),""))</f>
        <v/>
      </c>
      <c r="G24" s="8" t="str">
        <f>IF(COUNTIFS(Pricing!$A:$A,A24,Pricing!$B:$B,B24)=0,"",SUMIFS(Pricing!$G:$G,Pricing!$A:$A,A24,Pricing!$B:$B,B24))</f>
        <v/>
      </c>
      <c r="H24" s="9" t="str">
        <f>IF(OR(E24="",F24=""),"",F24-E24)</f>
        <v/>
      </c>
      <c r="I24" s="3">
        <v>0</v>
      </c>
      <c r="J24" s="3">
        <v>0</v>
      </c>
      <c r="K24" s="9" t="str">
        <f t="shared" si="0"/>
        <v/>
      </c>
      <c r="L24" s="6" t="str">
        <f>IF(OR(K24="",E24=""),"",K24/E24)</f>
        <v/>
      </c>
      <c r="M24" s="10" t="str">
        <f>IF(OR(C24="",D24=""),"",MAX(1,ROUNDUP(D24-C24,0)))</f>
        <v/>
      </c>
      <c r="N24" s="6" t="str">
        <f t="shared" si="1"/>
        <v/>
      </c>
    </row>
    <row r="25" spans="1:14">
      <c r="A25" s="2"/>
      <c r="B25" s="2"/>
      <c r="C25" s="22" t="str">
        <f>IF(OR(A25="",B25=""),"",IFERROR(XLOOKUP(1,(Buy_History!$A$2:$A$501=A25)*(Buy_History!$B$2:$B$501=B25),Buy_History!$C$2:$C$501,""),""))</f>
        <v/>
      </c>
      <c r="D25" s="22" t="str">
        <f>IF(OR(A25="",B25=""),"",IFERROR(XLOOKUP(1,(Sell_History!$A$2:$A$501=A25)*(Sell_History!$B$2:$B$501=B25),Sell_History!$C$2:$C$501,""),""))</f>
        <v/>
      </c>
      <c r="E25" s="8" t="str">
        <f>IF(OR(A25="",B25=""),"",IFERROR(XLOOKUP(1,(Raw_Observations!$A$2:$A$1001=A25)*(Raw_Observations!$B$2:$B$1001=B25),Raw_Observations!$D$2:$D$1001,""),""))</f>
        <v/>
      </c>
      <c r="F25" s="8" t="str">
        <f>IF(OR(A25="",B25=""),"",IFERROR(XLOOKUP(1,(Order_History!$A$2:$A$501=A25)*(Order_History!$B$2:$B$501=B25),Order_History!$D$2:$D$501,""),""))</f>
        <v/>
      </c>
      <c r="G25" s="8" t="str">
        <f>IF(COUNTIFS(Pricing!$A:$A,A25,Pricing!$B:$B,B25)=0,"",SUMIFS(Pricing!$G:$G,Pricing!$A:$A,A25,Pricing!$B:$B,B25))</f>
        <v/>
      </c>
      <c r="H25" s="9" t="str">
        <f>IF(OR(E25="",F25=""),"",F25-E25)</f>
        <v/>
      </c>
      <c r="I25" s="3">
        <v>0</v>
      </c>
      <c r="J25" s="3">
        <v>0</v>
      </c>
      <c r="K25" s="9" t="str">
        <f t="shared" si="0"/>
        <v/>
      </c>
      <c r="L25" s="6" t="str">
        <f>IF(OR(K25="",E25=""),"",K25/E25)</f>
        <v/>
      </c>
      <c r="M25" s="10" t="str">
        <f>IF(OR(C25="",D25=""),"",MAX(1,ROUNDUP(D25-C25,0)))</f>
        <v/>
      </c>
      <c r="N25" s="6" t="str">
        <f t="shared" si="1"/>
        <v/>
      </c>
    </row>
    <row r="26" spans="1:14">
      <c r="A26" s="2"/>
      <c r="B26" s="2"/>
      <c r="C26" s="22" t="str">
        <f>IF(OR(A26="",B26=""),"",IFERROR(XLOOKUP(1,(Buy_History!$A$2:$A$501=A26)*(Buy_History!$B$2:$B$501=B26),Buy_History!$C$2:$C$501,""),""))</f>
        <v/>
      </c>
      <c r="D26" s="22" t="str">
        <f>IF(OR(A26="",B26=""),"",IFERROR(XLOOKUP(1,(Sell_History!$A$2:$A$501=A26)*(Sell_History!$B$2:$B$501=B26),Sell_History!$C$2:$C$501,""),""))</f>
        <v/>
      </c>
      <c r="E26" s="8" t="str">
        <f>IF(OR(A26="",B26=""),"",IFERROR(XLOOKUP(1,(Raw_Observations!$A$2:$A$1001=A26)*(Raw_Observations!$B$2:$B$1001=B26),Raw_Observations!$D$2:$D$1001,""),""))</f>
        <v/>
      </c>
      <c r="F26" s="8" t="str">
        <f>IF(OR(A26="",B26=""),"",IFERROR(XLOOKUP(1,(Order_History!$A$2:$A$501=A26)*(Order_History!$B$2:$B$501=B26),Order_History!$D$2:$D$501,""),""))</f>
        <v/>
      </c>
      <c r="G26" s="8" t="str">
        <f>IF(COUNTIFS(Pricing!$A:$A,A26,Pricing!$B:$B,B26)=0,"",SUMIFS(Pricing!$G:$G,Pricing!$A:$A,A26,Pricing!$B:$B,B26))</f>
        <v/>
      </c>
      <c r="H26" s="9" t="str">
        <f>IF(OR(E26="",F26=""),"",F26-E26)</f>
        <v/>
      </c>
      <c r="I26" s="3">
        <v>0</v>
      </c>
      <c r="J26" s="3">
        <v>0</v>
      </c>
      <c r="K26" s="9" t="str">
        <f t="shared" si="0"/>
        <v/>
      </c>
      <c r="L26" s="6" t="str">
        <f>IF(OR(K26="",E26=""),"",K26/E26)</f>
        <v/>
      </c>
      <c r="M26" s="10" t="str">
        <f>IF(OR(C26="",D26=""),"",MAX(1,ROUNDUP(D26-C26,0)))</f>
        <v/>
      </c>
      <c r="N26" s="6" t="str">
        <f t="shared" si="1"/>
        <v/>
      </c>
    </row>
    <row r="27" spans="1:14">
      <c r="A27" s="2"/>
      <c r="B27" s="2"/>
      <c r="C27" s="22" t="str">
        <f>IF(OR(A27="",B27=""),"",IFERROR(XLOOKUP(1,(Buy_History!$A$2:$A$501=A27)*(Buy_History!$B$2:$B$501=B27),Buy_History!$C$2:$C$501,""),""))</f>
        <v/>
      </c>
      <c r="D27" s="22" t="str">
        <f>IF(OR(A27="",B27=""),"",IFERROR(XLOOKUP(1,(Sell_History!$A$2:$A$501=A27)*(Sell_History!$B$2:$B$501=B27),Sell_History!$C$2:$C$501,""),""))</f>
        <v/>
      </c>
      <c r="E27" s="8" t="str">
        <f>IF(OR(A27="",B27=""),"",IFERROR(XLOOKUP(1,(Raw_Observations!$A$2:$A$1001=A27)*(Raw_Observations!$B$2:$B$1001=B27),Raw_Observations!$D$2:$D$1001,""),""))</f>
        <v/>
      </c>
      <c r="F27" s="8" t="str">
        <f>IF(OR(A27="",B27=""),"",IFERROR(XLOOKUP(1,(Order_History!$A$2:$A$501=A27)*(Order_History!$B$2:$B$501=B27),Order_History!$D$2:$D$501,""),""))</f>
        <v/>
      </c>
      <c r="G27" s="8" t="str">
        <f>IF(COUNTIFS(Pricing!$A:$A,A27,Pricing!$B:$B,B27)=0,"",SUMIFS(Pricing!$G:$G,Pricing!$A:$A,A27,Pricing!$B:$B,B27))</f>
        <v/>
      </c>
      <c r="H27" s="9" t="str">
        <f>IF(OR(E27="",F27=""),"",F27-E27)</f>
        <v/>
      </c>
      <c r="I27" s="3">
        <v>0</v>
      </c>
      <c r="J27" s="3">
        <v>0</v>
      </c>
      <c r="K27" s="9" t="str">
        <f t="shared" si="0"/>
        <v/>
      </c>
      <c r="L27" s="6" t="str">
        <f>IF(OR(K27="",E27=""),"",K27/E27)</f>
        <v/>
      </c>
      <c r="M27" s="10" t="str">
        <f>IF(OR(C27="",D27=""),"",MAX(1,ROUNDUP(D27-C27,0)))</f>
        <v/>
      </c>
      <c r="N27" s="6" t="str">
        <f t="shared" si="1"/>
        <v/>
      </c>
    </row>
    <row r="28" spans="1:14">
      <c r="A28" s="2"/>
      <c r="B28" s="2"/>
      <c r="C28" s="22" t="str">
        <f>IF(OR(A28="",B28=""),"",IFERROR(XLOOKUP(1,(Buy_History!$A$2:$A$501=A28)*(Buy_History!$B$2:$B$501=B28),Buy_History!$C$2:$C$501,""),""))</f>
        <v/>
      </c>
      <c r="D28" s="22" t="str">
        <f>IF(OR(A28="",B28=""),"",IFERROR(XLOOKUP(1,(Sell_History!$A$2:$A$501=A28)*(Sell_History!$B$2:$B$501=B28),Sell_History!$C$2:$C$501,""),""))</f>
        <v/>
      </c>
      <c r="E28" s="8" t="str">
        <f>IF(OR(A28="",B28=""),"",IFERROR(XLOOKUP(1,(Raw_Observations!$A$2:$A$1001=A28)*(Raw_Observations!$B$2:$B$1001=B28),Raw_Observations!$D$2:$D$1001,""),""))</f>
        <v/>
      </c>
      <c r="F28" s="8" t="str">
        <f>IF(OR(A28="",B28=""),"",IFERROR(XLOOKUP(1,(Order_History!$A$2:$A$501=A28)*(Order_History!$B$2:$B$501=B28),Order_History!$D$2:$D$501,""),""))</f>
        <v/>
      </c>
      <c r="G28" s="8" t="str">
        <f>IF(COUNTIFS(Pricing!$A:$A,A28,Pricing!$B:$B,B28)=0,"",SUMIFS(Pricing!$G:$G,Pricing!$A:$A,A28,Pricing!$B:$B,B28))</f>
        <v/>
      </c>
      <c r="H28" s="9" t="str">
        <f>IF(OR(E28="",F28=""),"",F28-E28)</f>
        <v/>
      </c>
      <c r="I28" s="3">
        <v>0</v>
      </c>
      <c r="J28" s="3">
        <v>0</v>
      </c>
      <c r="K28" s="9" t="str">
        <f t="shared" si="0"/>
        <v/>
      </c>
      <c r="L28" s="6" t="str">
        <f>IF(OR(K28="",E28=""),"",K28/E28)</f>
        <v/>
      </c>
      <c r="M28" s="10" t="str">
        <f>IF(OR(C28="",D28=""),"",MAX(1,ROUNDUP(D28-C28,0)))</f>
        <v/>
      </c>
      <c r="N28" s="6" t="str">
        <f t="shared" si="1"/>
        <v/>
      </c>
    </row>
    <row r="29" spans="1:14">
      <c r="A29" s="2"/>
      <c r="B29" s="2"/>
      <c r="C29" s="22" t="str">
        <f>IF(OR(A29="",B29=""),"",IFERROR(XLOOKUP(1,(Buy_History!$A$2:$A$501=A29)*(Buy_History!$B$2:$B$501=B29),Buy_History!$C$2:$C$501,""),""))</f>
        <v/>
      </c>
      <c r="D29" s="22" t="str">
        <f>IF(OR(A29="",B29=""),"",IFERROR(XLOOKUP(1,(Sell_History!$A$2:$A$501=A29)*(Sell_History!$B$2:$B$501=B29),Sell_History!$C$2:$C$501,""),""))</f>
        <v/>
      </c>
      <c r="E29" s="8" t="str">
        <f>IF(OR(A29="",B29=""),"",IFERROR(XLOOKUP(1,(Raw_Observations!$A$2:$A$1001=A29)*(Raw_Observations!$B$2:$B$1001=B29),Raw_Observations!$D$2:$D$1001,""),""))</f>
        <v/>
      </c>
      <c r="F29" s="8" t="str">
        <f>IF(OR(A29="",B29=""),"",IFERROR(XLOOKUP(1,(Order_History!$A$2:$A$501=A29)*(Order_History!$B$2:$B$501=B29),Order_History!$D$2:$D$501,""),""))</f>
        <v/>
      </c>
      <c r="G29" s="8" t="str">
        <f>IF(COUNTIFS(Pricing!$A:$A,A29,Pricing!$B:$B,B29)=0,"",SUMIFS(Pricing!$G:$G,Pricing!$A:$A,A29,Pricing!$B:$B,B29))</f>
        <v/>
      </c>
      <c r="H29" s="9" t="str">
        <f>IF(OR(E29="",F29=""),"",F29-E29)</f>
        <v/>
      </c>
      <c r="I29" s="3">
        <v>0</v>
      </c>
      <c r="J29" s="3">
        <v>0</v>
      </c>
      <c r="K29" s="9" t="str">
        <f t="shared" si="0"/>
        <v/>
      </c>
      <c r="L29" s="6" t="str">
        <f>IF(OR(K29="",E29=""),"",K29/E29)</f>
        <v/>
      </c>
      <c r="M29" s="10" t="str">
        <f>IF(OR(C29="",D29=""),"",MAX(1,ROUNDUP(D29-C29,0)))</f>
        <v/>
      </c>
      <c r="N29" s="6" t="str">
        <f t="shared" si="1"/>
        <v/>
      </c>
    </row>
    <row r="30" spans="1:14">
      <c r="A30" s="2"/>
      <c r="B30" s="2"/>
      <c r="C30" s="22" t="str">
        <f>IF(OR(A30="",B30=""),"",IFERROR(XLOOKUP(1,(Buy_History!$A$2:$A$501=A30)*(Buy_History!$B$2:$B$501=B30),Buy_History!$C$2:$C$501,""),""))</f>
        <v/>
      </c>
      <c r="D30" s="22" t="str">
        <f>IF(OR(A30="",B30=""),"",IFERROR(XLOOKUP(1,(Sell_History!$A$2:$A$501=A30)*(Sell_History!$B$2:$B$501=B30),Sell_History!$C$2:$C$501,""),""))</f>
        <v/>
      </c>
      <c r="E30" s="8" t="str">
        <f>IF(OR(A30="",B30=""),"",IFERROR(XLOOKUP(1,(Raw_Observations!$A$2:$A$1001=A30)*(Raw_Observations!$B$2:$B$1001=B30),Raw_Observations!$D$2:$D$1001,""),""))</f>
        <v/>
      </c>
      <c r="F30" s="8" t="str">
        <f>IF(OR(A30="",B30=""),"",IFERROR(XLOOKUP(1,(Order_History!$A$2:$A$501=A30)*(Order_History!$B$2:$B$501=B30),Order_History!$D$2:$D$501,""),""))</f>
        <v/>
      </c>
      <c r="G30" s="8" t="str">
        <f>IF(COUNTIFS(Pricing!$A:$A,A30,Pricing!$B:$B,B30)=0,"",SUMIFS(Pricing!$G:$G,Pricing!$A:$A,A30,Pricing!$B:$B,B30))</f>
        <v/>
      </c>
      <c r="H30" s="9" t="str">
        <f>IF(OR(E30="",F30=""),"",F30-E30)</f>
        <v/>
      </c>
      <c r="I30" s="3">
        <v>0</v>
      </c>
      <c r="J30" s="3">
        <v>0</v>
      </c>
      <c r="K30" s="9" t="str">
        <f t="shared" si="0"/>
        <v/>
      </c>
      <c r="L30" s="6" t="str">
        <f>IF(OR(K30="",E30=""),"",K30/E30)</f>
        <v/>
      </c>
      <c r="M30" s="10" t="str">
        <f>IF(OR(C30="",D30=""),"",MAX(1,ROUNDUP(D30-C30,0)))</f>
        <v/>
      </c>
      <c r="N30" s="6" t="str">
        <f t="shared" si="1"/>
        <v/>
      </c>
    </row>
    <row r="31" spans="1:14">
      <c r="A31" s="2"/>
      <c r="B31" s="2"/>
      <c r="C31" s="22" t="str">
        <f>IF(OR(A31="",B31=""),"",IFERROR(XLOOKUP(1,(Buy_History!$A$2:$A$501=A31)*(Buy_History!$B$2:$B$501=B31),Buy_History!$C$2:$C$501,""),""))</f>
        <v/>
      </c>
      <c r="D31" s="22" t="str">
        <f>IF(OR(A31="",B31=""),"",IFERROR(XLOOKUP(1,(Sell_History!$A$2:$A$501=A31)*(Sell_History!$B$2:$B$501=B31),Sell_History!$C$2:$C$501,""),""))</f>
        <v/>
      </c>
      <c r="E31" s="8" t="str">
        <f>IF(OR(A31="",B31=""),"",IFERROR(XLOOKUP(1,(Raw_Observations!$A$2:$A$1001=A31)*(Raw_Observations!$B$2:$B$1001=B31),Raw_Observations!$D$2:$D$1001,""),""))</f>
        <v/>
      </c>
      <c r="F31" s="8" t="str">
        <f>IF(OR(A31="",B31=""),"",IFERROR(XLOOKUP(1,(Order_History!$A$2:$A$501=A31)*(Order_History!$B$2:$B$501=B31),Order_History!$D$2:$D$501,""),""))</f>
        <v/>
      </c>
      <c r="G31" s="8" t="str">
        <f>IF(COUNTIFS(Pricing!$A:$A,A31,Pricing!$B:$B,B31)=0,"",SUMIFS(Pricing!$G:$G,Pricing!$A:$A,A31,Pricing!$B:$B,B31))</f>
        <v/>
      </c>
      <c r="H31" s="9" t="str">
        <f>IF(OR(E31="",F31=""),"",F31-E31)</f>
        <v/>
      </c>
      <c r="I31" s="3">
        <v>0</v>
      </c>
      <c r="J31" s="3">
        <v>0</v>
      </c>
      <c r="K31" s="9" t="str">
        <f t="shared" si="0"/>
        <v/>
      </c>
      <c r="L31" s="6" t="str">
        <f>IF(OR(K31="",E31=""),"",K31/E31)</f>
        <v/>
      </c>
      <c r="M31" s="10" t="str">
        <f>IF(OR(C31="",D31=""),"",MAX(1,ROUNDUP(D31-C31,0)))</f>
        <v/>
      </c>
      <c r="N31" s="6" t="str">
        <f t="shared" si="1"/>
        <v/>
      </c>
    </row>
    <row r="32" spans="1:14">
      <c r="A32" s="2"/>
      <c r="B32" s="2"/>
      <c r="C32" s="22" t="str">
        <f>IF(OR(A32="",B32=""),"",IFERROR(XLOOKUP(1,(Buy_History!$A$2:$A$501=A32)*(Buy_History!$B$2:$B$501=B32),Buy_History!$C$2:$C$501,""),""))</f>
        <v/>
      </c>
      <c r="D32" s="22" t="str">
        <f>IF(OR(A32="",B32=""),"",IFERROR(XLOOKUP(1,(Sell_History!$A$2:$A$501=A32)*(Sell_History!$B$2:$B$501=B32),Sell_History!$C$2:$C$501,""),""))</f>
        <v/>
      </c>
      <c r="E32" s="8" t="str">
        <f>IF(OR(A32="",B32=""),"",IFERROR(XLOOKUP(1,(Raw_Observations!$A$2:$A$1001=A32)*(Raw_Observations!$B$2:$B$1001=B32),Raw_Observations!$D$2:$D$1001,""),""))</f>
        <v/>
      </c>
      <c r="F32" s="8" t="str">
        <f>IF(OR(A32="",B32=""),"",IFERROR(XLOOKUP(1,(Order_History!$A$2:$A$501=A32)*(Order_History!$B$2:$B$501=B32),Order_History!$D$2:$D$501,""),""))</f>
        <v/>
      </c>
      <c r="G32" s="8" t="str">
        <f>IF(COUNTIFS(Pricing!$A:$A,A32,Pricing!$B:$B,B32)=0,"",SUMIFS(Pricing!$G:$G,Pricing!$A:$A,A32,Pricing!$B:$B,B32))</f>
        <v/>
      </c>
      <c r="H32" s="9" t="str">
        <f>IF(OR(E32="",F32=""),"",F32-E32)</f>
        <v/>
      </c>
      <c r="I32" s="3">
        <v>0</v>
      </c>
      <c r="J32" s="3">
        <v>0</v>
      </c>
      <c r="K32" s="9" t="str">
        <f t="shared" si="0"/>
        <v/>
      </c>
      <c r="L32" s="6" t="str">
        <f>IF(OR(K32="",E32=""),"",K32/E32)</f>
        <v/>
      </c>
      <c r="M32" s="10" t="str">
        <f>IF(OR(C32="",D32=""),"",MAX(1,ROUNDUP(D32-C32,0)))</f>
        <v/>
      </c>
      <c r="N32" s="6" t="str">
        <f t="shared" si="1"/>
        <v/>
      </c>
    </row>
    <row r="33" spans="1:14">
      <c r="A33" s="2"/>
      <c r="B33" s="2"/>
      <c r="C33" s="22" t="str">
        <f>IF(OR(A33="",B33=""),"",IFERROR(XLOOKUP(1,(Buy_History!$A$2:$A$501=A33)*(Buy_History!$B$2:$B$501=B33),Buy_History!$C$2:$C$501,""),""))</f>
        <v/>
      </c>
      <c r="D33" s="22" t="str">
        <f>IF(OR(A33="",B33=""),"",IFERROR(XLOOKUP(1,(Sell_History!$A$2:$A$501=A33)*(Sell_History!$B$2:$B$501=B33),Sell_History!$C$2:$C$501,""),""))</f>
        <v/>
      </c>
      <c r="E33" s="8" t="str">
        <f>IF(OR(A33="",B33=""),"",IFERROR(XLOOKUP(1,(Raw_Observations!$A$2:$A$1001=A33)*(Raw_Observations!$B$2:$B$1001=B33),Raw_Observations!$D$2:$D$1001,""),""))</f>
        <v/>
      </c>
      <c r="F33" s="8" t="str">
        <f>IF(OR(A33="",B33=""),"",IFERROR(XLOOKUP(1,(Order_History!$A$2:$A$501=A33)*(Order_History!$B$2:$B$501=B33),Order_History!$D$2:$D$501,""),""))</f>
        <v/>
      </c>
      <c r="G33" s="8" t="str">
        <f>IF(COUNTIFS(Pricing!$A:$A,A33,Pricing!$B:$B,B33)=0,"",SUMIFS(Pricing!$G:$G,Pricing!$A:$A,A33,Pricing!$B:$B,B33))</f>
        <v/>
      </c>
      <c r="H33" s="9" t="str">
        <f>IF(OR(E33="",F33=""),"",F33-E33)</f>
        <v/>
      </c>
      <c r="I33" s="3">
        <v>0</v>
      </c>
      <c r="J33" s="3">
        <v>0</v>
      </c>
      <c r="K33" s="9" t="str">
        <f t="shared" si="0"/>
        <v/>
      </c>
      <c r="L33" s="6" t="str">
        <f>IF(OR(K33="",E33=""),"",K33/E33)</f>
        <v/>
      </c>
      <c r="M33" s="10" t="str">
        <f>IF(OR(C33="",D33=""),"",MAX(1,ROUNDUP(D33-C33,0)))</f>
        <v/>
      </c>
      <c r="N33" s="6" t="str">
        <f t="shared" si="1"/>
        <v/>
      </c>
    </row>
    <row r="34" spans="1:14">
      <c r="A34" s="2"/>
      <c r="B34" s="2"/>
      <c r="C34" s="22" t="str">
        <f>IF(OR(A34="",B34=""),"",IFERROR(XLOOKUP(1,(Buy_History!$A$2:$A$501=A34)*(Buy_History!$B$2:$B$501=B34),Buy_History!$C$2:$C$501,""),""))</f>
        <v/>
      </c>
      <c r="D34" s="22" t="str">
        <f>IF(OR(A34="",B34=""),"",IFERROR(XLOOKUP(1,(Sell_History!$A$2:$A$501=A34)*(Sell_History!$B$2:$B$501=B34),Sell_History!$C$2:$C$501,""),""))</f>
        <v/>
      </c>
      <c r="E34" s="8" t="str">
        <f>IF(OR(A34="",B34=""),"",IFERROR(XLOOKUP(1,(Raw_Observations!$A$2:$A$1001=A34)*(Raw_Observations!$B$2:$B$1001=B34),Raw_Observations!$D$2:$D$1001,""),""))</f>
        <v/>
      </c>
      <c r="F34" s="8" t="str">
        <f>IF(OR(A34="",B34=""),"",IFERROR(XLOOKUP(1,(Order_History!$A$2:$A$501=A34)*(Order_History!$B$2:$B$501=B34),Order_History!$D$2:$D$501,""),""))</f>
        <v/>
      </c>
      <c r="G34" s="8" t="str">
        <f>IF(COUNTIFS(Pricing!$A:$A,A34,Pricing!$B:$B,B34)=0,"",SUMIFS(Pricing!$G:$G,Pricing!$A:$A,A34,Pricing!$B:$B,B34))</f>
        <v/>
      </c>
      <c r="H34" s="9" t="str">
        <f>IF(OR(E34="",F34=""),"",F34-E34)</f>
        <v/>
      </c>
      <c r="I34" s="3">
        <v>0</v>
      </c>
      <c r="J34" s="3">
        <v>0</v>
      </c>
      <c r="K34" s="9" t="str">
        <f t="shared" si="0"/>
        <v/>
      </c>
      <c r="L34" s="6" t="str">
        <f>IF(OR(K34="",E34=""),"",K34/E34)</f>
        <v/>
      </c>
      <c r="M34" s="10" t="str">
        <f>IF(OR(C34="",D34=""),"",MAX(1,ROUNDUP(D34-C34,0)))</f>
        <v/>
      </c>
      <c r="N34" s="6" t="str">
        <f t="shared" si="1"/>
        <v/>
      </c>
    </row>
    <row r="35" spans="1:14">
      <c r="A35" s="2"/>
      <c r="B35" s="2"/>
      <c r="C35" s="22" t="str">
        <f>IF(OR(A35="",B35=""),"",IFERROR(XLOOKUP(1,(Buy_History!$A$2:$A$501=A35)*(Buy_History!$B$2:$B$501=B35),Buy_History!$C$2:$C$501,""),""))</f>
        <v/>
      </c>
      <c r="D35" s="22" t="str">
        <f>IF(OR(A35="",B35=""),"",IFERROR(XLOOKUP(1,(Sell_History!$A$2:$A$501=A35)*(Sell_History!$B$2:$B$501=B35),Sell_History!$C$2:$C$501,""),""))</f>
        <v/>
      </c>
      <c r="E35" s="8" t="str">
        <f>IF(OR(A35="",B35=""),"",IFERROR(XLOOKUP(1,(Raw_Observations!$A$2:$A$1001=A35)*(Raw_Observations!$B$2:$B$1001=B35),Raw_Observations!$D$2:$D$1001,""),""))</f>
        <v/>
      </c>
      <c r="F35" s="8" t="str">
        <f>IF(OR(A35="",B35=""),"",IFERROR(XLOOKUP(1,(Order_History!$A$2:$A$501=A35)*(Order_History!$B$2:$B$501=B35),Order_History!$D$2:$D$501,""),""))</f>
        <v/>
      </c>
      <c r="G35" s="8" t="str">
        <f>IF(COUNTIFS(Pricing!$A:$A,A35,Pricing!$B:$B,B35)=0,"",SUMIFS(Pricing!$G:$G,Pricing!$A:$A,A35,Pricing!$B:$B,B35))</f>
        <v/>
      </c>
      <c r="H35" s="9" t="str">
        <f>IF(OR(E35="",F35=""),"",F35-E35)</f>
        <v/>
      </c>
      <c r="I35" s="3">
        <v>0</v>
      </c>
      <c r="J35" s="3">
        <v>0</v>
      </c>
      <c r="K35" s="9" t="str">
        <f t="shared" si="0"/>
        <v/>
      </c>
      <c r="L35" s="6" t="str">
        <f>IF(OR(K35="",E35=""),"",K35/E35)</f>
        <v/>
      </c>
      <c r="M35" s="10" t="str">
        <f>IF(OR(C35="",D35=""),"",MAX(1,ROUNDUP(D35-C35,0)))</f>
        <v/>
      </c>
      <c r="N35" s="6" t="str">
        <f t="shared" si="1"/>
        <v/>
      </c>
    </row>
    <row r="36" spans="1:14">
      <c r="A36" s="2"/>
      <c r="B36" s="2"/>
      <c r="C36" s="22" t="str">
        <f>IF(OR(A36="",B36=""),"",IFERROR(XLOOKUP(1,(Buy_History!$A$2:$A$501=A36)*(Buy_History!$B$2:$B$501=B36),Buy_History!$C$2:$C$501,""),""))</f>
        <v/>
      </c>
      <c r="D36" s="22" t="str">
        <f>IF(OR(A36="",B36=""),"",IFERROR(XLOOKUP(1,(Sell_History!$A$2:$A$501=A36)*(Sell_History!$B$2:$B$501=B36),Sell_History!$C$2:$C$501,""),""))</f>
        <v/>
      </c>
      <c r="E36" s="8" t="str">
        <f>IF(OR(A36="",B36=""),"",IFERROR(XLOOKUP(1,(Raw_Observations!$A$2:$A$1001=A36)*(Raw_Observations!$B$2:$B$1001=B36),Raw_Observations!$D$2:$D$1001,""),""))</f>
        <v/>
      </c>
      <c r="F36" s="8" t="str">
        <f>IF(OR(A36="",B36=""),"",IFERROR(XLOOKUP(1,(Order_History!$A$2:$A$501=A36)*(Order_History!$B$2:$B$501=B36),Order_History!$D$2:$D$501,""),""))</f>
        <v/>
      </c>
      <c r="G36" s="8" t="str">
        <f>IF(COUNTIFS(Pricing!$A:$A,A36,Pricing!$B:$B,B36)=0,"",SUMIFS(Pricing!$G:$G,Pricing!$A:$A,A36,Pricing!$B:$B,B36))</f>
        <v/>
      </c>
      <c r="H36" s="9" t="str">
        <f>IF(OR(E36="",F36=""),"",F36-E36)</f>
        <v/>
      </c>
      <c r="I36" s="3">
        <v>0</v>
      </c>
      <c r="J36" s="3">
        <v>0</v>
      </c>
      <c r="K36" s="9" t="str">
        <f t="shared" si="0"/>
        <v/>
      </c>
      <c r="L36" s="6" t="str">
        <f>IF(OR(K36="",E36=""),"",K36/E36)</f>
        <v/>
      </c>
      <c r="M36" s="10" t="str">
        <f>IF(OR(C36="",D36=""),"",MAX(1,ROUNDUP(D36-C36,0)))</f>
        <v/>
      </c>
      <c r="N36" s="6" t="str">
        <f t="shared" si="1"/>
        <v/>
      </c>
    </row>
    <row r="37" spans="1:14">
      <c r="A37" s="2"/>
      <c r="B37" s="2"/>
      <c r="C37" s="22" t="str">
        <f>IF(OR(A37="",B37=""),"",IFERROR(XLOOKUP(1,(Buy_History!$A$2:$A$501=A37)*(Buy_History!$B$2:$B$501=B37),Buy_History!$C$2:$C$501,""),""))</f>
        <v/>
      </c>
      <c r="D37" s="22" t="str">
        <f>IF(OR(A37="",B37=""),"",IFERROR(XLOOKUP(1,(Sell_History!$A$2:$A$501=A37)*(Sell_History!$B$2:$B$501=B37),Sell_History!$C$2:$C$501,""),""))</f>
        <v/>
      </c>
      <c r="E37" s="8" t="str">
        <f>IF(OR(A37="",B37=""),"",IFERROR(XLOOKUP(1,(Raw_Observations!$A$2:$A$1001=A37)*(Raw_Observations!$B$2:$B$1001=B37),Raw_Observations!$D$2:$D$1001,""),""))</f>
        <v/>
      </c>
      <c r="F37" s="8" t="str">
        <f>IF(OR(A37="",B37=""),"",IFERROR(XLOOKUP(1,(Order_History!$A$2:$A$501=A37)*(Order_History!$B$2:$B$501=B37),Order_History!$D$2:$D$501,""),""))</f>
        <v/>
      </c>
      <c r="G37" s="8" t="str">
        <f>IF(COUNTIFS(Pricing!$A:$A,A37,Pricing!$B:$B,B37)=0,"",SUMIFS(Pricing!$G:$G,Pricing!$A:$A,A37,Pricing!$B:$B,B37))</f>
        <v/>
      </c>
      <c r="H37" s="9" t="str">
        <f>IF(OR(E37="",F37=""),"",F37-E37)</f>
        <v/>
      </c>
      <c r="I37" s="3">
        <v>0</v>
      </c>
      <c r="J37" s="3">
        <v>0</v>
      </c>
      <c r="K37" s="9" t="str">
        <f t="shared" si="0"/>
        <v/>
      </c>
      <c r="L37" s="6" t="str">
        <f>IF(OR(K37="",E37=""),"",K37/E37)</f>
        <v/>
      </c>
      <c r="M37" s="10" t="str">
        <f>IF(OR(C37="",D37=""),"",MAX(1,ROUNDUP(D37-C37,0)))</f>
        <v/>
      </c>
      <c r="N37" s="6" t="str">
        <f t="shared" si="1"/>
        <v/>
      </c>
    </row>
    <row r="38" spans="1:14">
      <c r="A38" s="2"/>
      <c r="B38" s="2"/>
      <c r="C38" s="22" t="str">
        <f>IF(OR(A38="",B38=""),"",IFERROR(XLOOKUP(1,(Buy_History!$A$2:$A$501=A38)*(Buy_History!$B$2:$B$501=B38),Buy_History!$C$2:$C$501,""),""))</f>
        <v/>
      </c>
      <c r="D38" s="22" t="str">
        <f>IF(OR(A38="",B38=""),"",IFERROR(XLOOKUP(1,(Sell_History!$A$2:$A$501=A38)*(Sell_History!$B$2:$B$501=B38),Sell_History!$C$2:$C$501,""),""))</f>
        <v/>
      </c>
      <c r="E38" s="8" t="str">
        <f>IF(OR(A38="",B38=""),"",IFERROR(XLOOKUP(1,(Raw_Observations!$A$2:$A$1001=A38)*(Raw_Observations!$B$2:$B$1001=B38),Raw_Observations!$D$2:$D$1001,""),""))</f>
        <v/>
      </c>
      <c r="F38" s="8" t="str">
        <f>IF(OR(A38="",B38=""),"",IFERROR(XLOOKUP(1,(Order_History!$A$2:$A$501=A38)*(Order_History!$B$2:$B$501=B38),Order_History!$D$2:$D$501,""),""))</f>
        <v/>
      </c>
      <c r="G38" s="8" t="str">
        <f>IF(COUNTIFS(Pricing!$A:$A,A38,Pricing!$B:$B,B38)=0,"",SUMIFS(Pricing!$G:$G,Pricing!$A:$A,A38,Pricing!$B:$B,B38))</f>
        <v/>
      </c>
      <c r="H38" s="9" t="str">
        <f>IF(OR(E38="",F38=""),"",F38-E38)</f>
        <v/>
      </c>
      <c r="I38" s="3">
        <v>0</v>
      </c>
      <c r="J38" s="3">
        <v>0</v>
      </c>
      <c r="K38" s="9" t="str">
        <f t="shared" si="0"/>
        <v/>
      </c>
      <c r="L38" s="6" t="str">
        <f>IF(OR(K38="",E38=""),"",K38/E38)</f>
        <v/>
      </c>
      <c r="M38" s="10" t="str">
        <f>IF(OR(C38="",D38=""),"",MAX(1,ROUNDUP(D38-C38,0)))</f>
        <v/>
      </c>
      <c r="N38" s="6" t="str">
        <f t="shared" si="1"/>
        <v/>
      </c>
    </row>
    <row r="39" spans="1:14">
      <c r="A39" s="2"/>
      <c r="B39" s="2"/>
      <c r="C39" s="22" t="str">
        <f>IF(OR(A39="",B39=""),"",IFERROR(XLOOKUP(1,(Buy_History!$A$2:$A$501=A39)*(Buy_History!$B$2:$B$501=B39),Buy_History!$C$2:$C$501,""),""))</f>
        <v/>
      </c>
      <c r="D39" s="22" t="str">
        <f>IF(OR(A39="",B39=""),"",IFERROR(XLOOKUP(1,(Sell_History!$A$2:$A$501=A39)*(Sell_History!$B$2:$B$501=B39),Sell_History!$C$2:$C$501,""),""))</f>
        <v/>
      </c>
      <c r="E39" s="8" t="str">
        <f>IF(OR(A39="",B39=""),"",IFERROR(XLOOKUP(1,(Raw_Observations!$A$2:$A$1001=A39)*(Raw_Observations!$B$2:$B$1001=B39),Raw_Observations!$D$2:$D$1001,""),""))</f>
        <v/>
      </c>
      <c r="F39" s="8" t="str">
        <f>IF(OR(A39="",B39=""),"",IFERROR(XLOOKUP(1,(Order_History!$A$2:$A$501=A39)*(Order_History!$B$2:$B$501=B39),Order_History!$D$2:$D$501,""),""))</f>
        <v/>
      </c>
      <c r="G39" s="8" t="str">
        <f>IF(COUNTIFS(Pricing!$A:$A,A39,Pricing!$B:$B,B39)=0,"",SUMIFS(Pricing!$G:$G,Pricing!$A:$A,A39,Pricing!$B:$B,B39))</f>
        <v/>
      </c>
      <c r="H39" s="9" t="str">
        <f>IF(OR(E39="",F39=""),"",F39-E39)</f>
        <v/>
      </c>
      <c r="I39" s="3">
        <v>0</v>
      </c>
      <c r="J39" s="3">
        <v>0</v>
      </c>
      <c r="K39" s="9" t="str">
        <f t="shared" si="0"/>
        <v/>
      </c>
      <c r="L39" s="6" t="str">
        <f>IF(OR(K39="",E39=""),"",K39/E39)</f>
        <v/>
      </c>
      <c r="M39" s="10" t="str">
        <f>IF(OR(C39="",D39=""),"",MAX(1,ROUNDUP(D39-C39,0)))</f>
        <v/>
      </c>
      <c r="N39" s="6" t="str">
        <f t="shared" si="1"/>
        <v/>
      </c>
    </row>
    <row r="40" spans="1:14">
      <c r="A40" s="2"/>
      <c r="B40" s="2"/>
      <c r="C40" s="22" t="str">
        <f>IF(OR(A40="",B40=""),"",IFERROR(XLOOKUP(1,(Buy_History!$A$2:$A$501=A40)*(Buy_History!$B$2:$B$501=B40),Buy_History!$C$2:$C$501,""),""))</f>
        <v/>
      </c>
      <c r="D40" s="22" t="str">
        <f>IF(OR(A40="",B40=""),"",IFERROR(XLOOKUP(1,(Sell_History!$A$2:$A$501=A40)*(Sell_History!$B$2:$B$501=B40),Sell_History!$C$2:$C$501,""),""))</f>
        <v/>
      </c>
      <c r="E40" s="8" t="str">
        <f>IF(OR(A40="",B40=""),"",IFERROR(XLOOKUP(1,(Raw_Observations!$A$2:$A$1001=A40)*(Raw_Observations!$B$2:$B$1001=B40),Raw_Observations!$D$2:$D$1001,""),""))</f>
        <v/>
      </c>
      <c r="F40" s="8" t="str">
        <f>IF(OR(A40="",B40=""),"",IFERROR(XLOOKUP(1,(Order_History!$A$2:$A$501=A40)*(Order_History!$B$2:$B$501=B40),Order_History!$D$2:$D$501,""),""))</f>
        <v/>
      </c>
      <c r="G40" s="8" t="str">
        <f>IF(COUNTIFS(Pricing!$A:$A,A40,Pricing!$B:$B,B40)=0,"",SUMIFS(Pricing!$G:$G,Pricing!$A:$A,A40,Pricing!$B:$B,B40))</f>
        <v/>
      </c>
      <c r="H40" s="9" t="str">
        <f>IF(OR(E40="",F40=""),"",F40-E40)</f>
        <v/>
      </c>
      <c r="I40" s="3">
        <v>0</v>
      </c>
      <c r="J40" s="3">
        <v>0</v>
      </c>
      <c r="K40" s="9" t="str">
        <f t="shared" si="0"/>
        <v/>
      </c>
      <c r="L40" s="6" t="str">
        <f>IF(OR(K40="",E40=""),"",K40/E40)</f>
        <v/>
      </c>
      <c r="M40" s="10" t="str">
        <f>IF(OR(C40="",D40=""),"",MAX(1,ROUNDUP(D40-C40,0)))</f>
        <v/>
      </c>
      <c r="N40" s="6" t="str">
        <f t="shared" si="1"/>
        <v/>
      </c>
    </row>
    <row r="41" spans="1:14">
      <c r="A41" s="2"/>
      <c r="B41" s="2"/>
      <c r="C41" s="22" t="str">
        <f>IF(OR(A41="",B41=""),"",IFERROR(XLOOKUP(1,(Buy_History!$A$2:$A$501=A41)*(Buy_History!$B$2:$B$501=B41),Buy_History!$C$2:$C$501,""),""))</f>
        <v/>
      </c>
      <c r="D41" s="22" t="str">
        <f>IF(OR(A41="",B41=""),"",IFERROR(XLOOKUP(1,(Sell_History!$A$2:$A$501=A41)*(Sell_History!$B$2:$B$501=B41),Sell_History!$C$2:$C$501,""),""))</f>
        <v/>
      </c>
      <c r="E41" s="8" t="str">
        <f>IF(OR(A41="",B41=""),"",IFERROR(XLOOKUP(1,(Raw_Observations!$A$2:$A$1001=A41)*(Raw_Observations!$B$2:$B$1001=B41),Raw_Observations!$D$2:$D$1001,""),""))</f>
        <v/>
      </c>
      <c r="F41" s="8" t="str">
        <f>IF(OR(A41="",B41=""),"",IFERROR(XLOOKUP(1,(Order_History!$A$2:$A$501=A41)*(Order_History!$B$2:$B$501=B41),Order_History!$D$2:$D$501,""),""))</f>
        <v/>
      </c>
      <c r="G41" s="8" t="str">
        <f>IF(COUNTIFS(Pricing!$A:$A,A41,Pricing!$B:$B,B41)=0,"",SUMIFS(Pricing!$G:$G,Pricing!$A:$A,A41,Pricing!$B:$B,B41))</f>
        <v/>
      </c>
      <c r="H41" s="9" t="str">
        <f>IF(OR(E41="",F41=""),"",F41-E41)</f>
        <v/>
      </c>
      <c r="I41" s="3">
        <v>0</v>
      </c>
      <c r="J41" s="3">
        <v>0</v>
      </c>
      <c r="K41" s="9" t="str">
        <f t="shared" si="0"/>
        <v/>
      </c>
      <c r="L41" s="6" t="str">
        <f>IF(OR(K41="",E41=""),"",K41/E41)</f>
        <v/>
      </c>
      <c r="M41" s="10" t="str">
        <f>IF(OR(C41="",D41=""),"",MAX(1,ROUNDUP(D41-C41,0)))</f>
        <v/>
      </c>
      <c r="N41" s="6" t="str">
        <f t="shared" si="1"/>
        <v/>
      </c>
    </row>
    <row r="42" spans="1:14">
      <c r="A42" s="2"/>
      <c r="B42" s="2"/>
      <c r="C42" s="22" t="str">
        <f>IF(OR(A42="",B42=""),"",IFERROR(XLOOKUP(1,(Buy_History!$A$2:$A$501=A42)*(Buy_History!$B$2:$B$501=B42),Buy_History!$C$2:$C$501,""),""))</f>
        <v/>
      </c>
      <c r="D42" s="22" t="str">
        <f>IF(OR(A42="",B42=""),"",IFERROR(XLOOKUP(1,(Sell_History!$A$2:$A$501=A42)*(Sell_History!$B$2:$B$501=B42),Sell_History!$C$2:$C$501,""),""))</f>
        <v/>
      </c>
      <c r="E42" s="8" t="str">
        <f>IF(OR(A42="",B42=""),"",IFERROR(XLOOKUP(1,(Raw_Observations!$A$2:$A$1001=A42)*(Raw_Observations!$B$2:$B$1001=B42),Raw_Observations!$D$2:$D$1001,""),""))</f>
        <v/>
      </c>
      <c r="F42" s="8" t="str">
        <f>IF(OR(A42="",B42=""),"",IFERROR(XLOOKUP(1,(Order_History!$A$2:$A$501=A42)*(Order_History!$B$2:$B$501=B42),Order_History!$D$2:$D$501,""),""))</f>
        <v/>
      </c>
      <c r="G42" s="8" t="str">
        <f>IF(COUNTIFS(Pricing!$A:$A,A42,Pricing!$B:$B,B42)=0,"",SUMIFS(Pricing!$G:$G,Pricing!$A:$A,A42,Pricing!$B:$B,B42))</f>
        <v/>
      </c>
      <c r="H42" s="9" t="str">
        <f>IF(OR(E42="",F42=""),"",F42-E42)</f>
        <v/>
      </c>
      <c r="I42" s="3">
        <v>0</v>
      </c>
      <c r="J42" s="3">
        <v>0</v>
      </c>
      <c r="K42" s="9" t="str">
        <f t="shared" si="0"/>
        <v/>
      </c>
      <c r="L42" s="6" t="str">
        <f>IF(OR(K42="",E42=""),"",K42/E42)</f>
        <v/>
      </c>
      <c r="M42" s="10" t="str">
        <f>IF(OR(C42="",D42=""),"",MAX(1,ROUNDUP(D42-C42,0)))</f>
        <v/>
      </c>
      <c r="N42" s="6" t="str">
        <f t="shared" si="1"/>
        <v/>
      </c>
    </row>
    <row r="43" spans="1:14">
      <c r="A43" s="2"/>
      <c r="B43" s="2"/>
      <c r="C43" s="22" t="str">
        <f>IF(OR(A43="",B43=""),"",IFERROR(XLOOKUP(1,(Buy_History!$A$2:$A$501=A43)*(Buy_History!$B$2:$B$501=B43),Buy_History!$C$2:$C$501,""),""))</f>
        <v/>
      </c>
      <c r="D43" s="22" t="str">
        <f>IF(OR(A43="",B43=""),"",IFERROR(XLOOKUP(1,(Sell_History!$A$2:$A$501=A43)*(Sell_History!$B$2:$B$501=B43),Sell_History!$C$2:$C$501,""),""))</f>
        <v/>
      </c>
      <c r="E43" s="8" t="str">
        <f>IF(OR(A43="",B43=""),"",IFERROR(XLOOKUP(1,(Raw_Observations!$A$2:$A$1001=A43)*(Raw_Observations!$B$2:$B$1001=B43),Raw_Observations!$D$2:$D$1001,""),""))</f>
        <v/>
      </c>
      <c r="F43" s="8" t="str">
        <f>IF(OR(A43="",B43=""),"",IFERROR(XLOOKUP(1,(Order_History!$A$2:$A$501=A43)*(Order_History!$B$2:$B$501=B43),Order_History!$D$2:$D$501,""),""))</f>
        <v/>
      </c>
      <c r="G43" s="8" t="str">
        <f>IF(COUNTIFS(Pricing!$A:$A,A43,Pricing!$B:$B,B43)=0,"",SUMIFS(Pricing!$G:$G,Pricing!$A:$A,A43,Pricing!$B:$B,B43))</f>
        <v/>
      </c>
      <c r="H43" s="9" t="str">
        <f>IF(OR(E43="",F43=""),"",F43-E43)</f>
        <v/>
      </c>
      <c r="I43" s="3">
        <v>0</v>
      </c>
      <c r="J43" s="3">
        <v>0</v>
      </c>
      <c r="K43" s="9" t="str">
        <f t="shared" si="0"/>
        <v/>
      </c>
      <c r="L43" s="6" t="str">
        <f>IF(OR(K43="",E43=""),"",K43/E43)</f>
        <v/>
      </c>
      <c r="M43" s="10" t="str">
        <f>IF(OR(C43="",D43=""),"",MAX(1,ROUNDUP(D43-C43,0)))</f>
        <v/>
      </c>
      <c r="N43" s="6" t="str">
        <f t="shared" si="1"/>
        <v/>
      </c>
    </row>
    <row r="44" spans="1:14">
      <c r="A44" s="2"/>
      <c r="B44" s="2"/>
      <c r="C44" s="22" t="str">
        <f>IF(OR(A44="",B44=""),"",IFERROR(XLOOKUP(1,(Buy_History!$A$2:$A$501=A44)*(Buy_History!$B$2:$B$501=B44),Buy_History!$C$2:$C$501,""),""))</f>
        <v/>
      </c>
      <c r="D44" s="22" t="str">
        <f>IF(OR(A44="",B44=""),"",IFERROR(XLOOKUP(1,(Sell_History!$A$2:$A$501=A44)*(Sell_History!$B$2:$B$501=B44),Sell_History!$C$2:$C$501,""),""))</f>
        <v/>
      </c>
      <c r="E44" s="8" t="str">
        <f>IF(OR(A44="",B44=""),"",IFERROR(XLOOKUP(1,(Raw_Observations!$A$2:$A$1001=A44)*(Raw_Observations!$B$2:$B$1001=B44),Raw_Observations!$D$2:$D$1001,""),""))</f>
        <v/>
      </c>
      <c r="F44" s="8" t="str">
        <f>IF(OR(A44="",B44=""),"",IFERROR(XLOOKUP(1,(Order_History!$A$2:$A$501=A44)*(Order_History!$B$2:$B$501=B44),Order_History!$D$2:$D$501,""),""))</f>
        <v/>
      </c>
      <c r="G44" s="8" t="str">
        <f>IF(COUNTIFS(Pricing!$A:$A,A44,Pricing!$B:$B,B44)=0,"",SUMIFS(Pricing!$G:$G,Pricing!$A:$A,A44,Pricing!$B:$B,B44))</f>
        <v/>
      </c>
      <c r="H44" s="9" t="str">
        <f>IF(OR(E44="",F44=""),"",F44-E44)</f>
        <v/>
      </c>
      <c r="I44" s="3">
        <v>0</v>
      </c>
      <c r="J44" s="3">
        <v>0</v>
      </c>
      <c r="K44" s="9" t="str">
        <f t="shared" si="0"/>
        <v/>
      </c>
      <c r="L44" s="6" t="str">
        <f>IF(OR(K44="",E44=""),"",K44/E44)</f>
        <v/>
      </c>
      <c r="M44" s="10" t="str">
        <f>IF(OR(C44="",D44=""),"",MAX(1,ROUNDUP(D44-C44,0)))</f>
        <v/>
      </c>
      <c r="N44" s="6" t="str">
        <f t="shared" si="1"/>
        <v/>
      </c>
    </row>
    <row r="45" spans="1:14">
      <c r="A45" s="2"/>
      <c r="B45" s="2"/>
      <c r="C45" s="22" t="str">
        <f>IF(OR(A45="",B45=""),"",IFERROR(XLOOKUP(1,(Buy_History!$A$2:$A$501=A45)*(Buy_History!$B$2:$B$501=B45),Buy_History!$C$2:$C$501,""),""))</f>
        <v/>
      </c>
      <c r="D45" s="22" t="str">
        <f>IF(OR(A45="",B45=""),"",IFERROR(XLOOKUP(1,(Sell_History!$A$2:$A$501=A45)*(Sell_History!$B$2:$B$501=B45),Sell_History!$C$2:$C$501,""),""))</f>
        <v/>
      </c>
      <c r="E45" s="8" t="str">
        <f>IF(OR(A45="",B45=""),"",IFERROR(XLOOKUP(1,(Raw_Observations!$A$2:$A$1001=A45)*(Raw_Observations!$B$2:$B$1001=B45),Raw_Observations!$D$2:$D$1001,""),""))</f>
        <v/>
      </c>
      <c r="F45" s="8" t="str">
        <f>IF(OR(A45="",B45=""),"",IFERROR(XLOOKUP(1,(Order_History!$A$2:$A$501=A45)*(Order_History!$B$2:$B$501=B45),Order_History!$D$2:$D$501,""),""))</f>
        <v/>
      </c>
      <c r="G45" s="8" t="str">
        <f>IF(COUNTIFS(Pricing!$A:$A,A45,Pricing!$B:$B,B45)=0,"",SUMIFS(Pricing!$G:$G,Pricing!$A:$A,A45,Pricing!$B:$B,B45))</f>
        <v/>
      </c>
      <c r="H45" s="9" t="str">
        <f>IF(OR(E45="",F45=""),"",F45-E45)</f>
        <v/>
      </c>
      <c r="I45" s="3">
        <v>0</v>
      </c>
      <c r="J45" s="3">
        <v>0</v>
      </c>
      <c r="K45" s="9" t="str">
        <f t="shared" si="0"/>
        <v/>
      </c>
      <c r="L45" s="6" t="str">
        <f>IF(OR(K45="",E45=""),"",K45/E45)</f>
        <v/>
      </c>
      <c r="M45" s="10" t="str">
        <f>IF(OR(C45="",D45=""),"",MAX(1,ROUNDUP(D45-C45,0)))</f>
        <v/>
      </c>
      <c r="N45" s="6" t="str">
        <f t="shared" si="1"/>
        <v/>
      </c>
    </row>
    <row r="46" spans="1:14">
      <c r="A46" s="2"/>
      <c r="B46" s="2"/>
      <c r="C46" s="22" t="str">
        <f>IF(OR(A46="",B46=""),"",IFERROR(XLOOKUP(1,(Buy_History!$A$2:$A$501=A46)*(Buy_History!$B$2:$B$501=B46),Buy_History!$C$2:$C$501,""),""))</f>
        <v/>
      </c>
      <c r="D46" s="22" t="str">
        <f>IF(OR(A46="",B46=""),"",IFERROR(XLOOKUP(1,(Sell_History!$A$2:$A$501=A46)*(Sell_History!$B$2:$B$501=B46),Sell_History!$C$2:$C$501,""),""))</f>
        <v/>
      </c>
      <c r="E46" s="8" t="str">
        <f>IF(OR(A46="",B46=""),"",IFERROR(XLOOKUP(1,(Raw_Observations!$A$2:$A$1001=A46)*(Raw_Observations!$B$2:$B$1001=B46),Raw_Observations!$D$2:$D$1001,""),""))</f>
        <v/>
      </c>
      <c r="F46" s="8" t="str">
        <f>IF(OR(A46="",B46=""),"",IFERROR(XLOOKUP(1,(Order_History!$A$2:$A$501=A46)*(Order_History!$B$2:$B$501=B46),Order_History!$D$2:$D$501,""),""))</f>
        <v/>
      </c>
      <c r="G46" s="8" t="str">
        <f>IF(COUNTIFS(Pricing!$A:$A,A46,Pricing!$B:$B,B46)=0,"",SUMIFS(Pricing!$G:$G,Pricing!$A:$A,A46,Pricing!$B:$B,B46))</f>
        <v/>
      </c>
      <c r="H46" s="9" t="str">
        <f>IF(OR(E46="",F46=""),"",F46-E46)</f>
        <v/>
      </c>
      <c r="I46" s="3">
        <v>0</v>
      </c>
      <c r="J46" s="3">
        <v>0</v>
      </c>
      <c r="K46" s="9" t="str">
        <f t="shared" si="0"/>
        <v/>
      </c>
      <c r="L46" s="6" t="str">
        <f>IF(OR(K46="",E46=""),"",K46/E46)</f>
        <v/>
      </c>
      <c r="M46" s="10" t="str">
        <f>IF(OR(C46="",D46=""),"",MAX(1,ROUNDUP(D46-C46,0)))</f>
        <v/>
      </c>
      <c r="N46" s="6" t="str">
        <f t="shared" si="1"/>
        <v/>
      </c>
    </row>
    <row r="47" spans="1:14">
      <c r="A47" s="2"/>
      <c r="B47" s="2"/>
      <c r="C47" s="22" t="str">
        <f>IF(OR(A47="",B47=""),"",IFERROR(XLOOKUP(1,(Buy_History!$A$2:$A$501=A47)*(Buy_History!$B$2:$B$501=B47),Buy_History!$C$2:$C$501,""),""))</f>
        <v/>
      </c>
      <c r="D47" s="22" t="str">
        <f>IF(OR(A47="",B47=""),"",IFERROR(XLOOKUP(1,(Sell_History!$A$2:$A$501=A47)*(Sell_History!$B$2:$B$501=B47),Sell_History!$C$2:$C$501,""),""))</f>
        <v/>
      </c>
      <c r="E47" s="8" t="str">
        <f>IF(OR(A47="",B47=""),"",IFERROR(XLOOKUP(1,(Raw_Observations!$A$2:$A$1001=A47)*(Raw_Observations!$B$2:$B$1001=B47),Raw_Observations!$D$2:$D$1001,""),""))</f>
        <v/>
      </c>
      <c r="F47" s="8" t="str">
        <f>IF(OR(A47="",B47=""),"",IFERROR(XLOOKUP(1,(Order_History!$A$2:$A$501=A47)*(Order_History!$B$2:$B$501=B47),Order_History!$D$2:$D$501,""),""))</f>
        <v/>
      </c>
      <c r="G47" s="8" t="str">
        <f>IF(COUNTIFS(Pricing!$A:$A,A47,Pricing!$B:$B,B47)=0,"",SUMIFS(Pricing!$G:$G,Pricing!$A:$A,A47,Pricing!$B:$B,B47))</f>
        <v/>
      </c>
      <c r="H47" s="9" t="str">
        <f>IF(OR(E47="",F47=""),"",F47-E47)</f>
        <v/>
      </c>
      <c r="I47" s="3">
        <v>0</v>
      </c>
      <c r="J47" s="3">
        <v>0</v>
      </c>
      <c r="K47" s="9" t="str">
        <f t="shared" si="0"/>
        <v/>
      </c>
      <c r="L47" s="6" t="str">
        <f>IF(OR(K47="",E47=""),"",K47/E47)</f>
        <v/>
      </c>
      <c r="M47" s="10" t="str">
        <f>IF(OR(C47="",D47=""),"",MAX(1,ROUNDUP(D47-C47,0)))</f>
        <v/>
      </c>
      <c r="N47" s="6" t="str">
        <f t="shared" si="1"/>
        <v/>
      </c>
    </row>
    <row r="48" spans="1:14">
      <c r="A48" s="2"/>
      <c r="B48" s="2"/>
      <c r="C48" s="22" t="str">
        <f>IF(OR(A48="",B48=""),"",IFERROR(XLOOKUP(1,(Buy_History!$A$2:$A$501=A48)*(Buy_History!$B$2:$B$501=B48),Buy_History!$C$2:$C$501,""),""))</f>
        <v/>
      </c>
      <c r="D48" s="22" t="str">
        <f>IF(OR(A48="",B48=""),"",IFERROR(XLOOKUP(1,(Sell_History!$A$2:$A$501=A48)*(Sell_History!$B$2:$B$501=B48),Sell_History!$C$2:$C$501,""),""))</f>
        <v/>
      </c>
      <c r="E48" s="8" t="str">
        <f>IF(OR(A48="",B48=""),"",IFERROR(XLOOKUP(1,(Raw_Observations!$A$2:$A$1001=A48)*(Raw_Observations!$B$2:$B$1001=B48),Raw_Observations!$D$2:$D$1001,""),""))</f>
        <v/>
      </c>
      <c r="F48" s="8" t="str">
        <f>IF(OR(A48="",B48=""),"",IFERROR(XLOOKUP(1,(Order_History!$A$2:$A$501=A48)*(Order_History!$B$2:$B$501=B48),Order_History!$D$2:$D$501,""),""))</f>
        <v/>
      </c>
      <c r="G48" s="8" t="str">
        <f>IF(COUNTIFS(Pricing!$A:$A,A48,Pricing!$B:$B,B48)=0,"",SUMIFS(Pricing!$G:$G,Pricing!$A:$A,A48,Pricing!$B:$B,B48))</f>
        <v/>
      </c>
      <c r="H48" s="9" t="str">
        <f>IF(OR(E48="",F48=""),"",F48-E48)</f>
        <v/>
      </c>
      <c r="I48" s="3">
        <v>0</v>
      </c>
      <c r="J48" s="3">
        <v>0</v>
      </c>
      <c r="K48" s="9" t="str">
        <f t="shared" si="0"/>
        <v/>
      </c>
      <c r="L48" s="6" t="str">
        <f>IF(OR(K48="",E48=""),"",K48/E48)</f>
        <v/>
      </c>
      <c r="M48" s="10" t="str">
        <f>IF(OR(C48="",D48=""),"",MAX(1,ROUNDUP(D48-C48,0)))</f>
        <v/>
      </c>
      <c r="N48" s="6" t="str">
        <f t="shared" si="1"/>
        <v/>
      </c>
    </row>
    <row r="49" spans="1:14">
      <c r="A49" s="2"/>
      <c r="B49" s="2"/>
      <c r="C49" s="22" t="str">
        <f>IF(OR(A49="",B49=""),"",IFERROR(XLOOKUP(1,(Buy_History!$A$2:$A$501=A49)*(Buy_History!$B$2:$B$501=B49),Buy_History!$C$2:$C$501,""),""))</f>
        <v/>
      </c>
      <c r="D49" s="22" t="str">
        <f>IF(OR(A49="",B49=""),"",IFERROR(XLOOKUP(1,(Sell_History!$A$2:$A$501=A49)*(Sell_History!$B$2:$B$501=B49),Sell_History!$C$2:$C$501,""),""))</f>
        <v/>
      </c>
      <c r="E49" s="8" t="str">
        <f>IF(OR(A49="",B49=""),"",IFERROR(XLOOKUP(1,(Raw_Observations!$A$2:$A$1001=A49)*(Raw_Observations!$B$2:$B$1001=B49),Raw_Observations!$D$2:$D$1001,""),""))</f>
        <v/>
      </c>
      <c r="F49" s="8" t="str">
        <f>IF(OR(A49="",B49=""),"",IFERROR(XLOOKUP(1,(Order_History!$A$2:$A$501=A49)*(Order_History!$B$2:$B$501=B49),Order_History!$D$2:$D$501,""),""))</f>
        <v/>
      </c>
      <c r="G49" s="8" t="str">
        <f>IF(COUNTIFS(Pricing!$A:$A,A49,Pricing!$B:$B,B49)=0,"",SUMIFS(Pricing!$G:$G,Pricing!$A:$A,A49,Pricing!$B:$B,B49))</f>
        <v/>
      </c>
      <c r="H49" s="9" t="str">
        <f>IF(OR(E49="",F49=""),"",F49-E49)</f>
        <v/>
      </c>
      <c r="I49" s="3">
        <v>0</v>
      </c>
      <c r="J49" s="3">
        <v>0</v>
      </c>
      <c r="K49" s="9" t="str">
        <f t="shared" si="0"/>
        <v/>
      </c>
      <c r="L49" s="6" t="str">
        <f>IF(OR(K49="",E49=""),"",K49/E49)</f>
        <v/>
      </c>
      <c r="M49" s="10" t="str">
        <f>IF(OR(C49="",D49=""),"",MAX(1,ROUNDUP(D49-C49,0)))</f>
        <v/>
      </c>
      <c r="N49" s="6" t="str">
        <f t="shared" si="1"/>
        <v/>
      </c>
    </row>
    <row r="50" spans="1:14">
      <c r="A50" s="2"/>
      <c r="B50" s="2"/>
      <c r="C50" s="22" t="str">
        <f>IF(OR(A50="",B50=""),"",IFERROR(XLOOKUP(1,(Buy_History!$A$2:$A$501=A50)*(Buy_History!$B$2:$B$501=B50),Buy_History!$C$2:$C$501,""),""))</f>
        <v/>
      </c>
      <c r="D50" s="22" t="str">
        <f>IF(OR(A50="",B50=""),"",IFERROR(XLOOKUP(1,(Sell_History!$A$2:$A$501=A50)*(Sell_History!$B$2:$B$501=B50),Sell_History!$C$2:$C$501,""),""))</f>
        <v/>
      </c>
      <c r="E50" s="8" t="str">
        <f>IF(OR(A50="",B50=""),"",IFERROR(XLOOKUP(1,(Raw_Observations!$A$2:$A$1001=A50)*(Raw_Observations!$B$2:$B$1001=B50),Raw_Observations!$D$2:$D$1001,""),""))</f>
        <v/>
      </c>
      <c r="F50" s="8" t="str">
        <f>IF(OR(A50="",B50=""),"",IFERROR(XLOOKUP(1,(Order_History!$A$2:$A$501=A50)*(Order_History!$B$2:$B$501=B50),Order_History!$D$2:$D$501,""),""))</f>
        <v/>
      </c>
      <c r="G50" s="8" t="str">
        <f>IF(COUNTIFS(Pricing!$A:$A,A50,Pricing!$B:$B,B50)=0,"",SUMIFS(Pricing!$G:$G,Pricing!$A:$A,A50,Pricing!$B:$B,B50))</f>
        <v/>
      </c>
      <c r="H50" s="9" t="str">
        <f>IF(OR(E50="",F50=""),"",F50-E50)</f>
        <v/>
      </c>
      <c r="I50" s="3">
        <v>0</v>
      </c>
      <c r="J50" s="3">
        <v>0</v>
      </c>
      <c r="K50" s="9" t="str">
        <f t="shared" si="0"/>
        <v/>
      </c>
      <c r="L50" s="6" t="str">
        <f>IF(OR(K50="",E50=""),"",K50/E50)</f>
        <v/>
      </c>
      <c r="M50" s="10" t="str">
        <f>IF(OR(C50="",D50=""),"",MAX(1,ROUNDUP(D50-C50,0)))</f>
        <v/>
      </c>
      <c r="N50" s="6" t="str">
        <f t="shared" si="1"/>
        <v/>
      </c>
    </row>
    <row r="51" spans="1:14">
      <c r="A51" s="2"/>
      <c r="B51" s="2"/>
      <c r="C51" s="22" t="str">
        <f>IF(OR(A51="",B51=""),"",IFERROR(XLOOKUP(1,(Buy_History!$A$2:$A$501=A51)*(Buy_History!$B$2:$B$501=B51),Buy_History!$C$2:$C$501,""),""))</f>
        <v/>
      </c>
      <c r="D51" s="22" t="str">
        <f>IF(OR(A51="",B51=""),"",IFERROR(XLOOKUP(1,(Sell_History!$A$2:$A$501=A51)*(Sell_History!$B$2:$B$501=B51),Sell_History!$C$2:$C$501,""),""))</f>
        <v/>
      </c>
      <c r="E51" s="8" t="str">
        <f>IF(OR(A51="",B51=""),"",IFERROR(XLOOKUP(1,(Raw_Observations!$A$2:$A$1001=A51)*(Raw_Observations!$B$2:$B$1001=B51),Raw_Observations!$D$2:$D$1001,""),""))</f>
        <v/>
      </c>
      <c r="F51" s="8" t="str">
        <f>IF(OR(A51="",B51=""),"",IFERROR(XLOOKUP(1,(Order_History!$A$2:$A$501=A51)*(Order_History!$B$2:$B$501=B51),Order_History!$D$2:$D$501,""),""))</f>
        <v/>
      </c>
      <c r="G51" s="8" t="str">
        <f>IF(COUNTIFS(Pricing!$A:$A,A51,Pricing!$B:$B,B51)=0,"",SUMIFS(Pricing!$G:$G,Pricing!$A:$A,A51,Pricing!$B:$B,B51))</f>
        <v/>
      </c>
      <c r="H51" s="9" t="str">
        <f>IF(OR(E51="",F51=""),"",F51-E51)</f>
        <v/>
      </c>
      <c r="I51" s="3">
        <v>0</v>
      </c>
      <c r="J51" s="3">
        <v>0</v>
      </c>
      <c r="K51" s="9" t="str">
        <f t="shared" si="0"/>
        <v/>
      </c>
      <c r="L51" s="6" t="str">
        <f>IF(OR(K51="",E51=""),"",K51/E51)</f>
        <v/>
      </c>
      <c r="M51" s="10" t="str">
        <f>IF(OR(C51="",D51=""),"",MAX(1,ROUNDUP(D51-C51,0)))</f>
        <v/>
      </c>
      <c r="N51" s="6" t="str">
        <f t="shared" si="1"/>
        <v/>
      </c>
    </row>
    <row r="52" spans="1:14">
      <c r="A52" s="2"/>
      <c r="B52" s="2"/>
      <c r="C52" s="22" t="str">
        <f>IF(OR(A52="",B52=""),"",IFERROR(XLOOKUP(1,(Buy_History!$A$2:$A$501=A52)*(Buy_History!$B$2:$B$501=B52),Buy_History!$C$2:$C$501,""),""))</f>
        <v/>
      </c>
      <c r="D52" s="22" t="str">
        <f>IF(OR(A52="",B52=""),"",IFERROR(XLOOKUP(1,(Sell_History!$A$2:$A$501=A52)*(Sell_History!$B$2:$B$501=B52),Sell_History!$C$2:$C$501,""),""))</f>
        <v/>
      </c>
      <c r="E52" s="8" t="str">
        <f>IF(OR(A52="",B52=""),"",IFERROR(XLOOKUP(1,(Raw_Observations!$A$2:$A$1001=A52)*(Raw_Observations!$B$2:$B$1001=B52),Raw_Observations!$D$2:$D$1001,""),""))</f>
        <v/>
      </c>
      <c r="F52" s="8" t="str">
        <f>IF(OR(A52="",B52=""),"",IFERROR(XLOOKUP(1,(Order_History!$A$2:$A$501=A52)*(Order_History!$B$2:$B$501=B52),Order_History!$D$2:$D$501,""),""))</f>
        <v/>
      </c>
      <c r="G52" s="8" t="str">
        <f>IF(COUNTIFS(Pricing!$A:$A,A52,Pricing!$B:$B,B52)=0,"",SUMIFS(Pricing!$G:$G,Pricing!$A:$A,A52,Pricing!$B:$B,B52))</f>
        <v/>
      </c>
      <c r="H52" s="9" t="str">
        <f>IF(OR(E52="",F52=""),"",F52-E52)</f>
        <v/>
      </c>
      <c r="I52" s="3">
        <v>0</v>
      </c>
      <c r="J52" s="3">
        <v>0</v>
      </c>
      <c r="K52" s="9" t="str">
        <f t="shared" si="0"/>
        <v/>
      </c>
      <c r="L52" s="6" t="str">
        <f>IF(OR(K52="",E52=""),"",K52/E52)</f>
        <v/>
      </c>
      <c r="M52" s="10" t="str">
        <f>IF(OR(C52="",D52=""),"",MAX(1,ROUNDUP(D52-C52,0)))</f>
        <v/>
      </c>
      <c r="N52" s="6" t="str">
        <f t="shared" si="1"/>
        <v/>
      </c>
    </row>
    <row r="53" spans="1:14">
      <c r="A53" s="2"/>
      <c r="B53" s="2"/>
      <c r="C53" s="22" t="str">
        <f>IF(OR(A53="",B53=""),"",IFERROR(XLOOKUP(1,(Buy_History!$A$2:$A$501=A53)*(Buy_History!$B$2:$B$501=B53),Buy_History!$C$2:$C$501,""),""))</f>
        <v/>
      </c>
      <c r="D53" s="22" t="str">
        <f>IF(OR(A53="",B53=""),"",IFERROR(XLOOKUP(1,(Sell_History!$A$2:$A$501=A53)*(Sell_History!$B$2:$B$501=B53),Sell_History!$C$2:$C$501,""),""))</f>
        <v/>
      </c>
      <c r="E53" s="8" t="str">
        <f>IF(OR(A53="",B53=""),"",IFERROR(XLOOKUP(1,(Raw_Observations!$A$2:$A$1001=A53)*(Raw_Observations!$B$2:$B$1001=B53),Raw_Observations!$D$2:$D$1001,""),""))</f>
        <v/>
      </c>
      <c r="F53" s="8" t="str">
        <f>IF(OR(A53="",B53=""),"",IFERROR(XLOOKUP(1,(Order_History!$A$2:$A$501=A53)*(Order_History!$B$2:$B$501=B53),Order_History!$D$2:$D$501,""),""))</f>
        <v/>
      </c>
      <c r="G53" s="8" t="str">
        <f>IF(COUNTIFS(Pricing!$A:$A,A53,Pricing!$B:$B,B53)=0,"",SUMIFS(Pricing!$G:$G,Pricing!$A:$A,A53,Pricing!$B:$B,B53))</f>
        <v/>
      </c>
      <c r="H53" s="9" t="str">
        <f>IF(OR(E53="",F53=""),"",F53-E53)</f>
        <v/>
      </c>
      <c r="I53" s="3">
        <v>0</v>
      </c>
      <c r="J53" s="3">
        <v>0</v>
      </c>
      <c r="K53" s="9" t="str">
        <f t="shared" si="0"/>
        <v/>
      </c>
      <c r="L53" s="6" t="str">
        <f>IF(OR(K53="",E53=""),"",K53/E53)</f>
        <v/>
      </c>
      <c r="M53" s="10" t="str">
        <f>IF(OR(C53="",D53=""),"",MAX(1,ROUNDUP(D53-C53,0)))</f>
        <v/>
      </c>
      <c r="N53" s="6" t="str">
        <f t="shared" si="1"/>
        <v/>
      </c>
    </row>
    <row r="54" spans="1:14">
      <c r="A54" s="2"/>
      <c r="B54" s="2"/>
      <c r="C54" s="22" t="str">
        <f>IF(OR(A54="",B54=""),"",IFERROR(XLOOKUP(1,(Buy_History!$A$2:$A$501=A54)*(Buy_History!$B$2:$B$501=B54),Buy_History!$C$2:$C$501,""),""))</f>
        <v/>
      </c>
      <c r="D54" s="22" t="str">
        <f>IF(OR(A54="",B54=""),"",IFERROR(XLOOKUP(1,(Sell_History!$A$2:$A$501=A54)*(Sell_History!$B$2:$B$501=B54),Sell_History!$C$2:$C$501,""),""))</f>
        <v/>
      </c>
      <c r="E54" s="8" t="str">
        <f>IF(OR(A54="",B54=""),"",IFERROR(XLOOKUP(1,(Raw_Observations!$A$2:$A$1001=A54)*(Raw_Observations!$B$2:$B$1001=B54),Raw_Observations!$D$2:$D$1001,""),""))</f>
        <v/>
      </c>
      <c r="F54" s="8" t="str">
        <f>IF(OR(A54="",B54=""),"",IFERROR(XLOOKUP(1,(Order_History!$A$2:$A$501=A54)*(Order_History!$B$2:$B$501=B54),Order_History!$D$2:$D$501,""),""))</f>
        <v/>
      </c>
      <c r="G54" s="8" t="str">
        <f>IF(COUNTIFS(Pricing!$A:$A,A54,Pricing!$B:$B,B54)=0,"",SUMIFS(Pricing!$G:$G,Pricing!$A:$A,A54,Pricing!$B:$B,B54))</f>
        <v/>
      </c>
      <c r="H54" s="9" t="str">
        <f>IF(OR(E54="",F54=""),"",F54-E54)</f>
        <v/>
      </c>
      <c r="I54" s="3">
        <v>0</v>
      </c>
      <c r="J54" s="3">
        <v>0</v>
      </c>
      <c r="K54" s="9" t="str">
        <f t="shared" si="0"/>
        <v/>
      </c>
      <c r="L54" s="6" t="str">
        <f>IF(OR(K54="",E54=""),"",K54/E54)</f>
        <v/>
      </c>
      <c r="M54" s="10" t="str">
        <f>IF(OR(C54="",D54=""),"",MAX(1,ROUNDUP(D54-C54,0)))</f>
        <v/>
      </c>
      <c r="N54" s="6" t="str">
        <f t="shared" si="1"/>
        <v/>
      </c>
    </row>
    <row r="55" spans="1:14">
      <c r="A55" s="2"/>
      <c r="B55" s="2"/>
      <c r="C55" s="22" t="str">
        <f>IF(OR(A55="",B55=""),"",IFERROR(XLOOKUP(1,(Buy_History!$A$2:$A$501=A55)*(Buy_History!$B$2:$B$501=B55),Buy_History!$C$2:$C$501,""),""))</f>
        <v/>
      </c>
      <c r="D55" s="22" t="str">
        <f>IF(OR(A55="",B55=""),"",IFERROR(XLOOKUP(1,(Sell_History!$A$2:$A$501=A55)*(Sell_History!$B$2:$B$501=B55),Sell_History!$C$2:$C$501,""),""))</f>
        <v/>
      </c>
      <c r="E55" s="8" t="str">
        <f>IF(OR(A55="",B55=""),"",IFERROR(XLOOKUP(1,(Raw_Observations!$A$2:$A$1001=A55)*(Raw_Observations!$B$2:$B$1001=B55),Raw_Observations!$D$2:$D$1001,""),""))</f>
        <v/>
      </c>
      <c r="F55" s="8" t="str">
        <f>IF(OR(A55="",B55=""),"",IFERROR(XLOOKUP(1,(Order_History!$A$2:$A$501=A55)*(Order_History!$B$2:$B$501=B55),Order_History!$D$2:$D$501,""),""))</f>
        <v/>
      </c>
      <c r="G55" s="8" t="str">
        <f>IF(COUNTIFS(Pricing!$A:$A,A55,Pricing!$B:$B,B55)=0,"",SUMIFS(Pricing!$G:$G,Pricing!$A:$A,A55,Pricing!$B:$B,B55))</f>
        <v/>
      </c>
      <c r="H55" s="9" t="str">
        <f>IF(OR(E55="",F55=""),"",F55-E55)</f>
        <v/>
      </c>
      <c r="I55" s="3">
        <v>0</v>
      </c>
      <c r="J55" s="3">
        <v>0</v>
      </c>
      <c r="K55" s="9" t="str">
        <f t="shared" si="0"/>
        <v/>
      </c>
      <c r="L55" s="6" t="str">
        <f>IF(OR(K55="",E55=""),"",K55/E55)</f>
        <v/>
      </c>
      <c r="M55" s="10" t="str">
        <f>IF(OR(C55="",D55=""),"",MAX(1,ROUNDUP(D55-C55,0)))</f>
        <v/>
      </c>
      <c r="N55" s="6" t="str">
        <f t="shared" si="1"/>
        <v/>
      </c>
    </row>
    <row r="56" spans="1:14">
      <c r="A56" s="2"/>
      <c r="B56" s="2"/>
      <c r="C56" s="22" t="str">
        <f>IF(OR(A56="",B56=""),"",IFERROR(XLOOKUP(1,(Buy_History!$A$2:$A$501=A56)*(Buy_History!$B$2:$B$501=B56),Buy_History!$C$2:$C$501,""),""))</f>
        <v/>
      </c>
      <c r="D56" s="22" t="str">
        <f>IF(OR(A56="",B56=""),"",IFERROR(XLOOKUP(1,(Sell_History!$A$2:$A$501=A56)*(Sell_History!$B$2:$B$501=B56),Sell_History!$C$2:$C$501,""),""))</f>
        <v/>
      </c>
      <c r="E56" s="8" t="str">
        <f>IF(OR(A56="",B56=""),"",IFERROR(XLOOKUP(1,(Raw_Observations!$A$2:$A$1001=A56)*(Raw_Observations!$B$2:$B$1001=B56),Raw_Observations!$D$2:$D$1001,""),""))</f>
        <v/>
      </c>
      <c r="F56" s="8" t="str">
        <f>IF(OR(A56="",B56=""),"",IFERROR(XLOOKUP(1,(Order_History!$A$2:$A$501=A56)*(Order_History!$B$2:$B$501=B56),Order_History!$D$2:$D$501,""),""))</f>
        <v/>
      </c>
      <c r="G56" s="8" t="str">
        <f>IF(COUNTIFS(Pricing!$A:$A,A56,Pricing!$B:$B,B56)=0,"",SUMIFS(Pricing!$G:$G,Pricing!$A:$A,A56,Pricing!$B:$B,B56))</f>
        <v/>
      </c>
      <c r="H56" s="9" t="str">
        <f>IF(OR(E56="",F56=""),"",F56-E56)</f>
        <v/>
      </c>
      <c r="I56" s="3">
        <v>0</v>
      </c>
      <c r="J56" s="3">
        <v>0</v>
      </c>
      <c r="K56" s="9" t="str">
        <f t="shared" si="0"/>
        <v/>
      </c>
      <c r="L56" s="6" t="str">
        <f>IF(OR(K56="",E56=""),"",K56/E56)</f>
        <v/>
      </c>
      <c r="M56" s="10" t="str">
        <f>IF(OR(C56="",D56=""),"",MAX(1,ROUNDUP(D56-C56,0)))</f>
        <v/>
      </c>
      <c r="N56" s="6" t="str">
        <f t="shared" si="1"/>
        <v/>
      </c>
    </row>
    <row r="57" spans="1:14">
      <c r="A57" s="2"/>
      <c r="B57" s="2"/>
      <c r="C57" s="22" t="str">
        <f>IF(OR(A57="",B57=""),"",IFERROR(XLOOKUP(1,(Buy_History!$A$2:$A$501=A57)*(Buy_History!$B$2:$B$501=B57),Buy_History!$C$2:$C$501,""),""))</f>
        <v/>
      </c>
      <c r="D57" s="22" t="str">
        <f>IF(OR(A57="",B57=""),"",IFERROR(XLOOKUP(1,(Sell_History!$A$2:$A$501=A57)*(Sell_History!$B$2:$B$501=B57),Sell_History!$C$2:$C$501,""),""))</f>
        <v/>
      </c>
      <c r="E57" s="8" t="str">
        <f>IF(OR(A57="",B57=""),"",IFERROR(XLOOKUP(1,(Raw_Observations!$A$2:$A$1001=A57)*(Raw_Observations!$B$2:$B$1001=B57),Raw_Observations!$D$2:$D$1001,""),""))</f>
        <v/>
      </c>
      <c r="F57" s="8" t="str">
        <f>IF(OR(A57="",B57=""),"",IFERROR(XLOOKUP(1,(Order_History!$A$2:$A$501=A57)*(Order_History!$B$2:$B$501=B57),Order_History!$D$2:$D$501,""),""))</f>
        <v/>
      </c>
      <c r="G57" s="8" t="str">
        <f>IF(COUNTIFS(Pricing!$A:$A,A57,Pricing!$B:$B,B57)=0,"",SUMIFS(Pricing!$G:$G,Pricing!$A:$A,A57,Pricing!$B:$B,B57))</f>
        <v/>
      </c>
      <c r="H57" s="9" t="str">
        <f>IF(OR(E57="",F57=""),"",F57-E57)</f>
        <v/>
      </c>
      <c r="I57" s="3">
        <v>0</v>
      </c>
      <c r="J57" s="3">
        <v>0</v>
      </c>
      <c r="K57" s="9" t="str">
        <f t="shared" si="0"/>
        <v/>
      </c>
      <c r="L57" s="6" t="str">
        <f>IF(OR(K57="",E57=""),"",K57/E57)</f>
        <v/>
      </c>
      <c r="M57" s="10" t="str">
        <f>IF(OR(C57="",D57=""),"",MAX(1,ROUNDUP(D57-C57,0)))</f>
        <v/>
      </c>
      <c r="N57" s="6" t="str">
        <f t="shared" si="1"/>
        <v/>
      </c>
    </row>
    <row r="58" spans="1:14">
      <c r="A58" s="2"/>
      <c r="B58" s="2"/>
      <c r="C58" s="22" t="str">
        <f>IF(OR(A58="",B58=""),"",IFERROR(XLOOKUP(1,(Buy_History!$A$2:$A$501=A58)*(Buy_History!$B$2:$B$501=B58),Buy_History!$C$2:$C$501,""),""))</f>
        <v/>
      </c>
      <c r="D58" s="22" t="str">
        <f>IF(OR(A58="",B58=""),"",IFERROR(XLOOKUP(1,(Sell_History!$A$2:$A$501=A58)*(Sell_History!$B$2:$B$501=B58),Sell_History!$C$2:$C$501,""),""))</f>
        <v/>
      </c>
      <c r="E58" s="8" t="str">
        <f>IF(OR(A58="",B58=""),"",IFERROR(XLOOKUP(1,(Raw_Observations!$A$2:$A$1001=A58)*(Raw_Observations!$B$2:$B$1001=B58),Raw_Observations!$D$2:$D$1001,""),""))</f>
        <v/>
      </c>
      <c r="F58" s="8" t="str">
        <f>IF(OR(A58="",B58=""),"",IFERROR(XLOOKUP(1,(Order_History!$A$2:$A$501=A58)*(Order_History!$B$2:$B$501=B58),Order_History!$D$2:$D$501,""),""))</f>
        <v/>
      </c>
      <c r="G58" s="8" t="str">
        <f>IF(COUNTIFS(Pricing!$A:$A,A58,Pricing!$B:$B,B58)=0,"",SUMIFS(Pricing!$G:$G,Pricing!$A:$A,A58,Pricing!$B:$B,B58))</f>
        <v/>
      </c>
      <c r="H58" s="9" t="str">
        <f>IF(OR(E58="",F58=""),"",F58-E58)</f>
        <v/>
      </c>
      <c r="I58" s="3">
        <v>0</v>
      </c>
      <c r="J58" s="3">
        <v>0</v>
      </c>
      <c r="K58" s="9" t="str">
        <f t="shared" si="0"/>
        <v/>
      </c>
      <c r="L58" s="6" t="str">
        <f>IF(OR(K58="",E58=""),"",K58/E58)</f>
        <v/>
      </c>
      <c r="M58" s="10" t="str">
        <f>IF(OR(C58="",D58=""),"",MAX(1,ROUNDUP(D58-C58,0)))</f>
        <v/>
      </c>
      <c r="N58" s="6" t="str">
        <f t="shared" si="1"/>
        <v/>
      </c>
    </row>
    <row r="59" spans="1:14">
      <c r="A59" s="2"/>
      <c r="B59" s="2"/>
      <c r="C59" s="22" t="str">
        <f>IF(OR(A59="",B59=""),"",IFERROR(XLOOKUP(1,(Buy_History!$A$2:$A$501=A59)*(Buy_History!$B$2:$B$501=B59),Buy_History!$C$2:$C$501,""),""))</f>
        <v/>
      </c>
      <c r="D59" s="22" t="str">
        <f>IF(OR(A59="",B59=""),"",IFERROR(XLOOKUP(1,(Sell_History!$A$2:$A$501=A59)*(Sell_History!$B$2:$B$501=B59),Sell_History!$C$2:$C$501,""),""))</f>
        <v/>
      </c>
      <c r="E59" s="8" t="str">
        <f>IF(OR(A59="",B59=""),"",IFERROR(XLOOKUP(1,(Raw_Observations!$A$2:$A$1001=A59)*(Raw_Observations!$B$2:$B$1001=B59),Raw_Observations!$D$2:$D$1001,""),""))</f>
        <v/>
      </c>
      <c r="F59" s="8" t="str">
        <f>IF(OR(A59="",B59=""),"",IFERROR(XLOOKUP(1,(Order_History!$A$2:$A$501=A59)*(Order_History!$B$2:$B$501=B59),Order_History!$D$2:$D$501,""),""))</f>
        <v/>
      </c>
      <c r="G59" s="8" t="str">
        <f>IF(COUNTIFS(Pricing!$A:$A,A59,Pricing!$B:$B,B59)=0,"",SUMIFS(Pricing!$G:$G,Pricing!$A:$A,A59,Pricing!$B:$B,B59))</f>
        <v/>
      </c>
      <c r="H59" s="9" t="str">
        <f>IF(OR(E59="",F59=""),"",F59-E59)</f>
        <v/>
      </c>
      <c r="I59" s="3">
        <v>0</v>
      </c>
      <c r="J59" s="3">
        <v>0</v>
      </c>
      <c r="K59" s="9" t="str">
        <f t="shared" si="0"/>
        <v/>
      </c>
      <c r="L59" s="6" t="str">
        <f>IF(OR(K59="",E59=""),"",K59/E59)</f>
        <v/>
      </c>
      <c r="M59" s="10" t="str">
        <f>IF(OR(C59="",D59=""),"",MAX(1,ROUNDUP(D59-C59,0)))</f>
        <v/>
      </c>
      <c r="N59" s="6" t="str">
        <f t="shared" si="1"/>
        <v/>
      </c>
    </row>
    <row r="60" spans="1:14">
      <c r="A60" s="2"/>
      <c r="B60" s="2"/>
      <c r="C60" s="22" t="str">
        <f>IF(OR(A60="",B60=""),"",IFERROR(XLOOKUP(1,(Buy_History!$A$2:$A$501=A60)*(Buy_History!$B$2:$B$501=B60),Buy_History!$C$2:$C$501,""),""))</f>
        <v/>
      </c>
      <c r="D60" s="22" t="str">
        <f>IF(OR(A60="",B60=""),"",IFERROR(XLOOKUP(1,(Sell_History!$A$2:$A$501=A60)*(Sell_History!$B$2:$B$501=B60),Sell_History!$C$2:$C$501,""),""))</f>
        <v/>
      </c>
      <c r="E60" s="8" t="str">
        <f>IF(OR(A60="",B60=""),"",IFERROR(XLOOKUP(1,(Raw_Observations!$A$2:$A$1001=A60)*(Raw_Observations!$B$2:$B$1001=B60),Raw_Observations!$D$2:$D$1001,""),""))</f>
        <v/>
      </c>
      <c r="F60" s="8" t="str">
        <f>IF(OR(A60="",B60=""),"",IFERROR(XLOOKUP(1,(Order_History!$A$2:$A$501=A60)*(Order_History!$B$2:$B$501=B60),Order_History!$D$2:$D$501,""),""))</f>
        <v/>
      </c>
      <c r="G60" s="8" t="str">
        <f>IF(COUNTIFS(Pricing!$A:$A,A60,Pricing!$B:$B,B60)=0,"",SUMIFS(Pricing!$G:$G,Pricing!$A:$A,A60,Pricing!$B:$B,B60))</f>
        <v/>
      </c>
      <c r="H60" s="9" t="str">
        <f>IF(OR(E60="",F60=""),"",F60-E60)</f>
        <v/>
      </c>
      <c r="I60" s="3">
        <v>0</v>
      </c>
      <c r="J60" s="3">
        <v>0</v>
      </c>
      <c r="K60" s="9" t="str">
        <f t="shared" si="0"/>
        <v/>
      </c>
      <c r="L60" s="6" t="str">
        <f>IF(OR(K60="",E60=""),"",K60/E60)</f>
        <v/>
      </c>
      <c r="M60" s="10" t="str">
        <f>IF(OR(C60="",D60=""),"",MAX(1,ROUNDUP(D60-C60,0)))</f>
        <v/>
      </c>
      <c r="N60" s="6" t="str">
        <f t="shared" si="1"/>
        <v/>
      </c>
    </row>
    <row r="61" spans="1:14">
      <c r="A61" s="2"/>
      <c r="B61" s="2"/>
      <c r="C61" s="22" t="str">
        <f>IF(OR(A61="",B61=""),"",IFERROR(XLOOKUP(1,(Buy_History!$A$2:$A$501=A61)*(Buy_History!$B$2:$B$501=B61),Buy_History!$C$2:$C$501,""),""))</f>
        <v/>
      </c>
      <c r="D61" s="22" t="str">
        <f>IF(OR(A61="",B61=""),"",IFERROR(XLOOKUP(1,(Sell_History!$A$2:$A$501=A61)*(Sell_History!$B$2:$B$501=B61),Sell_History!$C$2:$C$501,""),""))</f>
        <v/>
      </c>
      <c r="E61" s="8" t="str">
        <f>IF(OR(A61="",B61=""),"",IFERROR(XLOOKUP(1,(Raw_Observations!$A$2:$A$1001=A61)*(Raw_Observations!$B$2:$B$1001=B61),Raw_Observations!$D$2:$D$1001,""),""))</f>
        <v/>
      </c>
      <c r="F61" s="8" t="str">
        <f>IF(OR(A61="",B61=""),"",IFERROR(XLOOKUP(1,(Order_History!$A$2:$A$501=A61)*(Order_History!$B$2:$B$501=B61),Order_History!$D$2:$D$501,""),""))</f>
        <v/>
      </c>
      <c r="G61" s="8" t="str">
        <f>IF(COUNTIFS(Pricing!$A:$A,A61,Pricing!$B:$B,B61)=0,"",SUMIFS(Pricing!$G:$G,Pricing!$A:$A,A61,Pricing!$B:$B,B61))</f>
        <v/>
      </c>
      <c r="H61" s="9" t="str">
        <f>IF(OR(E61="",F61=""),"",F61-E61)</f>
        <v/>
      </c>
      <c r="I61" s="3">
        <v>0</v>
      </c>
      <c r="J61" s="3">
        <v>0</v>
      </c>
      <c r="K61" s="9" t="str">
        <f t="shared" si="0"/>
        <v/>
      </c>
      <c r="L61" s="6" t="str">
        <f>IF(OR(K61="",E61=""),"",K61/E61)</f>
        <v/>
      </c>
      <c r="M61" s="10" t="str">
        <f>IF(OR(C61="",D61=""),"",MAX(1,ROUNDUP(D61-C61,0)))</f>
        <v/>
      </c>
      <c r="N61" s="6" t="str">
        <f t="shared" si="1"/>
        <v/>
      </c>
    </row>
    <row r="62" spans="1:14">
      <c r="A62" s="2"/>
      <c r="B62" s="2"/>
      <c r="C62" s="22" t="str">
        <f>IF(OR(A62="",B62=""),"",IFERROR(XLOOKUP(1,(Buy_History!$A$2:$A$501=A62)*(Buy_History!$B$2:$B$501=B62),Buy_History!$C$2:$C$501,""),""))</f>
        <v/>
      </c>
      <c r="D62" s="22" t="str">
        <f>IF(OR(A62="",B62=""),"",IFERROR(XLOOKUP(1,(Sell_History!$A$2:$A$501=A62)*(Sell_History!$B$2:$B$501=B62),Sell_History!$C$2:$C$501,""),""))</f>
        <v/>
      </c>
      <c r="E62" s="8" t="str">
        <f>IF(OR(A62="",B62=""),"",IFERROR(XLOOKUP(1,(Raw_Observations!$A$2:$A$1001=A62)*(Raw_Observations!$B$2:$B$1001=B62),Raw_Observations!$D$2:$D$1001,""),""))</f>
        <v/>
      </c>
      <c r="F62" s="8" t="str">
        <f>IF(OR(A62="",B62=""),"",IFERROR(XLOOKUP(1,(Order_History!$A$2:$A$501=A62)*(Order_History!$B$2:$B$501=B62),Order_History!$D$2:$D$501,""),""))</f>
        <v/>
      </c>
      <c r="G62" s="8" t="str">
        <f>IF(COUNTIFS(Pricing!$A:$A,A62,Pricing!$B:$B,B62)=0,"",SUMIFS(Pricing!$G:$G,Pricing!$A:$A,A62,Pricing!$B:$B,B62))</f>
        <v/>
      </c>
      <c r="H62" s="9" t="str">
        <f>IF(OR(E62="",F62=""),"",F62-E62)</f>
        <v/>
      </c>
      <c r="I62" s="3">
        <v>0</v>
      </c>
      <c r="J62" s="3">
        <v>0</v>
      </c>
      <c r="K62" s="9" t="str">
        <f t="shared" si="0"/>
        <v/>
      </c>
      <c r="L62" s="6" t="str">
        <f>IF(OR(K62="",E62=""),"",K62/E62)</f>
        <v/>
      </c>
      <c r="M62" s="10" t="str">
        <f>IF(OR(C62="",D62=""),"",MAX(1,ROUNDUP(D62-C62,0)))</f>
        <v/>
      </c>
      <c r="N62" s="6" t="str">
        <f t="shared" si="1"/>
        <v/>
      </c>
    </row>
    <row r="63" spans="1:14">
      <c r="A63" s="2"/>
      <c r="B63" s="2"/>
      <c r="C63" s="22" t="str">
        <f>IF(OR(A63="",B63=""),"",IFERROR(XLOOKUP(1,(Buy_History!$A$2:$A$501=A63)*(Buy_History!$B$2:$B$501=B63),Buy_History!$C$2:$C$501,""),""))</f>
        <v/>
      </c>
      <c r="D63" s="22" t="str">
        <f>IF(OR(A63="",B63=""),"",IFERROR(XLOOKUP(1,(Sell_History!$A$2:$A$501=A63)*(Sell_History!$B$2:$B$501=B63),Sell_History!$C$2:$C$501,""),""))</f>
        <v/>
      </c>
      <c r="E63" s="8" t="str">
        <f>IF(OR(A63="",B63=""),"",IFERROR(XLOOKUP(1,(Raw_Observations!$A$2:$A$1001=A63)*(Raw_Observations!$B$2:$B$1001=B63),Raw_Observations!$D$2:$D$1001,""),""))</f>
        <v/>
      </c>
      <c r="F63" s="8" t="str">
        <f>IF(OR(A63="",B63=""),"",IFERROR(XLOOKUP(1,(Order_History!$A$2:$A$501=A63)*(Order_History!$B$2:$B$501=B63),Order_History!$D$2:$D$501,""),""))</f>
        <v/>
      </c>
      <c r="G63" s="8" t="str">
        <f>IF(COUNTIFS(Pricing!$A:$A,A63,Pricing!$B:$B,B63)=0,"",SUMIFS(Pricing!$G:$G,Pricing!$A:$A,A63,Pricing!$B:$B,B63))</f>
        <v/>
      </c>
      <c r="H63" s="9" t="str">
        <f>IF(OR(E63="",F63=""),"",F63-E63)</f>
        <v/>
      </c>
      <c r="I63" s="3">
        <v>0</v>
      </c>
      <c r="J63" s="3">
        <v>0</v>
      </c>
      <c r="K63" s="9" t="str">
        <f t="shared" si="0"/>
        <v/>
      </c>
      <c r="L63" s="6" t="str">
        <f>IF(OR(K63="",E63=""),"",K63/E63)</f>
        <v/>
      </c>
      <c r="M63" s="10" t="str">
        <f>IF(OR(C63="",D63=""),"",MAX(1,ROUNDUP(D63-C63,0)))</f>
        <v/>
      </c>
      <c r="N63" s="6" t="str">
        <f t="shared" si="1"/>
        <v/>
      </c>
    </row>
    <row r="64" spans="1:14">
      <c r="A64" s="2"/>
      <c r="B64" s="2"/>
      <c r="C64" s="22" t="str">
        <f>IF(OR(A64="",B64=""),"",IFERROR(XLOOKUP(1,(Buy_History!$A$2:$A$501=A64)*(Buy_History!$B$2:$B$501=B64),Buy_History!$C$2:$C$501,""),""))</f>
        <v/>
      </c>
      <c r="D64" s="22" t="str">
        <f>IF(OR(A64="",B64=""),"",IFERROR(XLOOKUP(1,(Sell_History!$A$2:$A$501=A64)*(Sell_History!$B$2:$B$501=B64),Sell_History!$C$2:$C$501,""),""))</f>
        <v/>
      </c>
      <c r="E64" s="8" t="str">
        <f>IF(OR(A64="",B64=""),"",IFERROR(XLOOKUP(1,(Raw_Observations!$A$2:$A$1001=A64)*(Raw_Observations!$B$2:$B$1001=B64),Raw_Observations!$D$2:$D$1001,""),""))</f>
        <v/>
      </c>
      <c r="F64" s="8" t="str">
        <f>IF(OR(A64="",B64=""),"",IFERROR(XLOOKUP(1,(Order_History!$A$2:$A$501=A64)*(Order_History!$B$2:$B$501=B64),Order_History!$D$2:$D$501,""),""))</f>
        <v/>
      </c>
      <c r="G64" s="8" t="str">
        <f>IF(COUNTIFS(Pricing!$A:$A,A64,Pricing!$B:$B,B64)=0,"",SUMIFS(Pricing!$G:$G,Pricing!$A:$A,A64,Pricing!$B:$B,B64))</f>
        <v/>
      </c>
      <c r="H64" s="9" t="str">
        <f>IF(OR(E64="",F64=""),"",F64-E64)</f>
        <v/>
      </c>
      <c r="I64" s="3">
        <v>0</v>
      </c>
      <c r="J64" s="3">
        <v>0</v>
      </c>
      <c r="K64" s="9" t="str">
        <f t="shared" si="0"/>
        <v/>
      </c>
      <c r="L64" s="6" t="str">
        <f>IF(OR(K64="",E64=""),"",K64/E64)</f>
        <v/>
      </c>
      <c r="M64" s="10" t="str">
        <f>IF(OR(C64="",D64=""),"",MAX(1,ROUNDUP(D64-C64,0)))</f>
        <v/>
      </c>
      <c r="N64" s="6" t="str">
        <f t="shared" si="1"/>
        <v/>
      </c>
    </row>
    <row r="65" spans="1:14">
      <c r="A65" s="2"/>
      <c r="B65" s="2"/>
      <c r="C65" s="22" t="str">
        <f>IF(OR(A65="",B65=""),"",IFERROR(XLOOKUP(1,(Buy_History!$A$2:$A$501=A65)*(Buy_History!$B$2:$B$501=B65),Buy_History!$C$2:$C$501,""),""))</f>
        <v/>
      </c>
      <c r="D65" s="22" t="str">
        <f>IF(OR(A65="",B65=""),"",IFERROR(XLOOKUP(1,(Sell_History!$A$2:$A$501=A65)*(Sell_History!$B$2:$B$501=B65),Sell_History!$C$2:$C$501,""),""))</f>
        <v/>
      </c>
      <c r="E65" s="8" t="str">
        <f>IF(OR(A65="",B65=""),"",IFERROR(XLOOKUP(1,(Raw_Observations!$A$2:$A$1001=A65)*(Raw_Observations!$B$2:$B$1001=B65),Raw_Observations!$D$2:$D$1001,""),""))</f>
        <v/>
      </c>
      <c r="F65" s="8" t="str">
        <f>IF(OR(A65="",B65=""),"",IFERROR(XLOOKUP(1,(Order_History!$A$2:$A$501=A65)*(Order_History!$B$2:$B$501=B65),Order_History!$D$2:$D$501,""),""))</f>
        <v/>
      </c>
      <c r="G65" s="8" t="str">
        <f>IF(COUNTIFS(Pricing!$A:$A,A65,Pricing!$B:$B,B65)=0,"",SUMIFS(Pricing!$G:$G,Pricing!$A:$A,A65,Pricing!$B:$B,B65))</f>
        <v/>
      </c>
      <c r="H65" s="9" t="str">
        <f>IF(OR(E65="",F65=""),"",F65-E65)</f>
        <v/>
      </c>
      <c r="I65" s="3">
        <v>0</v>
      </c>
      <c r="J65" s="3">
        <v>0</v>
      </c>
      <c r="K65" s="9" t="str">
        <f t="shared" si="0"/>
        <v/>
      </c>
      <c r="L65" s="6" t="str">
        <f>IF(OR(K65="",E65=""),"",K65/E65)</f>
        <v/>
      </c>
      <c r="M65" s="10" t="str">
        <f>IF(OR(C65="",D65=""),"",MAX(1,ROUNDUP(D65-C65,0)))</f>
        <v/>
      </c>
      <c r="N65" s="6" t="str">
        <f t="shared" si="1"/>
        <v/>
      </c>
    </row>
    <row r="66" spans="1:14">
      <c r="A66" s="2"/>
      <c r="B66" s="2"/>
      <c r="C66" s="22" t="str">
        <f>IF(OR(A66="",B66=""),"",IFERROR(XLOOKUP(1,(Buy_History!$A$2:$A$501=A66)*(Buy_History!$B$2:$B$501=B66),Buy_History!$C$2:$C$501,""),""))</f>
        <v/>
      </c>
      <c r="D66" s="22" t="str">
        <f>IF(OR(A66="",B66=""),"",IFERROR(XLOOKUP(1,(Sell_History!$A$2:$A$501=A66)*(Sell_History!$B$2:$B$501=B66),Sell_History!$C$2:$C$501,""),""))</f>
        <v/>
      </c>
      <c r="E66" s="8" t="str">
        <f>IF(OR(A66="",B66=""),"",IFERROR(XLOOKUP(1,(Raw_Observations!$A$2:$A$1001=A66)*(Raw_Observations!$B$2:$B$1001=B66),Raw_Observations!$D$2:$D$1001,""),""))</f>
        <v/>
      </c>
      <c r="F66" s="8" t="str">
        <f>IF(OR(A66="",B66=""),"",IFERROR(XLOOKUP(1,(Order_History!$A$2:$A$501=A66)*(Order_History!$B$2:$B$501=B66),Order_History!$D$2:$D$501,""),""))</f>
        <v/>
      </c>
      <c r="G66" s="8" t="str">
        <f>IF(COUNTIFS(Pricing!$A:$A,A66,Pricing!$B:$B,B66)=0,"",SUMIFS(Pricing!$G:$G,Pricing!$A:$A,A66,Pricing!$B:$B,B66))</f>
        <v/>
      </c>
      <c r="H66" s="9" t="str">
        <f t="shared" ref="H66:H129" si="7">IF(OR(E66="",F66=""),"",F66-E66)</f>
        <v/>
      </c>
      <c r="I66" s="3">
        <v>0</v>
      </c>
      <c r="J66" s="3">
        <v>0</v>
      </c>
      <c r="K66" s="9" t="str">
        <f t="shared" ref="K66:K129" si="8">IF(H66="","",H66-I66-J66)</f>
        <v/>
      </c>
      <c r="L66" s="6" t="str">
        <f t="shared" ref="L66:L129" si="9">IF(OR(K66="",E66=""),"",K66/E66)</f>
        <v/>
      </c>
      <c r="M66" s="10" t="str">
        <f t="shared" ref="M66:M129" si="10">IF(OR(C66="",D66=""),"",MAX(1,ROUNDUP(D66-C66,0)))</f>
        <v/>
      </c>
      <c r="N66" s="6" t="str">
        <f t="shared" ref="N66:N129" si="11">IF(OR(L66="",M66=""),"",(1+L66)^(365/M66)-1)</f>
        <v/>
      </c>
    </row>
    <row r="67" spans="1:14">
      <c r="A67" s="2"/>
      <c r="B67" s="2"/>
      <c r="C67" s="22" t="str">
        <f>IF(OR(A67="",B67=""),"",IFERROR(XLOOKUP(1,(Buy_History!$A$2:$A$501=A67)*(Buy_History!$B$2:$B$501=B67),Buy_History!$C$2:$C$501,""),""))</f>
        <v/>
      </c>
      <c r="D67" s="22" t="str">
        <f>IF(OR(A67="",B67=""),"",IFERROR(XLOOKUP(1,(Sell_History!$A$2:$A$501=A67)*(Sell_History!$B$2:$B$501=B67),Sell_History!$C$2:$C$501,""),""))</f>
        <v/>
      </c>
      <c r="E67" s="8" t="str">
        <f>IF(OR(A67="",B67=""),"",IFERROR(XLOOKUP(1,(Raw_Observations!$A$2:$A$1001=A67)*(Raw_Observations!$B$2:$B$1001=B67),Raw_Observations!$D$2:$D$1001,""),""))</f>
        <v/>
      </c>
      <c r="F67" s="8" t="str">
        <f>IF(OR(A67="",B67=""),"",IFERROR(XLOOKUP(1,(Order_History!$A$2:$A$501=A67)*(Order_History!$B$2:$B$501=B67),Order_History!$D$2:$D$501,""),""))</f>
        <v/>
      </c>
      <c r="G67" s="8" t="str">
        <f>IF(COUNTIFS(Pricing!$A:$A,A67,Pricing!$B:$B,B67)=0,"",SUMIFS(Pricing!$G:$G,Pricing!$A:$A,A67,Pricing!$B:$B,B67))</f>
        <v/>
      </c>
      <c r="H67" s="9" t="str">
        <f t="shared" si="7"/>
        <v/>
      </c>
      <c r="I67" s="3">
        <v>0</v>
      </c>
      <c r="J67" s="3">
        <v>0</v>
      </c>
      <c r="K67" s="9" t="str">
        <f t="shared" si="8"/>
        <v/>
      </c>
      <c r="L67" s="6" t="str">
        <f t="shared" si="9"/>
        <v/>
      </c>
      <c r="M67" s="10" t="str">
        <f t="shared" si="10"/>
        <v/>
      </c>
      <c r="N67" s="6" t="str">
        <f t="shared" si="11"/>
        <v/>
      </c>
    </row>
    <row r="68" spans="1:14">
      <c r="A68" s="2"/>
      <c r="B68" s="2"/>
      <c r="C68" s="22" t="str">
        <f>IF(OR(A68="",B68=""),"",IFERROR(XLOOKUP(1,(Buy_History!$A$2:$A$501=A68)*(Buy_History!$B$2:$B$501=B68),Buy_History!$C$2:$C$501,""),""))</f>
        <v/>
      </c>
      <c r="D68" s="22" t="str">
        <f>IF(OR(A68="",B68=""),"",IFERROR(XLOOKUP(1,(Sell_History!$A$2:$A$501=A68)*(Sell_History!$B$2:$B$501=B68),Sell_History!$C$2:$C$501,""),""))</f>
        <v/>
      </c>
      <c r="E68" s="8" t="str">
        <f>IF(OR(A68="",B68=""),"",IFERROR(XLOOKUP(1,(Raw_Observations!$A$2:$A$1001=A68)*(Raw_Observations!$B$2:$B$1001=B68),Raw_Observations!$D$2:$D$1001,""),""))</f>
        <v/>
      </c>
      <c r="F68" s="8" t="str">
        <f>IF(OR(A68="",B68=""),"",IFERROR(XLOOKUP(1,(Order_History!$A$2:$A$501=A68)*(Order_History!$B$2:$B$501=B68),Order_History!$D$2:$D$501,""),""))</f>
        <v/>
      </c>
      <c r="G68" s="8" t="str">
        <f>IF(COUNTIFS(Pricing!$A:$A,A68,Pricing!$B:$B,B68)=0,"",SUMIFS(Pricing!$G:$G,Pricing!$A:$A,A68,Pricing!$B:$B,B68))</f>
        <v/>
      </c>
      <c r="H68" s="9" t="str">
        <f t="shared" si="7"/>
        <v/>
      </c>
      <c r="I68" s="3">
        <v>0</v>
      </c>
      <c r="J68" s="3">
        <v>0</v>
      </c>
      <c r="K68" s="9" t="str">
        <f t="shared" si="8"/>
        <v/>
      </c>
      <c r="L68" s="6" t="str">
        <f t="shared" si="9"/>
        <v/>
      </c>
      <c r="M68" s="10" t="str">
        <f t="shared" si="10"/>
        <v/>
      </c>
      <c r="N68" s="6" t="str">
        <f t="shared" si="11"/>
        <v/>
      </c>
    </row>
    <row r="69" spans="1:14">
      <c r="A69" s="2"/>
      <c r="B69" s="2"/>
      <c r="C69" s="22" t="str">
        <f>IF(OR(A69="",B69=""),"",IFERROR(XLOOKUP(1,(Buy_History!$A$2:$A$501=A69)*(Buy_History!$B$2:$B$501=B69),Buy_History!$C$2:$C$501,""),""))</f>
        <v/>
      </c>
      <c r="D69" s="22" t="str">
        <f>IF(OR(A69="",B69=""),"",IFERROR(XLOOKUP(1,(Sell_History!$A$2:$A$501=A69)*(Sell_History!$B$2:$B$501=B69),Sell_History!$C$2:$C$501,""),""))</f>
        <v/>
      </c>
      <c r="E69" s="8" t="str">
        <f>IF(OR(A69="",B69=""),"",IFERROR(XLOOKUP(1,(Raw_Observations!$A$2:$A$1001=A69)*(Raw_Observations!$B$2:$B$1001=B69),Raw_Observations!$D$2:$D$1001,""),""))</f>
        <v/>
      </c>
      <c r="F69" s="8" t="str">
        <f>IF(OR(A69="",B69=""),"",IFERROR(XLOOKUP(1,(Order_History!$A$2:$A$501=A69)*(Order_History!$B$2:$B$501=B69),Order_History!$D$2:$D$501,""),""))</f>
        <v/>
      </c>
      <c r="G69" s="8" t="str">
        <f>IF(COUNTIFS(Pricing!$A:$A,A69,Pricing!$B:$B,B69)=0,"",SUMIFS(Pricing!$G:$G,Pricing!$A:$A,A69,Pricing!$B:$B,B69))</f>
        <v/>
      </c>
      <c r="H69" s="9" t="str">
        <f t="shared" si="7"/>
        <v/>
      </c>
      <c r="I69" s="3">
        <v>0</v>
      </c>
      <c r="J69" s="3">
        <v>0</v>
      </c>
      <c r="K69" s="9" t="str">
        <f t="shared" si="8"/>
        <v/>
      </c>
      <c r="L69" s="6" t="str">
        <f t="shared" si="9"/>
        <v/>
      </c>
      <c r="M69" s="10" t="str">
        <f t="shared" si="10"/>
        <v/>
      </c>
      <c r="N69" s="6" t="str">
        <f t="shared" si="11"/>
        <v/>
      </c>
    </row>
    <row r="70" spans="1:14">
      <c r="A70" s="2"/>
      <c r="B70" s="2"/>
      <c r="C70" s="22" t="str">
        <f>IF(OR(A70="",B70=""),"",IFERROR(XLOOKUP(1,(Buy_History!$A$2:$A$501=A70)*(Buy_History!$B$2:$B$501=B70),Buy_History!$C$2:$C$501,""),""))</f>
        <v/>
      </c>
      <c r="D70" s="22" t="str">
        <f>IF(OR(A70="",B70=""),"",IFERROR(XLOOKUP(1,(Sell_History!$A$2:$A$501=A70)*(Sell_History!$B$2:$B$501=B70),Sell_History!$C$2:$C$501,""),""))</f>
        <v/>
      </c>
      <c r="E70" s="8" t="str">
        <f>IF(OR(A70="",B70=""),"",IFERROR(XLOOKUP(1,(Raw_Observations!$A$2:$A$1001=A70)*(Raw_Observations!$B$2:$B$1001=B70),Raw_Observations!$D$2:$D$1001,""),""))</f>
        <v/>
      </c>
      <c r="F70" s="8" t="str">
        <f>IF(OR(A70="",B70=""),"",IFERROR(XLOOKUP(1,(Order_History!$A$2:$A$501=A70)*(Order_History!$B$2:$B$501=B70),Order_History!$D$2:$D$501,""),""))</f>
        <v/>
      </c>
      <c r="G70" s="8" t="str">
        <f>IF(COUNTIFS(Pricing!$A:$A,A70,Pricing!$B:$B,B70)=0,"",SUMIFS(Pricing!$G:$G,Pricing!$A:$A,A70,Pricing!$B:$B,B70))</f>
        <v/>
      </c>
      <c r="H70" s="9" t="str">
        <f t="shared" si="7"/>
        <v/>
      </c>
      <c r="I70" s="3">
        <v>0</v>
      </c>
      <c r="J70" s="3">
        <v>0</v>
      </c>
      <c r="K70" s="9" t="str">
        <f t="shared" si="8"/>
        <v/>
      </c>
      <c r="L70" s="6" t="str">
        <f t="shared" si="9"/>
        <v/>
      </c>
      <c r="M70" s="10" t="str">
        <f t="shared" si="10"/>
        <v/>
      </c>
      <c r="N70" s="6" t="str">
        <f t="shared" si="11"/>
        <v/>
      </c>
    </row>
    <row r="71" spans="1:14">
      <c r="A71" s="2"/>
      <c r="B71" s="2"/>
      <c r="C71" s="22" t="str">
        <f>IF(OR(A71="",B71=""),"",IFERROR(XLOOKUP(1,(Buy_History!$A$2:$A$501=A71)*(Buy_History!$B$2:$B$501=B71),Buy_History!$C$2:$C$501,""),""))</f>
        <v/>
      </c>
      <c r="D71" s="22" t="str">
        <f>IF(OR(A71="",B71=""),"",IFERROR(XLOOKUP(1,(Sell_History!$A$2:$A$501=A71)*(Sell_History!$B$2:$B$501=B71),Sell_History!$C$2:$C$501,""),""))</f>
        <v/>
      </c>
      <c r="E71" s="8" t="str">
        <f>IF(OR(A71="",B71=""),"",IFERROR(XLOOKUP(1,(Raw_Observations!$A$2:$A$1001=A71)*(Raw_Observations!$B$2:$B$1001=B71),Raw_Observations!$D$2:$D$1001,""),""))</f>
        <v/>
      </c>
      <c r="F71" s="8" t="str">
        <f>IF(OR(A71="",B71=""),"",IFERROR(XLOOKUP(1,(Order_History!$A$2:$A$501=A71)*(Order_History!$B$2:$B$501=B71),Order_History!$D$2:$D$501,""),""))</f>
        <v/>
      </c>
      <c r="G71" s="8" t="str">
        <f>IF(COUNTIFS(Pricing!$A:$A,A71,Pricing!$B:$B,B71)=0,"",SUMIFS(Pricing!$G:$G,Pricing!$A:$A,A71,Pricing!$B:$B,B71))</f>
        <v/>
      </c>
      <c r="H71" s="9" t="str">
        <f t="shared" si="7"/>
        <v/>
      </c>
      <c r="I71" s="3">
        <v>0</v>
      </c>
      <c r="J71" s="3">
        <v>0</v>
      </c>
      <c r="K71" s="9" t="str">
        <f t="shared" si="8"/>
        <v/>
      </c>
      <c r="L71" s="6" t="str">
        <f t="shared" si="9"/>
        <v/>
      </c>
      <c r="M71" s="10" t="str">
        <f t="shared" si="10"/>
        <v/>
      </c>
      <c r="N71" s="6" t="str">
        <f t="shared" si="11"/>
        <v/>
      </c>
    </row>
    <row r="72" spans="1:14">
      <c r="A72" s="2"/>
      <c r="B72" s="2"/>
      <c r="C72" s="22" t="str">
        <f>IF(OR(A72="",B72=""),"",IFERROR(XLOOKUP(1,(Buy_History!$A$2:$A$501=A72)*(Buy_History!$B$2:$B$501=B72),Buy_History!$C$2:$C$501,""),""))</f>
        <v/>
      </c>
      <c r="D72" s="22" t="str">
        <f>IF(OR(A72="",B72=""),"",IFERROR(XLOOKUP(1,(Sell_History!$A$2:$A$501=A72)*(Sell_History!$B$2:$B$501=B72),Sell_History!$C$2:$C$501,""),""))</f>
        <v/>
      </c>
      <c r="E72" s="8" t="str">
        <f>IF(OR(A72="",B72=""),"",IFERROR(XLOOKUP(1,(Raw_Observations!$A$2:$A$1001=A72)*(Raw_Observations!$B$2:$B$1001=B72),Raw_Observations!$D$2:$D$1001,""),""))</f>
        <v/>
      </c>
      <c r="F72" s="8" t="str">
        <f>IF(OR(A72="",B72=""),"",IFERROR(XLOOKUP(1,(Order_History!$A$2:$A$501=A72)*(Order_History!$B$2:$B$501=B72),Order_History!$D$2:$D$501,""),""))</f>
        <v/>
      </c>
      <c r="G72" s="8" t="str">
        <f>IF(COUNTIFS(Pricing!$A:$A,A72,Pricing!$B:$B,B72)=0,"",SUMIFS(Pricing!$G:$G,Pricing!$A:$A,A72,Pricing!$B:$B,B72))</f>
        <v/>
      </c>
      <c r="H72" s="9" t="str">
        <f t="shared" si="7"/>
        <v/>
      </c>
      <c r="I72" s="3">
        <v>0</v>
      </c>
      <c r="J72" s="3">
        <v>0</v>
      </c>
      <c r="K72" s="9" t="str">
        <f t="shared" si="8"/>
        <v/>
      </c>
      <c r="L72" s="6" t="str">
        <f t="shared" si="9"/>
        <v/>
      </c>
      <c r="M72" s="10" t="str">
        <f t="shared" si="10"/>
        <v/>
      </c>
      <c r="N72" s="6" t="str">
        <f t="shared" si="11"/>
        <v/>
      </c>
    </row>
    <row r="73" spans="1:14">
      <c r="A73" s="2"/>
      <c r="B73" s="2"/>
      <c r="C73" s="22" t="str">
        <f>IF(OR(A73="",B73=""),"",IFERROR(XLOOKUP(1,(Buy_History!$A$2:$A$501=A73)*(Buy_History!$B$2:$B$501=B73),Buy_History!$C$2:$C$501,""),""))</f>
        <v/>
      </c>
      <c r="D73" s="22" t="str">
        <f>IF(OR(A73="",B73=""),"",IFERROR(XLOOKUP(1,(Sell_History!$A$2:$A$501=A73)*(Sell_History!$B$2:$B$501=B73),Sell_History!$C$2:$C$501,""),""))</f>
        <v/>
      </c>
      <c r="E73" s="8" t="str">
        <f>IF(OR(A73="",B73=""),"",IFERROR(XLOOKUP(1,(Raw_Observations!$A$2:$A$1001=A73)*(Raw_Observations!$B$2:$B$1001=B73),Raw_Observations!$D$2:$D$1001,""),""))</f>
        <v/>
      </c>
      <c r="F73" s="8" t="str">
        <f>IF(OR(A73="",B73=""),"",IFERROR(XLOOKUP(1,(Order_History!$A$2:$A$501=A73)*(Order_History!$B$2:$B$501=B73),Order_History!$D$2:$D$501,""),""))</f>
        <v/>
      </c>
      <c r="G73" s="8" t="str">
        <f>IF(COUNTIFS(Pricing!$A:$A,A73,Pricing!$B:$B,B73)=0,"",SUMIFS(Pricing!$G:$G,Pricing!$A:$A,A73,Pricing!$B:$B,B73))</f>
        <v/>
      </c>
      <c r="H73" s="9" t="str">
        <f t="shared" si="7"/>
        <v/>
      </c>
      <c r="I73" s="3">
        <v>0</v>
      </c>
      <c r="J73" s="3">
        <v>0</v>
      </c>
      <c r="K73" s="9" t="str">
        <f t="shared" si="8"/>
        <v/>
      </c>
      <c r="L73" s="6" t="str">
        <f t="shared" si="9"/>
        <v/>
      </c>
      <c r="M73" s="10" t="str">
        <f t="shared" si="10"/>
        <v/>
      </c>
      <c r="N73" s="6" t="str">
        <f t="shared" si="11"/>
        <v/>
      </c>
    </row>
    <row r="74" spans="1:14">
      <c r="A74" s="2"/>
      <c r="B74" s="2"/>
      <c r="C74" s="22" t="str">
        <f>IF(OR(A74="",B74=""),"",IFERROR(XLOOKUP(1,(Buy_History!$A$2:$A$501=A74)*(Buy_History!$B$2:$B$501=B74),Buy_History!$C$2:$C$501,""),""))</f>
        <v/>
      </c>
      <c r="D74" s="22" t="str">
        <f>IF(OR(A74="",B74=""),"",IFERROR(XLOOKUP(1,(Sell_History!$A$2:$A$501=A74)*(Sell_History!$B$2:$B$501=B74),Sell_History!$C$2:$C$501,""),""))</f>
        <v/>
      </c>
      <c r="E74" s="8" t="str">
        <f>IF(OR(A74="",B74=""),"",IFERROR(XLOOKUP(1,(Raw_Observations!$A$2:$A$1001=A74)*(Raw_Observations!$B$2:$B$1001=B74),Raw_Observations!$D$2:$D$1001,""),""))</f>
        <v/>
      </c>
      <c r="F74" s="8" t="str">
        <f>IF(OR(A74="",B74=""),"",IFERROR(XLOOKUP(1,(Order_History!$A$2:$A$501=A74)*(Order_History!$B$2:$B$501=B74),Order_History!$D$2:$D$501,""),""))</f>
        <v/>
      </c>
      <c r="G74" s="8" t="str">
        <f>IF(COUNTIFS(Pricing!$A:$A,A74,Pricing!$B:$B,B74)=0,"",SUMIFS(Pricing!$G:$G,Pricing!$A:$A,A74,Pricing!$B:$B,B74))</f>
        <v/>
      </c>
      <c r="H74" s="9" t="str">
        <f t="shared" si="7"/>
        <v/>
      </c>
      <c r="I74" s="3">
        <v>0</v>
      </c>
      <c r="J74" s="3">
        <v>0</v>
      </c>
      <c r="K74" s="9" t="str">
        <f t="shared" si="8"/>
        <v/>
      </c>
      <c r="L74" s="6" t="str">
        <f t="shared" si="9"/>
        <v/>
      </c>
      <c r="M74" s="10" t="str">
        <f t="shared" si="10"/>
        <v/>
      </c>
      <c r="N74" s="6" t="str">
        <f t="shared" si="11"/>
        <v/>
      </c>
    </row>
    <row r="75" spans="1:14">
      <c r="A75" s="2"/>
      <c r="B75" s="2"/>
      <c r="C75" s="22" t="str">
        <f>IF(OR(A75="",B75=""),"",IFERROR(XLOOKUP(1,(Buy_History!$A$2:$A$501=A75)*(Buy_History!$B$2:$B$501=B75),Buy_History!$C$2:$C$501,""),""))</f>
        <v/>
      </c>
      <c r="D75" s="22" t="str">
        <f>IF(OR(A75="",B75=""),"",IFERROR(XLOOKUP(1,(Sell_History!$A$2:$A$501=A75)*(Sell_History!$B$2:$B$501=B75),Sell_History!$C$2:$C$501,""),""))</f>
        <v/>
      </c>
      <c r="E75" s="8" t="str">
        <f>IF(OR(A75="",B75=""),"",IFERROR(XLOOKUP(1,(Raw_Observations!$A$2:$A$1001=A75)*(Raw_Observations!$B$2:$B$1001=B75),Raw_Observations!$D$2:$D$1001,""),""))</f>
        <v/>
      </c>
      <c r="F75" s="8" t="str">
        <f>IF(OR(A75="",B75=""),"",IFERROR(XLOOKUP(1,(Order_History!$A$2:$A$501=A75)*(Order_History!$B$2:$B$501=B75),Order_History!$D$2:$D$501,""),""))</f>
        <v/>
      </c>
      <c r="G75" s="8" t="str">
        <f>IF(COUNTIFS(Pricing!$A:$A,A75,Pricing!$B:$B,B75)=0,"",SUMIFS(Pricing!$G:$G,Pricing!$A:$A,A75,Pricing!$B:$B,B75))</f>
        <v/>
      </c>
      <c r="H75" s="9" t="str">
        <f t="shared" si="7"/>
        <v/>
      </c>
      <c r="I75" s="3">
        <v>0</v>
      </c>
      <c r="J75" s="3">
        <v>0</v>
      </c>
      <c r="K75" s="9" t="str">
        <f t="shared" si="8"/>
        <v/>
      </c>
      <c r="L75" s="6" t="str">
        <f t="shared" si="9"/>
        <v/>
      </c>
      <c r="M75" s="10" t="str">
        <f t="shared" si="10"/>
        <v/>
      </c>
      <c r="N75" s="6" t="str">
        <f t="shared" si="11"/>
        <v/>
      </c>
    </row>
    <row r="76" spans="1:14">
      <c r="A76" s="2"/>
      <c r="B76" s="2"/>
      <c r="C76" s="22" t="str">
        <f>IF(OR(A76="",B76=""),"",IFERROR(XLOOKUP(1,(Buy_History!$A$2:$A$501=A76)*(Buy_History!$B$2:$B$501=B76),Buy_History!$C$2:$C$501,""),""))</f>
        <v/>
      </c>
      <c r="D76" s="22" t="str">
        <f>IF(OR(A76="",B76=""),"",IFERROR(XLOOKUP(1,(Sell_History!$A$2:$A$501=A76)*(Sell_History!$B$2:$B$501=B76),Sell_History!$C$2:$C$501,""),""))</f>
        <v/>
      </c>
      <c r="E76" s="8" t="str">
        <f>IF(OR(A76="",B76=""),"",IFERROR(XLOOKUP(1,(Raw_Observations!$A$2:$A$1001=A76)*(Raw_Observations!$B$2:$B$1001=B76),Raw_Observations!$D$2:$D$1001,""),""))</f>
        <v/>
      </c>
      <c r="F76" s="8" t="str">
        <f>IF(OR(A76="",B76=""),"",IFERROR(XLOOKUP(1,(Order_History!$A$2:$A$501=A76)*(Order_History!$B$2:$B$501=B76),Order_History!$D$2:$D$501,""),""))</f>
        <v/>
      </c>
      <c r="G76" s="8" t="str">
        <f>IF(COUNTIFS(Pricing!$A:$A,A76,Pricing!$B:$B,B76)=0,"",SUMIFS(Pricing!$G:$G,Pricing!$A:$A,A76,Pricing!$B:$B,B76))</f>
        <v/>
      </c>
      <c r="H76" s="9" t="str">
        <f t="shared" si="7"/>
        <v/>
      </c>
      <c r="I76" s="3">
        <v>0</v>
      </c>
      <c r="J76" s="3">
        <v>0</v>
      </c>
      <c r="K76" s="9" t="str">
        <f t="shared" si="8"/>
        <v/>
      </c>
      <c r="L76" s="6" t="str">
        <f t="shared" si="9"/>
        <v/>
      </c>
      <c r="M76" s="10" t="str">
        <f t="shared" si="10"/>
        <v/>
      </c>
      <c r="N76" s="6" t="str">
        <f t="shared" si="11"/>
        <v/>
      </c>
    </row>
    <row r="77" spans="1:14">
      <c r="A77" s="2"/>
      <c r="B77" s="2"/>
      <c r="C77" s="22" t="str">
        <f>IF(OR(A77="",B77=""),"",IFERROR(XLOOKUP(1,(Buy_History!$A$2:$A$501=A77)*(Buy_History!$B$2:$B$501=B77),Buy_History!$C$2:$C$501,""),""))</f>
        <v/>
      </c>
      <c r="D77" s="22" t="str">
        <f>IF(OR(A77="",B77=""),"",IFERROR(XLOOKUP(1,(Sell_History!$A$2:$A$501=A77)*(Sell_History!$B$2:$B$501=B77),Sell_History!$C$2:$C$501,""),""))</f>
        <v/>
      </c>
      <c r="E77" s="8" t="str">
        <f>IF(OR(A77="",B77=""),"",IFERROR(XLOOKUP(1,(Raw_Observations!$A$2:$A$1001=A77)*(Raw_Observations!$B$2:$B$1001=B77),Raw_Observations!$D$2:$D$1001,""),""))</f>
        <v/>
      </c>
      <c r="F77" s="8" t="str">
        <f>IF(OR(A77="",B77=""),"",IFERROR(XLOOKUP(1,(Order_History!$A$2:$A$501=A77)*(Order_History!$B$2:$B$501=B77),Order_History!$D$2:$D$501,""),""))</f>
        <v/>
      </c>
      <c r="G77" s="8" t="str">
        <f>IF(COUNTIFS(Pricing!$A:$A,A77,Pricing!$B:$B,B77)=0,"",SUMIFS(Pricing!$G:$G,Pricing!$A:$A,A77,Pricing!$B:$B,B77))</f>
        <v/>
      </c>
      <c r="H77" s="9" t="str">
        <f t="shared" si="7"/>
        <v/>
      </c>
      <c r="I77" s="3">
        <v>0</v>
      </c>
      <c r="J77" s="3">
        <v>0</v>
      </c>
      <c r="K77" s="9" t="str">
        <f t="shared" si="8"/>
        <v/>
      </c>
      <c r="L77" s="6" t="str">
        <f t="shared" si="9"/>
        <v/>
      </c>
      <c r="M77" s="10" t="str">
        <f t="shared" si="10"/>
        <v/>
      </c>
      <c r="N77" s="6" t="str">
        <f t="shared" si="11"/>
        <v/>
      </c>
    </row>
    <row r="78" spans="1:14">
      <c r="A78" s="2"/>
      <c r="B78" s="2"/>
      <c r="C78" s="22" t="str">
        <f>IF(OR(A78="",B78=""),"",IFERROR(XLOOKUP(1,(Buy_History!$A$2:$A$501=A78)*(Buy_History!$B$2:$B$501=B78),Buy_History!$C$2:$C$501,""),""))</f>
        <v/>
      </c>
      <c r="D78" s="22" t="str">
        <f>IF(OR(A78="",B78=""),"",IFERROR(XLOOKUP(1,(Sell_History!$A$2:$A$501=A78)*(Sell_History!$B$2:$B$501=B78),Sell_History!$C$2:$C$501,""),""))</f>
        <v/>
      </c>
      <c r="E78" s="8" t="str">
        <f>IF(OR(A78="",B78=""),"",IFERROR(XLOOKUP(1,(Raw_Observations!$A$2:$A$1001=A78)*(Raw_Observations!$B$2:$B$1001=B78),Raw_Observations!$D$2:$D$1001,""),""))</f>
        <v/>
      </c>
      <c r="F78" s="8" t="str">
        <f>IF(OR(A78="",B78=""),"",IFERROR(XLOOKUP(1,(Order_History!$A$2:$A$501=A78)*(Order_History!$B$2:$B$501=B78),Order_History!$D$2:$D$501,""),""))</f>
        <v/>
      </c>
      <c r="G78" s="8" t="str">
        <f>IF(COUNTIFS(Pricing!$A:$A,A78,Pricing!$B:$B,B78)=0,"",SUMIFS(Pricing!$G:$G,Pricing!$A:$A,A78,Pricing!$B:$B,B78))</f>
        <v/>
      </c>
      <c r="H78" s="9" t="str">
        <f t="shared" si="7"/>
        <v/>
      </c>
      <c r="I78" s="3">
        <v>0</v>
      </c>
      <c r="J78" s="3">
        <v>0</v>
      </c>
      <c r="K78" s="9" t="str">
        <f t="shared" si="8"/>
        <v/>
      </c>
      <c r="L78" s="6" t="str">
        <f t="shared" si="9"/>
        <v/>
      </c>
      <c r="M78" s="10" t="str">
        <f t="shared" si="10"/>
        <v/>
      </c>
      <c r="N78" s="6" t="str">
        <f t="shared" si="11"/>
        <v/>
      </c>
    </row>
    <row r="79" spans="1:14">
      <c r="A79" s="2"/>
      <c r="B79" s="2"/>
      <c r="C79" s="22" t="str">
        <f>IF(OR(A79="",B79=""),"",IFERROR(XLOOKUP(1,(Buy_History!$A$2:$A$501=A79)*(Buy_History!$B$2:$B$501=B79),Buy_History!$C$2:$C$501,""),""))</f>
        <v/>
      </c>
      <c r="D79" s="22" t="str">
        <f>IF(OR(A79="",B79=""),"",IFERROR(XLOOKUP(1,(Sell_History!$A$2:$A$501=A79)*(Sell_History!$B$2:$B$501=B79),Sell_History!$C$2:$C$501,""),""))</f>
        <v/>
      </c>
      <c r="E79" s="8" t="str">
        <f>IF(OR(A79="",B79=""),"",IFERROR(XLOOKUP(1,(Raw_Observations!$A$2:$A$1001=A79)*(Raw_Observations!$B$2:$B$1001=B79),Raw_Observations!$D$2:$D$1001,""),""))</f>
        <v/>
      </c>
      <c r="F79" s="8" t="str">
        <f>IF(OR(A79="",B79=""),"",IFERROR(XLOOKUP(1,(Order_History!$A$2:$A$501=A79)*(Order_History!$B$2:$B$501=B79),Order_History!$D$2:$D$501,""),""))</f>
        <v/>
      </c>
      <c r="G79" s="8" t="str">
        <f>IF(COUNTIFS(Pricing!$A:$A,A79,Pricing!$B:$B,B79)=0,"",SUMIFS(Pricing!$G:$G,Pricing!$A:$A,A79,Pricing!$B:$B,B79))</f>
        <v/>
      </c>
      <c r="H79" s="9" t="str">
        <f t="shared" si="7"/>
        <v/>
      </c>
      <c r="I79" s="3">
        <v>0</v>
      </c>
      <c r="J79" s="3">
        <v>0</v>
      </c>
      <c r="K79" s="9" t="str">
        <f t="shared" si="8"/>
        <v/>
      </c>
      <c r="L79" s="6" t="str">
        <f t="shared" si="9"/>
        <v/>
      </c>
      <c r="M79" s="10" t="str">
        <f t="shared" si="10"/>
        <v/>
      </c>
      <c r="N79" s="6" t="str">
        <f t="shared" si="11"/>
        <v/>
      </c>
    </row>
    <row r="80" spans="1:14">
      <c r="A80" s="2"/>
      <c r="B80" s="2"/>
      <c r="C80" s="22" t="str">
        <f>IF(OR(A80="",B80=""),"",IFERROR(XLOOKUP(1,(Buy_History!$A$2:$A$501=A80)*(Buy_History!$B$2:$B$501=B80),Buy_History!$C$2:$C$501,""),""))</f>
        <v/>
      </c>
      <c r="D80" s="22" t="str">
        <f>IF(OR(A80="",B80=""),"",IFERROR(XLOOKUP(1,(Sell_History!$A$2:$A$501=A80)*(Sell_History!$B$2:$B$501=B80),Sell_History!$C$2:$C$501,""),""))</f>
        <v/>
      </c>
      <c r="E80" s="8" t="str">
        <f>IF(OR(A80="",B80=""),"",IFERROR(XLOOKUP(1,(Raw_Observations!$A$2:$A$1001=A80)*(Raw_Observations!$B$2:$B$1001=B80),Raw_Observations!$D$2:$D$1001,""),""))</f>
        <v/>
      </c>
      <c r="F80" s="8" t="str">
        <f>IF(OR(A80="",B80=""),"",IFERROR(XLOOKUP(1,(Order_History!$A$2:$A$501=A80)*(Order_History!$B$2:$B$501=B80),Order_History!$D$2:$D$501,""),""))</f>
        <v/>
      </c>
      <c r="G80" s="8" t="str">
        <f>IF(COUNTIFS(Pricing!$A:$A,A80,Pricing!$B:$B,B80)=0,"",SUMIFS(Pricing!$G:$G,Pricing!$A:$A,A80,Pricing!$B:$B,B80))</f>
        <v/>
      </c>
      <c r="H80" s="9" t="str">
        <f t="shared" si="7"/>
        <v/>
      </c>
      <c r="I80" s="3">
        <v>0</v>
      </c>
      <c r="J80" s="3">
        <v>0</v>
      </c>
      <c r="K80" s="9" t="str">
        <f t="shared" si="8"/>
        <v/>
      </c>
      <c r="L80" s="6" t="str">
        <f t="shared" si="9"/>
        <v/>
      </c>
      <c r="M80" s="10" t="str">
        <f t="shared" si="10"/>
        <v/>
      </c>
      <c r="N80" s="6" t="str">
        <f t="shared" si="11"/>
        <v/>
      </c>
    </row>
    <row r="81" spans="1:14">
      <c r="A81" s="2"/>
      <c r="B81" s="2"/>
      <c r="C81" s="22" t="str">
        <f>IF(OR(A81="",B81=""),"",IFERROR(XLOOKUP(1,(Buy_History!$A$2:$A$501=A81)*(Buy_History!$B$2:$B$501=B81),Buy_History!$C$2:$C$501,""),""))</f>
        <v/>
      </c>
      <c r="D81" s="22" t="str">
        <f>IF(OR(A81="",B81=""),"",IFERROR(XLOOKUP(1,(Sell_History!$A$2:$A$501=A81)*(Sell_History!$B$2:$B$501=B81),Sell_History!$C$2:$C$501,""),""))</f>
        <v/>
      </c>
      <c r="E81" s="8" t="str">
        <f>IF(OR(A81="",B81=""),"",IFERROR(XLOOKUP(1,(Raw_Observations!$A$2:$A$1001=A81)*(Raw_Observations!$B$2:$B$1001=B81),Raw_Observations!$D$2:$D$1001,""),""))</f>
        <v/>
      </c>
      <c r="F81" s="8" t="str">
        <f>IF(OR(A81="",B81=""),"",IFERROR(XLOOKUP(1,(Order_History!$A$2:$A$501=A81)*(Order_History!$B$2:$B$501=B81),Order_History!$D$2:$D$501,""),""))</f>
        <v/>
      </c>
      <c r="G81" s="8" t="str">
        <f>IF(COUNTIFS(Pricing!$A:$A,A81,Pricing!$B:$B,B81)=0,"",SUMIFS(Pricing!$G:$G,Pricing!$A:$A,A81,Pricing!$B:$B,B81))</f>
        <v/>
      </c>
      <c r="H81" s="9" t="str">
        <f t="shared" si="7"/>
        <v/>
      </c>
      <c r="I81" s="3">
        <v>0</v>
      </c>
      <c r="J81" s="3">
        <v>0</v>
      </c>
      <c r="K81" s="9" t="str">
        <f t="shared" si="8"/>
        <v/>
      </c>
      <c r="L81" s="6" t="str">
        <f t="shared" si="9"/>
        <v/>
      </c>
      <c r="M81" s="10" t="str">
        <f t="shared" si="10"/>
        <v/>
      </c>
      <c r="N81" s="6" t="str">
        <f t="shared" si="11"/>
        <v/>
      </c>
    </row>
    <row r="82" spans="1:14">
      <c r="A82" s="2"/>
      <c r="B82" s="2"/>
      <c r="C82" s="22" t="str">
        <f>IF(OR(A82="",B82=""),"",IFERROR(XLOOKUP(1,(Buy_History!$A$2:$A$501=A82)*(Buy_History!$B$2:$B$501=B82),Buy_History!$C$2:$C$501,""),""))</f>
        <v/>
      </c>
      <c r="D82" s="22" t="str">
        <f>IF(OR(A82="",B82=""),"",IFERROR(XLOOKUP(1,(Sell_History!$A$2:$A$501=A82)*(Sell_History!$B$2:$B$501=B82),Sell_History!$C$2:$C$501,""),""))</f>
        <v/>
      </c>
      <c r="E82" s="8" t="str">
        <f>IF(OR(A82="",B82=""),"",IFERROR(XLOOKUP(1,(Raw_Observations!$A$2:$A$1001=A82)*(Raw_Observations!$B$2:$B$1001=B82),Raw_Observations!$D$2:$D$1001,""),""))</f>
        <v/>
      </c>
      <c r="F82" s="8" t="str">
        <f>IF(OR(A82="",B82=""),"",IFERROR(XLOOKUP(1,(Order_History!$A$2:$A$501=A82)*(Order_History!$B$2:$B$501=B82),Order_History!$D$2:$D$501,""),""))</f>
        <v/>
      </c>
      <c r="G82" s="8" t="str">
        <f>IF(COUNTIFS(Pricing!$A:$A,A82,Pricing!$B:$B,B82)=0,"",SUMIFS(Pricing!$G:$G,Pricing!$A:$A,A82,Pricing!$B:$B,B82))</f>
        <v/>
      </c>
      <c r="H82" s="9" t="str">
        <f t="shared" si="7"/>
        <v/>
      </c>
      <c r="I82" s="3">
        <v>0</v>
      </c>
      <c r="J82" s="3">
        <v>0</v>
      </c>
      <c r="K82" s="9" t="str">
        <f t="shared" si="8"/>
        <v/>
      </c>
      <c r="L82" s="6" t="str">
        <f t="shared" si="9"/>
        <v/>
      </c>
      <c r="M82" s="10" t="str">
        <f t="shared" si="10"/>
        <v/>
      </c>
      <c r="N82" s="6" t="str">
        <f t="shared" si="11"/>
        <v/>
      </c>
    </row>
    <row r="83" spans="1:14">
      <c r="A83" s="2"/>
      <c r="B83" s="2"/>
      <c r="C83" s="22" t="str">
        <f>IF(OR(A83="",B83=""),"",IFERROR(XLOOKUP(1,(Buy_History!$A$2:$A$501=A83)*(Buy_History!$B$2:$B$501=B83),Buy_History!$C$2:$C$501,""),""))</f>
        <v/>
      </c>
      <c r="D83" s="22" t="str">
        <f>IF(OR(A83="",B83=""),"",IFERROR(XLOOKUP(1,(Sell_History!$A$2:$A$501=A83)*(Sell_History!$B$2:$B$501=B83),Sell_History!$C$2:$C$501,""),""))</f>
        <v/>
      </c>
      <c r="E83" s="8" t="str">
        <f>IF(OR(A83="",B83=""),"",IFERROR(XLOOKUP(1,(Raw_Observations!$A$2:$A$1001=A83)*(Raw_Observations!$B$2:$B$1001=B83),Raw_Observations!$D$2:$D$1001,""),""))</f>
        <v/>
      </c>
      <c r="F83" s="8" t="str">
        <f>IF(OR(A83="",B83=""),"",IFERROR(XLOOKUP(1,(Order_History!$A$2:$A$501=A83)*(Order_History!$B$2:$B$501=B83),Order_History!$D$2:$D$501,""),""))</f>
        <v/>
      </c>
      <c r="G83" s="8" t="str">
        <f>IF(COUNTIFS(Pricing!$A:$A,A83,Pricing!$B:$B,B83)=0,"",SUMIFS(Pricing!$G:$G,Pricing!$A:$A,A83,Pricing!$B:$B,B83))</f>
        <v/>
      </c>
      <c r="H83" s="9" t="str">
        <f t="shared" si="7"/>
        <v/>
      </c>
      <c r="I83" s="3">
        <v>0</v>
      </c>
      <c r="J83" s="3">
        <v>0</v>
      </c>
      <c r="K83" s="9" t="str">
        <f t="shared" si="8"/>
        <v/>
      </c>
      <c r="L83" s="6" t="str">
        <f t="shared" si="9"/>
        <v/>
      </c>
      <c r="M83" s="10" t="str">
        <f t="shared" si="10"/>
        <v/>
      </c>
      <c r="N83" s="6" t="str">
        <f t="shared" si="11"/>
        <v/>
      </c>
    </row>
    <row r="84" spans="1:14">
      <c r="A84" s="2"/>
      <c r="B84" s="2"/>
      <c r="C84" s="22" t="str">
        <f>IF(OR(A84="",B84=""),"",IFERROR(XLOOKUP(1,(Buy_History!$A$2:$A$501=A84)*(Buy_History!$B$2:$B$501=B84),Buy_History!$C$2:$C$501,""),""))</f>
        <v/>
      </c>
      <c r="D84" s="22" t="str">
        <f>IF(OR(A84="",B84=""),"",IFERROR(XLOOKUP(1,(Sell_History!$A$2:$A$501=A84)*(Sell_History!$B$2:$B$501=B84),Sell_History!$C$2:$C$501,""),""))</f>
        <v/>
      </c>
      <c r="E84" s="8" t="str">
        <f>IF(OR(A84="",B84=""),"",IFERROR(XLOOKUP(1,(Raw_Observations!$A$2:$A$1001=A84)*(Raw_Observations!$B$2:$B$1001=B84),Raw_Observations!$D$2:$D$1001,""),""))</f>
        <v/>
      </c>
      <c r="F84" s="8" t="str">
        <f>IF(OR(A84="",B84=""),"",IFERROR(XLOOKUP(1,(Order_History!$A$2:$A$501=A84)*(Order_History!$B$2:$B$501=B84),Order_History!$D$2:$D$501,""),""))</f>
        <v/>
      </c>
      <c r="G84" s="8" t="str">
        <f>IF(COUNTIFS(Pricing!$A:$A,A84,Pricing!$B:$B,B84)=0,"",SUMIFS(Pricing!$G:$G,Pricing!$A:$A,A84,Pricing!$B:$B,B84))</f>
        <v/>
      </c>
      <c r="H84" s="9" t="str">
        <f t="shared" si="7"/>
        <v/>
      </c>
      <c r="I84" s="3">
        <v>0</v>
      </c>
      <c r="J84" s="3">
        <v>0</v>
      </c>
      <c r="K84" s="9" t="str">
        <f t="shared" si="8"/>
        <v/>
      </c>
      <c r="L84" s="6" t="str">
        <f t="shared" si="9"/>
        <v/>
      </c>
      <c r="M84" s="10" t="str">
        <f t="shared" si="10"/>
        <v/>
      </c>
      <c r="N84" s="6" t="str">
        <f t="shared" si="11"/>
        <v/>
      </c>
    </row>
    <row r="85" spans="1:14">
      <c r="A85" s="2"/>
      <c r="B85" s="2"/>
      <c r="C85" s="22" t="str">
        <f>IF(OR(A85="",B85=""),"",IFERROR(XLOOKUP(1,(Buy_History!$A$2:$A$501=A85)*(Buy_History!$B$2:$B$501=B85),Buy_History!$C$2:$C$501,""),""))</f>
        <v/>
      </c>
      <c r="D85" s="22" t="str">
        <f>IF(OR(A85="",B85=""),"",IFERROR(XLOOKUP(1,(Sell_History!$A$2:$A$501=A85)*(Sell_History!$B$2:$B$501=B85),Sell_History!$C$2:$C$501,""),""))</f>
        <v/>
      </c>
      <c r="E85" s="8" t="str">
        <f>IF(OR(A85="",B85=""),"",IFERROR(XLOOKUP(1,(Raw_Observations!$A$2:$A$1001=A85)*(Raw_Observations!$B$2:$B$1001=B85),Raw_Observations!$D$2:$D$1001,""),""))</f>
        <v/>
      </c>
      <c r="F85" s="8" t="str">
        <f>IF(OR(A85="",B85=""),"",IFERROR(XLOOKUP(1,(Order_History!$A$2:$A$501=A85)*(Order_History!$B$2:$B$501=B85),Order_History!$D$2:$D$501,""),""))</f>
        <v/>
      </c>
      <c r="G85" s="8" t="str">
        <f>IF(COUNTIFS(Pricing!$A:$A,A85,Pricing!$B:$B,B85)=0,"",SUMIFS(Pricing!$G:$G,Pricing!$A:$A,A85,Pricing!$B:$B,B85))</f>
        <v/>
      </c>
      <c r="H85" s="9" t="str">
        <f t="shared" si="7"/>
        <v/>
      </c>
      <c r="I85" s="3">
        <v>0</v>
      </c>
      <c r="J85" s="3">
        <v>0</v>
      </c>
      <c r="K85" s="9" t="str">
        <f t="shared" si="8"/>
        <v/>
      </c>
      <c r="L85" s="6" t="str">
        <f t="shared" si="9"/>
        <v/>
      </c>
      <c r="M85" s="10" t="str">
        <f t="shared" si="10"/>
        <v/>
      </c>
      <c r="N85" s="6" t="str">
        <f t="shared" si="11"/>
        <v/>
      </c>
    </row>
    <row r="86" spans="1:14">
      <c r="A86" s="2"/>
      <c r="B86" s="2"/>
      <c r="C86" s="22" t="str">
        <f>IF(OR(A86="",B86=""),"",IFERROR(XLOOKUP(1,(Buy_History!$A$2:$A$501=A86)*(Buy_History!$B$2:$B$501=B86),Buy_History!$C$2:$C$501,""),""))</f>
        <v/>
      </c>
      <c r="D86" s="22" t="str">
        <f>IF(OR(A86="",B86=""),"",IFERROR(XLOOKUP(1,(Sell_History!$A$2:$A$501=A86)*(Sell_History!$B$2:$B$501=B86),Sell_History!$C$2:$C$501,""),""))</f>
        <v/>
      </c>
      <c r="E86" s="8" t="str">
        <f>IF(OR(A86="",B86=""),"",IFERROR(XLOOKUP(1,(Raw_Observations!$A$2:$A$1001=A86)*(Raw_Observations!$B$2:$B$1001=B86),Raw_Observations!$D$2:$D$1001,""),""))</f>
        <v/>
      </c>
      <c r="F86" s="8" t="str">
        <f>IF(OR(A86="",B86=""),"",IFERROR(XLOOKUP(1,(Order_History!$A$2:$A$501=A86)*(Order_History!$B$2:$B$501=B86),Order_History!$D$2:$D$501,""),""))</f>
        <v/>
      </c>
      <c r="G86" s="8" t="str">
        <f>IF(COUNTIFS(Pricing!$A:$A,A86,Pricing!$B:$B,B86)=0,"",SUMIFS(Pricing!$G:$G,Pricing!$A:$A,A86,Pricing!$B:$B,B86))</f>
        <v/>
      </c>
      <c r="H86" s="9" t="str">
        <f t="shared" si="7"/>
        <v/>
      </c>
      <c r="I86" s="3">
        <v>0</v>
      </c>
      <c r="J86" s="3">
        <v>0</v>
      </c>
      <c r="K86" s="9" t="str">
        <f t="shared" si="8"/>
        <v/>
      </c>
      <c r="L86" s="6" t="str">
        <f t="shared" si="9"/>
        <v/>
      </c>
      <c r="M86" s="10" t="str">
        <f t="shared" si="10"/>
        <v/>
      </c>
      <c r="N86" s="6" t="str">
        <f t="shared" si="11"/>
        <v/>
      </c>
    </row>
    <row r="87" spans="1:14">
      <c r="A87" s="2"/>
      <c r="B87" s="2"/>
      <c r="C87" s="22" t="str">
        <f>IF(OR(A87="",B87=""),"",IFERROR(XLOOKUP(1,(Buy_History!$A$2:$A$501=A87)*(Buy_History!$B$2:$B$501=B87),Buy_History!$C$2:$C$501,""),""))</f>
        <v/>
      </c>
      <c r="D87" s="22" t="str">
        <f>IF(OR(A87="",B87=""),"",IFERROR(XLOOKUP(1,(Sell_History!$A$2:$A$501=A87)*(Sell_History!$B$2:$B$501=B87),Sell_History!$C$2:$C$501,""),""))</f>
        <v/>
      </c>
      <c r="E87" s="8" t="str">
        <f>IF(OR(A87="",B87=""),"",IFERROR(XLOOKUP(1,(Raw_Observations!$A$2:$A$1001=A87)*(Raw_Observations!$B$2:$B$1001=B87),Raw_Observations!$D$2:$D$1001,""),""))</f>
        <v/>
      </c>
      <c r="F87" s="8" t="str">
        <f>IF(OR(A87="",B87=""),"",IFERROR(XLOOKUP(1,(Order_History!$A$2:$A$501=A87)*(Order_History!$B$2:$B$501=B87),Order_History!$D$2:$D$501,""),""))</f>
        <v/>
      </c>
      <c r="G87" s="8" t="str">
        <f>IF(COUNTIFS(Pricing!$A:$A,A87,Pricing!$B:$B,B87)=0,"",SUMIFS(Pricing!$G:$G,Pricing!$A:$A,A87,Pricing!$B:$B,B87))</f>
        <v/>
      </c>
      <c r="H87" s="9" t="str">
        <f t="shared" si="7"/>
        <v/>
      </c>
      <c r="I87" s="3">
        <v>0</v>
      </c>
      <c r="J87" s="3">
        <v>0</v>
      </c>
      <c r="K87" s="9" t="str">
        <f t="shared" si="8"/>
        <v/>
      </c>
      <c r="L87" s="6" t="str">
        <f t="shared" si="9"/>
        <v/>
      </c>
      <c r="M87" s="10" t="str">
        <f t="shared" si="10"/>
        <v/>
      </c>
      <c r="N87" s="6" t="str">
        <f t="shared" si="11"/>
        <v/>
      </c>
    </row>
    <row r="88" spans="1:14">
      <c r="A88" s="2"/>
      <c r="B88" s="2"/>
      <c r="C88" s="22" t="str">
        <f>IF(OR(A88="",B88=""),"",IFERROR(XLOOKUP(1,(Buy_History!$A$2:$A$501=A88)*(Buy_History!$B$2:$B$501=B88),Buy_History!$C$2:$C$501,""),""))</f>
        <v/>
      </c>
      <c r="D88" s="22" t="str">
        <f>IF(OR(A88="",B88=""),"",IFERROR(XLOOKUP(1,(Sell_History!$A$2:$A$501=A88)*(Sell_History!$B$2:$B$501=B88),Sell_History!$C$2:$C$501,""),""))</f>
        <v/>
      </c>
      <c r="E88" s="8" t="str">
        <f>IF(OR(A88="",B88=""),"",IFERROR(XLOOKUP(1,(Raw_Observations!$A$2:$A$1001=A88)*(Raw_Observations!$B$2:$B$1001=B88),Raw_Observations!$D$2:$D$1001,""),""))</f>
        <v/>
      </c>
      <c r="F88" s="8" t="str">
        <f>IF(OR(A88="",B88=""),"",IFERROR(XLOOKUP(1,(Order_History!$A$2:$A$501=A88)*(Order_History!$B$2:$B$501=B88),Order_History!$D$2:$D$501,""),""))</f>
        <v/>
      </c>
      <c r="G88" s="8" t="str">
        <f>IF(COUNTIFS(Pricing!$A:$A,A88,Pricing!$B:$B,B88)=0,"",SUMIFS(Pricing!$G:$G,Pricing!$A:$A,A88,Pricing!$B:$B,B88))</f>
        <v/>
      </c>
      <c r="H88" s="9" t="str">
        <f t="shared" si="7"/>
        <v/>
      </c>
      <c r="I88" s="3">
        <v>0</v>
      </c>
      <c r="J88" s="3">
        <v>0</v>
      </c>
      <c r="K88" s="9" t="str">
        <f t="shared" si="8"/>
        <v/>
      </c>
      <c r="L88" s="6" t="str">
        <f t="shared" si="9"/>
        <v/>
      </c>
      <c r="M88" s="10" t="str">
        <f t="shared" si="10"/>
        <v/>
      </c>
      <c r="N88" s="6" t="str">
        <f t="shared" si="11"/>
        <v/>
      </c>
    </row>
    <row r="89" spans="1:14">
      <c r="A89" s="2"/>
      <c r="B89" s="2"/>
      <c r="C89" s="22" t="str">
        <f>IF(OR(A89="",B89=""),"",IFERROR(XLOOKUP(1,(Buy_History!$A$2:$A$501=A89)*(Buy_History!$B$2:$B$501=B89),Buy_History!$C$2:$C$501,""),""))</f>
        <v/>
      </c>
      <c r="D89" s="22" t="str">
        <f>IF(OR(A89="",B89=""),"",IFERROR(XLOOKUP(1,(Sell_History!$A$2:$A$501=A89)*(Sell_History!$B$2:$B$501=B89),Sell_History!$C$2:$C$501,""),""))</f>
        <v/>
      </c>
      <c r="E89" s="8" t="str">
        <f>IF(OR(A89="",B89=""),"",IFERROR(XLOOKUP(1,(Raw_Observations!$A$2:$A$1001=A89)*(Raw_Observations!$B$2:$B$1001=B89),Raw_Observations!$D$2:$D$1001,""),""))</f>
        <v/>
      </c>
      <c r="F89" s="8" t="str">
        <f>IF(OR(A89="",B89=""),"",IFERROR(XLOOKUP(1,(Order_History!$A$2:$A$501=A89)*(Order_History!$B$2:$B$501=B89),Order_History!$D$2:$D$501,""),""))</f>
        <v/>
      </c>
      <c r="G89" s="8" t="str">
        <f>IF(COUNTIFS(Pricing!$A:$A,A89,Pricing!$B:$B,B89)=0,"",SUMIFS(Pricing!$G:$G,Pricing!$A:$A,A89,Pricing!$B:$B,B89))</f>
        <v/>
      </c>
      <c r="H89" s="9" t="str">
        <f t="shared" si="7"/>
        <v/>
      </c>
      <c r="I89" s="3">
        <v>0</v>
      </c>
      <c r="J89" s="3">
        <v>0</v>
      </c>
      <c r="K89" s="9" t="str">
        <f t="shared" si="8"/>
        <v/>
      </c>
      <c r="L89" s="6" t="str">
        <f t="shared" si="9"/>
        <v/>
      </c>
      <c r="M89" s="10" t="str">
        <f t="shared" si="10"/>
        <v/>
      </c>
      <c r="N89" s="6" t="str">
        <f t="shared" si="11"/>
        <v/>
      </c>
    </row>
    <row r="90" spans="1:14">
      <c r="A90" s="2"/>
      <c r="B90" s="2"/>
      <c r="C90" s="22" t="str">
        <f>IF(OR(A90="",B90=""),"",IFERROR(XLOOKUP(1,(Buy_History!$A$2:$A$501=A90)*(Buy_History!$B$2:$B$501=B90),Buy_History!$C$2:$C$501,""),""))</f>
        <v/>
      </c>
      <c r="D90" s="22" t="str">
        <f>IF(OR(A90="",B90=""),"",IFERROR(XLOOKUP(1,(Sell_History!$A$2:$A$501=A90)*(Sell_History!$B$2:$B$501=B90),Sell_History!$C$2:$C$501,""),""))</f>
        <v/>
      </c>
      <c r="E90" s="8" t="str">
        <f>IF(OR(A90="",B90=""),"",IFERROR(XLOOKUP(1,(Raw_Observations!$A$2:$A$1001=A90)*(Raw_Observations!$B$2:$B$1001=B90),Raw_Observations!$D$2:$D$1001,""),""))</f>
        <v/>
      </c>
      <c r="F90" s="8" t="str">
        <f>IF(OR(A90="",B90=""),"",IFERROR(XLOOKUP(1,(Order_History!$A$2:$A$501=A90)*(Order_History!$B$2:$B$501=B90),Order_History!$D$2:$D$501,""),""))</f>
        <v/>
      </c>
      <c r="G90" s="8" t="str">
        <f>IF(COUNTIFS(Pricing!$A:$A,A90,Pricing!$B:$B,B90)=0,"",SUMIFS(Pricing!$G:$G,Pricing!$A:$A,A90,Pricing!$B:$B,B90))</f>
        <v/>
      </c>
      <c r="H90" s="9" t="str">
        <f t="shared" si="7"/>
        <v/>
      </c>
      <c r="I90" s="3">
        <v>0</v>
      </c>
      <c r="J90" s="3">
        <v>0</v>
      </c>
      <c r="K90" s="9" t="str">
        <f t="shared" si="8"/>
        <v/>
      </c>
      <c r="L90" s="6" t="str">
        <f t="shared" si="9"/>
        <v/>
      </c>
      <c r="M90" s="10" t="str">
        <f t="shared" si="10"/>
        <v/>
      </c>
      <c r="N90" s="6" t="str">
        <f t="shared" si="11"/>
        <v/>
      </c>
    </row>
    <row r="91" spans="1:14">
      <c r="A91" s="2"/>
      <c r="B91" s="2"/>
      <c r="C91" s="22" t="str">
        <f>IF(OR(A91="",B91=""),"",IFERROR(XLOOKUP(1,(Buy_History!$A$2:$A$501=A91)*(Buy_History!$B$2:$B$501=B91),Buy_History!$C$2:$C$501,""),""))</f>
        <v/>
      </c>
      <c r="D91" s="22" t="str">
        <f>IF(OR(A91="",B91=""),"",IFERROR(XLOOKUP(1,(Sell_History!$A$2:$A$501=A91)*(Sell_History!$B$2:$B$501=B91),Sell_History!$C$2:$C$501,""),""))</f>
        <v/>
      </c>
      <c r="E91" s="8" t="str">
        <f>IF(OR(A91="",B91=""),"",IFERROR(XLOOKUP(1,(Raw_Observations!$A$2:$A$1001=A91)*(Raw_Observations!$B$2:$B$1001=B91),Raw_Observations!$D$2:$D$1001,""),""))</f>
        <v/>
      </c>
      <c r="F91" s="8" t="str">
        <f>IF(OR(A91="",B91=""),"",IFERROR(XLOOKUP(1,(Order_History!$A$2:$A$501=A91)*(Order_History!$B$2:$B$501=B91),Order_History!$D$2:$D$501,""),""))</f>
        <v/>
      </c>
      <c r="G91" s="8" t="str">
        <f>IF(COUNTIFS(Pricing!$A:$A,A91,Pricing!$B:$B,B91)=0,"",SUMIFS(Pricing!$G:$G,Pricing!$A:$A,A91,Pricing!$B:$B,B91))</f>
        <v/>
      </c>
      <c r="H91" s="9" t="str">
        <f t="shared" si="7"/>
        <v/>
      </c>
      <c r="I91" s="3">
        <v>0</v>
      </c>
      <c r="J91" s="3">
        <v>0</v>
      </c>
      <c r="K91" s="9" t="str">
        <f t="shared" si="8"/>
        <v/>
      </c>
      <c r="L91" s="6" t="str">
        <f t="shared" si="9"/>
        <v/>
      </c>
      <c r="M91" s="10" t="str">
        <f t="shared" si="10"/>
        <v/>
      </c>
      <c r="N91" s="6" t="str">
        <f t="shared" si="11"/>
        <v/>
      </c>
    </row>
    <row r="92" spans="1:14">
      <c r="A92" s="2"/>
      <c r="B92" s="2"/>
      <c r="C92" s="22" t="str">
        <f>IF(OR(A92="",B92=""),"",IFERROR(XLOOKUP(1,(Buy_History!$A$2:$A$501=A92)*(Buy_History!$B$2:$B$501=B92),Buy_History!$C$2:$C$501,""),""))</f>
        <v/>
      </c>
      <c r="D92" s="22" t="str">
        <f>IF(OR(A92="",B92=""),"",IFERROR(XLOOKUP(1,(Sell_History!$A$2:$A$501=A92)*(Sell_History!$B$2:$B$501=B92),Sell_History!$C$2:$C$501,""),""))</f>
        <v/>
      </c>
      <c r="E92" s="8" t="str">
        <f>IF(OR(A92="",B92=""),"",IFERROR(XLOOKUP(1,(Raw_Observations!$A$2:$A$1001=A92)*(Raw_Observations!$B$2:$B$1001=B92),Raw_Observations!$D$2:$D$1001,""),""))</f>
        <v/>
      </c>
      <c r="F92" s="8" t="str">
        <f>IF(OR(A92="",B92=""),"",IFERROR(XLOOKUP(1,(Order_History!$A$2:$A$501=A92)*(Order_History!$B$2:$B$501=B92),Order_History!$D$2:$D$501,""),""))</f>
        <v/>
      </c>
      <c r="G92" s="8" t="str">
        <f>IF(COUNTIFS(Pricing!$A:$A,A92,Pricing!$B:$B,B92)=0,"",SUMIFS(Pricing!$G:$G,Pricing!$A:$A,A92,Pricing!$B:$B,B92))</f>
        <v/>
      </c>
      <c r="H92" s="9" t="str">
        <f t="shared" si="7"/>
        <v/>
      </c>
      <c r="I92" s="3">
        <v>0</v>
      </c>
      <c r="J92" s="3">
        <v>0</v>
      </c>
      <c r="K92" s="9" t="str">
        <f t="shared" si="8"/>
        <v/>
      </c>
      <c r="L92" s="6" t="str">
        <f t="shared" si="9"/>
        <v/>
      </c>
      <c r="M92" s="10" t="str">
        <f t="shared" si="10"/>
        <v/>
      </c>
      <c r="N92" s="6" t="str">
        <f t="shared" si="11"/>
        <v/>
      </c>
    </row>
    <row r="93" spans="1:14">
      <c r="A93" s="2"/>
      <c r="B93" s="2"/>
      <c r="C93" s="22" t="str">
        <f>IF(OR(A93="",B93=""),"",IFERROR(XLOOKUP(1,(Buy_History!$A$2:$A$501=A93)*(Buy_History!$B$2:$B$501=B93),Buy_History!$C$2:$C$501,""),""))</f>
        <v/>
      </c>
      <c r="D93" s="22" t="str">
        <f>IF(OR(A93="",B93=""),"",IFERROR(XLOOKUP(1,(Sell_History!$A$2:$A$501=A93)*(Sell_History!$B$2:$B$501=B93),Sell_History!$C$2:$C$501,""),""))</f>
        <v/>
      </c>
      <c r="E93" s="8" t="str">
        <f>IF(OR(A93="",B93=""),"",IFERROR(XLOOKUP(1,(Raw_Observations!$A$2:$A$1001=A93)*(Raw_Observations!$B$2:$B$1001=B93),Raw_Observations!$D$2:$D$1001,""),""))</f>
        <v/>
      </c>
      <c r="F93" s="8" t="str">
        <f>IF(OR(A93="",B93=""),"",IFERROR(XLOOKUP(1,(Order_History!$A$2:$A$501=A93)*(Order_History!$B$2:$B$501=B93),Order_History!$D$2:$D$501,""),""))</f>
        <v/>
      </c>
      <c r="G93" s="8" t="str">
        <f>IF(COUNTIFS(Pricing!$A:$A,A93,Pricing!$B:$B,B93)=0,"",SUMIFS(Pricing!$G:$G,Pricing!$A:$A,A93,Pricing!$B:$B,B93))</f>
        <v/>
      </c>
      <c r="H93" s="9" t="str">
        <f t="shared" si="7"/>
        <v/>
      </c>
      <c r="I93" s="3">
        <v>0</v>
      </c>
      <c r="J93" s="3">
        <v>0</v>
      </c>
      <c r="K93" s="9" t="str">
        <f t="shared" si="8"/>
        <v/>
      </c>
      <c r="L93" s="6" t="str">
        <f t="shared" si="9"/>
        <v/>
      </c>
      <c r="M93" s="10" t="str">
        <f t="shared" si="10"/>
        <v/>
      </c>
      <c r="N93" s="6" t="str">
        <f t="shared" si="11"/>
        <v/>
      </c>
    </row>
    <row r="94" spans="1:14">
      <c r="A94" s="2"/>
      <c r="B94" s="2"/>
      <c r="C94" s="22" t="str">
        <f>IF(OR(A94="",B94=""),"",IFERROR(XLOOKUP(1,(Buy_History!$A$2:$A$501=A94)*(Buy_History!$B$2:$B$501=B94),Buy_History!$C$2:$C$501,""),""))</f>
        <v/>
      </c>
      <c r="D94" s="22" t="str">
        <f>IF(OR(A94="",B94=""),"",IFERROR(XLOOKUP(1,(Sell_History!$A$2:$A$501=A94)*(Sell_History!$B$2:$B$501=B94),Sell_History!$C$2:$C$501,""),""))</f>
        <v/>
      </c>
      <c r="E94" s="8" t="str">
        <f>IF(OR(A94="",B94=""),"",IFERROR(XLOOKUP(1,(Raw_Observations!$A$2:$A$1001=A94)*(Raw_Observations!$B$2:$B$1001=B94),Raw_Observations!$D$2:$D$1001,""),""))</f>
        <v/>
      </c>
      <c r="F94" s="8" t="str">
        <f>IF(OR(A94="",B94=""),"",IFERROR(XLOOKUP(1,(Order_History!$A$2:$A$501=A94)*(Order_History!$B$2:$B$501=B94),Order_History!$D$2:$D$501,""),""))</f>
        <v/>
      </c>
      <c r="G94" s="8" t="str">
        <f>IF(COUNTIFS(Pricing!$A:$A,A94,Pricing!$B:$B,B94)=0,"",SUMIFS(Pricing!$G:$G,Pricing!$A:$A,A94,Pricing!$B:$B,B94))</f>
        <v/>
      </c>
      <c r="H94" s="9" t="str">
        <f t="shared" si="7"/>
        <v/>
      </c>
      <c r="I94" s="3">
        <v>0</v>
      </c>
      <c r="J94" s="3">
        <v>0</v>
      </c>
      <c r="K94" s="9" t="str">
        <f t="shared" si="8"/>
        <v/>
      </c>
      <c r="L94" s="6" t="str">
        <f t="shared" si="9"/>
        <v/>
      </c>
      <c r="M94" s="10" t="str">
        <f t="shared" si="10"/>
        <v/>
      </c>
      <c r="N94" s="6" t="str">
        <f t="shared" si="11"/>
        <v/>
      </c>
    </row>
    <row r="95" spans="1:14">
      <c r="A95" s="2"/>
      <c r="B95" s="2"/>
      <c r="C95" s="22" t="str">
        <f>IF(OR(A95="",B95=""),"",IFERROR(XLOOKUP(1,(Buy_History!$A$2:$A$501=A95)*(Buy_History!$B$2:$B$501=B95),Buy_History!$C$2:$C$501,""),""))</f>
        <v/>
      </c>
      <c r="D95" s="22" t="str">
        <f>IF(OR(A95="",B95=""),"",IFERROR(XLOOKUP(1,(Sell_History!$A$2:$A$501=A95)*(Sell_History!$B$2:$B$501=B95),Sell_History!$C$2:$C$501,""),""))</f>
        <v/>
      </c>
      <c r="E95" s="8" t="str">
        <f>IF(OR(A95="",B95=""),"",IFERROR(XLOOKUP(1,(Raw_Observations!$A$2:$A$1001=A95)*(Raw_Observations!$B$2:$B$1001=B95),Raw_Observations!$D$2:$D$1001,""),""))</f>
        <v/>
      </c>
      <c r="F95" s="8" t="str">
        <f>IF(OR(A95="",B95=""),"",IFERROR(XLOOKUP(1,(Order_History!$A$2:$A$501=A95)*(Order_History!$B$2:$B$501=B95),Order_History!$D$2:$D$501,""),""))</f>
        <v/>
      </c>
      <c r="G95" s="8" t="str">
        <f>IF(COUNTIFS(Pricing!$A:$A,A95,Pricing!$B:$B,B95)=0,"",SUMIFS(Pricing!$G:$G,Pricing!$A:$A,A95,Pricing!$B:$B,B95))</f>
        <v/>
      </c>
      <c r="H95" s="9" t="str">
        <f t="shared" si="7"/>
        <v/>
      </c>
      <c r="I95" s="3">
        <v>0</v>
      </c>
      <c r="J95" s="3">
        <v>0</v>
      </c>
      <c r="K95" s="9" t="str">
        <f t="shared" si="8"/>
        <v/>
      </c>
      <c r="L95" s="6" t="str">
        <f t="shared" si="9"/>
        <v/>
      </c>
      <c r="M95" s="10" t="str">
        <f t="shared" si="10"/>
        <v/>
      </c>
      <c r="N95" s="6" t="str">
        <f t="shared" si="11"/>
        <v/>
      </c>
    </row>
    <row r="96" spans="1:14">
      <c r="A96" s="2"/>
      <c r="B96" s="2"/>
      <c r="C96" s="22" t="str">
        <f>IF(OR(A96="",B96=""),"",IFERROR(XLOOKUP(1,(Buy_History!$A$2:$A$501=A96)*(Buy_History!$B$2:$B$501=B96),Buy_History!$C$2:$C$501,""),""))</f>
        <v/>
      </c>
      <c r="D96" s="22" t="str">
        <f>IF(OR(A96="",B96=""),"",IFERROR(XLOOKUP(1,(Sell_History!$A$2:$A$501=A96)*(Sell_History!$B$2:$B$501=B96),Sell_History!$C$2:$C$501,""),""))</f>
        <v/>
      </c>
      <c r="E96" s="8" t="str">
        <f>IF(OR(A96="",B96=""),"",IFERROR(XLOOKUP(1,(Raw_Observations!$A$2:$A$1001=A96)*(Raw_Observations!$B$2:$B$1001=B96),Raw_Observations!$D$2:$D$1001,""),""))</f>
        <v/>
      </c>
      <c r="F96" s="8" t="str">
        <f>IF(OR(A96="",B96=""),"",IFERROR(XLOOKUP(1,(Order_History!$A$2:$A$501=A96)*(Order_History!$B$2:$B$501=B96),Order_History!$D$2:$D$501,""),""))</f>
        <v/>
      </c>
      <c r="G96" s="8" t="str">
        <f>IF(COUNTIFS(Pricing!$A:$A,A96,Pricing!$B:$B,B96)=0,"",SUMIFS(Pricing!$G:$G,Pricing!$A:$A,A96,Pricing!$B:$B,B96))</f>
        <v/>
      </c>
      <c r="H96" s="9" t="str">
        <f t="shared" si="7"/>
        <v/>
      </c>
      <c r="I96" s="3">
        <v>0</v>
      </c>
      <c r="J96" s="3">
        <v>0</v>
      </c>
      <c r="K96" s="9" t="str">
        <f t="shared" si="8"/>
        <v/>
      </c>
      <c r="L96" s="6" t="str">
        <f t="shared" si="9"/>
        <v/>
      </c>
      <c r="M96" s="10" t="str">
        <f t="shared" si="10"/>
        <v/>
      </c>
      <c r="N96" s="6" t="str">
        <f t="shared" si="11"/>
        <v/>
      </c>
    </row>
    <row r="97" spans="1:14">
      <c r="A97" s="2"/>
      <c r="B97" s="2"/>
      <c r="C97" s="22" t="str">
        <f>IF(OR(A97="",B97=""),"",IFERROR(XLOOKUP(1,(Buy_History!$A$2:$A$501=A97)*(Buy_History!$B$2:$B$501=B97),Buy_History!$C$2:$C$501,""),""))</f>
        <v/>
      </c>
      <c r="D97" s="22" t="str">
        <f>IF(OR(A97="",B97=""),"",IFERROR(XLOOKUP(1,(Sell_History!$A$2:$A$501=A97)*(Sell_History!$B$2:$B$501=B97),Sell_History!$C$2:$C$501,""),""))</f>
        <v/>
      </c>
      <c r="E97" s="8" t="str">
        <f>IF(OR(A97="",B97=""),"",IFERROR(XLOOKUP(1,(Raw_Observations!$A$2:$A$1001=A97)*(Raw_Observations!$B$2:$B$1001=B97),Raw_Observations!$D$2:$D$1001,""),""))</f>
        <v/>
      </c>
      <c r="F97" s="8" t="str">
        <f>IF(OR(A97="",B97=""),"",IFERROR(XLOOKUP(1,(Order_History!$A$2:$A$501=A97)*(Order_History!$B$2:$B$501=B97),Order_History!$D$2:$D$501,""),""))</f>
        <v/>
      </c>
      <c r="G97" s="8" t="str">
        <f>IF(COUNTIFS(Pricing!$A:$A,A97,Pricing!$B:$B,B97)=0,"",SUMIFS(Pricing!$G:$G,Pricing!$A:$A,A97,Pricing!$B:$B,B97))</f>
        <v/>
      </c>
      <c r="H97" s="9" t="str">
        <f t="shared" si="7"/>
        <v/>
      </c>
      <c r="I97" s="3">
        <v>0</v>
      </c>
      <c r="J97" s="3">
        <v>0</v>
      </c>
      <c r="K97" s="9" t="str">
        <f t="shared" si="8"/>
        <v/>
      </c>
      <c r="L97" s="6" t="str">
        <f t="shared" si="9"/>
        <v/>
      </c>
      <c r="M97" s="10" t="str">
        <f t="shared" si="10"/>
        <v/>
      </c>
      <c r="N97" s="6" t="str">
        <f t="shared" si="11"/>
        <v/>
      </c>
    </row>
    <row r="98" spans="1:14">
      <c r="A98" s="2"/>
      <c r="B98" s="2"/>
      <c r="C98" s="22" t="str">
        <f>IF(OR(A98="",B98=""),"",IFERROR(XLOOKUP(1,(Buy_History!$A$2:$A$501=A98)*(Buy_History!$B$2:$B$501=B98),Buy_History!$C$2:$C$501,""),""))</f>
        <v/>
      </c>
      <c r="D98" s="22" t="str">
        <f>IF(OR(A98="",B98=""),"",IFERROR(XLOOKUP(1,(Sell_History!$A$2:$A$501=A98)*(Sell_History!$B$2:$B$501=B98),Sell_History!$C$2:$C$501,""),""))</f>
        <v/>
      </c>
      <c r="E98" s="8" t="str">
        <f>IF(OR(A98="",B98=""),"",IFERROR(XLOOKUP(1,(Raw_Observations!$A$2:$A$1001=A98)*(Raw_Observations!$B$2:$B$1001=B98),Raw_Observations!$D$2:$D$1001,""),""))</f>
        <v/>
      </c>
      <c r="F98" s="8" t="str">
        <f>IF(OR(A98="",B98=""),"",IFERROR(XLOOKUP(1,(Order_History!$A$2:$A$501=A98)*(Order_History!$B$2:$B$501=B98),Order_History!$D$2:$D$501,""),""))</f>
        <v/>
      </c>
      <c r="G98" s="8" t="str">
        <f>IF(COUNTIFS(Pricing!$A:$A,A98,Pricing!$B:$B,B98)=0,"",SUMIFS(Pricing!$G:$G,Pricing!$A:$A,A98,Pricing!$B:$B,B98))</f>
        <v/>
      </c>
      <c r="H98" s="9" t="str">
        <f t="shared" si="7"/>
        <v/>
      </c>
      <c r="I98" s="3">
        <v>0</v>
      </c>
      <c r="J98" s="3">
        <v>0</v>
      </c>
      <c r="K98" s="9" t="str">
        <f t="shared" si="8"/>
        <v/>
      </c>
      <c r="L98" s="6" t="str">
        <f t="shared" si="9"/>
        <v/>
      </c>
      <c r="M98" s="10" t="str">
        <f t="shared" si="10"/>
        <v/>
      </c>
      <c r="N98" s="6" t="str">
        <f t="shared" si="11"/>
        <v/>
      </c>
    </row>
    <row r="99" spans="1:14">
      <c r="A99" s="2"/>
      <c r="B99" s="2"/>
      <c r="C99" s="22" t="str">
        <f>IF(OR(A99="",B99=""),"",IFERROR(XLOOKUP(1,(Buy_History!$A$2:$A$501=A99)*(Buy_History!$B$2:$B$501=B99),Buy_History!$C$2:$C$501,""),""))</f>
        <v/>
      </c>
      <c r="D99" s="22" t="str">
        <f>IF(OR(A99="",B99=""),"",IFERROR(XLOOKUP(1,(Sell_History!$A$2:$A$501=A99)*(Sell_History!$B$2:$B$501=B99),Sell_History!$C$2:$C$501,""),""))</f>
        <v/>
      </c>
      <c r="E99" s="8" t="str">
        <f>IF(OR(A99="",B99=""),"",IFERROR(XLOOKUP(1,(Raw_Observations!$A$2:$A$1001=A99)*(Raw_Observations!$B$2:$B$1001=B99),Raw_Observations!$D$2:$D$1001,""),""))</f>
        <v/>
      </c>
      <c r="F99" s="8" t="str">
        <f>IF(OR(A99="",B99=""),"",IFERROR(XLOOKUP(1,(Order_History!$A$2:$A$501=A99)*(Order_History!$B$2:$B$501=B99),Order_History!$D$2:$D$501,""),""))</f>
        <v/>
      </c>
      <c r="G99" s="8" t="str">
        <f>IF(COUNTIFS(Pricing!$A:$A,A99,Pricing!$B:$B,B99)=0,"",SUMIFS(Pricing!$G:$G,Pricing!$A:$A,A99,Pricing!$B:$B,B99))</f>
        <v/>
      </c>
      <c r="H99" s="9" t="str">
        <f t="shared" si="7"/>
        <v/>
      </c>
      <c r="I99" s="3">
        <v>0</v>
      </c>
      <c r="J99" s="3">
        <v>0</v>
      </c>
      <c r="K99" s="9" t="str">
        <f t="shared" si="8"/>
        <v/>
      </c>
      <c r="L99" s="6" t="str">
        <f t="shared" si="9"/>
        <v/>
      </c>
      <c r="M99" s="10" t="str">
        <f t="shared" si="10"/>
        <v/>
      </c>
      <c r="N99" s="6" t="str">
        <f t="shared" si="11"/>
        <v/>
      </c>
    </row>
    <row r="100" spans="1:14">
      <c r="A100" s="2"/>
      <c r="B100" s="2"/>
      <c r="C100" s="22" t="str">
        <f>IF(OR(A100="",B100=""),"",IFERROR(XLOOKUP(1,(Buy_History!$A$2:$A$501=A100)*(Buy_History!$B$2:$B$501=B100),Buy_History!$C$2:$C$501,""),""))</f>
        <v/>
      </c>
      <c r="D100" s="22" t="str">
        <f>IF(OR(A100="",B100=""),"",IFERROR(XLOOKUP(1,(Sell_History!$A$2:$A$501=A100)*(Sell_History!$B$2:$B$501=B100),Sell_History!$C$2:$C$501,""),""))</f>
        <v/>
      </c>
      <c r="E100" s="8" t="str">
        <f>IF(OR(A100="",B100=""),"",IFERROR(XLOOKUP(1,(Raw_Observations!$A$2:$A$1001=A100)*(Raw_Observations!$B$2:$B$1001=B100),Raw_Observations!$D$2:$D$1001,""),""))</f>
        <v/>
      </c>
      <c r="F100" s="8" t="str">
        <f>IF(OR(A100="",B100=""),"",IFERROR(XLOOKUP(1,(Order_History!$A$2:$A$501=A100)*(Order_History!$B$2:$B$501=B100),Order_History!$D$2:$D$501,""),""))</f>
        <v/>
      </c>
      <c r="G100" s="8" t="str">
        <f>IF(COUNTIFS(Pricing!$A:$A,A100,Pricing!$B:$B,B100)=0,"",SUMIFS(Pricing!$G:$G,Pricing!$A:$A,A100,Pricing!$B:$B,B100))</f>
        <v/>
      </c>
      <c r="H100" s="9" t="str">
        <f t="shared" si="7"/>
        <v/>
      </c>
      <c r="I100" s="3">
        <v>0</v>
      </c>
      <c r="J100" s="3">
        <v>0</v>
      </c>
      <c r="K100" s="9" t="str">
        <f t="shared" si="8"/>
        <v/>
      </c>
      <c r="L100" s="6" t="str">
        <f t="shared" si="9"/>
        <v/>
      </c>
      <c r="M100" s="10" t="str">
        <f t="shared" si="10"/>
        <v/>
      </c>
      <c r="N100" s="6" t="str">
        <f t="shared" si="11"/>
        <v/>
      </c>
    </row>
    <row r="101" spans="1:14">
      <c r="A101" s="2"/>
      <c r="B101" s="2"/>
      <c r="C101" s="22" t="str">
        <f>IF(OR(A101="",B101=""),"",IFERROR(XLOOKUP(1,(Buy_History!$A$2:$A$501=A101)*(Buy_History!$B$2:$B$501=B101),Buy_History!$C$2:$C$501,""),""))</f>
        <v/>
      </c>
      <c r="D101" s="22" t="str">
        <f>IF(OR(A101="",B101=""),"",IFERROR(XLOOKUP(1,(Sell_History!$A$2:$A$501=A101)*(Sell_History!$B$2:$B$501=B101),Sell_History!$C$2:$C$501,""),""))</f>
        <v/>
      </c>
      <c r="E101" s="8" t="str">
        <f>IF(OR(A101="",B101=""),"",IFERROR(XLOOKUP(1,(Raw_Observations!$A$2:$A$1001=A101)*(Raw_Observations!$B$2:$B$1001=B101),Raw_Observations!$D$2:$D$1001,""),""))</f>
        <v/>
      </c>
      <c r="F101" s="8" t="str">
        <f>IF(OR(A101="",B101=""),"",IFERROR(XLOOKUP(1,(Order_History!$A$2:$A$501=A101)*(Order_History!$B$2:$B$501=B101),Order_History!$D$2:$D$501,""),""))</f>
        <v/>
      </c>
      <c r="G101" s="8" t="str">
        <f>IF(COUNTIFS(Pricing!$A:$A,A101,Pricing!$B:$B,B101)=0,"",SUMIFS(Pricing!$G:$G,Pricing!$A:$A,A101,Pricing!$B:$B,B101))</f>
        <v/>
      </c>
      <c r="H101" s="9" t="str">
        <f t="shared" si="7"/>
        <v/>
      </c>
      <c r="I101" s="3">
        <v>0</v>
      </c>
      <c r="J101" s="3">
        <v>0</v>
      </c>
      <c r="K101" s="9" t="str">
        <f t="shared" si="8"/>
        <v/>
      </c>
      <c r="L101" s="6" t="str">
        <f t="shared" si="9"/>
        <v/>
      </c>
      <c r="M101" s="10" t="str">
        <f t="shared" si="10"/>
        <v/>
      </c>
      <c r="N101" s="6" t="str">
        <f t="shared" si="11"/>
        <v/>
      </c>
    </row>
    <row r="102" spans="1:14">
      <c r="A102" s="2"/>
      <c r="B102" s="2"/>
      <c r="C102" s="22" t="str">
        <f>IF(OR(A102="",B102=""),"",IFERROR(XLOOKUP(1,(Buy_History!$A$2:$A$501=A102)*(Buy_History!$B$2:$B$501=B102),Buy_History!$C$2:$C$501,""),""))</f>
        <v/>
      </c>
      <c r="D102" s="22" t="str">
        <f>IF(OR(A102="",B102=""),"",IFERROR(XLOOKUP(1,(Sell_History!$A$2:$A$501=A102)*(Sell_History!$B$2:$B$501=B102),Sell_History!$C$2:$C$501,""),""))</f>
        <v/>
      </c>
      <c r="E102" s="8" t="str">
        <f>IF(OR(A102="",B102=""),"",IFERROR(XLOOKUP(1,(Raw_Observations!$A$2:$A$1001=A102)*(Raw_Observations!$B$2:$B$1001=B102),Raw_Observations!$D$2:$D$1001,""),""))</f>
        <v/>
      </c>
      <c r="F102" s="8" t="str">
        <f>IF(OR(A102="",B102=""),"",IFERROR(XLOOKUP(1,(Order_History!$A$2:$A$501=A102)*(Order_History!$B$2:$B$501=B102),Order_History!$D$2:$D$501,""),""))</f>
        <v/>
      </c>
      <c r="G102" s="8" t="str">
        <f>IF(COUNTIFS(Pricing!$A:$A,A102,Pricing!$B:$B,B102)=0,"",SUMIFS(Pricing!$G:$G,Pricing!$A:$A,A102,Pricing!$B:$B,B102))</f>
        <v/>
      </c>
      <c r="H102" s="9" t="str">
        <f t="shared" si="7"/>
        <v/>
      </c>
      <c r="I102" s="3">
        <v>0</v>
      </c>
      <c r="J102" s="3">
        <v>0</v>
      </c>
      <c r="K102" s="9" t="str">
        <f t="shared" si="8"/>
        <v/>
      </c>
      <c r="L102" s="6" t="str">
        <f t="shared" si="9"/>
        <v/>
      </c>
      <c r="M102" s="10" t="str">
        <f t="shared" si="10"/>
        <v/>
      </c>
      <c r="N102" s="6" t="str">
        <f t="shared" si="11"/>
        <v/>
      </c>
    </row>
    <row r="103" spans="1:14">
      <c r="A103" s="2"/>
      <c r="B103" s="2"/>
      <c r="C103" s="22" t="str">
        <f>IF(OR(A103="",B103=""),"",IFERROR(XLOOKUP(1,(Buy_History!$A$2:$A$501=A103)*(Buy_History!$B$2:$B$501=B103),Buy_History!$C$2:$C$501,""),""))</f>
        <v/>
      </c>
      <c r="D103" s="22" t="str">
        <f>IF(OR(A103="",B103=""),"",IFERROR(XLOOKUP(1,(Sell_History!$A$2:$A$501=A103)*(Sell_History!$B$2:$B$501=B103),Sell_History!$C$2:$C$501,""),""))</f>
        <v/>
      </c>
      <c r="E103" s="8" t="str">
        <f>IF(OR(A103="",B103=""),"",IFERROR(XLOOKUP(1,(Raw_Observations!$A$2:$A$1001=A103)*(Raw_Observations!$B$2:$B$1001=B103),Raw_Observations!$D$2:$D$1001,""),""))</f>
        <v/>
      </c>
      <c r="F103" s="8" t="str">
        <f>IF(OR(A103="",B103=""),"",IFERROR(XLOOKUP(1,(Order_History!$A$2:$A$501=A103)*(Order_History!$B$2:$B$501=B103),Order_History!$D$2:$D$501,""),""))</f>
        <v/>
      </c>
      <c r="G103" s="8" t="str">
        <f>IF(COUNTIFS(Pricing!$A:$A,A103,Pricing!$B:$B,B103)=0,"",SUMIFS(Pricing!$G:$G,Pricing!$A:$A,A103,Pricing!$B:$B,B103))</f>
        <v/>
      </c>
      <c r="H103" s="9" t="str">
        <f t="shared" si="7"/>
        <v/>
      </c>
      <c r="I103" s="3">
        <v>0</v>
      </c>
      <c r="J103" s="3">
        <v>0</v>
      </c>
      <c r="K103" s="9" t="str">
        <f t="shared" si="8"/>
        <v/>
      </c>
      <c r="L103" s="6" t="str">
        <f t="shared" si="9"/>
        <v/>
      </c>
      <c r="M103" s="10" t="str">
        <f t="shared" si="10"/>
        <v/>
      </c>
      <c r="N103" s="6" t="str">
        <f t="shared" si="11"/>
        <v/>
      </c>
    </row>
    <row r="104" spans="1:14">
      <c r="A104" s="2"/>
      <c r="B104" s="2"/>
      <c r="C104" s="22" t="str">
        <f>IF(OR(A104="",B104=""),"",IFERROR(XLOOKUP(1,(Buy_History!$A$2:$A$501=A104)*(Buy_History!$B$2:$B$501=B104),Buy_History!$C$2:$C$501,""),""))</f>
        <v/>
      </c>
      <c r="D104" s="22" t="str">
        <f>IF(OR(A104="",B104=""),"",IFERROR(XLOOKUP(1,(Sell_History!$A$2:$A$501=A104)*(Sell_History!$B$2:$B$501=B104),Sell_History!$C$2:$C$501,""),""))</f>
        <v/>
      </c>
      <c r="E104" s="8" t="str">
        <f>IF(OR(A104="",B104=""),"",IFERROR(XLOOKUP(1,(Raw_Observations!$A$2:$A$1001=A104)*(Raw_Observations!$B$2:$B$1001=B104),Raw_Observations!$D$2:$D$1001,""),""))</f>
        <v/>
      </c>
      <c r="F104" s="8" t="str">
        <f>IF(OR(A104="",B104=""),"",IFERROR(XLOOKUP(1,(Order_History!$A$2:$A$501=A104)*(Order_History!$B$2:$B$501=B104),Order_History!$D$2:$D$501,""),""))</f>
        <v/>
      </c>
      <c r="G104" s="8" t="str">
        <f>IF(COUNTIFS(Pricing!$A:$A,A104,Pricing!$B:$B,B104)=0,"",SUMIFS(Pricing!$G:$G,Pricing!$A:$A,A104,Pricing!$B:$B,B104))</f>
        <v/>
      </c>
      <c r="H104" s="9" t="str">
        <f t="shared" si="7"/>
        <v/>
      </c>
      <c r="I104" s="3">
        <v>0</v>
      </c>
      <c r="J104" s="3">
        <v>0</v>
      </c>
      <c r="K104" s="9" t="str">
        <f t="shared" si="8"/>
        <v/>
      </c>
      <c r="L104" s="6" t="str">
        <f t="shared" si="9"/>
        <v/>
      </c>
      <c r="M104" s="10" t="str">
        <f t="shared" si="10"/>
        <v/>
      </c>
      <c r="N104" s="6" t="str">
        <f t="shared" si="11"/>
        <v/>
      </c>
    </row>
    <row r="105" spans="1:14">
      <c r="A105" s="2"/>
      <c r="B105" s="2"/>
      <c r="C105" s="22" t="str">
        <f>IF(OR(A105="",B105=""),"",IFERROR(XLOOKUP(1,(Buy_History!$A$2:$A$501=A105)*(Buy_History!$B$2:$B$501=B105),Buy_History!$C$2:$C$501,""),""))</f>
        <v/>
      </c>
      <c r="D105" s="22" t="str">
        <f>IF(OR(A105="",B105=""),"",IFERROR(XLOOKUP(1,(Sell_History!$A$2:$A$501=A105)*(Sell_History!$B$2:$B$501=B105),Sell_History!$C$2:$C$501,""),""))</f>
        <v/>
      </c>
      <c r="E105" s="8" t="str">
        <f>IF(OR(A105="",B105=""),"",IFERROR(XLOOKUP(1,(Raw_Observations!$A$2:$A$1001=A105)*(Raw_Observations!$B$2:$B$1001=B105),Raw_Observations!$D$2:$D$1001,""),""))</f>
        <v/>
      </c>
      <c r="F105" s="8" t="str">
        <f>IF(OR(A105="",B105=""),"",IFERROR(XLOOKUP(1,(Order_History!$A$2:$A$501=A105)*(Order_History!$B$2:$B$501=B105),Order_History!$D$2:$D$501,""),""))</f>
        <v/>
      </c>
      <c r="G105" s="8" t="str">
        <f>IF(COUNTIFS(Pricing!$A:$A,A105,Pricing!$B:$B,B105)=0,"",SUMIFS(Pricing!$G:$G,Pricing!$A:$A,A105,Pricing!$B:$B,B105))</f>
        <v/>
      </c>
      <c r="H105" s="9" t="str">
        <f t="shared" si="7"/>
        <v/>
      </c>
      <c r="I105" s="3">
        <v>0</v>
      </c>
      <c r="J105" s="3">
        <v>0</v>
      </c>
      <c r="K105" s="9" t="str">
        <f t="shared" si="8"/>
        <v/>
      </c>
      <c r="L105" s="6" t="str">
        <f t="shared" si="9"/>
        <v/>
      </c>
      <c r="M105" s="10" t="str">
        <f t="shared" si="10"/>
        <v/>
      </c>
      <c r="N105" s="6" t="str">
        <f t="shared" si="11"/>
        <v/>
      </c>
    </row>
    <row r="106" spans="1:14">
      <c r="A106" s="2"/>
      <c r="B106" s="2"/>
      <c r="C106" s="22" t="str">
        <f>IF(OR(A106="",B106=""),"",IFERROR(XLOOKUP(1,(Buy_History!$A$2:$A$501=A106)*(Buy_History!$B$2:$B$501=B106),Buy_History!$C$2:$C$501,""),""))</f>
        <v/>
      </c>
      <c r="D106" s="22" t="str">
        <f>IF(OR(A106="",B106=""),"",IFERROR(XLOOKUP(1,(Sell_History!$A$2:$A$501=A106)*(Sell_History!$B$2:$B$501=B106),Sell_History!$C$2:$C$501,""),""))</f>
        <v/>
      </c>
      <c r="E106" s="8" t="str">
        <f>IF(OR(A106="",B106=""),"",IFERROR(XLOOKUP(1,(Raw_Observations!$A$2:$A$1001=A106)*(Raw_Observations!$B$2:$B$1001=B106),Raw_Observations!$D$2:$D$1001,""),""))</f>
        <v/>
      </c>
      <c r="F106" s="8" t="str">
        <f>IF(OR(A106="",B106=""),"",IFERROR(XLOOKUP(1,(Order_History!$A$2:$A$501=A106)*(Order_History!$B$2:$B$501=B106),Order_History!$D$2:$D$501,""),""))</f>
        <v/>
      </c>
      <c r="G106" s="8" t="str">
        <f>IF(COUNTIFS(Pricing!$A:$A,A106,Pricing!$B:$B,B106)=0,"",SUMIFS(Pricing!$G:$G,Pricing!$A:$A,A106,Pricing!$B:$B,B106))</f>
        <v/>
      </c>
      <c r="H106" s="9" t="str">
        <f t="shared" si="7"/>
        <v/>
      </c>
      <c r="I106" s="3">
        <v>0</v>
      </c>
      <c r="J106" s="3">
        <v>0</v>
      </c>
      <c r="K106" s="9" t="str">
        <f t="shared" si="8"/>
        <v/>
      </c>
      <c r="L106" s="6" t="str">
        <f t="shared" si="9"/>
        <v/>
      </c>
      <c r="M106" s="10" t="str">
        <f t="shared" si="10"/>
        <v/>
      </c>
      <c r="N106" s="6" t="str">
        <f t="shared" si="11"/>
        <v/>
      </c>
    </row>
    <row r="107" spans="1:14">
      <c r="A107" s="2"/>
      <c r="B107" s="2"/>
      <c r="C107" s="22" t="str">
        <f>IF(OR(A107="",B107=""),"",IFERROR(XLOOKUP(1,(Buy_History!$A$2:$A$501=A107)*(Buy_History!$B$2:$B$501=B107),Buy_History!$C$2:$C$501,""),""))</f>
        <v/>
      </c>
      <c r="D107" s="22" t="str">
        <f>IF(OR(A107="",B107=""),"",IFERROR(XLOOKUP(1,(Sell_History!$A$2:$A$501=A107)*(Sell_History!$B$2:$B$501=B107),Sell_History!$C$2:$C$501,""),""))</f>
        <v/>
      </c>
      <c r="E107" s="8" t="str">
        <f>IF(OR(A107="",B107=""),"",IFERROR(XLOOKUP(1,(Raw_Observations!$A$2:$A$1001=A107)*(Raw_Observations!$B$2:$B$1001=B107),Raw_Observations!$D$2:$D$1001,""),""))</f>
        <v/>
      </c>
      <c r="F107" s="8" t="str">
        <f>IF(OR(A107="",B107=""),"",IFERROR(XLOOKUP(1,(Order_History!$A$2:$A$501=A107)*(Order_History!$B$2:$B$501=B107),Order_History!$D$2:$D$501,""),""))</f>
        <v/>
      </c>
      <c r="G107" s="8" t="str">
        <f>IF(COUNTIFS(Pricing!$A:$A,A107,Pricing!$B:$B,B107)=0,"",SUMIFS(Pricing!$G:$G,Pricing!$A:$A,A107,Pricing!$B:$B,B107))</f>
        <v/>
      </c>
      <c r="H107" s="9" t="str">
        <f t="shared" si="7"/>
        <v/>
      </c>
      <c r="I107" s="3">
        <v>0</v>
      </c>
      <c r="J107" s="3">
        <v>0</v>
      </c>
      <c r="K107" s="9" t="str">
        <f t="shared" si="8"/>
        <v/>
      </c>
      <c r="L107" s="6" t="str">
        <f t="shared" si="9"/>
        <v/>
      </c>
      <c r="M107" s="10" t="str">
        <f t="shared" si="10"/>
        <v/>
      </c>
      <c r="N107" s="6" t="str">
        <f t="shared" si="11"/>
        <v/>
      </c>
    </row>
    <row r="108" spans="1:14">
      <c r="A108" s="2"/>
      <c r="B108" s="2"/>
      <c r="C108" s="22" t="str">
        <f>IF(OR(A108="",B108=""),"",IFERROR(XLOOKUP(1,(Buy_History!$A$2:$A$501=A108)*(Buy_History!$B$2:$B$501=B108),Buy_History!$C$2:$C$501,""),""))</f>
        <v/>
      </c>
      <c r="D108" s="22" t="str">
        <f>IF(OR(A108="",B108=""),"",IFERROR(XLOOKUP(1,(Sell_History!$A$2:$A$501=A108)*(Sell_History!$B$2:$B$501=B108),Sell_History!$C$2:$C$501,""),""))</f>
        <v/>
      </c>
      <c r="E108" s="8" t="str">
        <f>IF(OR(A108="",B108=""),"",IFERROR(XLOOKUP(1,(Raw_Observations!$A$2:$A$1001=A108)*(Raw_Observations!$B$2:$B$1001=B108),Raw_Observations!$D$2:$D$1001,""),""))</f>
        <v/>
      </c>
      <c r="F108" s="8" t="str">
        <f>IF(OR(A108="",B108=""),"",IFERROR(XLOOKUP(1,(Order_History!$A$2:$A$501=A108)*(Order_History!$B$2:$B$501=B108),Order_History!$D$2:$D$501,""),""))</f>
        <v/>
      </c>
      <c r="G108" s="8" t="str">
        <f>IF(COUNTIFS(Pricing!$A:$A,A108,Pricing!$B:$B,B108)=0,"",SUMIFS(Pricing!$G:$G,Pricing!$A:$A,A108,Pricing!$B:$B,B108))</f>
        <v/>
      </c>
      <c r="H108" s="9" t="str">
        <f t="shared" si="7"/>
        <v/>
      </c>
      <c r="I108" s="3">
        <v>0</v>
      </c>
      <c r="J108" s="3">
        <v>0</v>
      </c>
      <c r="K108" s="9" t="str">
        <f t="shared" si="8"/>
        <v/>
      </c>
      <c r="L108" s="6" t="str">
        <f t="shared" si="9"/>
        <v/>
      </c>
      <c r="M108" s="10" t="str">
        <f t="shared" si="10"/>
        <v/>
      </c>
      <c r="N108" s="6" t="str">
        <f t="shared" si="11"/>
        <v/>
      </c>
    </row>
    <row r="109" spans="1:14">
      <c r="A109" s="2"/>
      <c r="B109" s="2"/>
      <c r="C109" s="22" t="str">
        <f>IF(OR(A109="",B109=""),"",IFERROR(XLOOKUP(1,(Buy_History!$A$2:$A$501=A109)*(Buy_History!$B$2:$B$501=B109),Buy_History!$C$2:$C$501,""),""))</f>
        <v/>
      </c>
      <c r="D109" s="22" t="str">
        <f>IF(OR(A109="",B109=""),"",IFERROR(XLOOKUP(1,(Sell_History!$A$2:$A$501=A109)*(Sell_History!$B$2:$B$501=B109),Sell_History!$C$2:$C$501,""),""))</f>
        <v/>
      </c>
      <c r="E109" s="8" t="str">
        <f>IF(OR(A109="",B109=""),"",IFERROR(XLOOKUP(1,(Raw_Observations!$A$2:$A$1001=A109)*(Raw_Observations!$B$2:$B$1001=B109),Raw_Observations!$D$2:$D$1001,""),""))</f>
        <v/>
      </c>
      <c r="F109" s="8" t="str">
        <f>IF(OR(A109="",B109=""),"",IFERROR(XLOOKUP(1,(Order_History!$A$2:$A$501=A109)*(Order_History!$B$2:$B$501=B109),Order_History!$D$2:$D$501,""),""))</f>
        <v/>
      </c>
      <c r="G109" s="8" t="str">
        <f>IF(COUNTIFS(Pricing!$A:$A,A109,Pricing!$B:$B,B109)=0,"",SUMIFS(Pricing!$G:$G,Pricing!$A:$A,A109,Pricing!$B:$B,B109))</f>
        <v/>
      </c>
      <c r="H109" s="9" t="str">
        <f t="shared" si="7"/>
        <v/>
      </c>
      <c r="I109" s="3">
        <v>0</v>
      </c>
      <c r="J109" s="3">
        <v>0</v>
      </c>
      <c r="K109" s="9" t="str">
        <f t="shared" si="8"/>
        <v/>
      </c>
      <c r="L109" s="6" t="str">
        <f t="shared" si="9"/>
        <v/>
      </c>
      <c r="M109" s="10" t="str">
        <f t="shared" si="10"/>
        <v/>
      </c>
      <c r="N109" s="6" t="str">
        <f t="shared" si="11"/>
        <v/>
      </c>
    </row>
    <row r="110" spans="1:14">
      <c r="A110" s="2"/>
      <c r="B110" s="2"/>
      <c r="C110" s="22" t="str">
        <f>IF(OR(A110="",B110=""),"",IFERROR(XLOOKUP(1,(Buy_History!$A$2:$A$501=A110)*(Buy_History!$B$2:$B$501=B110),Buy_History!$C$2:$C$501,""),""))</f>
        <v/>
      </c>
      <c r="D110" s="22" t="str">
        <f>IF(OR(A110="",B110=""),"",IFERROR(XLOOKUP(1,(Sell_History!$A$2:$A$501=A110)*(Sell_History!$B$2:$B$501=B110),Sell_History!$C$2:$C$501,""),""))</f>
        <v/>
      </c>
      <c r="E110" s="8" t="str">
        <f>IF(OR(A110="",B110=""),"",IFERROR(XLOOKUP(1,(Raw_Observations!$A$2:$A$1001=A110)*(Raw_Observations!$B$2:$B$1001=B110),Raw_Observations!$D$2:$D$1001,""),""))</f>
        <v/>
      </c>
      <c r="F110" s="8" t="str">
        <f>IF(OR(A110="",B110=""),"",IFERROR(XLOOKUP(1,(Order_History!$A$2:$A$501=A110)*(Order_History!$B$2:$B$501=B110),Order_History!$D$2:$D$501,""),""))</f>
        <v/>
      </c>
      <c r="G110" s="8" t="str">
        <f>IF(COUNTIFS(Pricing!$A:$A,A110,Pricing!$B:$B,B110)=0,"",SUMIFS(Pricing!$G:$G,Pricing!$A:$A,A110,Pricing!$B:$B,B110))</f>
        <v/>
      </c>
      <c r="H110" s="9" t="str">
        <f t="shared" si="7"/>
        <v/>
      </c>
      <c r="I110" s="3">
        <v>0</v>
      </c>
      <c r="J110" s="3">
        <v>0</v>
      </c>
      <c r="K110" s="9" t="str">
        <f t="shared" si="8"/>
        <v/>
      </c>
      <c r="L110" s="6" t="str">
        <f t="shared" si="9"/>
        <v/>
      </c>
      <c r="M110" s="10" t="str">
        <f t="shared" si="10"/>
        <v/>
      </c>
      <c r="N110" s="6" t="str">
        <f t="shared" si="11"/>
        <v/>
      </c>
    </row>
    <row r="111" spans="1:14">
      <c r="A111" s="2"/>
      <c r="B111" s="2"/>
      <c r="C111" s="22" t="str">
        <f>IF(OR(A111="",B111=""),"",IFERROR(XLOOKUP(1,(Buy_History!$A$2:$A$501=A111)*(Buy_History!$B$2:$B$501=B111),Buy_History!$C$2:$C$501,""),""))</f>
        <v/>
      </c>
      <c r="D111" s="22" t="str">
        <f>IF(OR(A111="",B111=""),"",IFERROR(XLOOKUP(1,(Sell_History!$A$2:$A$501=A111)*(Sell_History!$B$2:$B$501=B111),Sell_History!$C$2:$C$501,""),""))</f>
        <v/>
      </c>
      <c r="E111" s="8" t="str">
        <f>IF(OR(A111="",B111=""),"",IFERROR(XLOOKUP(1,(Raw_Observations!$A$2:$A$1001=A111)*(Raw_Observations!$B$2:$B$1001=B111),Raw_Observations!$D$2:$D$1001,""),""))</f>
        <v/>
      </c>
      <c r="F111" s="8" t="str">
        <f>IF(OR(A111="",B111=""),"",IFERROR(XLOOKUP(1,(Order_History!$A$2:$A$501=A111)*(Order_History!$B$2:$B$501=B111),Order_History!$D$2:$D$501,""),""))</f>
        <v/>
      </c>
      <c r="G111" s="8" t="str">
        <f>IF(COUNTIFS(Pricing!$A:$A,A111,Pricing!$B:$B,B111)=0,"",SUMIFS(Pricing!$G:$G,Pricing!$A:$A,A111,Pricing!$B:$B,B111))</f>
        <v/>
      </c>
      <c r="H111" s="9" t="str">
        <f t="shared" si="7"/>
        <v/>
      </c>
      <c r="I111" s="3">
        <v>0</v>
      </c>
      <c r="J111" s="3">
        <v>0</v>
      </c>
      <c r="K111" s="9" t="str">
        <f t="shared" si="8"/>
        <v/>
      </c>
      <c r="L111" s="6" t="str">
        <f t="shared" si="9"/>
        <v/>
      </c>
      <c r="M111" s="10" t="str">
        <f t="shared" si="10"/>
        <v/>
      </c>
      <c r="N111" s="6" t="str">
        <f t="shared" si="11"/>
        <v/>
      </c>
    </row>
    <row r="112" spans="1:14">
      <c r="A112" s="2"/>
      <c r="B112" s="2"/>
      <c r="C112" s="22" t="str">
        <f>IF(OR(A112="",B112=""),"",IFERROR(XLOOKUP(1,(Buy_History!$A$2:$A$501=A112)*(Buy_History!$B$2:$B$501=B112),Buy_History!$C$2:$C$501,""),""))</f>
        <v/>
      </c>
      <c r="D112" s="22" t="str">
        <f>IF(OR(A112="",B112=""),"",IFERROR(XLOOKUP(1,(Sell_History!$A$2:$A$501=A112)*(Sell_History!$B$2:$B$501=B112),Sell_History!$C$2:$C$501,""),""))</f>
        <v/>
      </c>
      <c r="E112" s="8" t="str">
        <f>IF(OR(A112="",B112=""),"",IFERROR(XLOOKUP(1,(Raw_Observations!$A$2:$A$1001=A112)*(Raw_Observations!$B$2:$B$1001=B112),Raw_Observations!$D$2:$D$1001,""),""))</f>
        <v/>
      </c>
      <c r="F112" s="8" t="str">
        <f>IF(OR(A112="",B112=""),"",IFERROR(XLOOKUP(1,(Order_History!$A$2:$A$501=A112)*(Order_History!$B$2:$B$501=B112),Order_History!$D$2:$D$501,""),""))</f>
        <v/>
      </c>
      <c r="G112" s="8" t="str">
        <f>IF(COUNTIFS(Pricing!$A:$A,A112,Pricing!$B:$B,B112)=0,"",SUMIFS(Pricing!$G:$G,Pricing!$A:$A,A112,Pricing!$B:$B,B112))</f>
        <v/>
      </c>
      <c r="H112" s="9" t="str">
        <f t="shared" si="7"/>
        <v/>
      </c>
      <c r="I112" s="3">
        <v>0</v>
      </c>
      <c r="J112" s="3">
        <v>0</v>
      </c>
      <c r="K112" s="9" t="str">
        <f t="shared" si="8"/>
        <v/>
      </c>
      <c r="L112" s="6" t="str">
        <f t="shared" si="9"/>
        <v/>
      </c>
      <c r="M112" s="10" t="str">
        <f t="shared" si="10"/>
        <v/>
      </c>
      <c r="N112" s="6" t="str">
        <f t="shared" si="11"/>
        <v/>
      </c>
    </row>
    <row r="113" spans="1:14">
      <c r="A113" s="2"/>
      <c r="B113" s="2"/>
      <c r="C113" s="22" t="str">
        <f>IF(OR(A113="",B113=""),"",IFERROR(XLOOKUP(1,(Buy_History!$A$2:$A$501=A113)*(Buy_History!$B$2:$B$501=B113),Buy_History!$C$2:$C$501,""),""))</f>
        <v/>
      </c>
      <c r="D113" s="22" t="str">
        <f>IF(OR(A113="",B113=""),"",IFERROR(XLOOKUP(1,(Sell_History!$A$2:$A$501=A113)*(Sell_History!$B$2:$B$501=B113),Sell_History!$C$2:$C$501,""),""))</f>
        <v/>
      </c>
      <c r="E113" s="8" t="str">
        <f>IF(OR(A113="",B113=""),"",IFERROR(XLOOKUP(1,(Raw_Observations!$A$2:$A$1001=A113)*(Raw_Observations!$B$2:$B$1001=B113),Raw_Observations!$D$2:$D$1001,""),""))</f>
        <v/>
      </c>
      <c r="F113" s="8" t="str">
        <f>IF(OR(A113="",B113=""),"",IFERROR(XLOOKUP(1,(Order_History!$A$2:$A$501=A113)*(Order_History!$B$2:$B$501=B113),Order_History!$D$2:$D$501,""),""))</f>
        <v/>
      </c>
      <c r="G113" s="8" t="str">
        <f>IF(COUNTIFS(Pricing!$A:$A,A113,Pricing!$B:$B,B113)=0,"",SUMIFS(Pricing!$G:$G,Pricing!$A:$A,A113,Pricing!$B:$B,B113))</f>
        <v/>
      </c>
      <c r="H113" s="9" t="str">
        <f t="shared" si="7"/>
        <v/>
      </c>
      <c r="I113" s="3">
        <v>0</v>
      </c>
      <c r="J113" s="3">
        <v>0</v>
      </c>
      <c r="K113" s="9" t="str">
        <f t="shared" si="8"/>
        <v/>
      </c>
      <c r="L113" s="6" t="str">
        <f t="shared" si="9"/>
        <v/>
      </c>
      <c r="M113" s="10" t="str">
        <f t="shared" si="10"/>
        <v/>
      </c>
      <c r="N113" s="6" t="str">
        <f t="shared" si="11"/>
        <v/>
      </c>
    </row>
    <row r="114" spans="1:14">
      <c r="A114" s="2"/>
      <c r="B114" s="2"/>
      <c r="C114" s="22" t="str">
        <f>IF(OR(A114="",B114=""),"",IFERROR(XLOOKUP(1,(Buy_History!$A$2:$A$501=A114)*(Buy_History!$B$2:$B$501=B114),Buy_History!$C$2:$C$501,""),""))</f>
        <v/>
      </c>
      <c r="D114" s="22" t="str">
        <f>IF(OR(A114="",B114=""),"",IFERROR(XLOOKUP(1,(Sell_History!$A$2:$A$501=A114)*(Sell_History!$B$2:$B$501=B114),Sell_History!$C$2:$C$501,""),""))</f>
        <v/>
      </c>
      <c r="E114" s="8" t="str">
        <f>IF(OR(A114="",B114=""),"",IFERROR(XLOOKUP(1,(Raw_Observations!$A$2:$A$1001=A114)*(Raw_Observations!$B$2:$B$1001=B114),Raw_Observations!$D$2:$D$1001,""),""))</f>
        <v/>
      </c>
      <c r="F114" s="8" t="str">
        <f>IF(OR(A114="",B114=""),"",IFERROR(XLOOKUP(1,(Order_History!$A$2:$A$501=A114)*(Order_History!$B$2:$B$501=B114),Order_History!$D$2:$D$501,""),""))</f>
        <v/>
      </c>
      <c r="G114" s="8" t="str">
        <f>IF(COUNTIFS(Pricing!$A:$A,A114,Pricing!$B:$B,B114)=0,"",SUMIFS(Pricing!$G:$G,Pricing!$A:$A,A114,Pricing!$B:$B,B114))</f>
        <v/>
      </c>
      <c r="H114" s="9" t="str">
        <f t="shared" si="7"/>
        <v/>
      </c>
      <c r="I114" s="3">
        <v>0</v>
      </c>
      <c r="J114" s="3">
        <v>0</v>
      </c>
      <c r="K114" s="9" t="str">
        <f t="shared" si="8"/>
        <v/>
      </c>
      <c r="L114" s="6" t="str">
        <f t="shared" si="9"/>
        <v/>
      </c>
      <c r="M114" s="10" t="str">
        <f t="shared" si="10"/>
        <v/>
      </c>
      <c r="N114" s="6" t="str">
        <f t="shared" si="11"/>
        <v/>
      </c>
    </row>
    <row r="115" spans="1:14">
      <c r="A115" s="2"/>
      <c r="B115" s="2"/>
      <c r="C115" s="22" t="str">
        <f>IF(OR(A115="",B115=""),"",IFERROR(XLOOKUP(1,(Buy_History!$A$2:$A$501=A115)*(Buy_History!$B$2:$B$501=B115),Buy_History!$C$2:$C$501,""),""))</f>
        <v/>
      </c>
      <c r="D115" s="22" t="str">
        <f>IF(OR(A115="",B115=""),"",IFERROR(XLOOKUP(1,(Sell_History!$A$2:$A$501=A115)*(Sell_History!$B$2:$B$501=B115),Sell_History!$C$2:$C$501,""),""))</f>
        <v/>
      </c>
      <c r="E115" s="8" t="str">
        <f>IF(OR(A115="",B115=""),"",IFERROR(XLOOKUP(1,(Raw_Observations!$A$2:$A$1001=A115)*(Raw_Observations!$B$2:$B$1001=B115),Raw_Observations!$D$2:$D$1001,""),""))</f>
        <v/>
      </c>
      <c r="F115" s="8" t="str">
        <f>IF(OR(A115="",B115=""),"",IFERROR(XLOOKUP(1,(Order_History!$A$2:$A$501=A115)*(Order_History!$B$2:$B$501=B115),Order_History!$D$2:$D$501,""),""))</f>
        <v/>
      </c>
      <c r="G115" s="8" t="str">
        <f>IF(COUNTIFS(Pricing!$A:$A,A115,Pricing!$B:$B,B115)=0,"",SUMIFS(Pricing!$G:$G,Pricing!$A:$A,A115,Pricing!$B:$B,B115))</f>
        <v/>
      </c>
      <c r="H115" s="9" t="str">
        <f t="shared" si="7"/>
        <v/>
      </c>
      <c r="I115" s="3">
        <v>0</v>
      </c>
      <c r="J115" s="3">
        <v>0</v>
      </c>
      <c r="K115" s="9" t="str">
        <f t="shared" si="8"/>
        <v/>
      </c>
      <c r="L115" s="6" t="str">
        <f t="shared" si="9"/>
        <v/>
      </c>
      <c r="M115" s="10" t="str">
        <f t="shared" si="10"/>
        <v/>
      </c>
      <c r="N115" s="6" t="str">
        <f t="shared" si="11"/>
        <v/>
      </c>
    </row>
    <row r="116" spans="1:14">
      <c r="A116" s="2"/>
      <c r="B116" s="2"/>
      <c r="C116" s="22" t="str">
        <f>IF(OR(A116="",B116=""),"",IFERROR(XLOOKUP(1,(Buy_History!$A$2:$A$501=A116)*(Buy_History!$B$2:$B$501=B116),Buy_History!$C$2:$C$501,""),""))</f>
        <v/>
      </c>
      <c r="D116" s="22" t="str">
        <f>IF(OR(A116="",B116=""),"",IFERROR(XLOOKUP(1,(Sell_History!$A$2:$A$501=A116)*(Sell_History!$B$2:$B$501=B116),Sell_History!$C$2:$C$501,""),""))</f>
        <v/>
      </c>
      <c r="E116" s="8" t="str">
        <f>IF(OR(A116="",B116=""),"",IFERROR(XLOOKUP(1,(Raw_Observations!$A$2:$A$1001=A116)*(Raw_Observations!$B$2:$B$1001=B116),Raw_Observations!$D$2:$D$1001,""),""))</f>
        <v/>
      </c>
      <c r="F116" s="8" t="str">
        <f>IF(OR(A116="",B116=""),"",IFERROR(XLOOKUP(1,(Order_History!$A$2:$A$501=A116)*(Order_History!$B$2:$B$501=B116),Order_History!$D$2:$D$501,""),""))</f>
        <v/>
      </c>
      <c r="G116" s="8" t="str">
        <f>IF(COUNTIFS(Pricing!$A:$A,A116,Pricing!$B:$B,B116)=0,"",SUMIFS(Pricing!$G:$G,Pricing!$A:$A,A116,Pricing!$B:$B,B116))</f>
        <v/>
      </c>
      <c r="H116" s="9" t="str">
        <f t="shared" si="7"/>
        <v/>
      </c>
      <c r="I116" s="3">
        <v>0</v>
      </c>
      <c r="J116" s="3">
        <v>0</v>
      </c>
      <c r="K116" s="9" t="str">
        <f t="shared" si="8"/>
        <v/>
      </c>
      <c r="L116" s="6" t="str">
        <f t="shared" si="9"/>
        <v/>
      </c>
      <c r="M116" s="10" t="str">
        <f t="shared" si="10"/>
        <v/>
      </c>
      <c r="N116" s="6" t="str">
        <f t="shared" si="11"/>
        <v/>
      </c>
    </row>
    <row r="117" spans="1:14">
      <c r="A117" s="2"/>
      <c r="B117" s="2"/>
      <c r="C117" s="22" t="str">
        <f>IF(OR(A117="",B117=""),"",IFERROR(XLOOKUP(1,(Buy_History!$A$2:$A$501=A117)*(Buy_History!$B$2:$B$501=B117),Buy_History!$C$2:$C$501,""),""))</f>
        <v/>
      </c>
      <c r="D117" s="22" t="str">
        <f>IF(OR(A117="",B117=""),"",IFERROR(XLOOKUP(1,(Sell_History!$A$2:$A$501=A117)*(Sell_History!$B$2:$B$501=B117),Sell_History!$C$2:$C$501,""),""))</f>
        <v/>
      </c>
      <c r="E117" s="8" t="str">
        <f>IF(OR(A117="",B117=""),"",IFERROR(XLOOKUP(1,(Raw_Observations!$A$2:$A$1001=A117)*(Raw_Observations!$B$2:$B$1001=B117),Raw_Observations!$D$2:$D$1001,""),""))</f>
        <v/>
      </c>
      <c r="F117" s="8" t="str">
        <f>IF(OR(A117="",B117=""),"",IFERROR(XLOOKUP(1,(Order_History!$A$2:$A$501=A117)*(Order_History!$B$2:$B$501=B117),Order_History!$D$2:$D$501,""),""))</f>
        <v/>
      </c>
      <c r="G117" s="8" t="str">
        <f>IF(COUNTIFS(Pricing!$A:$A,A117,Pricing!$B:$B,B117)=0,"",SUMIFS(Pricing!$G:$G,Pricing!$A:$A,A117,Pricing!$B:$B,B117))</f>
        <v/>
      </c>
      <c r="H117" s="9" t="str">
        <f t="shared" si="7"/>
        <v/>
      </c>
      <c r="I117" s="3">
        <v>0</v>
      </c>
      <c r="J117" s="3">
        <v>0</v>
      </c>
      <c r="K117" s="9" t="str">
        <f t="shared" si="8"/>
        <v/>
      </c>
      <c r="L117" s="6" t="str">
        <f t="shared" si="9"/>
        <v/>
      </c>
      <c r="M117" s="10" t="str">
        <f t="shared" si="10"/>
        <v/>
      </c>
      <c r="N117" s="6" t="str">
        <f t="shared" si="11"/>
        <v/>
      </c>
    </row>
    <row r="118" spans="1:14">
      <c r="A118" s="2"/>
      <c r="B118" s="2"/>
      <c r="C118" s="22" t="str">
        <f>IF(OR(A118="",B118=""),"",IFERROR(XLOOKUP(1,(Buy_History!$A$2:$A$501=A118)*(Buy_History!$B$2:$B$501=B118),Buy_History!$C$2:$C$501,""),""))</f>
        <v/>
      </c>
      <c r="D118" s="22" t="str">
        <f>IF(OR(A118="",B118=""),"",IFERROR(XLOOKUP(1,(Sell_History!$A$2:$A$501=A118)*(Sell_History!$B$2:$B$501=B118),Sell_History!$C$2:$C$501,""),""))</f>
        <v/>
      </c>
      <c r="E118" s="8" t="str">
        <f>IF(OR(A118="",B118=""),"",IFERROR(XLOOKUP(1,(Raw_Observations!$A$2:$A$1001=A118)*(Raw_Observations!$B$2:$B$1001=B118),Raw_Observations!$D$2:$D$1001,""),""))</f>
        <v/>
      </c>
      <c r="F118" s="8" t="str">
        <f>IF(OR(A118="",B118=""),"",IFERROR(XLOOKUP(1,(Order_History!$A$2:$A$501=A118)*(Order_History!$B$2:$B$501=B118),Order_History!$D$2:$D$501,""),""))</f>
        <v/>
      </c>
      <c r="G118" s="8" t="str">
        <f>IF(COUNTIFS(Pricing!$A:$A,A118,Pricing!$B:$B,B118)=0,"",SUMIFS(Pricing!$G:$G,Pricing!$A:$A,A118,Pricing!$B:$B,B118))</f>
        <v/>
      </c>
      <c r="H118" s="9" t="str">
        <f t="shared" si="7"/>
        <v/>
      </c>
      <c r="I118" s="3">
        <v>0</v>
      </c>
      <c r="J118" s="3">
        <v>0</v>
      </c>
      <c r="K118" s="9" t="str">
        <f t="shared" si="8"/>
        <v/>
      </c>
      <c r="L118" s="6" t="str">
        <f t="shared" si="9"/>
        <v/>
      </c>
      <c r="M118" s="10" t="str">
        <f t="shared" si="10"/>
        <v/>
      </c>
      <c r="N118" s="6" t="str">
        <f t="shared" si="11"/>
        <v/>
      </c>
    </row>
    <row r="119" spans="1:14">
      <c r="A119" s="2"/>
      <c r="B119" s="2"/>
      <c r="C119" s="22" t="str">
        <f>IF(OR(A119="",B119=""),"",IFERROR(XLOOKUP(1,(Buy_History!$A$2:$A$501=A119)*(Buy_History!$B$2:$B$501=B119),Buy_History!$C$2:$C$501,""),""))</f>
        <v/>
      </c>
      <c r="D119" s="22" t="str">
        <f>IF(OR(A119="",B119=""),"",IFERROR(XLOOKUP(1,(Sell_History!$A$2:$A$501=A119)*(Sell_History!$B$2:$B$501=B119),Sell_History!$C$2:$C$501,""),""))</f>
        <v/>
      </c>
      <c r="E119" s="8" t="str">
        <f>IF(OR(A119="",B119=""),"",IFERROR(XLOOKUP(1,(Raw_Observations!$A$2:$A$1001=A119)*(Raw_Observations!$B$2:$B$1001=B119),Raw_Observations!$D$2:$D$1001,""),""))</f>
        <v/>
      </c>
      <c r="F119" s="8" t="str">
        <f>IF(OR(A119="",B119=""),"",IFERROR(XLOOKUP(1,(Order_History!$A$2:$A$501=A119)*(Order_History!$B$2:$B$501=B119),Order_History!$D$2:$D$501,""),""))</f>
        <v/>
      </c>
      <c r="G119" s="8" t="str">
        <f>IF(COUNTIFS(Pricing!$A:$A,A119,Pricing!$B:$B,B119)=0,"",SUMIFS(Pricing!$G:$G,Pricing!$A:$A,A119,Pricing!$B:$B,B119))</f>
        <v/>
      </c>
      <c r="H119" s="9" t="str">
        <f t="shared" si="7"/>
        <v/>
      </c>
      <c r="I119" s="3">
        <v>0</v>
      </c>
      <c r="J119" s="3">
        <v>0</v>
      </c>
      <c r="K119" s="9" t="str">
        <f t="shared" si="8"/>
        <v/>
      </c>
      <c r="L119" s="6" t="str">
        <f t="shared" si="9"/>
        <v/>
      </c>
      <c r="M119" s="10" t="str">
        <f t="shared" si="10"/>
        <v/>
      </c>
      <c r="N119" s="6" t="str">
        <f t="shared" si="11"/>
        <v/>
      </c>
    </row>
    <row r="120" spans="1:14">
      <c r="A120" s="2"/>
      <c r="B120" s="2"/>
      <c r="C120" s="22" t="str">
        <f>IF(OR(A120="",B120=""),"",IFERROR(XLOOKUP(1,(Buy_History!$A$2:$A$501=A120)*(Buy_History!$B$2:$B$501=B120),Buy_History!$C$2:$C$501,""),""))</f>
        <v/>
      </c>
      <c r="D120" s="22" t="str">
        <f>IF(OR(A120="",B120=""),"",IFERROR(XLOOKUP(1,(Sell_History!$A$2:$A$501=A120)*(Sell_History!$B$2:$B$501=B120),Sell_History!$C$2:$C$501,""),""))</f>
        <v/>
      </c>
      <c r="E120" s="8" t="str">
        <f>IF(OR(A120="",B120=""),"",IFERROR(XLOOKUP(1,(Raw_Observations!$A$2:$A$1001=A120)*(Raw_Observations!$B$2:$B$1001=B120),Raw_Observations!$D$2:$D$1001,""),""))</f>
        <v/>
      </c>
      <c r="F120" s="8" t="str">
        <f>IF(OR(A120="",B120=""),"",IFERROR(XLOOKUP(1,(Order_History!$A$2:$A$501=A120)*(Order_History!$B$2:$B$501=B120),Order_History!$D$2:$D$501,""),""))</f>
        <v/>
      </c>
      <c r="G120" s="8" t="str">
        <f>IF(COUNTIFS(Pricing!$A:$A,A120,Pricing!$B:$B,B120)=0,"",SUMIFS(Pricing!$G:$G,Pricing!$A:$A,A120,Pricing!$B:$B,B120))</f>
        <v/>
      </c>
      <c r="H120" s="9" t="str">
        <f t="shared" si="7"/>
        <v/>
      </c>
      <c r="I120" s="3">
        <v>0</v>
      </c>
      <c r="J120" s="3">
        <v>0</v>
      </c>
      <c r="K120" s="9" t="str">
        <f t="shared" si="8"/>
        <v/>
      </c>
      <c r="L120" s="6" t="str">
        <f t="shared" si="9"/>
        <v/>
      </c>
      <c r="M120" s="10" t="str">
        <f t="shared" si="10"/>
        <v/>
      </c>
      <c r="N120" s="6" t="str">
        <f t="shared" si="11"/>
        <v/>
      </c>
    </row>
    <row r="121" spans="1:14">
      <c r="A121" s="2"/>
      <c r="B121" s="2"/>
      <c r="C121" s="22" t="str">
        <f>IF(OR(A121="",B121=""),"",IFERROR(XLOOKUP(1,(Buy_History!$A$2:$A$501=A121)*(Buy_History!$B$2:$B$501=B121),Buy_History!$C$2:$C$501,""),""))</f>
        <v/>
      </c>
      <c r="D121" s="22" t="str">
        <f>IF(OR(A121="",B121=""),"",IFERROR(XLOOKUP(1,(Sell_History!$A$2:$A$501=A121)*(Sell_History!$B$2:$B$501=B121),Sell_History!$C$2:$C$501,""),""))</f>
        <v/>
      </c>
      <c r="E121" s="8" t="str">
        <f>IF(OR(A121="",B121=""),"",IFERROR(XLOOKUP(1,(Raw_Observations!$A$2:$A$1001=A121)*(Raw_Observations!$B$2:$B$1001=B121),Raw_Observations!$D$2:$D$1001,""),""))</f>
        <v/>
      </c>
      <c r="F121" s="8" t="str">
        <f>IF(OR(A121="",B121=""),"",IFERROR(XLOOKUP(1,(Order_History!$A$2:$A$501=A121)*(Order_History!$B$2:$B$501=B121),Order_History!$D$2:$D$501,""),""))</f>
        <v/>
      </c>
      <c r="G121" s="8" t="str">
        <f>IF(COUNTIFS(Pricing!$A:$A,A121,Pricing!$B:$B,B121)=0,"",SUMIFS(Pricing!$G:$G,Pricing!$A:$A,A121,Pricing!$B:$B,B121))</f>
        <v/>
      </c>
      <c r="H121" s="9" t="str">
        <f t="shared" si="7"/>
        <v/>
      </c>
      <c r="I121" s="3">
        <v>0</v>
      </c>
      <c r="J121" s="3">
        <v>0</v>
      </c>
      <c r="K121" s="9" t="str">
        <f t="shared" si="8"/>
        <v/>
      </c>
      <c r="L121" s="6" t="str">
        <f t="shared" si="9"/>
        <v/>
      </c>
      <c r="M121" s="10" t="str">
        <f t="shared" si="10"/>
        <v/>
      </c>
      <c r="N121" s="6" t="str">
        <f t="shared" si="11"/>
        <v/>
      </c>
    </row>
    <row r="122" spans="1:14">
      <c r="A122" s="2"/>
      <c r="B122" s="2"/>
      <c r="C122" s="22" t="str">
        <f>IF(OR(A122="",B122=""),"",IFERROR(XLOOKUP(1,(Buy_History!$A$2:$A$501=A122)*(Buy_History!$B$2:$B$501=B122),Buy_History!$C$2:$C$501,""),""))</f>
        <v/>
      </c>
      <c r="D122" s="22" t="str">
        <f>IF(OR(A122="",B122=""),"",IFERROR(XLOOKUP(1,(Sell_History!$A$2:$A$501=A122)*(Sell_History!$B$2:$B$501=B122),Sell_History!$C$2:$C$501,""),""))</f>
        <v/>
      </c>
      <c r="E122" s="8" t="str">
        <f>IF(OR(A122="",B122=""),"",IFERROR(XLOOKUP(1,(Raw_Observations!$A$2:$A$1001=A122)*(Raw_Observations!$B$2:$B$1001=B122),Raw_Observations!$D$2:$D$1001,""),""))</f>
        <v/>
      </c>
      <c r="F122" s="8" t="str">
        <f>IF(OR(A122="",B122=""),"",IFERROR(XLOOKUP(1,(Order_History!$A$2:$A$501=A122)*(Order_History!$B$2:$B$501=B122),Order_History!$D$2:$D$501,""),""))</f>
        <v/>
      </c>
      <c r="G122" s="8" t="str">
        <f>IF(COUNTIFS(Pricing!$A:$A,A122,Pricing!$B:$B,B122)=0,"",SUMIFS(Pricing!$G:$G,Pricing!$A:$A,A122,Pricing!$B:$B,B122))</f>
        <v/>
      </c>
      <c r="H122" s="9" t="str">
        <f t="shared" si="7"/>
        <v/>
      </c>
      <c r="I122" s="3">
        <v>0</v>
      </c>
      <c r="J122" s="3">
        <v>0</v>
      </c>
      <c r="K122" s="9" t="str">
        <f t="shared" si="8"/>
        <v/>
      </c>
      <c r="L122" s="6" t="str">
        <f t="shared" si="9"/>
        <v/>
      </c>
      <c r="M122" s="10" t="str">
        <f t="shared" si="10"/>
        <v/>
      </c>
      <c r="N122" s="6" t="str">
        <f t="shared" si="11"/>
        <v/>
      </c>
    </row>
    <row r="123" spans="1:14">
      <c r="A123" s="2"/>
      <c r="B123" s="2"/>
      <c r="C123" s="22" t="str">
        <f>IF(OR(A123="",B123=""),"",IFERROR(XLOOKUP(1,(Buy_History!$A$2:$A$501=A123)*(Buy_History!$B$2:$B$501=B123),Buy_History!$C$2:$C$501,""),""))</f>
        <v/>
      </c>
      <c r="D123" s="22" t="str">
        <f>IF(OR(A123="",B123=""),"",IFERROR(XLOOKUP(1,(Sell_History!$A$2:$A$501=A123)*(Sell_History!$B$2:$B$501=B123),Sell_History!$C$2:$C$501,""),""))</f>
        <v/>
      </c>
      <c r="E123" s="8" t="str">
        <f>IF(OR(A123="",B123=""),"",IFERROR(XLOOKUP(1,(Raw_Observations!$A$2:$A$1001=A123)*(Raw_Observations!$B$2:$B$1001=B123),Raw_Observations!$D$2:$D$1001,""),""))</f>
        <v/>
      </c>
      <c r="F123" s="8" t="str">
        <f>IF(OR(A123="",B123=""),"",IFERROR(XLOOKUP(1,(Order_History!$A$2:$A$501=A123)*(Order_History!$B$2:$B$501=B123),Order_History!$D$2:$D$501,""),""))</f>
        <v/>
      </c>
      <c r="G123" s="8" t="str">
        <f>IF(COUNTIFS(Pricing!$A:$A,A123,Pricing!$B:$B,B123)=0,"",SUMIFS(Pricing!$G:$G,Pricing!$A:$A,A123,Pricing!$B:$B,B123))</f>
        <v/>
      </c>
      <c r="H123" s="9" t="str">
        <f t="shared" si="7"/>
        <v/>
      </c>
      <c r="I123" s="3">
        <v>0</v>
      </c>
      <c r="J123" s="3">
        <v>0</v>
      </c>
      <c r="K123" s="9" t="str">
        <f t="shared" si="8"/>
        <v/>
      </c>
      <c r="L123" s="6" t="str">
        <f t="shared" si="9"/>
        <v/>
      </c>
      <c r="M123" s="10" t="str">
        <f t="shared" si="10"/>
        <v/>
      </c>
      <c r="N123" s="6" t="str">
        <f t="shared" si="11"/>
        <v/>
      </c>
    </row>
    <row r="124" spans="1:14">
      <c r="A124" s="2"/>
      <c r="B124" s="2"/>
      <c r="C124" s="22" t="str">
        <f>IF(OR(A124="",B124=""),"",IFERROR(XLOOKUP(1,(Buy_History!$A$2:$A$501=A124)*(Buy_History!$B$2:$B$501=B124),Buy_History!$C$2:$C$501,""),""))</f>
        <v/>
      </c>
      <c r="D124" s="22" t="str">
        <f>IF(OR(A124="",B124=""),"",IFERROR(XLOOKUP(1,(Sell_History!$A$2:$A$501=A124)*(Sell_History!$B$2:$B$501=B124),Sell_History!$C$2:$C$501,""),""))</f>
        <v/>
      </c>
      <c r="E124" s="8" t="str">
        <f>IF(OR(A124="",B124=""),"",IFERROR(XLOOKUP(1,(Raw_Observations!$A$2:$A$1001=A124)*(Raw_Observations!$B$2:$B$1001=B124),Raw_Observations!$D$2:$D$1001,""),""))</f>
        <v/>
      </c>
      <c r="F124" s="8" t="str">
        <f>IF(OR(A124="",B124=""),"",IFERROR(XLOOKUP(1,(Order_History!$A$2:$A$501=A124)*(Order_History!$B$2:$B$501=B124),Order_History!$D$2:$D$501,""),""))</f>
        <v/>
      </c>
      <c r="G124" s="8" t="str">
        <f>IF(COUNTIFS(Pricing!$A:$A,A124,Pricing!$B:$B,B124)=0,"",SUMIFS(Pricing!$G:$G,Pricing!$A:$A,A124,Pricing!$B:$B,B124))</f>
        <v/>
      </c>
      <c r="H124" s="9" t="str">
        <f t="shared" si="7"/>
        <v/>
      </c>
      <c r="I124" s="3">
        <v>0</v>
      </c>
      <c r="J124" s="3">
        <v>0</v>
      </c>
      <c r="K124" s="9" t="str">
        <f t="shared" si="8"/>
        <v/>
      </c>
      <c r="L124" s="6" t="str">
        <f t="shared" si="9"/>
        <v/>
      </c>
      <c r="M124" s="10" t="str">
        <f t="shared" si="10"/>
        <v/>
      </c>
      <c r="N124" s="6" t="str">
        <f t="shared" si="11"/>
        <v/>
      </c>
    </row>
    <row r="125" spans="1:14">
      <c r="A125" s="2"/>
      <c r="B125" s="2"/>
      <c r="C125" s="22" t="str">
        <f>IF(OR(A125="",B125=""),"",IFERROR(XLOOKUP(1,(Buy_History!$A$2:$A$501=A125)*(Buy_History!$B$2:$B$501=B125),Buy_History!$C$2:$C$501,""),""))</f>
        <v/>
      </c>
      <c r="D125" s="22" t="str">
        <f>IF(OR(A125="",B125=""),"",IFERROR(XLOOKUP(1,(Sell_History!$A$2:$A$501=A125)*(Sell_History!$B$2:$B$501=B125),Sell_History!$C$2:$C$501,""),""))</f>
        <v/>
      </c>
      <c r="E125" s="8" t="str">
        <f>IF(OR(A125="",B125=""),"",IFERROR(XLOOKUP(1,(Raw_Observations!$A$2:$A$1001=A125)*(Raw_Observations!$B$2:$B$1001=B125),Raw_Observations!$D$2:$D$1001,""),""))</f>
        <v/>
      </c>
      <c r="F125" s="8" t="str">
        <f>IF(OR(A125="",B125=""),"",IFERROR(XLOOKUP(1,(Order_History!$A$2:$A$501=A125)*(Order_History!$B$2:$B$501=B125),Order_History!$D$2:$D$501,""),""))</f>
        <v/>
      </c>
      <c r="G125" s="8" t="str">
        <f>IF(COUNTIFS(Pricing!$A:$A,A125,Pricing!$B:$B,B125)=0,"",SUMIFS(Pricing!$G:$G,Pricing!$A:$A,A125,Pricing!$B:$B,B125))</f>
        <v/>
      </c>
      <c r="H125" s="9" t="str">
        <f t="shared" si="7"/>
        <v/>
      </c>
      <c r="I125" s="3">
        <v>0</v>
      </c>
      <c r="J125" s="3">
        <v>0</v>
      </c>
      <c r="K125" s="9" t="str">
        <f t="shared" si="8"/>
        <v/>
      </c>
      <c r="L125" s="6" t="str">
        <f t="shared" si="9"/>
        <v/>
      </c>
      <c r="M125" s="10" t="str">
        <f t="shared" si="10"/>
        <v/>
      </c>
      <c r="N125" s="6" t="str">
        <f t="shared" si="11"/>
        <v/>
      </c>
    </row>
    <row r="126" spans="1:14">
      <c r="A126" s="2"/>
      <c r="B126" s="2"/>
      <c r="C126" s="22" t="str">
        <f>IF(OR(A126="",B126=""),"",IFERROR(XLOOKUP(1,(Buy_History!$A$2:$A$501=A126)*(Buy_History!$B$2:$B$501=B126),Buy_History!$C$2:$C$501,""),""))</f>
        <v/>
      </c>
      <c r="D126" s="22" t="str">
        <f>IF(OR(A126="",B126=""),"",IFERROR(XLOOKUP(1,(Sell_History!$A$2:$A$501=A126)*(Sell_History!$B$2:$B$501=B126),Sell_History!$C$2:$C$501,""),""))</f>
        <v/>
      </c>
      <c r="E126" s="8" t="str">
        <f>IF(OR(A126="",B126=""),"",IFERROR(XLOOKUP(1,(Raw_Observations!$A$2:$A$1001=A126)*(Raw_Observations!$B$2:$B$1001=B126),Raw_Observations!$D$2:$D$1001,""),""))</f>
        <v/>
      </c>
      <c r="F126" s="8" t="str">
        <f>IF(OR(A126="",B126=""),"",IFERROR(XLOOKUP(1,(Order_History!$A$2:$A$501=A126)*(Order_History!$B$2:$B$501=B126),Order_History!$D$2:$D$501,""),""))</f>
        <v/>
      </c>
      <c r="G126" s="8" t="str">
        <f>IF(COUNTIFS(Pricing!$A:$A,A126,Pricing!$B:$B,B126)=0,"",SUMIFS(Pricing!$G:$G,Pricing!$A:$A,A126,Pricing!$B:$B,B126))</f>
        <v/>
      </c>
      <c r="H126" s="9" t="str">
        <f t="shared" si="7"/>
        <v/>
      </c>
      <c r="I126" s="3">
        <v>0</v>
      </c>
      <c r="J126" s="3">
        <v>0</v>
      </c>
      <c r="K126" s="9" t="str">
        <f t="shared" si="8"/>
        <v/>
      </c>
      <c r="L126" s="6" t="str">
        <f t="shared" si="9"/>
        <v/>
      </c>
      <c r="M126" s="10" t="str">
        <f t="shared" si="10"/>
        <v/>
      </c>
      <c r="N126" s="6" t="str">
        <f t="shared" si="11"/>
        <v/>
      </c>
    </row>
    <row r="127" spans="1:14">
      <c r="A127" s="2"/>
      <c r="B127" s="2"/>
      <c r="C127" s="22" t="str">
        <f>IF(OR(A127="",B127=""),"",IFERROR(XLOOKUP(1,(Buy_History!$A$2:$A$501=A127)*(Buy_History!$B$2:$B$501=B127),Buy_History!$C$2:$C$501,""),""))</f>
        <v/>
      </c>
      <c r="D127" s="22" t="str">
        <f>IF(OR(A127="",B127=""),"",IFERROR(XLOOKUP(1,(Sell_History!$A$2:$A$501=A127)*(Sell_History!$B$2:$B$501=B127),Sell_History!$C$2:$C$501,""),""))</f>
        <v/>
      </c>
      <c r="E127" s="8" t="str">
        <f>IF(OR(A127="",B127=""),"",IFERROR(XLOOKUP(1,(Raw_Observations!$A$2:$A$1001=A127)*(Raw_Observations!$B$2:$B$1001=B127),Raw_Observations!$D$2:$D$1001,""),""))</f>
        <v/>
      </c>
      <c r="F127" s="8" t="str">
        <f>IF(OR(A127="",B127=""),"",IFERROR(XLOOKUP(1,(Order_History!$A$2:$A$501=A127)*(Order_History!$B$2:$B$501=B127),Order_History!$D$2:$D$501,""),""))</f>
        <v/>
      </c>
      <c r="G127" s="8" t="str">
        <f>IF(COUNTIFS(Pricing!$A:$A,A127,Pricing!$B:$B,B127)=0,"",SUMIFS(Pricing!$G:$G,Pricing!$A:$A,A127,Pricing!$B:$B,B127))</f>
        <v/>
      </c>
      <c r="H127" s="9" t="str">
        <f t="shared" si="7"/>
        <v/>
      </c>
      <c r="I127" s="3">
        <v>0</v>
      </c>
      <c r="J127" s="3">
        <v>0</v>
      </c>
      <c r="K127" s="9" t="str">
        <f t="shared" si="8"/>
        <v/>
      </c>
      <c r="L127" s="6" t="str">
        <f t="shared" si="9"/>
        <v/>
      </c>
      <c r="M127" s="10" t="str">
        <f t="shared" si="10"/>
        <v/>
      </c>
      <c r="N127" s="6" t="str">
        <f t="shared" si="11"/>
        <v/>
      </c>
    </row>
    <row r="128" spans="1:14">
      <c r="A128" s="2"/>
      <c r="B128" s="2"/>
      <c r="C128" s="22" t="str">
        <f>IF(OR(A128="",B128=""),"",IFERROR(XLOOKUP(1,(Buy_History!$A$2:$A$501=A128)*(Buy_History!$B$2:$B$501=B128),Buy_History!$C$2:$C$501,""),""))</f>
        <v/>
      </c>
      <c r="D128" s="22" t="str">
        <f>IF(OR(A128="",B128=""),"",IFERROR(XLOOKUP(1,(Sell_History!$A$2:$A$501=A128)*(Sell_History!$B$2:$B$501=B128),Sell_History!$C$2:$C$501,""),""))</f>
        <v/>
      </c>
      <c r="E128" s="8" t="str">
        <f>IF(OR(A128="",B128=""),"",IFERROR(XLOOKUP(1,(Raw_Observations!$A$2:$A$1001=A128)*(Raw_Observations!$B$2:$B$1001=B128),Raw_Observations!$D$2:$D$1001,""),""))</f>
        <v/>
      </c>
      <c r="F128" s="8" t="str">
        <f>IF(OR(A128="",B128=""),"",IFERROR(XLOOKUP(1,(Order_History!$A$2:$A$501=A128)*(Order_History!$B$2:$B$501=B128),Order_History!$D$2:$D$501,""),""))</f>
        <v/>
      </c>
      <c r="G128" s="8" t="str">
        <f>IF(COUNTIFS(Pricing!$A:$A,A128,Pricing!$B:$B,B128)=0,"",SUMIFS(Pricing!$G:$G,Pricing!$A:$A,A128,Pricing!$B:$B,B128))</f>
        <v/>
      </c>
      <c r="H128" s="9" t="str">
        <f t="shared" si="7"/>
        <v/>
      </c>
      <c r="I128" s="3">
        <v>0</v>
      </c>
      <c r="J128" s="3">
        <v>0</v>
      </c>
      <c r="K128" s="9" t="str">
        <f t="shared" si="8"/>
        <v/>
      </c>
      <c r="L128" s="6" t="str">
        <f t="shared" si="9"/>
        <v/>
      </c>
      <c r="M128" s="10" t="str">
        <f t="shared" si="10"/>
        <v/>
      </c>
      <c r="N128" s="6" t="str">
        <f t="shared" si="11"/>
        <v/>
      </c>
    </row>
    <row r="129" spans="1:14">
      <c r="A129" s="2"/>
      <c r="B129" s="2"/>
      <c r="C129" s="22" t="str">
        <f>IF(OR(A129="",B129=""),"",IFERROR(XLOOKUP(1,(Buy_History!$A$2:$A$501=A129)*(Buy_History!$B$2:$B$501=B129),Buy_History!$C$2:$C$501,""),""))</f>
        <v/>
      </c>
      <c r="D129" s="22" t="str">
        <f>IF(OR(A129="",B129=""),"",IFERROR(XLOOKUP(1,(Sell_History!$A$2:$A$501=A129)*(Sell_History!$B$2:$B$501=B129),Sell_History!$C$2:$C$501,""),""))</f>
        <v/>
      </c>
      <c r="E129" s="8" t="str">
        <f>IF(OR(A129="",B129=""),"",IFERROR(XLOOKUP(1,(Raw_Observations!$A$2:$A$1001=A129)*(Raw_Observations!$B$2:$B$1001=B129),Raw_Observations!$D$2:$D$1001,""),""))</f>
        <v/>
      </c>
      <c r="F129" s="8" t="str">
        <f>IF(OR(A129="",B129=""),"",IFERROR(XLOOKUP(1,(Order_History!$A$2:$A$501=A129)*(Order_History!$B$2:$B$501=B129),Order_History!$D$2:$D$501,""),""))</f>
        <v/>
      </c>
      <c r="G129" s="8" t="str">
        <f>IF(COUNTIFS(Pricing!$A:$A,A129,Pricing!$B:$B,B129)=0,"",SUMIFS(Pricing!$G:$G,Pricing!$A:$A,A129,Pricing!$B:$B,B129))</f>
        <v/>
      </c>
      <c r="H129" s="9" t="str">
        <f t="shared" si="7"/>
        <v/>
      </c>
      <c r="I129" s="3">
        <v>0</v>
      </c>
      <c r="J129" s="3">
        <v>0</v>
      </c>
      <c r="K129" s="9" t="str">
        <f t="shared" si="8"/>
        <v/>
      </c>
      <c r="L129" s="6" t="str">
        <f t="shared" si="9"/>
        <v/>
      </c>
      <c r="M129" s="10" t="str">
        <f t="shared" si="10"/>
        <v/>
      </c>
      <c r="N129" s="6" t="str">
        <f t="shared" si="11"/>
        <v/>
      </c>
    </row>
    <row r="130" spans="1:14">
      <c r="A130" s="2"/>
      <c r="B130" s="2"/>
      <c r="C130" s="22" t="str">
        <f>IF(OR(A130="",B130=""),"",IFERROR(XLOOKUP(1,(Buy_History!$A$2:$A$501=A130)*(Buy_History!$B$2:$B$501=B130),Buy_History!$C$2:$C$501,""),""))</f>
        <v/>
      </c>
      <c r="D130" s="22" t="str">
        <f>IF(OR(A130="",B130=""),"",IFERROR(XLOOKUP(1,(Sell_History!$A$2:$A$501=A130)*(Sell_History!$B$2:$B$501=B130),Sell_History!$C$2:$C$501,""),""))</f>
        <v/>
      </c>
      <c r="E130" s="8" t="str">
        <f>IF(OR(A130="",B130=""),"",IFERROR(XLOOKUP(1,(Raw_Observations!$A$2:$A$1001=A130)*(Raw_Observations!$B$2:$B$1001=B130),Raw_Observations!$D$2:$D$1001,""),""))</f>
        <v/>
      </c>
      <c r="F130" s="8" t="str">
        <f>IF(OR(A130="",B130=""),"",IFERROR(XLOOKUP(1,(Order_History!$A$2:$A$501=A130)*(Order_History!$B$2:$B$501=B130),Order_History!$D$2:$D$501,""),""))</f>
        <v/>
      </c>
      <c r="G130" s="8" t="str">
        <f>IF(COUNTIFS(Pricing!$A:$A,A130,Pricing!$B:$B,B130)=0,"",SUMIFS(Pricing!$G:$G,Pricing!$A:$A,A130,Pricing!$B:$B,B130))</f>
        <v/>
      </c>
      <c r="H130" s="9" t="str">
        <f t="shared" ref="H130:H193" si="12">IF(OR(E130="",F130=""),"",F130-E130)</f>
        <v/>
      </c>
      <c r="I130" s="3">
        <v>0</v>
      </c>
      <c r="J130" s="3">
        <v>0</v>
      </c>
      <c r="K130" s="9" t="str">
        <f t="shared" ref="K130:K193" si="13">IF(H130="","",H130-I130-J130)</f>
        <v/>
      </c>
      <c r="L130" s="6" t="str">
        <f t="shared" ref="L130:L193" si="14">IF(OR(K130="",E130=""),"",K130/E130)</f>
        <v/>
      </c>
      <c r="M130" s="10" t="str">
        <f t="shared" ref="M130:M193" si="15">IF(OR(C130="",D130=""),"",MAX(1,ROUNDUP(D130-C130,0)))</f>
        <v/>
      </c>
      <c r="N130" s="6" t="str">
        <f t="shared" ref="N130:N193" si="16">IF(OR(L130="",M130=""),"",(1+L130)^(365/M130)-1)</f>
        <v/>
      </c>
    </row>
    <row r="131" spans="1:14">
      <c r="A131" s="2"/>
      <c r="B131" s="2"/>
      <c r="C131" s="22" t="str">
        <f>IF(OR(A131="",B131=""),"",IFERROR(XLOOKUP(1,(Buy_History!$A$2:$A$501=A131)*(Buy_History!$B$2:$B$501=B131),Buy_History!$C$2:$C$501,""),""))</f>
        <v/>
      </c>
      <c r="D131" s="22" t="str">
        <f>IF(OR(A131="",B131=""),"",IFERROR(XLOOKUP(1,(Sell_History!$A$2:$A$501=A131)*(Sell_History!$B$2:$B$501=B131),Sell_History!$C$2:$C$501,""),""))</f>
        <v/>
      </c>
      <c r="E131" s="8" t="str">
        <f>IF(OR(A131="",B131=""),"",IFERROR(XLOOKUP(1,(Raw_Observations!$A$2:$A$1001=A131)*(Raw_Observations!$B$2:$B$1001=B131),Raw_Observations!$D$2:$D$1001,""),""))</f>
        <v/>
      </c>
      <c r="F131" s="8" t="str">
        <f>IF(OR(A131="",B131=""),"",IFERROR(XLOOKUP(1,(Order_History!$A$2:$A$501=A131)*(Order_History!$B$2:$B$501=B131),Order_History!$D$2:$D$501,""),""))</f>
        <v/>
      </c>
      <c r="G131" s="8" t="str">
        <f>IF(COUNTIFS(Pricing!$A:$A,A131,Pricing!$B:$B,B131)=0,"",SUMIFS(Pricing!$G:$G,Pricing!$A:$A,A131,Pricing!$B:$B,B131))</f>
        <v/>
      </c>
      <c r="H131" s="9" t="str">
        <f t="shared" si="12"/>
        <v/>
      </c>
      <c r="I131" s="3">
        <v>0</v>
      </c>
      <c r="J131" s="3">
        <v>0</v>
      </c>
      <c r="K131" s="9" t="str">
        <f t="shared" si="13"/>
        <v/>
      </c>
      <c r="L131" s="6" t="str">
        <f t="shared" si="14"/>
        <v/>
      </c>
      <c r="M131" s="10" t="str">
        <f t="shared" si="15"/>
        <v/>
      </c>
      <c r="N131" s="6" t="str">
        <f t="shared" si="16"/>
        <v/>
      </c>
    </row>
    <row r="132" spans="1:14">
      <c r="A132" s="2"/>
      <c r="B132" s="2"/>
      <c r="C132" s="22" t="str">
        <f>IF(OR(A132="",B132=""),"",IFERROR(XLOOKUP(1,(Buy_History!$A$2:$A$501=A132)*(Buy_History!$B$2:$B$501=B132),Buy_History!$C$2:$C$501,""),""))</f>
        <v/>
      </c>
      <c r="D132" s="22" t="str">
        <f>IF(OR(A132="",B132=""),"",IFERROR(XLOOKUP(1,(Sell_History!$A$2:$A$501=A132)*(Sell_History!$B$2:$B$501=B132),Sell_History!$C$2:$C$501,""),""))</f>
        <v/>
      </c>
      <c r="E132" s="8" t="str">
        <f>IF(OR(A132="",B132=""),"",IFERROR(XLOOKUP(1,(Raw_Observations!$A$2:$A$1001=A132)*(Raw_Observations!$B$2:$B$1001=B132),Raw_Observations!$D$2:$D$1001,""),""))</f>
        <v/>
      </c>
      <c r="F132" s="8" t="str">
        <f>IF(OR(A132="",B132=""),"",IFERROR(XLOOKUP(1,(Order_History!$A$2:$A$501=A132)*(Order_History!$B$2:$B$501=B132),Order_History!$D$2:$D$501,""),""))</f>
        <v/>
      </c>
      <c r="G132" s="8" t="str">
        <f>IF(COUNTIFS(Pricing!$A:$A,A132,Pricing!$B:$B,B132)=0,"",SUMIFS(Pricing!$G:$G,Pricing!$A:$A,A132,Pricing!$B:$B,B132))</f>
        <v/>
      </c>
      <c r="H132" s="9" t="str">
        <f t="shared" si="12"/>
        <v/>
      </c>
      <c r="I132" s="3">
        <v>0</v>
      </c>
      <c r="J132" s="3">
        <v>0</v>
      </c>
      <c r="K132" s="9" t="str">
        <f t="shared" si="13"/>
        <v/>
      </c>
      <c r="L132" s="6" t="str">
        <f t="shared" si="14"/>
        <v/>
      </c>
      <c r="M132" s="10" t="str">
        <f t="shared" si="15"/>
        <v/>
      </c>
      <c r="N132" s="6" t="str">
        <f t="shared" si="16"/>
        <v/>
      </c>
    </row>
    <row r="133" spans="1:14">
      <c r="A133" s="2"/>
      <c r="B133" s="2"/>
      <c r="C133" s="22" t="str">
        <f>IF(OR(A133="",B133=""),"",IFERROR(XLOOKUP(1,(Buy_History!$A$2:$A$501=A133)*(Buy_History!$B$2:$B$501=B133),Buy_History!$C$2:$C$501,""),""))</f>
        <v/>
      </c>
      <c r="D133" s="22" t="str">
        <f>IF(OR(A133="",B133=""),"",IFERROR(XLOOKUP(1,(Sell_History!$A$2:$A$501=A133)*(Sell_History!$B$2:$B$501=B133),Sell_History!$C$2:$C$501,""),""))</f>
        <v/>
      </c>
      <c r="E133" s="8" t="str">
        <f>IF(OR(A133="",B133=""),"",IFERROR(XLOOKUP(1,(Raw_Observations!$A$2:$A$1001=A133)*(Raw_Observations!$B$2:$B$1001=B133),Raw_Observations!$D$2:$D$1001,""),""))</f>
        <v/>
      </c>
      <c r="F133" s="8" t="str">
        <f>IF(OR(A133="",B133=""),"",IFERROR(XLOOKUP(1,(Order_History!$A$2:$A$501=A133)*(Order_History!$B$2:$B$501=B133),Order_History!$D$2:$D$501,""),""))</f>
        <v/>
      </c>
      <c r="G133" s="8" t="str">
        <f>IF(COUNTIFS(Pricing!$A:$A,A133,Pricing!$B:$B,B133)=0,"",SUMIFS(Pricing!$G:$G,Pricing!$A:$A,A133,Pricing!$B:$B,B133))</f>
        <v/>
      </c>
      <c r="H133" s="9" t="str">
        <f t="shared" si="12"/>
        <v/>
      </c>
      <c r="I133" s="3">
        <v>0</v>
      </c>
      <c r="J133" s="3">
        <v>0</v>
      </c>
      <c r="K133" s="9" t="str">
        <f t="shared" si="13"/>
        <v/>
      </c>
      <c r="L133" s="6" t="str">
        <f t="shared" si="14"/>
        <v/>
      </c>
      <c r="M133" s="10" t="str">
        <f t="shared" si="15"/>
        <v/>
      </c>
      <c r="N133" s="6" t="str">
        <f t="shared" si="16"/>
        <v/>
      </c>
    </row>
    <row r="134" spans="1:14">
      <c r="A134" s="2"/>
      <c r="B134" s="2"/>
      <c r="C134" s="22" t="str">
        <f>IF(OR(A134="",B134=""),"",IFERROR(XLOOKUP(1,(Buy_History!$A$2:$A$501=A134)*(Buy_History!$B$2:$B$501=B134),Buy_History!$C$2:$C$501,""),""))</f>
        <v/>
      </c>
      <c r="D134" s="22" t="str">
        <f>IF(OR(A134="",B134=""),"",IFERROR(XLOOKUP(1,(Sell_History!$A$2:$A$501=A134)*(Sell_History!$B$2:$B$501=B134),Sell_History!$C$2:$C$501,""),""))</f>
        <v/>
      </c>
      <c r="E134" s="8" t="str">
        <f>IF(OR(A134="",B134=""),"",IFERROR(XLOOKUP(1,(Raw_Observations!$A$2:$A$1001=A134)*(Raw_Observations!$B$2:$B$1001=B134),Raw_Observations!$D$2:$D$1001,""),""))</f>
        <v/>
      </c>
      <c r="F134" s="8" t="str">
        <f>IF(OR(A134="",B134=""),"",IFERROR(XLOOKUP(1,(Order_History!$A$2:$A$501=A134)*(Order_History!$B$2:$B$501=B134),Order_History!$D$2:$D$501,""),""))</f>
        <v/>
      </c>
      <c r="G134" s="8" t="str">
        <f>IF(COUNTIFS(Pricing!$A:$A,A134,Pricing!$B:$B,B134)=0,"",SUMIFS(Pricing!$G:$G,Pricing!$A:$A,A134,Pricing!$B:$B,B134))</f>
        <v/>
      </c>
      <c r="H134" s="9" t="str">
        <f t="shared" si="12"/>
        <v/>
      </c>
      <c r="I134" s="3">
        <v>0</v>
      </c>
      <c r="J134" s="3">
        <v>0</v>
      </c>
      <c r="K134" s="9" t="str">
        <f t="shared" si="13"/>
        <v/>
      </c>
      <c r="L134" s="6" t="str">
        <f t="shared" si="14"/>
        <v/>
      </c>
      <c r="M134" s="10" t="str">
        <f t="shared" si="15"/>
        <v/>
      </c>
      <c r="N134" s="6" t="str">
        <f t="shared" si="16"/>
        <v/>
      </c>
    </row>
    <row r="135" spans="1:14">
      <c r="A135" s="2"/>
      <c r="B135" s="2"/>
      <c r="C135" s="22" t="str">
        <f>IF(OR(A135="",B135=""),"",IFERROR(XLOOKUP(1,(Buy_History!$A$2:$A$501=A135)*(Buy_History!$B$2:$B$501=B135),Buy_History!$C$2:$C$501,""),""))</f>
        <v/>
      </c>
      <c r="D135" s="22" t="str">
        <f>IF(OR(A135="",B135=""),"",IFERROR(XLOOKUP(1,(Sell_History!$A$2:$A$501=A135)*(Sell_History!$B$2:$B$501=B135),Sell_History!$C$2:$C$501,""),""))</f>
        <v/>
      </c>
      <c r="E135" s="8" t="str">
        <f>IF(OR(A135="",B135=""),"",IFERROR(XLOOKUP(1,(Raw_Observations!$A$2:$A$1001=A135)*(Raw_Observations!$B$2:$B$1001=B135),Raw_Observations!$D$2:$D$1001,""),""))</f>
        <v/>
      </c>
      <c r="F135" s="8" t="str">
        <f>IF(OR(A135="",B135=""),"",IFERROR(XLOOKUP(1,(Order_History!$A$2:$A$501=A135)*(Order_History!$B$2:$B$501=B135),Order_History!$D$2:$D$501,""),""))</f>
        <v/>
      </c>
      <c r="G135" s="8" t="str">
        <f>IF(COUNTIFS(Pricing!$A:$A,A135,Pricing!$B:$B,B135)=0,"",SUMIFS(Pricing!$G:$G,Pricing!$A:$A,A135,Pricing!$B:$B,B135))</f>
        <v/>
      </c>
      <c r="H135" s="9" t="str">
        <f t="shared" si="12"/>
        <v/>
      </c>
      <c r="I135" s="3">
        <v>0</v>
      </c>
      <c r="J135" s="3">
        <v>0</v>
      </c>
      <c r="K135" s="9" t="str">
        <f t="shared" si="13"/>
        <v/>
      </c>
      <c r="L135" s="6" t="str">
        <f t="shared" si="14"/>
        <v/>
      </c>
      <c r="M135" s="10" t="str">
        <f t="shared" si="15"/>
        <v/>
      </c>
      <c r="N135" s="6" t="str">
        <f t="shared" si="16"/>
        <v/>
      </c>
    </row>
    <row r="136" spans="1:14">
      <c r="A136" s="2"/>
      <c r="B136" s="2"/>
      <c r="C136" s="22" t="str">
        <f>IF(OR(A136="",B136=""),"",IFERROR(XLOOKUP(1,(Buy_History!$A$2:$A$501=A136)*(Buy_History!$B$2:$B$501=B136),Buy_History!$C$2:$C$501,""),""))</f>
        <v/>
      </c>
      <c r="D136" s="22" t="str">
        <f>IF(OR(A136="",B136=""),"",IFERROR(XLOOKUP(1,(Sell_History!$A$2:$A$501=A136)*(Sell_History!$B$2:$B$501=B136),Sell_History!$C$2:$C$501,""),""))</f>
        <v/>
      </c>
      <c r="E136" s="8" t="str">
        <f>IF(OR(A136="",B136=""),"",IFERROR(XLOOKUP(1,(Raw_Observations!$A$2:$A$1001=A136)*(Raw_Observations!$B$2:$B$1001=B136),Raw_Observations!$D$2:$D$1001,""),""))</f>
        <v/>
      </c>
      <c r="F136" s="8" t="str">
        <f>IF(OR(A136="",B136=""),"",IFERROR(XLOOKUP(1,(Order_History!$A$2:$A$501=A136)*(Order_History!$B$2:$B$501=B136),Order_History!$D$2:$D$501,""),""))</f>
        <v/>
      </c>
      <c r="G136" s="8" t="str">
        <f>IF(COUNTIFS(Pricing!$A:$A,A136,Pricing!$B:$B,B136)=0,"",SUMIFS(Pricing!$G:$G,Pricing!$A:$A,A136,Pricing!$B:$B,B136))</f>
        <v/>
      </c>
      <c r="H136" s="9" t="str">
        <f t="shared" si="12"/>
        <v/>
      </c>
      <c r="I136" s="3">
        <v>0</v>
      </c>
      <c r="J136" s="3">
        <v>0</v>
      </c>
      <c r="K136" s="9" t="str">
        <f t="shared" si="13"/>
        <v/>
      </c>
      <c r="L136" s="6" t="str">
        <f t="shared" si="14"/>
        <v/>
      </c>
      <c r="M136" s="10" t="str">
        <f t="shared" si="15"/>
        <v/>
      </c>
      <c r="N136" s="6" t="str">
        <f t="shared" si="16"/>
        <v/>
      </c>
    </row>
    <row r="137" spans="1:14">
      <c r="A137" s="2"/>
      <c r="B137" s="2"/>
      <c r="C137" s="22" t="str">
        <f>IF(OR(A137="",B137=""),"",IFERROR(XLOOKUP(1,(Buy_History!$A$2:$A$501=A137)*(Buy_History!$B$2:$B$501=B137),Buy_History!$C$2:$C$501,""),""))</f>
        <v/>
      </c>
      <c r="D137" s="22" t="str">
        <f>IF(OR(A137="",B137=""),"",IFERROR(XLOOKUP(1,(Sell_History!$A$2:$A$501=A137)*(Sell_History!$B$2:$B$501=B137),Sell_History!$C$2:$C$501,""),""))</f>
        <v/>
      </c>
      <c r="E137" s="8" t="str">
        <f>IF(OR(A137="",B137=""),"",IFERROR(XLOOKUP(1,(Raw_Observations!$A$2:$A$1001=A137)*(Raw_Observations!$B$2:$B$1001=B137),Raw_Observations!$D$2:$D$1001,""),""))</f>
        <v/>
      </c>
      <c r="F137" s="8" t="str">
        <f>IF(OR(A137="",B137=""),"",IFERROR(XLOOKUP(1,(Order_History!$A$2:$A$501=A137)*(Order_History!$B$2:$B$501=B137),Order_History!$D$2:$D$501,""),""))</f>
        <v/>
      </c>
      <c r="G137" s="8" t="str">
        <f>IF(COUNTIFS(Pricing!$A:$A,A137,Pricing!$B:$B,B137)=0,"",SUMIFS(Pricing!$G:$G,Pricing!$A:$A,A137,Pricing!$B:$B,B137))</f>
        <v/>
      </c>
      <c r="H137" s="9" t="str">
        <f t="shared" si="12"/>
        <v/>
      </c>
      <c r="I137" s="3">
        <v>0</v>
      </c>
      <c r="J137" s="3">
        <v>0</v>
      </c>
      <c r="K137" s="9" t="str">
        <f t="shared" si="13"/>
        <v/>
      </c>
      <c r="L137" s="6" t="str">
        <f t="shared" si="14"/>
        <v/>
      </c>
      <c r="M137" s="10" t="str">
        <f t="shared" si="15"/>
        <v/>
      </c>
      <c r="N137" s="6" t="str">
        <f t="shared" si="16"/>
        <v/>
      </c>
    </row>
    <row r="138" spans="1:14">
      <c r="A138" s="2"/>
      <c r="B138" s="2"/>
      <c r="C138" s="22" t="str">
        <f>IF(OR(A138="",B138=""),"",IFERROR(XLOOKUP(1,(Buy_History!$A$2:$A$501=A138)*(Buy_History!$B$2:$B$501=B138),Buy_History!$C$2:$C$501,""),""))</f>
        <v/>
      </c>
      <c r="D138" s="22" t="str">
        <f>IF(OR(A138="",B138=""),"",IFERROR(XLOOKUP(1,(Sell_History!$A$2:$A$501=A138)*(Sell_History!$B$2:$B$501=B138),Sell_History!$C$2:$C$501,""),""))</f>
        <v/>
      </c>
      <c r="E138" s="8" t="str">
        <f>IF(OR(A138="",B138=""),"",IFERROR(XLOOKUP(1,(Raw_Observations!$A$2:$A$1001=A138)*(Raw_Observations!$B$2:$B$1001=B138),Raw_Observations!$D$2:$D$1001,""),""))</f>
        <v/>
      </c>
      <c r="F138" s="8" t="str">
        <f>IF(OR(A138="",B138=""),"",IFERROR(XLOOKUP(1,(Order_History!$A$2:$A$501=A138)*(Order_History!$B$2:$B$501=B138),Order_History!$D$2:$D$501,""),""))</f>
        <v/>
      </c>
      <c r="G138" s="8" t="str">
        <f>IF(COUNTIFS(Pricing!$A:$A,A138,Pricing!$B:$B,B138)=0,"",SUMIFS(Pricing!$G:$G,Pricing!$A:$A,A138,Pricing!$B:$B,B138))</f>
        <v/>
      </c>
      <c r="H138" s="9" t="str">
        <f t="shared" si="12"/>
        <v/>
      </c>
      <c r="I138" s="3">
        <v>0</v>
      </c>
      <c r="J138" s="3">
        <v>0</v>
      </c>
      <c r="K138" s="9" t="str">
        <f t="shared" si="13"/>
        <v/>
      </c>
      <c r="L138" s="6" t="str">
        <f t="shared" si="14"/>
        <v/>
      </c>
      <c r="M138" s="10" t="str">
        <f t="shared" si="15"/>
        <v/>
      </c>
      <c r="N138" s="6" t="str">
        <f t="shared" si="16"/>
        <v/>
      </c>
    </row>
    <row r="139" spans="1:14">
      <c r="A139" s="2"/>
      <c r="B139" s="2"/>
      <c r="C139" s="22" t="str">
        <f>IF(OR(A139="",B139=""),"",IFERROR(XLOOKUP(1,(Buy_History!$A$2:$A$501=A139)*(Buy_History!$B$2:$B$501=B139),Buy_History!$C$2:$C$501,""),""))</f>
        <v/>
      </c>
      <c r="D139" s="22" t="str">
        <f>IF(OR(A139="",B139=""),"",IFERROR(XLOOKUP(1,(Sell_History!$A$2:$A$501=A139)*(Sell_History!$B$2:$B$501=B139),Sell_History!$C$2:$C$501,""),""))</f>
        <v/>
      </c>
      <c r="E139" s="8" t="str">
        <f>IF(OR(A139="",B139=""),"",IFERROR(XLOOKUP(1,(Raw_Observations!$A$2:$A$1001=A139)*(Raw_Observations!$B$2:$B$1001=B139),Raw_Observations!$D$2:$D$1001,""),""))</f>
        <v/>
      </c>
      <c r="F139" s="8" t="str">
        <f>IF(OR(A139="",B139=""),"",IFERROR(XLOOKUP(1,(Order_History!$A$2:$A$501=A139)*(Order_History!$B$2:$B$501=B139),Order_History!$D$2:$D$501,""),""))</f>
        <v/>
      </c>
      <c r="G139" s="8" t="str">
        <f>IF(COUNTIFS(Pricing!$A:$A,A139,Pricing!$B:$B,B139)=0,"",SUMIFS(Pricing!$G:$G,Pricing!$A:$A,A139,Pricing!$B:$B,B139))</f>
        <v/>
      </c>
      <c r="H139" s="9" t="str">
        <f t="shared" si="12"/>
        <v/>
      </c>
      <c r="I139" s="3">
        <v>0</v>
      </c>
      <c r="J139" s="3">
        <v>0</v>
      </c>
      <c r="K139" s="9" t="str">
        <f t="shared" si="13"/>
        <v/>
      </c>
      <c r="L139" s="6" t="str">
        <f t="shared" si="14"/>
        <v/>
      </c>
      <c r="M139" s="10" t="str">
        <f t="shared" si="15"/>
        <v/>
      </c>
      <c r="N139" s="6" t="str">
        <f t="shared" si="16"/>
        <v/>
      </c>
    </row>
    <row r="140" spans="1:14">
      <c r="A140" s="2"/>
      <c r="B140" s="2"/>
      <c r="C140" s="22" t="str">
        <f>IF(OR(A140="",B140=""),"",IFERROR(XLOOKUP(1,(Buy_History!$A$2:$A$501=A140)*(Buy_History!$B$2:$B$501=B140),Buy_History!$C$2:$C$501,""),""))</f>
        <v/>
      </c>
      <c r="D140" s="22" t="str">
        <f>IF(OR(A140="",B140=""),"",IFERROR(XLOOKUP(1,(Sell_History!$A$2:$A$501=A140)*(Sell_History!$B$2:$B$501=B140),Sell_History!$C$2:$C$501,""),""))</f>
        <v/>
      </c>
      <c r="E140" s="8" t="str">
        <f>IF(OR(A140="",B140=""),"",IFERROR(XLOOKUP(1,(Raw_Observations!$A$2:$A$1001=A140)*(Raw_Observations!$B$2:$B$1001=B140),Raw_Observations!$D$2:$D$1001,""),""))</f>
        <v/>
      </c>
      <c r="F140" s="8" t="str">
        <f>IF(OR(A140="",B140=""),"",IFERROR(XLOOKUP(1,(Order_History!$A$2:$A$501=A140)*(Order_History!$B$2:$B$501=B140),Order_History!$D$2:$D$501,""),""))</f>
        <v/>
      </c>
      <c r="G140" s="8" t="str">
        <f>IF(COUNTIFS(Pricing!$A:$A,A140,Pricing!$B:$B,B140)=0,"",SUMIFS(Pricing!$G:$G,Pricing!$A:$A,A140,Pricing!$B:$B,B140))</f>
        <v/>
      </c>
      <c r="H140" s="9" t="str">
        <f t="shared" si="12"/>
        <v/>
      </c>
      <c r="I140" s="3">
        <v>0</v>
      </c>
      <c r="J140" s="3">
        <v>0</v>
      </c>
      <c r="K140" s="9" t="str">
        <f t="shared" si="13"/>
        <v/>
      </c>
      <c r="L140" s="6" t="str">
        <f t="shared" si="14"/>
        <v/>
      </c>
      <c r="M140" s="10" t="str">
        <f t="shared" si="15"/>
        <v/>
      </c>
      <c r="N140" s="6" t="str">
        <f t="shared" si="16"/>
        <v/>
      </c>
    </row>
    <row r="141" spans="1:14">
      <c r="A141" s="2"/>
      <c r="B141" s="2"/>
      <c r="C141" s="22" t="str">
        <f>IF(OR(A141="",B141=""),"",IFERROR(XLOOKUP(1,(Buy_History!$A$2:$A$501=A141)*(Buy_History!$B$2:$B$501=B141),Buy_History!$C$2:$C$501,""),""))</f>
        <v/>
      </c>
      <c r="D141" s="22" t="str">
        <f>IF(OR(A141="",B141=""),"",IFERROR(XLOOKUP(1,(Sell_History!$A$2:$A$501=A141)*(Sell_History!$B$2:$B$501=B141),Sell_History!$C$2:$C$501,""),""))</f>
        <v/>
      </c>
      <c r="E141" s="8" t="str">
        <f>IF(OR(A141="",B141=""),"",IFERROR(XLOOKUP(1,(Raw_Observations!$A$2:$A$1001=A141)*(Raw_Observations!$B$2:$B$1001=B141),Raw_Observations!$D$2:$D$1001,""),""))</f>
        <v/>
      </c>
      <c r="F141" s="8" t="str">
        <f>IF(OR(A141="",B141=""),"",IFERROR(XLOOKUP(1,(Order_History!$A$2:$A$501=A141)*(Order_History!$B$2:$B$501=B141),Order_History!$D$2:$D$501,""),""))</f>
        <v/>
      </c>
      <c r="G141" s="8" t="str">
        <f>IF(COUNTIFS(Pricing!$A:$A,A141,Pricing!$B:$B,B141)=0,"",SUMIFS(Pricing!$G:$G,Pricing!$A:$A,A141,Pricing!$B:$B,B141))</f>
        <v/>
      </c>
      <c r="H141" s="9" t="str">
        <f t="shared" si="12"/>
        <v/>
      </c>
      <c r="I141" s="3">
        <v>0</v>
      </c>
      <c r="J141" s="3">
        <v>0</v>
      </c>
      <c r="K141" s="9" t="str">
        <f t="shared" si="13"/>
        <v/>
      </c>
      <c r="L141" s="6" t="str">
        <f t="shared" si="14"/>
        <v/>
      </c>
      <c r="M141" s="10" t="str">
        <f t="shared" si="15"/>
        <v/>
      </c>
      <c r="N141" s="6" t="str">
        <f t="shared" si="16"/>
        <v/>
      </c>
    </row>
    <row r="142" spans="1:14">
      <c r="A142" s="2"/>
      <c r="B142" s="2"/>
      <c r="C142" s="22" t="str">
        <f>IF(OR(A142="",B142=""),"",IFERROR(XLOOKUP(1,(Buy_History!$A$2:$A$501=A142)*(Buy_History!$B$2:$B$501=B142),Buy_History!$C$2:$C$501,""),""))</f>
        <v/>
      </c>
      <c r="D142" s="22" t="str">
        <f>IF(OR(A142="",B142=""),"",IFERROR(XLOOKUP(1,(Sell_History!$A$2:$A$501=A142)*(Sell_History!$B$2:$B$501=B142),Sell_History!$C$2:$C$501,""),""))</f>
        <v/>
      </c>
      <c r="E142" s="8" t="str">
        <f>IF(OR(A142="",B142=""),"",IFERROR(XLOOKUP(1,(Raw_Observations!$A$2:$A$1001=A142)*(Raw_Observations!$B$2:$B$1001=B142),Raw_Observations!$D$2:$D$1001,""),""))</f>
        <v/>
      </c>
      <c r="F142" s="8" t="str">
        <f>IF(OR(A142="",B142=""),"",IFERROR(XLOOKUP(1,(Order_History!$A$2:$A$501=A142)*(Order_History!$B$2:$B$501=B142),Order_History!$D$2:$D$501,""),""))</f>
        <v/>
      </c>
      <c r="G142" s="8" t="str">
        <f>IF(COUNTIFS(Pricing!$A:$A,A142,Pricing!$B:$B,B142)=0,"",SUMIFS(Pricing!$G:$G,Pricing!$A:$A,A142,Pricing!$B:$B,B142))</f>
        <v/>
      </c>
      <c r="H142" s="9" t="str">
        <f t="shared" si="12"/>
        <v/>
      </c>
      <c r="I142" s="3">
        <v>0</v>
      </c>
      <c r="J142" s="3">
        <v>0</v>
      </c>
      <c r="K142" s="9" t="str">
        <f t="shared" si="13"/>
        <v/>
      </c>
      <c r="L142" s="6" t="str">
        <f t="shared" si="14"/>
        <v/>
      </c>
      <c r="M142" s="10" t="str">
        <f t="shared" si="15"/>
        <v/>
      </c>
      <c r="N142" s="6" t="str">
        <f t="shared" si="16"/>
        <v/>
      </c>
    </row>
    <row r="143" spans="1:14">
      <c r="A143" s="2"/>
      <c r="B143" s="2"/>
      <c r="C143" s="22" t="str">
        <f>IF(OR(A143="",B143=""),"",IFERROR(XLOOKUP(1,(Buy_History!$A$2:$A$501=A143)*(Buy_History!$B$2:$B$501=B143),Buy_History!$C$2:$C$501,""),""))</f>
        <v/>
      </c>
      <c r="D143" s="22" t="str">
        <f>IF(OR(A143="",B143=""),"",IFERROR(XLOOKUP(1,(Sell_History!$A$2:$A$501=A143)*(Sell_History!$B$2:$B$501=B143),Sell_History!$C$2:$C$501,""),""))</f>
        <v/>
      </c>
      <c r="E143" s="8" t="str">
        <f>IF(OR(A143="",B143=""),"",IFERROR(XLOOKUP(1,(Raw_Observations!$A$2:$A$1001=A143)*(Raw_Observations!$B$2:$B$1001=B143),Raw_Observations!$D$2:$D$1001,""),""))</f>
        <v/>
      </c>
      <c r="F143" s="8" t="str">
        <f>IF(OR(A143="",B143=""),"",IFERROR(XLOOKUP(1,(Order_History!$A$2:$A$501=A143)*(Order_History!$B$2:$B$501=B143),Order_History!$D$2:$D$501,""),""))</f>
        <v/>
      </c>
      <c r="G143" s="8" t="str">
        <f>IF(COUNTIFS(Pricing!$A:$A,A143,Pricing!$B:$B,B143)=0,"",SUMIFS(Pricing!$G:$G,Pricing!$A:$A,A143,Pricing!$B:$B,B143))</f>
        <v/>
      </c>
      <c r="H143" s="9" t="str">
        <f t="shared" si="12"/>
        <v/>
      </c>
      <c r="I143" s="3">
        <v>0</v>
      </c>
      <c r="J143" s="3">
        <v>0</v>
      </c>
      <c r="K143" s="9" t="str">
        <f t="shared" si="13"/>
        <v/>
      </c>
      <c r="L143" s="6" t="str">
        <f t="shared" si="14"/>
        <v/>
      </c>
      <c r="M143" s="10" t="str">
        <f t="shared" si="15"/>
        <v/>
      </c>
      <c r="N143" s="6" t="str">
        <f t="shared" si="16"/>
        <v/>
      </c>
    </row>
    <row r="144" spans="1:14">
      <c r="A144" s="2"/>
      <c r="B144" s="2"/>
      <c r="C144" s="22" t="str">
        <f>IF(OR(A144="",B144=""),"",IFERROR(XLOOKUP(1,(Buy_History!$A$2:$A$501=A144)*(Buy_History!$B$2:$B$501=B144),Buy_History!$C$2:$C$501,""),""))</f>
        <v/>
      </c>
      <c r="D144" s="22" t="str">
        <f>IF(OR(A144="",B144=""),"",IFERROR(XLOOKUP(1,(Sell_History!$A$2:$A$501=A144)*(Sell_History!$B$2:$B$501=B144),Sell_History!$C$2:$C$501,""),""))</f>
        <v/>
      </c>
      <c r="E144" s="8" t="str">
        <f>IF(OR(A144="",B144=""),"",IFERROR(XLOOKUP(1,(Raw_Observations!$A$2:$A$1001=A144)*(Raw_Observations!$B$2:$B$1001=B144),Raw_Observations!$D$2:$D$1001,""),""))</f>
        <v/>
      </c>
      <c r="F144" s="8" t="str">
        <f>IF(OR(A144="",B144=""),"",IFERROR(XLOOKUP(1,(Order_History!$A$2:$A$501=A144)*(Order_History!$B$2:$B$501=B144),Order_History!$D$2:$D$501,""),""))</f>
        <v/>
      </c>
      <c r="G144" s="8" t="str">
        <f>IF(COUNTIFS(Pricing!$A:$A,A144,Pricing!$B:$B,B144)=0,"",SUMIFS(Pricing!$G:$G,Pricing!$A:$A,A144,Pricing!$B:$B,B144))</f>
        <v/>
      </c>
      <c r="H144" s="9" t="str">
        <f t="shared" si="12"/>
        <v/>
      </c>
      <c r="I144" s="3">
        <v>0</v>
      </c>
      <c r="J144" s="3">
        <v>0</v>
      </c>
      <c r="K144" s="9" t="str">
        <f t="shared" si="13"/>
        <v/>
      </c>
      <c r="L144" s="6" t="str">
        <f t="shared" si="14"/>
        <v/>
      </c>
      <c r="M144" s="10" t="str">
        <f t="shared" si="15"/>
        <v/>
      </c>
      <c r="N144" s="6" t="str">
        <f t="shared" si="16"/>
        <v/>
      </c>
    </row>
    <row r="145" spans="1:14">
      <c r="A145" s="2"/>
      <c r="B145" s="2"/>
      <c r="C145" s="22" t="str">
        <f>IF(OR(A145="",B145=""),"",IFERROR(XLOOKUP(1,(Buy_History!$A$2:$A$501=A145)*(Buy_History!$B$2:$B$501=B145),Buy_History!$C$2:$C$501,""),""))</f>
        <v/>
      </c>
      <c r="D145" s="22" t="str">
        <f>IF(OR(A145="",B145=""),"",IFERROR(XLOOKUP(1,(Sell_History!$A$2:$A$501=A145)*(Sell_History!$B$2:$B$501=B145),Sell_History!$C$2:$C$501,""),""))</f>
        <v/>
      </c>
      <c r="E145" s="8" t="str">
        <f>IF(OR(A145="",B145=""),"",IFERROR(XLOOKUP(1,(Raw_Observations!$A$2:$A$1001=A145)*(Raw_Observations!$B$2:$B$1001=B145),Raw_Observations!$D$2:$D$1001,""),""))</f>
        <v/>
      </c>
      <c r="F145" s="8" t="str">
        <f>IF(OR(A145="",B145=""),"",IFERROR(XLOOKUP(1,(Order_History!$A$2:$A$501=A145)*(Order_History!$B$2:$B$501=B145),Order_History!$D$2:$D$501,""),""))</f>
        <v/>
      </c>
      <c r="G145" s="8" t="str">
        <f>IF(COUNTIFS(Pricing!$A:$A,A145,Pricing!$B:$B,B145)=0,"",SUMIFS(Pricing!$G:$G,Pricing!$A:$A,A145,Pricing!$B:$B,B145))</f>
        <v/>
      </c>
      <c r="H145" s="9" t="str">
        <f t="shared" si="12"/>
        <v/>
      </c>
      <c r="I145" s="3">
        <v>0</v>
      </c>
      <c r="J145" s="3">
        <v>0</v>
      </c>
      <c r="K145" s="9" t="str">
        <f t="shared" si="13"/>
        <v/>
      </c>
      <c r="L145" s="6" t="str">
        <f t="shared" si="14"/>
        <v/>
      </c>
      <c r="M145" s="10" t="str">
        <f t="shared" si="15"/>
        <v/>
      </c>
      <c r="N145" s="6" t="str">
        <f t="shared" si="16"/>
        <v/>
      </c>
    </row>
    <row r="146" spans="1:14">
      <c r="A146" s="2"/>
      <c r="B146" s="2"/>
      <c r="C146" s="22" t="str">
        <f>IF(OR(A146="",B146=""),"",IFERROR(XLOOKUP(1,(Buy_History!$A$2:$A$501=A146)*(Buy_History!$B$2:$B$501=B146),Buy_History!$C$2:$C$501,""),""))</f>
        <v/>
      </c>
      <c r="D146" s="22" t="str">
        <f>IF(OR(A146="",B146=""),"",IFERROR(XLOOKUP(1,(Sell_History!$A$2:$A$501=A146)*(Sell_History!$B$2:$B$501=B146),Sell_History!$C$2:$C$501,""),""))</f>
        <v/>
      </c>
      <c r="E146" s="8" t="str">
        <f>IF(OR(A146="",B146=""),"",IFERROR(XLOOKUP(1,(Raw_Observations!$A$2:$A$1001=A146)*(Raw_Observations!$B$2:$B$1001=B146),Raw_Observations!$D$2:$D$1001,""),""))</f>
        <v/>
      </c>
      <c r="F146" s="8" t="str">
        <f>IF(OR(A146="",B146=""),"",IFERROR(XLOOKUP(1,(Order_History!$A$2:$A$501=A146)*(Order_History!$B$2:$B$501=B146),Order_History!$D$2:$D$501,""),""))</f>
        <v/>
      </c>
      <c r="G146" s="8" t="str">
        <f>IF(COUNTIFS(Pricing!$A:$A,A146,Pricing!$B:$B,B146)=0,"",SUMIFS(Pricing!$G:$G,Pricing!$A:$A,A146,Pricing!$B:$B,B146))</f>
        <v/>
      </c>
      <c r="H146" s="9" t="str">
        <f t="shared" si="12"/>
        <v/>
      </c>
      <c r="I146" s="3">
        <v>0</v>
      </c>
      <c r="J146" s="3">
        <v>0</v>
      </c>
      <c r="K146" s="9" t="str">
        <f t="shared" si="13"/>
        <v/>
      </c>
      <c r="L146" s="6" t="str">
        <f t="shared" si="14"/>
        <v/>
      </c>
      <c r="M146" s="10" t="str">
        <f t="shared" si="15"/>
        <v/>
      </c>
      <c r="N146" s="6" t="str">
        <f t="shared" si="16"/>
        <v/>
      </c>
    </row>
    <row r="147" spans="1:14">
      <c r="A147" s="2"/>
      <c r="B147" s="2"/>
      <c r="C147" s="22" t="str">
        <f>IF(OR(A147="",B147=""),"",IFERROR(XLOOKUP(1,(Buy_History!$A$2:$A$501=A147)*(Buy_History!$B$2:$B$501=B147),Buy_History!$C$2:$C$501,""),""))</f>
        <v/>
      </c>
      <c r="D147" s="22" t="str">
        <f>IF(OR(A147="",B147=""),"",IFERROR(XLOOKUP(1,(Sell_History!$A$2:$A$501=A147)*(Sell_History!$B$2:$B$501=B147),Sell_History!$C$2:$C$501,""),""))</f>
        <v/>
      </c>
      <c r="E147" s="8" t="str">
        <f>IF(OR(A147="",B147=""),"",IFERROR(XLOOKUP(1,(Raw_Observations!$A$2:$A$1001=A147)*(Raw_Observations!$B$2:$B$1001=B147),Raw_Observations!$D$2:$D$1001,""),""))</f>
        <v/>
      </c>
      <c r="F147" s="8" t="str">
        <f>IF(OR(A147="",B147=""),"",IFERROR(XLOOKUP(1,(Order_History!$A$2:$A$501=A147)*(Order_History!$B$2:$B$501=B147),Order_History!$D$2:$D$501,""),""))</f>
        <v/>
      </c>
      <c r="G147" s="8" t="str">
        <f>IF(COUNTIFS(Pricing!$A:$A,A147,Pricing!$B:$B,B147)=0,"",SUMIFS(Pricing!$G:$G,Pricing!$A:$A,A147,Pricing!$B:$B,B147))</f>
        <v/>
      </c>
      <c r="H147" s="9" t="str">
        <f t="shared" si="12"/>
        <v/>
      </c>
      <c r="I147" s="3">
        <v>0</v>
      </c>
      <c r="J147" s="3">
        <v>0</v>
      </c>
      <c r="K147" s="9" t="str">
        <f t="shared" si="13"/>
        <v/>
      </c>
      <c r="L147" s="6" t="str">
        <f t="shared" si="14"/>
        <v/>
      </c>
      <c r="M147" s="10" t="str">
        <f t="shared" si="15"/>
        <v/>
      </c>
      <c r="N147" s="6" t="str">
        <f t="shared" si="16"/>
        <v/>
      </c>
    </row>
    <row r="148" spans="1:14">
      <c r="A148" s="2"/>
      <c r="B148" s="2"/>
      <c r="C148" s="22" t="str">
        <f>IF(OR(A148="",B148=""),"",IFERROR(XLOOKUP(1,(Buy_History!$A$2:$A$501=A148)*(Buy_History!$B$2:$B$501=B148),Buy_History!$C$2:$C$501,""),""))</f>
        <v/>
      </c>
      <c r="D148" s="22" t="str">
        <f>IF(OR(A148="",B148=""),"",IFERROR(XLOOKUP(1,(Sell_History!$A$2:$A$501=A148)*(Sell_History!$B$2:$B$501=B148),Sell_History!$C$2:$C$501,""),""))</f>
        <v/>
      </c>
      <c r="E148" s="8" t="str">
        <f>IF(OR(A148="",B148=""),"",IFERROR(XLOOKUP(1,(Raw_Observations!$A$2:$A$1001=A148)*(Raw_Observations!$B$2:$B$1001=B148),Raw_Observations!$D$2:$D$1001,""),""))</f>
        <v/>
      </c>
      <c r="F148" s="8" t="str">
        <f>IF(OR(A148="",B148=""),"",IFERROR(XLOOKUP(1,(Order_History!$A$2:$A$501=A148)*(Order_History!$B$2:$B$501=B148),Order_History!$D$2:$D$501,""),""))</f>
        <v/>
      </c>
      <c r="G148" s="8" t="str">
        <f>IF(COUNTIFS(Pricing!$A:$A,A148,Pricing!$B:$B,B148)=0,"",SUMIFS(Pricing!$G:$G,Pricing!$A:$A,A148,Pricing!$B:$B,B148))</f>
        <v/>
      </c>
      <c r="H148" s="9" t="str">
        <f t="shared" si="12"/>
        <v/>
      </c>
      <c r="I148" s="3">
        <v>0</v>
      </c>
      <c r="J148" s="3">
        <v>0</v>
      </c>
      <c r="K148" s="9" t="str">
        <f t="shared" si="13"/>
        <v/>
      </c>
      <c r="L148" s="6" t="str">
        <f t="shared" si="14"/>
        <v/>
      </c>
      <c r="M148" s="10" t="str">
        <f t="shared" si="15"/>
        <v/>
      </c>
      <c r="N148" s="6" t="str">
        <f t="shared" si="16"/>
        <v/>
      </c>
    </row>
    <row r="149" spans="1:14">
      <c r="A149" s="2"/>
      <c r="B149" s="2"/>
      <c r="C149" s="22" t="str">
        <f>IF(OR(A149="",B149=""),"",IFERROR(XLOOKUP(1,(Buy_History!$A$2:$A$501=A149)*(Buy_History!$B$2:$B$501=B149),Buy_History!$C$2:$C$501,""),""))</f>
        <v/>
      </c>
      <c r="D149" s="22" t="str">
        <f>IF(OR(A149="",B149=""),"",IFERROR(XLOOKUP(1,(Sell_History!$A$2:$A$501=A149)*(Sell_History!$B$2:$B$501=B149),Sell_History!$C$2:$C$501,""),""))</f>
        <v/>
      </c>
      <c r="E149" s="8" t="str">
        <f>IF(OR(A149="",B149=""),"",IFERROR(XLOOKUP(1,(Raw_Observations!$A$2:$A$1001=A149)*(Raw_Observations!$B$2:$B$1001=B149),Raw_Observations!$D$2:$D$1001,""),""))</f>
        <v/>
      </c>
      <c r="F149" s="8" t="str">
        <f>IF(OR(A149="",B149=""),"",IFERROR(XLOOKUP(1,(Order_History!$A$2:$A$501=A149)*(Order_History!$B$2:$B$501=B149),Order_History!$D$2:$D$501,""),""))</f>
        <v/>
      </c>
      <c r="G149" s="8" t="str">
        <f>IF(COUNTIFS(Pricing!$A:$A,A149,Pricing!$B:$B,B149)=0,"",SUMIFS(Pricing!$G:$G,Pricing!$A:$A,A149,Pricing!$B:$B,B149))</f>
        <v/>
      </c>
      <c r="H149" s="9" t="str">
        <f t="shared" si="12"/>
        <v/>
      </c>
      <c r="I149" s="3">
        <v>0</v>
      </c>
      <c r="J149" s="3">
        <v>0</v>
      </c>
      <c r="K149" s="9" t="str">
        <f t="shared" si="13"/>
        <v/>
      </c>
      <c r="L149" s="6" t="str">
        <f t="shared" si="14"/>
        <v/>
      </c>
      <c r="M149" s="10" t="str">
        <f t="shared" si="15"/>
        <v/>
      </c>
      <c r="N149" s="6" t="str">
        <f t="shared" si="16"/>
        <v/>
      </c>
    </row>
    <row r="150" spans="1:14">
      <c r="A150" s="2"/>
      <c r="B150" s="2"/>
      <c r="C150" s="22" t="str">
        <f>IF(OR(A150="",B150=""),"",IFERROR(XLOOKUP(1,(Buy_History!$A$2:$A$501=A150)*(Buy_History!$B$2:$B$501=B150),Buy_History!$C$2:$C$501,""),""))</f>
        <v/>
      </c>
      <c r="D150" s="22" t="str">
        <f>IF(OR(A150="",B150=""),"",IFERROR(XLOOKUP(1,(Sell_History!$A$2:$A$501=A150)*(Sell_History!$B$2:$B$501=B150),Sell_History!$C$2:$C$501,""),""))</f>
        <v/>
      </c>
      <c r="E150" s="8" t="str">
        <f>IF(OR(A150="",B150=""),"",IFERROR(XLOOKUP(1,(Raw_Observations!$A$2:$A$1001=A150)*(Raw_Observations!$B$2:$B$1001=B150),Raw_Observations!$D$2:$D$1001,""),""))</f>
        <v/>
      </c>
      <c r="F150" s="8" t="str">
        <f>IF(OR(A150="",B150=""),"",IFERROR(XLOOKUP(1,(Order_History!$A$2:$A$501=A150)*(Order_History!$B$2:$B$501=B150),Order_History!$D$2:$D$501,""),""))</f>
        <v/>
      </c>
      <c r="G150" s="8" t="str">
        <f>IF(COUNTIFS(Pricing!$A:$A,A150,Pricing!$B:$B,B150)=0,"",SUMIFS(Pricing!$G:$G,Pricing!$A:$A,A150,Pricing!$B:$B,B150))</f>
        <v/>
      </c>
      <c r="H150" s="9" t="str">
        <f t="shared" si="12"/>
        <v/>
      </c>
      <c r="I150" s="3">
        <v>0</v>
      </c>
      <c r="J150" s="3">
        <v>0</v>
      </c>
      <c r="K150" s="9" t="str">
        <f t="shared" si="13"/>
        <v/>
      </c>
      <c r="L150" s="6" t="str">
        <f t="shared" si="14"/>
        <v/>
      </c>
      <c r="M150" s="10" t="str">
        <f t="shared" si="15"/>
        <v/>
      </c>
      <c r="N150" s="6" t="str">
        <f t="shared" si="16"/>
        <v/>
      </c>
    </row>
    <row r="151" spans="1:14">
      <c r="A151" s="2"/>
      <c r="B151" s="2"/>
      <c r="C151" s="22" t="str">
        <f>IF(OR(A151="",B151=""),"",IFERROR(XLOOKUP(1,(Buy_History!$A$2:$A$501=A151)*(Buy_History!$B$2:$B$501=B151),Buy_History!$C$2:$C$501,""),""))</f>
        <v/>
      </c>
      <c r="D151" s="22" t="str">
        <f>IF(OR(A151="",B151=""),"",IFERROR(XLOOKUP(1,(Sell_History!$A$2:$A$501=A151)*(Sell_History!$B$2:$B$501=B151),Sell_History!$C$2:$C$501,""),""))</f>
        <v/>
      </c>
      <c r="E151" s="8" t="str">
        <f>IF(OR(A151="",B151=""),"",IFERROR(XLOOKUP(1,(Raw_Observations!$A$2:$A$1001=A151)*(Raw_Observations!$B$2:$B$1001=B151),Raw_Observations!$D$2:$D$1001,""),""))</f>
        <v/>
      </c>
      <c r="F151" s="8" t="str">
        <f>IF(OR(A151="",B151=""),"",IFERROR(XLOOKUP(1,(Order_History!$A$2:$A$501=A151)*(Order_History!$B$2:$B$501=B151),Order_History!$D$2:$D$501,""),""))</f>
        <v/>
      </c>
      <c r="G151" s="8" t="str">
        <f>IF(COUNTIFS(Pricing!$A:$A,A151,Pricing!$B:$B,B151)=0,"",SUMIFS(Pricing!$G:$G,Pricing!$A:$A,A151,Pricing!$B:$B,B151))</f>
        <v/>
      </c>
      <c r="H151" s="9" t="str">
        <f t="shared" si="12"/>
        <v/>
      </c>
      <c r="I151" s="3">
        <v>0</v>
      </c>
      <c r="J151" s="3">
        <v>0</v>
      </c>
      <c r="K151" s="9" t="str">
        <f t="shared" si="13"/>
        <v/>
      </c>
      <c r="L151" s="6" t="str">
        <f t="shared" si="14"/>
        <v/>
      </c>
      <c r="M151" s="10" t="str">
        <f t="shared" si="15"/>
        <v/>
      </c>
      <c r="N151" s="6" t="str">
        <f t="shared" si="16"/>
        <v/>
      </c>
    </row>
    <row r="152" spans="1:14">
      <c r="A152" s="2"/>
      <c r="B152" s="2"/>
      <c r="C152" s="22" t="str">
        <f>IF(OR(A152="",B152=""),"",IFERROR(XLOOKUP(1,(Buy_History!$A$2:$A$501=A152)*(Buy_History!$B$2:$B$501=B152),Buy_History!$C$2:$C$501,""),""))</f>
        <v/>
      </c>
      <c r="D152" s="22" t="str">
        <f>IF(OR(A152="",B152=""),"",IFERROR(XLOOKUP(1,(Sell_History!$A$2:$A$501=A152)*(Sell_History!$B$2:$B$501=B152),Sell_History!$C$2:$C$501,""),""))</f>
        <v/>
      </c>
      <c r="E152" s="8" t="str">
        <f>IF(OR(A152="",B152=""),"",IFERROR(XLOOKUP(1,(Raw_Observations!$A$2:$A$1001=A152)*(Raw_Observations!$B$2:$B$1001=B152),Raw_Observations!$D$2:$D$1001,""),""))</f>
        <v/>
      </c>
      <c r="F152" s="8" t="str">
        <f>IF(OR(A152="",B152=""),"",IFERROR(XLOOKUP(1,(Order_History!$A$2:$A$501=A152)*(Order_History!$B$2:$B$501=B152),Order_History!$D$2:$D$501,""),""))</f>
        <v/>
      </c>
      <c r="G152" s="8" t="str">
        <f>IF(COUNTIFS(Pricing!$A:$A,A152,Pricing!$B:$B,B152)=0,"",SUMIFS(Pricing!$G:$G,Pricing!$A:$A,A152,Pricing!$B:$B,B152))</f>
        <v/>
      </c>
      <c r="H152" s="9" t="str">
        <f t="shared" si="12"/>
        <v/>
      </c>
      <c r="I152" s="3">
        <v>0</v>
      </c>
      <c r="J152" s="3">
        <v>0</v>
      </c>
      <c r="K152" s="9" t="str">
        <f t="shared" si="13"/>
        <v/>
      </c>
      <c r="L152" s="6" t="str">
        <f t="shared" si="14"/>
        <v/>
      </c>
      <c r="M152" s="10" t="str">
        <f t="shared" si="15"/>
        <v/>
      </c>
      <c r="N152" s="6" t="str">
        <f t="shared" si="16"/>
        <v/>
      </c>
    </row>
    <row r="153" spans="1:14">
      <c r="A153" s="2"/>
      <c r="B153" s="2"/>
      <c r="C153" s="22" t="str">
        <f>IF(OR(A153="",B153=""),"",IFERROR(XLOOKUP(1,(Buy_History!$A$2:$A$501=A153)*(Buy_History!$B$2:$B$501=B153),Buy_History!$C$2:$C$501,""),""))</f>
        <v/>
      </c>
      <c r="D153" s="22" t="str">
        <f>IF(OR(A153="",B153=""),"",IFERROR(XLOOKUP(1,(Sell_History!$A$2:$A$501=A153)*(Sell_History!$B$2:$B$501=B153),Sell_History!$C$2:$C$501,""),""))</f>
        <v/>
      </c>
      <c r="E153" s="8" t="str">
        <f>IF(OR(A153="",B153=""),"",IFERROR(XLOOKUP(1,(Raw_Observations!$A$2:$A$1001=A153)*(Raw_Observations!$B$2:$B$1001=B153),Raw_Observations!$D$2:$D$1001,""),""))</f>
        <v/>
      </c>
      <c r="F153" s="8" t="str">
        <f>IF(OR(A153="",B153=""),"",IFERROR(XLOOKUP(1,(Order_History!$A$2:$A$501=A153)*(Order_History!$B$2:$B$501=B153),Order_History!$D$2:$D$501,""),""))</f>
        <v/>
      </c>
      <c r="G153" s="8" t="str">
        <f>IF(COUNTIFS(Pricing!$A:$A,A153,Pricing!$B:$B,B153)=0,"",SUMIFS(Pricing!$G:$G,Pricing!$A:$A,A153,Pricing!$B:$B,B153))</f>
        <v/>
      </c>
      <c r="H153" s="9" t="str">
        <f t="shared" si="12"/>
        <v/>
      </c>
      <c r="I153" s="3">
        <v>0</v>
      </c>
      <c r="J153" s="3">
        <v>0</v>
      </c>
      <c r="K153" s="9" t="str">
        <f t="shared" si="13"/>
        <v/>
      </c>
      <c r="L153" s="6" t="str">
        <f t="shared" si="14"/>
        <v/>
      </c>
      <c r="M153" s="10" t="str">
        <f t="shared" si="15"/>
        <v/>
      </c>
      <c r="N153" s="6" t="str">
        <f t="shared" si="16"/>
        <v/>
      </c>
    </row>
    <row r="154" spans="1:14">
      <c r="A154" s="2"/>
      <c r="B154" s="2"/>
      <c r="C154" s="22" t="str">
        <f>IF(OR(A154="",B154=""),"",IFERROR(XLOOKUP(1,(Buy_History!$A$2:$A$501=A154)*(Buy_History!$B$2:$B$501=B154),Buy_History!$C$2:$C$501,""),""))</f>
        <v/>
      </c>
      <c r="D154" s="22" t="str">
        <f>IF(OR(A154="",B154=""),"",IFERROR(XLOOKUP(1,(Sell_History!$A$2:$A$501=A154)*(Sell_History!$B$2:$B$501=B154),Sell_History!$C$2:$C$501,""),""))</f>
        <v/>
      </c>
      <c r="E154" s="8" t="str">
        <f>IF(OR(A154="",B154=""),"",IFERROR(XLOOKUP(1,(Raw_Observations!$A$2:$A$1001=A154)*(Raw_Observations!$B$2:$B$1001=B154),Raw_Observations!$D$2:$D$1001,""),""))</f>
        <v/>
      </c>
      <c r="F154" s="8" t="str">
        <f>IF(OR(A154="",B154=""),"",IFERROR(XLOOKUP(1,(Order_History!$A$2:$A$501=A154)*(Order_History!$B$2:$B$501=B154),Order_History!$D$2:$D$501,""),""))</f>
        <v/>
      </c>
      <c r="G154" s="8" t="str">
        <f>IF(COUNTIFS(Pricing!$A:$A,A154,Pricing!$B:$B,B154)=0,"",SUMIFS(Pricing!$G:$G,Pricing!$A:$A,A154,Pricing!$B:$B,B154))</f>
        <v/>
      </c>
      <c r="H154" s="9" t="str">
        <f t="shared" si="12"/>
        <v/>
      </c>
      <c r="I154" s="3">
        <v>0</v>
      </c>
      <c r="J154" s="3">
        <v>0</v>
      </c>
      <c r="K154" s="9" t="str">
        <f t="shared" si="13"/>
        <v/>
      </c>
      <c r="L154" s="6" t="str">
        <f t="shared" si="14"/>
        <v/>
      </c>
      <c r="M154" s="10" t="str">
        <f t="shared" si="15"/>
        <v/>
      </c>
      <c r="N154" s="6" t="str">
        <f t="shared" si="16"/>
        <v/>
      </c>
    </row>
    <row r="155" spans="1:14">
      <c r="A155" s="2"/>
      <c r="B155" s="2"/>
      <c r="C155" s="22" t="str">
        <f>IF(OR(A155="",B155=""),"",IFERROR(XLOOKUP(1,(Buy_History!$A$2:$A$501=A155)*(Buy_History!$B$2:$B$501=B155),Buy_History!$C$2:$C$501,""),""))</f>
        <v/>
      </c>
      <c r="D155" s="22" t="str">
        <f>IF(OR(A155="",B155=""),"",IFERROR(XLOOKUP(1,(Sell_History!$A$2:$A$501=A155)*(Sell_History!$B$2:$B$501=B155),Sell_History!$C$2:$C$501,""),""))</f>
        <v/>
      </c>
      <c r="E155" s="8" t="str">
        <f>IF(OR(A155="",B155=""),"",IFERROR(XLOOKUP(1,(Raw_Observations!$A$2:$A$1001=A155)*(Raw_Observations!$B$2:$B$1001=B155),Raw_Observations!$D$2:$D$1001,""),""))</f>
        <v/>
      </c>
      <c r="F155" s="8" t="str">
        <f>IF(OR(A155="",B155=""),"",IFERROR(XLOOKUP(1,(Order_History!$A$2:$A$501=A155)*(Order_History!$B$2:$B$501=B155),Order_History!$D$2:$D$501,""),""))</f>
        <v/>
      </c>
      <c r="G155" s="8" t="str">
        <f>IF(COUNTIFS(Pricing!$A:$A,A155,Pricing!$B:$B,B155)=0,"",SUMIFS(Pricing!$G:$G,Pricing!$A:$A,A155,Pricing!$B:$B,B155))</f>
        <v/>
      </c>
      <c r="H155" s="9" t="str">
        <f t="shared" si="12"/>
        <v/>
      </c>
      <c r="I155" s="3">
        <v>0</v>
      </c>
      <c r="J155" s="3">
        <v>0</v>
      </c>
      <c r="K155" s="9" t="str">
        <f t="shared" si="13"/>
        <v/>
      </c>
      <c r="L155" s="6" t="str">
        <f t="shared" si="14"/>
        <v/>
      </c>
      <c r="M155" s="10" t="str">
        <f t="shared" si="15"/>
        <v/>
      </c>
      <c r="N155" s="6" t="str">
        <f t="shared" si="16"/>
        <v/>
      </c>
    </row>
    <row r="156" spans="1:14">
      <c r="A156" s="2"/>
      <c r="B156" s="2"/>
      <c r="C156" s="22" t="str">
        <f>IF(OR(A156="",B156=""),"",IFERROR(XLOOKUP(1,(Buy_History!$A$2:$A$501=A156)*(Buy_History!$B$2:$B$501=B156),Buy_History!$C$2:$C$501,""),""))</f>
        <v/>
      </c>
      <c r="D156" s="22" t="str">
        <f>IF(OR(A156="",B156=""),"",IFERROR(XLOOKUP(1,(Sell_History!$A$2:$A$501=A156)*(Sell_History!$B$2:$B$501=B156),Sell_History!$C$2:$C$501,""),""))</f>
        <v/>
      </c>
      <c r="E156" s="8" t="str">
        <f>IF(OR(A156="",B156=""),"",IFERROR(XLOOKUP(1,(Raw_Observations!$A$2:$A$1001=A156)*(Raw_Observations!$B$2:$B$1001=B156),Raw_Observations!$D$2:$D$1001,""),""))</f>
        <v/>
      </c>
      <c r="F156" s="8" t="str">
        <f>IF(OR(A156="",B156=""),"",IFERROR(XLOOKUP(1,(Order_History!$A$2:$A$501=A156)*(Order_History!$B$2:$B$501=B156),Order_History!$D$2:$D$501,""),""))</f>
        <v/>
      </c>
      <c r="G156" s="8" t="str">
        <f>IF(COUNTIFS(Pricing!$A:$A,A156,Pricing!$B:$B,B156)=0,"",SUMIFS(Pricing!$G:$G,Pricing!$A:$A,A156,Pricing!$B:$B,B156))</f>
        <v/>
      </c>
      <c r="H156" s="9" t="str">
        <f t="shared" si="12"/>
        <v/>
      </c>
      <c r="I156" s="3">
        <v>0</v>
      </c>
      <c r="J156" s="3">
        <v>0</v>
      </c>
      <c r="K156" s="9" t="str">
        <f t="shared" si="13"/>
        <v/>
      </c>
      <c r="L156" s="6" t="str">
        <f t="shared" si="14"/>
        <v/>
      </c>
      <c r="M156" s="10" t="str">
        <f t="shared" si="15"/>
        <v/>
      </c>
      <c r="N156" s="6" t="str">
        <f t="shared" si="16"/>
        <v/>
      </c>
    </row>
    <row r="157" spans="1:14">
      <c r="A157" s="2"/>
      <c r="B157" s="2"/>
      <c r="C157" s="22" t="str">
        <f>IF(OR(A157="",B157=""),"",IFERROR(XLOOKUP(1,(Buy_History!$A$2:$A$501=A157)*(Buy_History!$B$2:$B$501=B157),Buy_History!$C$2:$C$501,""),""))</f>
        <v/>
      </c>
      <c r="D157" s="22" t="str">
        <f>IF(OR(A157="",B157=""),"",IFERROR(XLOOKUP(1,(Sell_History!$A$2:$A$501=A157)*(Sell_History!$B$2:$B$501=B157),Sell_History!$C$2:$C$501,""),""))</f>
        <v/>
      </c>
      <c r="E157" s="8" t="str">
        <f>IF(OR(A157="",B157=""),"",IFERROR(XLOOKUP(1,(Raw_Observations!$A$2:$A$1001=A157)*(Raw_Observations!$B$2:$B$1001=B157),Raw_Observations!$D$2:$D$1001,""),""))</f>
        <v/>
      </c>
      <c r="F157" s="8" t="str">
        <f>IF(OR(A157="",B157=""),"",IFERROR(XLOOKUP(1,(Order_History!$A$2:$A$501=A157)*(Order_History!$B$2:$B$501=B157),Order_History!$D$2:$D$501,""),""))</f>
        <v/>
      </c>
      <c r="G157" s="8" t="str">
        <f>IF(COUNTIFS(Pricing!$A:$A,A157,Pricing!$B:$B,B157)=0,"",SUMIFS(Pricing!$G:$G,Pricing!$A:$A,A157,Pricing!$B:$B,B157))</f>
        <v/>
      </c>
      <c r="H157" s="9" t="str">
        <f t="shared" si="12"/>
        <v/>
      </c>
      <c r="I157" s="3">
        <v>0</v>
      </c>
      <c r="J157" s="3">
        <v>0</v>
      </c>
      <c r="K157" s="9" t="str">
        <f t="shared" si="13"/>
        <v/>
      </c>
      <c r="L157" s="6" t="str">
        <f t="shared" si="14"/>
        <v/>
      </c>
      <c r="M157" s="10" t="str">
        <f t="shared" si="15"/>
        <v/>
      </c>
      <c r="N157" s="6" t="str">
        <f t="shared" si="16"/>
        <v/>
      </c>
    </row>
    <row r="158" spans="1:14">
      <c r="A158" s="2"/>
      <c r="B158" s="2"/>
      <c r="C158" s="22" t="str">
        <f>IF(OR(A158="",B158=""),"",IFERROR(XLOOKUP(1,(Buy_History!$A$2:$A$501=A158)*(Buy_History!$B$2:$B$501=B158),Buy_History!$C$2:$C$501,""),""))</f>
        <v/>
      </c>
      <c r="D158" s="22" t="str">
        <f>IF(OR(A158="",B158=""),"",IFERROR(XLOOKUP(1,(Sell_History!$A$2:$A$501=A158)*(Sell_History!$B$2:$B$501=B158),Sell_History!$C$2:$C$501,""),""))</f>
        <v/>
      </c>
      <c r="E158" s="8" t="str">
        <f>IF(OR(A158="",B158=""),"",IFERROR(XLOOKUP(1,(Raw_Observations!$A$2:$A$1001=A158)*(Raw_Observations!$B$2:$B$1001=B158),Raw_Observations!$D$2:$D$1001,""),""))</f>
        <v/>
      </c>
      <c r="F158" s="8" t="str">
        <f>IF(OR(A158="",B158=""),"",IFERROR(XLOOKUP(1,(Order_History!$A$2:$A$501=A158)*(Order_History!$B$2:$B$501=B158),Order_History!$D$2:$D$501,""),""))</f>
        <v/>
      </c>
      <c r="G158" s="8" t="str">
        <f>IF(COUNTIFS(Pricing!$A:$A,A158,Pricing!$B:$B,B158)=0,"",SUMIFS(Pricing!$G:$G,Pricing!$A:$A,A158,Pricing!$B:$B,B158))</f>
        <v/>
      </c>
      <c r="H158" s="9" t="str">
        <f t="shared" si="12"/>
        <v/>
      </c>
      <c r="I158" s="3">
        <v>0</v>
      </c>
      <c r="J158" s="3">
        <v>0</v>
      </c>
      <c r="K158" s="9" t="str">
        <f t="shared" si="13"/>
        <v/>
      </c>
      <c r="L158" s="6" t="str">
        <f t="shared" si="14"/>
        <v/>
      </c>
      <c r="M158" s="10" t="str">
        <f t="shared" si="15"/>
        <v/>
      </c>
      <c r="N158" s="6" t="str">
        <f t="shared" si="16"/>
        <v/>
      </c>
    </row>
    <row r="159" spans="1:14">
      <c r="A159" s="2"/>
      <c r="B159" s="2"/>
      <c r="C159" s="22" t="str">
        <f>IF(OR(A159="",B159=""),"",IFERROR(XLOOKUP(1,(Buy_History!$A$2:$A$501=A159)*(Buy_History!$B$2:$B$501=B159),Buy_History!$C$2:$C$501,""),""))</f>
        <v/>
      </c>
      <c r="D159" s="22" t="str">
        <f>IF(OR(A159="",B159=""),"",IFERROR(XLOOKUP(1,(Sell_History!$A$2:$A$501=A159)*(Sell_History!$B$2:$B$501=B159),Sell_History!$C$2:$C$501,""),""))</f>
        <v/>
      </c>
      <c r="E159" s="8" t="str">
        <f>IF(OR(A159="",B159=""),"",IFERROR(XLOOKUP(1,(Raw_Observations!$A$2:$A$1001=A159)*(Raw_Observations!$B$2:$B$1001=B159),Raw_Observations!$D$2:$D$1001,""),""))</f>
        <v/>
      </c>
      <c r="F159" s="8" t="str">
        <f>IF(OR(A159="",B159=""),"",IFERROR(XLOOKUP(1,(Order_History!$A$2:$A$501=A159)*(Order_History!$B$2:$B$501=B159),Order_History!$D$2:$D$501,""),""))</f>
        <v/>
      </c>
      <c r="G159" s="8" t="str">
        <f>IF(COUNTIFS(Pricing!$A:$A,A159,Pricing!$B:$B,B159)=0,"",SUMIFS(Pricing!$G:$G,Pricing!$A:$A,A159,Pricing!$B:$B,B159))</f>
        <v/>
      </c>
      <c r="H159" s="9" t="str">
        <f t="shared" si="12"/>
        <v/>
      </c>
      <c r="I159" s="3">
        <v>0</v>
      </c>
      <c r="J159" s="3">
        <v>0</v>
      </c>
      <c r="K159" s="9" t="str">
        <f t="shared" si="13"/>
        <v/>
      </c>
      <c r="L159" s="6" t="str">
        <f t="shared" si="14"/>
        <v/>
      </c>
      <c r="M159" s="10" t="str">
        <f t="shared" si="15"/>
        <v/>
      </c>
      <c r="N159" s="6" t="str">
        <f t="shared" si="16"/>
        <v/>
      </c>
    </row>
    <row r="160" spans="1:14">
      <c r="A160" s="2"/>
      <c r="B160" s="2"/>
      <c r="C160" s="22" t="str">
        <f>IF(OR(A160="",B160=""),"",IFERROR(XLOOKUP(1,(Buy_History!$A$2:$A$501=A160)*(Buy_History!$B$2:$B$501=B160),Buy_History!$C$2:$C$501,""),""))</f>
        <v/>
      </c>
      <c r="D160" s="22" t="str">
        <f>IF(OR(A160="",B160=""),"",IFERROR(XLOOKUP(1,(Sell_History!$A$2:$A$501=A160)*(Sell_History!$B$2:$B$501=B160),Sell_History!$C$2:$C$501,""),""))</f>
        <v/>
      </c>
      <c r="E160" s="8" t="str">
        <f>IF(OR(A160="",B160=""),"",IFERROR(XLOOKUP(1,(Raw_Observations!$A$2:$A$1001=A160)*(Raw_Observations!$B$2:$B$1001=B160),Raw_Observations!$D$2:$D$1001,""),""))</f>
        <v/>
      </c>
      <c r="F160" s="8" t="str">
        <f>IF(OR(A160="",B160=""),"",IFERROR(XLOOKUP(1,(Order_History!$A$2:$A$501=A160)*(Order_History!$B$2:$B$501=B160),Order_History!$D$2:$D$501,""),""))</f>
        <v/>
      </c>
      <c r="G160" s="8" t="str">
        <f>IF(COUNTIFS(Pricing!$A:$A,A160,Pricing!$B:$B,B160)=0,"",SUMIFS(Pricing!$G:$G,Pricing!$A:$A,A160,Pricing!$B:$B,B160))</f>
        <v/>
      </c>
      <c r="H160" s="9" t="str">
        <f t="shared" si="12"/>
        <v/>
      </c>
      <c r="I160" s="3">
        <v>0</v>
      </c>
      <c r="J160" s="3">
        <v>0</v>
      </c>
      <c r="K160" s="9" t="str">
        <f t="shared" si="13"/>
        <v/>
      </c>
      <c r="L160" s="6" t="str">
        <f t="shared" si="14"/>
        <v/>
      </c>
      <c r="M160" s="10" t="str">
        <f t="shared" si="15"/>
        <v/>
      </c>
      <c r="N160" s="6" t="str">
        <f t="shared" si="16"/>
        <v/>
      </c>
    </row>
    <row r="161" spans="1:14">
      <c r="A161" s="2"/>
      <c r="B161" s="2"/>
      <c r="C161" s="22" t="str">
        <f>IF(OR(A161="",B161=""),"",IFERROR(XLOOKUP(1,(Buy_History!$A$2:$A$501=A161)*(Buy_History!$B$2:$B$501=B161),Buy_History!$C$2:$C$501,""),""))</f>
        <v/>
      </c>
      <c r="D161" s="22" t="str">
        <f>IF(OR(A161="",B161=""),"",IFERROR(XLOOKUP(1,(Sell_History!$A$2:$A$501=A161)*(Sell_History!$B$2:$B$501=B161),Sell_History!$C$2:$C$501,""),""))</f>
        <v/>
      </c>
      <c r="E161" s="8" t="str">
        <f>IF(OR(A161="",B161=""),"",IFERROR(XLOOKUP(1,(Raw_Observations!$A$2:$A$1001=A161)*(Raw_Observations!$B$2:$B$1001=B161),Raw_Observations!$D$2:$D$1001,""),""))</f>
        <v/>
      </c>
      <c r="F161" s="8" t="str">
        <f>IF(OR(A161="",B161=""),"",IFERROR(XLOOKUP(1,(Order_History!$A$2:$A$501=A161)*(Order_History!$B$2:$B$501=B161),Order_History!$D$2:$D$501,""),""))</f>
        <v/>
      </c>
      <c r="G161" s="8" t="str">
        <f>IF(COUNTIFS(Pricing!$A:$A,A161,Pricing!$B:$B,B161)=0,"",SUMIFS(Pricing!$G:$G,Pricing!$A:$A,A161,Pricing!$B:$B,B161))</f>
        <v/>
      </c>
      <c r="H161" s="9" t="str">
        <f t="shared" si="12"/>
        <v/>
      </c>
      <c r="I161" s="3">
        <v>0</v>
      </c>
      <c r="J161" s="3">
        <v>0</v>
      </c>
      <c r="K161" s="9" t="str">
        <f t="shared" si="13"/>
        <v/>
      </c>
      <c r="L161" s="6" t="str">
        <f t="shared" si="14"/>
        <v/>
      </c>
      <c r="M161" s="10" t="str">
        <f t="shared" si="15"/>
        <v/>
      </c>
      <c r="N161" s="6" t="str">
        <f t="shared" si="16"/>
        <v/>
      </c>
    </row>
    <row r="162" spans="1:14">
      <c r="A162" s="2"/>
      <c r="B162" s="2"/>
      <c r="C162" s="22" t="str">
        <f>IF(OR(A162="",B162=""),"",IFERROR(XLOOKUP(1,(Buy_History!$A$2:$A$501=A162)*(Buy_History!$B$2:$B$501=B162),Buy_History!$C$2:$C$501,""),""))</f>
        <v/>
      </c>
      <c r="D162" s="22" t="str">
        <f>IF(OR(A162="",B162=""),"",IFERROR(XLOOKUP(1,(Sell_History!$A$2:$A$501=A162)*(Sell_History!$B$2:$B$501=B162),Sell_History!$C$2:$C$501,""),""))</f>
        <v/>
      </c>
      <c r="E162" s="8" t="str">
        <f>IF(OR(A162="",B162=""),"",IFERROR(XLOOKUP(1,(Raw_Observations!$A$2:$A$1001=A162)*(Raw_Observations!$B$2:$B$1001=B162),Raw_Observations!$D$2:$D$1001,""),""))</f>
        <v/>
      </c>
      <c r="F162" s="8" t="str">
        <f>IF(OR(A162="",B162=""),"",IFERROR(XLOOKUP(1,(Order_History!$A$2:$A$501=A162)*(Order_History!$B$2:$B$501=B162),Order_History!$D$2:$D$501,""),""))</f>
        <v/>
      </c>
      <c r="G162" s="8" t="str">
        <f>IF(COUNTIFS(Pricing!$A:$A,A162,Pricing!$B:$B,B162)=0,"",SUMIFS(Pricing!$G:$G,Pricing!$A:$A,A162,Pricing!$B:$B,B162))</f>
        <v/>
      </c>
      <c r="H162" s="9" t="str">
        <f t="shared" si="12"/>
        <v/>
      </c>
      <c r="I162" s="3">
        <v>0</v>
      </c>
      <c r="J162" s="3">
        <v>0</v>
      </c>
      <c r="K162" s="9" t="str">
        <f t="shared" si="13"/>
        <v/>
      </c>
      <c r="L162" s="6" t="str">
        <f t="shared" si="14"/>
        <v/>
      </c>
      <c r="M162" s="10" t="str">
        <f t="shared" si="15"/>
        <v/>
      </c>
      <c r="N162" s="6" t="str">
        <f t="shared" si="16"/>
        <v/>
      </c>
    </row>
    <row r="163" spans="1:14">
      <c r="A163" s="2"/>
      <c r="B163" s="2"/>
      <c r="C163" s="22" t="str">
        <f>IF(OR(A163="",B163=""),"",IFERROR(XLOOKUP(1,(Buy_History!$A$2:$A$501=A163)*(Buy_History!$B$2:$B$501=B163),Buy_History!$C$2:$C$501,""),""))</f>
        <v/>
      </c>
      <c r="D163" s="22" t="str">
        <f>IF(OR(A163="",B163=""),"",IFERROR(XLOOKUP(1,(Sell_History!$A$2:$A$501=A163)*(Sell_History!$B$2:$B$501=B163),Sell_History!$C$2:$C$501,""),""))</f>
        <v/>
      </c>
      <c r="E163" s="8" t="str">
        <f>IF(OR(A163="",B163=""),"",IFERROR(XLOOKUP(1,(Raw_Observations!$A$2:$A$1001=A163)*(Raw_Observations!$B$2:$B$1001=B163),Raw_Observations!$D$2:$D$1001,""),""))</f>
        <v/>
      </c>
      <c r="F163" s="8" t="str">
        <f>IF(OR(A163="",B163=""),"",IFERROR(XLOOKUP(1,(Order_History!$A$2:$A$501=A163)*(Order_History!$B$2:$B$501=B163),Order_History!$D$2:$D$501,""),""))</f>
        <v/>
      </c>
      <c r="G163" s="8" t="str">
        <f>IF(COUNTIFS(Pricing!$A:$A,A163,Pricing!$B:$B,B163)=0,"",SUMIFS(Pricing!$G:$G,Pricing!$A:$A,A163,Pricing!$B:$B,B163))</f>
        <v/>
      </c>
      <c r="H163" s="9" t="str">
        <f t="shared" si="12"/>
        <v/>
      </c>
      <c r="I163" s="3">
        <v>0</v>
      </c>
      <c r="J163" s="3">
        <v>0</v>
      </c>
      <c r="K163" s="9" t="str">
        <f t="shared" si="13"/>
        <v/>
      </c>
      <c r="L163" s="6" t="str">
        <f t="shared" si="14"/>
        <v/>
      </c>
      <c r="M163" s="10" t="str">
        <f t="shared" si="15"/>
        <v/>
      </c>
      <c r="N163" s="6" t="str">
        <f t="shared" si="16"/>
        <v/>
      </c>
    </row>
    <row r="164" spans="1:14">
      <c r="A164" s="2"/>
      <c r="B164" s="2"/>
      <c r="C164" s="22" t="str">
        <f>IF(OR(A164="",B164=""),"",IFERROR(XLOOKUP(1,(Buy_History!$A$2:$A$501=A164)*(Buy_History!$B$2:$B$501=B164),Buy_History!$C$2:$C$501,""),""))</f>
        <v/>
      </c>
      <c r="D164" s="22" t="str">
        <f>IF(OR(A164="",B164=""),"",IFERROR(XLOOKUP(1,(Sell_History!$A$2:$A$501=A164)*(Sell_History!$B$2:$B$501=B164),Sell_History!$C$2:$C$501,""),""))</f>
        <v/>
      </c>
      <c r="E164" s="8" t="str">
        <f>IF(OR(A164="",B164=""),"",IFERROR(XLOOKUP(1,(Raw_Observations!$A$2:$A$1001=A164)*(Raw_Observations!$B$2:$B$1001=B164),Raw_Observations!$D$2:$D$1001,""),""))</f>
        <v/>
      </c>
      <c r="F164" s="8" t="str">
        <f>IF(OR(A164="",B164=""),"",IFERROR(XLOOKUP(1,(Order_History!$A$2:$A$501=A164)*(Order_History!$B$2:$B$501=B164),Order_History!$D$2:$D$501,""),""))</f>
        <v/>
      </c>
      <c r="G164" s="8" t="str">
        <f>IF(COUNTIFS(Pricing!$A:$A,A164,Pricing!$B:$B,B164)=0,"",SUMIFS(Pricing!$G:$G,Pricing!$A:$A,A164,Pricing!$B:$B,B164))</f>
        <v/>
      </c>
      <c r="H164" s="9" t="str">
        <f t="shared" si="12"/>
        <v/>
      </c>
      <c r="I164" s="3">
        <v>0</v>
      </c>
      <c r="J164" s="3">
        <v>0</v>
      </c>
      <c r="K164" s="9" t="str">
        <f t="shared" si="13"/>
        <v/>
      </c>
      <c r="L164" s="6" t="str">
        <f t="shared" si="14"/>
        <v/>
      </c>
      <c r="M164" s="10" t="str">
        <f t="shared" si="15"/>
        <v/>
      </c>
      <c r="N164" s="6" t="str">
        <f t="shared" si="16"/>
        <v/>
      </c>
    </row>
    <row r="165" spans="1:14">
      <c r="A165" s="2"/>
      <c r="B165" s="2"/>
      <c r="C165" s="22" t="str">
        <f>IF(OR(A165="",B165=""),"",IFERROR(XLOOKUP(1,(Buy_History!$A$2:$A$501=A165)*(Buy_History!$B$2:$B$501=B165),Buy_History!$C$2:$C$501,""),""))</f>
        <v/>
      </c>
      <c r="D165" s="22" t="str">
        <f>IF(OR(A165="",B165=""),"",IFERROR(XLOOKUP(1,(Sell_History!$A$2:$A$501=A165)*(Sell_History!$B$2:$B$501=B165),Sell_History!$C$2:$C$501,""),""))</f>
        <v/>
      </c>
      <c r="E165" s="8" t="str">
        <f>IF(OR(A165="",B165=""),"",IFERROR(XLOOKUP(1,(Raw_Observations!$A$2:$A$1001=A165)*(Raw_Observations!$B$2:$B$1001=B165),Raw_Observations!$D$2:$D$1001,""),""))</f>
        <v/>
      </c>
      <c r="F165" s="8" t="str">
        <f>IF(OR(A165="",B165=""),"",IFERROR(XLOOKUP(1,(Order_History!$A$2:$A$501=A165)*(Order_History!$B$2:$B$501=B165),Order_History!$D$2:$D$501,""),""))</f>
        <v/>
      </c>
      <c r="G165" s="8" t="str">
        <f>IF(COUNTIFS(Pricing!$A:$A,A165,Pricing!$B:$B,B165)=0,"",SUMIFS(Pricing!$G:$G,Pricing!$A:$A,A165,Pricing!$B:$B,B165))</f>
        <v/>
      </c>
      <c r="H165" s="9" t="str">
        <f t="shared" si="12"/>
        <v/>
      </c>
      <c r="I165" s="3">
        <v>0</v>
      </c>
      <c r="J165" s="3">
        <v>0</v>
      </c>
      <c r="K165" s="9" t="str">
        <f t="shared" si="13"/>
        <v/>
      </c>
      <c r="L165" s="6" t="str">
        <f t="shared" si="14"/>
        <v/>
      </c>
      <c r="M165" s="10" t="str">
        <f t="shared" si="15"/>
        <v/>
      </c>
      <c r="N165" s="6" t="str">
        <f t="shared" si="16"/>
        <v/>
      </c>
    </row>
    <row r="166" spans="1:14">
      <c r="A166" s="2"/>
      <c r="B166" s="2"/>
      <c r="C166" s="22" t="str">
        <f>IF(OR(A166="",B166=""),"",IFERROR(XLOOKUP(1,(Buy_History!$A$2:$A$501=A166)*(Buy_History!$B$2:$B$501=B166),Buy_History!$C$2:$C$501,""),""))</f>
        <v/>
      </c>
      <c r="D166" s="22" t="str">
        <f>IF(OR(A166="",B166=""),"",IFERROR(XLOOKUP(1,(Sell_History!$A$2:$A$501=A166)*(Sell_History!$B$2:$B$501=B166),Sell_History!$C$2:$C$501,""),""))</f>
        <v/>
      </c>
      <c r="E166" s="8" t="str">
        <f>IF(OR(A166="",B166=""),"",IFERROR(XLOOKUP(1,(Raw_Observations!$A$2:$A$1001=A166)*(Raw_Observations!$B$2:$B$1001=B166),Raw_Observations!$D$2:$D$1001,""),""))</f>
        <v/>
      </c>
      <c r="F166" s="8" t="str">
        <f>IF(OR(A166="",B166=""),"",IFERROR(XLOOKUP(1,(Order_History!$A$2:$A$501=A166)*(Order_History!$B$2:$B$501=B166),Order_History!$D$2:$D$501,""),""))</f>
        <v/>
      </c>
      <c r="G166" s="8" t="str">
        <f>IF(COUNTIFS(Pricing!$A:$A,A166,Pricing!$B:$B,B166)=0,"",SUMIFS(Pricing!$G:$G,Pricing!$A:$A,A166,Pricing!$B:$B,B166))</f>
        <v/>
      </c>
      <c r="H166" s="9" t="str">
        <f t="shared" si="12"/>
        <v/>
      </c>
      <c r="I166" s="3">
        <v>0</v>
      </c>
      <c r="J166" s="3">
        <v>0</v>
      </c>
      <c r="K166" s="9" t="str">
        <f t="shared" si="13"/>
        <v/>
      </c>
      <c r="L166" s="6" t="str">
        <f t="shared" si="14"/>
        <v/>
      </c>
      <c r="M166" s="10" t="str">
        <f t="shared" si="15"/>
        <v/>
      </c>
      <c r="N166" s="6" t="str">
        <f t="shared" si="16"/>
        <v/>
      </c>
    </row>
    <row r="167" spans="1:14">
      <c r="A167" s="2"/>
      <c r="B167" s="2"/>
      <c r="C167" s="22" t="str">
        <f>IF(OR(A167="",B167=""),"",IFERROR(XLOOKUP(1,(Buy_History!$A$2:$A$501=A167)*(Buy_History!$B$2:$B$501=B167),Buy_History!$C$2:$C$501,""),""))</f>
        <v/>
      </c>
      <c r="D167" s="22" t="str">
        <f>IF(OR(A167="",B167=""),"",IFERROR(XLOOKUP(1,(Sell_History!$A$2:$A$501=A167)*(Sell_History!$B$2:$B$501=B167),Sell_History!$C$2:$C$501,""),""))</f>
        <v/>
      </c>
      <c r="E167" s="8" t="str">
        <f>IF(OR(A167="",B167=""),"",IFERROR(XLOOKUP(1,(Raw_Observations!$A$2:$A$1001=A167)*(Raw_Observations!$B$2:$B$1001=B167),Raw_Observations!$D$2:$D$1001,""),""))</f>
        <v/>
      </c>
      <c r="F167" s="8" t="str">
        <f>IF(OR(A167="",B167=""),"",IFERROR(XLOOKUP(1,(Order_History!$A$2:$A$501=A167)*(Order_History!$B$2:$B$501=B167),Order_History!$D$2:$D$501,""),""))</f>
        <v/>
      </c>
      <c r="G167" s="8" t="str">
        <f>IF(COUNTIFS(Pricing!$A:$A,A167,Pricing!$B:$B,B167)=0,"",SUMIFS(Pricing!$G:$G,Pricing!$A:$A,A167,Pricing!$B:$B,B167))</f>
        <v/>
      </c>
      <c r="H167" s="9" t="str">
        <f t="shared" si="12"/>
        <v/>
      </c>
      <c r="I167" s="3">
        <v>0</v>
      </c>
      <c r="J167" s="3">
        <v>0</v>
      </c>
      <c r="K167" s="9" t="str">
        <f t="shared" si="13"/>
        <v/>
      </c>
      <c r="L167" s="6" t="str">
        <f t="shared" si="14"/>
        <v/>
      </c>
      <c r="M167" s="10" t="str">
        <f t="shared" si="15"/>
        <v/>
      </c>
      <c r="N167" s="6" t="str">
        <f t="shared" si="16"/>
        <v/>
      </c>
    </row>
    <row r="168" spans="1:14">
      <c r="A168" s="2"/>
      <c r="B168" s="2"/>
      <c r="C168" s="22" t="str">
        <f>IF(OR(A168="",B168=""),"",IFERROR(XLOOKUP(1,(Buy_History!$A$2:$A$501=A168)*(Buy_History!$B$2:$B$501=B168),Buy_History!$C$2:$C$501,""),""))</f>
        <v/>
      </c>
      <c r="D168" s="22" t="str">
        <f>IF(OR(A168="",B168=""),"",IFERROR(XLOOKUP(1,(Sell_History!$A$2:$A$501=A168)*(Sell_History!$B$2:$B$501=B168),Sell_History!$C$2:$C$501,""),""))</f>
        <v/>
      </c>
      <c r="E168" s="8" t="str">
        <f>IF(OR(A168="",B168=""),"",IFERROR(XLOOKUP(1,(Raw_Observations!$A$2:$A$1001=A168)*(Raw_Observations!$B$2:$B$1001=B168),Raw_Observations!$D$2:$D$1001,""),""))</f>
        <v/>
      </c>
      <c r="F168" s="8" t="str">
        <f>IF(OR(A168="",B168=""),"",IFERROR(XLOOKUP(1,(Order_History!$A$2:$A$501=A168)*(Order_History!$B$2:$B$501=B168),Order_History!$D$2:$D$501,""),""))</f>
        <v/>
      </c>
      <c r="G168" s="8" t="str">
        <f>IF(COUNTIFS(Pricing!$A:$A,A168,Pricing!$B:$B,B168)=0,"",SUMIFS(Pricing!$G:$G,Pricing!$A:$A,A168,Pricing!$B:$B,B168))</f>
        <v/>
      </c>
      <c r="H168" s="9" t="str">
        <f t="shared" si="12"/>
        <v/>
      </c>
      <c r="I168" s="3">
        <v>0</v>
      </c>
      <c r="J168" s="3">
        <v>0</v>
      </c>
      <c r="K168" s="9" t="str">
        <f t="shared" si="13"/>
        <v/>
      </c>
      <c r="L168" s="6" t="str">
        <f t="shared" si="14"/>
        <v/>
      </c>
      <c r="M168" s="10" t="str">
        <f t="shared" si="15"/>
        <v/>
      </c>
      <c r="N168" s="6" t="str">
        <f t="shared" si="16"/>
        <v/>
      </c>
    </row>
    <row r="169" spans="1:14">
      <c r="A169" s="2"/>
      <c r="B169" s="2"/>
      <c r="C169" s="22" t="str">
        <f>IF(OR(A169="",B169=""),"",IFERROR(XLOOKUP(1,(Buy_History!$A$2:$A$501=A169)*(Buy_History!$B$2:$B$501=B169),Buy_History!$C$2:$C$501,""),""))</f>
        <v/>
      </c>
      <c r="D169" s="22" t="str">
        <f>IF(OR(A169="",B169=""),"",IFERROR(XLOOKUP(1,(Sell_History!$A$2:$A$501=A169)*(Sell_History!$B$2:$B$501=B169),Sell_History!$C$2:$C$501,""),""))</f>
        <v/>
      </c>
      <c r="E169" s="8" t="str">
        <f>IF(OR(A169="",B169=""),"",IFERROR(XLOOKUP(1,(Raw_Observations!$A$2:$A$1001=A169)*(Raw_Observations!$B$2:$B$1001=B169),Raw_Observations!$D$2:$D$1001,""),""))</f>
        <v/>
      </c>
      <c r="F169" s="8" t="str">
        <f>IF(OR(A169="",B169=""),"",IFERROR(XLOOKUP(1,(Order_History!$A$2:$A$501=A169)*(Order_History!$B$2:$B$501=B169),Order_History!$D$2:$D$501,""),""))</f>
        <v/>
      </c>
      <c r="G169" s="8" t="str">
        <f>IF(COUNTIFS(Pricing!$A:$A,A169,Pricing!$B:$B,B169)=0,"",SUMIFS(Pricing!$G:$G,Pricing!$A:$A,A169,Pricing!$B:$B,B169))</f>
        <v/>
      </c>
      <c r="H169" s="9" t="str">
        <f t="shared" si="12"/>
        <v/>
      </c>
      <c r="I169" s="3">
        <v>0</v>
      </c>
      <c r="J169" s="3">
        <v>0</v>
      </c>
      <c r="K169" s="9" t="str">
        <f t="shared" si="13"/>
        <v/>
      </c>
      <c r="L169" s="6" t="str">
        <f t="shared" si="14"/>
        <v/>
      </c>
      <c r="M169" s="10" t="str">
        <f t="shared" si="15"/>
        <v/>
      </c>
      <c r="N169" s="6" t="str">
        <f t="shared" si="16"/>
        <v/>
      </c>
    </row>
    <row r="170" spans="1:14">
      <c r="A170" s="2"/>
      <c r="B170" s="2"/>
      <c r="C170" s="22" t="str">
        <f>IF(OR(A170="",B170=""),"",IFERROR(XLOOKUP(1,(Buy_History!$A$2:$A$501=A170)*(Buy_History!$B$2:$B$501=B170),Buy_History!$C$2:$C$501,""),""))</f>
        <v/>
      </c>
      <c r="D170" s="22" t="str">
        <f>IF(OR(A170="",B170=""),"",IFERROR(XLOOKUP(1,(Sell_History!$A$2:$A$501=A170)*(Sell_History!$B$2:$B$501=B170),Sell_History!$C$2:$C$501,""),""))</f>
        <v/>
      </c>
      <c r="E170" s="8" t="str">
        <f>IF(OR(A170="",B170=""),"",IFERROR(XLOOKUP(1,(Raw_Observations!$A$2:$A$1001=A170)*(Raw_Observations!$B$2:$B$1001=B170),Raw_Observations!$D$2:$D$1001,""),""))</f>
        <v/>
      </c>
      <c r="F170" s="8" t="str">
        <f>IF(OR(A170="",B170=""),"",IFERROR(XLOOKUP(1,(Order_History!$A$2:$A$501=A170)*(Order_History!$B$2:$B$501=B170),Order_History!$D$2:$D$501,""),""))</f>
        <v/>
      </c>
      <c r="G170" s="8" t="str">
        <f>IF(COUNTIFS(Pricing!$A:$A,A170,Pricing!$B:$B,B170)=0,"",SUMIFS(Pricing!$G:$G,Pricing!$A:$A,A170,Pricing!$B:$B,B170))</f>
        <v/>
      </c>
      <c r="H170" s="9" t="str">
        <f t="shared" si="12"/>
        <v/>
      </c>
      <c r="I170" s="3">
        <v>0</v>
      </c>
      <c r="J170" s="3">
        <v>0</v>
      </c>
      <c r="K170" s="9" t="str">
        <f t="shared" si="13"/>
        <v/>
      </c>
      <c r="L170" s="6" t="str">
        <f t="shared" si="14"/>
        <v/>
      </c>
      <c r="M170" s="10" t="str">
        <f t="shared" si="15"/>
        <v/>
      </c>
      <c r="N170" s="6" t="str">
        <f t="shared" si="16"/>
        <v/>
      </c>
    </row>
    <row r="171" spans="1:14">
      <c r="A171" s="2"/>
      <c r="B171" s="2"/>
      <c r="C171" s="22" t="str">
        <f>IF(OR(A171="",B171=""),"",IFERROR(XLOOKUP(1,(Buy_History!$A$2:$A$501=A171)*(Buy_History!$B$2:$B$501=B171),Buy_History!$C$2:$C$501,""),""))</f>
        <v/>
      </c>
      <c r="D171" s="22" t="str">
        <f>IF(OR(A171="",B171=""),"",IFERROR(XLOOKUP(1,(Sell_History!$A$2:$A$501=A171)*(Sell_History!$B$2:$B$501=B171),Sell_History!$C$2:$C$501,""),""))</f>
        <v/>
      </c>
      <c r="E171" s="8" t="str">
        <f>IF(OR(A171="",B171=""),"",IFERROR(XLOOKUP(1,(Raw_Observations!$A$2:$A$1001=A171)*(Raw_Observations!$B$2:$B$1001=B171),Raw_Observations!$D$2:$D$1001,""),""))</f>
        <v/>
      </c>
      <c r="F171" s="8" t="str">
        <f>IF(OR(A171="",B171=""),"",IFERROR(XLOOKUP(1,(Order_History!$A$2:$A$501=A171)*(Order_History!$B$2:$B$501=B171),Order_History!$D$2:$D$501,""),""))</f>
        <v/>
      </c>
      <c r="G171" s="8" t="str">
        <f>IF(COUNTIFS(Pricing!$A:$A,A171,Pricing!$B:$B,B171)=0,"",SUMIFS(Pricing!$G:$G,Pricing!$A:$A,A171,Pricing!$B:$B,B171))</f>
        <v/>
      </c>
      <c r="H171" s="9" t="str">
        <f t="shared" si="12"/>
        <v/>
      </c>
      <c r="I171" s="3">
        <v>0</v>
      </c>
      <c r="J171" s="3">
        <v>0</v>
      </c>
      <c r="K171" s="9" t="str">
        <f t="shared" si="13"/>
        <v/>
      </c>
      <c r="L171" s="6" t="str">
        <f t="shared" si="14"/>
        <v/>
      </c>
      <c r="M171" s="10" t="str">
        <f t="shared" si="15"/>
        <v/>
      </c>
      <c r="N171" s="6" t="str">
        <f t="shared" si="16"/>
        <v/>
      </c>
    </row>
    <row r="172" spans="1:14">
      <c r="A172" s="2"/>
      <c r="B172" s="2"/>
      <c r="C172" s="22" t="str">
        <f>IF(OR(A172="",B172=""),"",IFERROR(XLOOKUP(1,(Buy_History!$A$2:$A$501=A172)*(Buy_History!$B$2:$B$501=B172),Buy_History!$C$2:$C$501,""),""))</f>
        <v/>
      </c>
      <c r="D172" s="22" t="str">
        <f>IF(OR(A172="",B172=""),"",IFERROR(XLOOKUP(1,(Sell_History!$A$2:$A$501=A172)*(Sell_History!$B$2:$B$501=B172),Sell_History!$C$2:$C$501,""),""))</f>
        <v/>
      </c>
      <c r="E172" s="8" t="str">
        <f>IF(OR(A172="",B172=""),"",IFERROR(XLOOKUP(1,(Raw_Observations!$A$2:$A$1001=A172)*(Raw_Observations!$B$2:$B$1001=B172),Raw_Observations!$D$2:$D$1001,""),""))</f>
        <v/>
      </c>
      <c r="F172" s="8" t="str">
        <f>IF(OR(A172="",B172=""),"",IFERROR(XLOOKUP(1,(Order_History!$A$2:$A$501=A172)*(Order_History!$B$2:$B$501=B172),Order_History!$D$2:$D$501,""),""))</f>
        <v/>
      </c>
      <c r="G172" s="8" t="str">
        <f>IF(COUNTIFS(Pricing!$A:$A,A172,Pricing!$B:$B,B172)=0,"",SUMIFS(Pricing!$G:$G,Pricing!$A:$A,A172,Pricing!$B:$B,B172))</f>
        <v/>
      </c>
      <c r="H172" s="9" t="str">
        <f t="shared" si="12"/>
        <v/>
      </c>
      <c r="I172" s="3">
        <v>0</v>
      </c>
      <c r="J172" s="3">
        <v>0</v>
      </c>
      <c r="K172" s="9" t="str">
        <f t="shared" si="13"/>
        <v/>
      </c>
      <c r="L172" s="6" t="str">
        <f t="shared" si="14"/>
        <v/>
      </c>
      <c r="M172" s="10" t="str">
        <f t="shared" si="15"/>
        <v/>
      </c>
      <c r="N172" s="6" t="str">
        <f t="shared" si="16"/>
        <v/>
      </c>
    </row>
    <row r="173" spans="1:14">
      <c r="A173" s="2"/>
      <c r="B173" s="2"/>
      <c r="C173" s="22" t="str">
        <f>IF(OR(A173="",B173=""),"",IFERROR(XLOOKUP(1,(Buy_History!$A$2:$A$501=A173)*(Buy_History!$B$2:$B$501=B173),Buy_History!$C$2:$C$501,""),""))</f>
        <v/>
      </c>
      <c r="D173" s="22" t="str">
        <f>IF(OR(A173="",B173=""),"",IFERROR(XLOOKUP(1,(Sell_History!$A$2:$A$501=A173)*(Sell_History!$B$2:$B$501=B173),Sell_History!$C$2:$C$501,""),""))</f>
        <v/>
      </c>
      <c r="E173" s="8" t="str">
        <f>IF(OR(A173="",B173=""),"",IFERROR(XLOOKUP(1,(Raw_Observations!$A$2:$A$1001=A173)*(Raw_Observations!$B$2:$B$1001=B173),Raw_Observations!$D$2:$D$1001,""),""))</f>
        <v/>
      </c>
      <c r="F173" s="8" t="str">
        <f>IF(OR(A173="",B173=""),"",IFERROR(XLOOKUP(1,(Order_History!$A$2:$A$501=A173)*(Order_History!$B$2:$B$501=B173),Order_History!$D$2:$D$501,""),""))</f>
        <v/>
      </c>
      <c r="G173" s="8" t="str">
        <f>IF(COUNTIFS(Pricing!$A:$A,A173,Pricing!$B:$B,B173)=0,"",SUMIFS(Pricing!$G:$G,Pricing!$A:$A,A173,Pricing!$B:$B,B173))</f>
        <v/>
      </c>
      <c r="H173" s="9" t="str">
        <f t="shared" si="12"/>
        <v/>
      </c>
      <c r="I173" s="3">
        <v>0</v>
      </c>
      <c r="J173" s="3">
        <v>0</v>
      </c>
      <c r="K173" s="9" t="str">
        <f t="shared" si="13"/>
        <v/>
      </c>
      <c r="L173" s="6" t="str">
        <f t="shared" si="14"/>
        <v/>
      </c>
      <c r="M173" s="10" t="str">
        <f t="shared" si="15"/>
        <v/>
      </c>
      <c r="N173" s="6" t="str">
        <f t="shared" si="16"/>
        <v/>
      </c>
    </row>
    <row r="174" spans="1:14">
      <c r="A174" s="2"/>
      <c r="B174" s="2"/>
      <c r="C174" s="22" t="str">
        <f>IF(OR(A174="",B174=""),"",IFERROR(XLOOKUP(1,(Buy_History!$A$2:$A$501=A174)*(Buy_History!$B$2:$B$501=B174),Buy_History!$C$2:$C$501,""),""))</f>
        <v/>
      </c>
      <c r="D174" s="22" t="str">
        <f>IF(OR(A174="",B174=""),"",IFERROR(XLOOKUP(1,(Sell_History!$A$2:$A$501=A174)*(Sell_History!$B$2:$B$501=B174),Sell_History!$C$2:$C$501,""),""))</f>
        <v/>
      </c>
      <c r="E174" s="8" t="str">
        <f>IF(OR(A174="",B174=""),"",IFERROR(XLOOKUP(1,(Raw_Observations!$A$2:$A$1001=A174)*(Raw_Observations!$B$2:$B$1001=B174),Raw_Observations!$D$2:$D$1001,""),""))</f>
        <v/>
      </c>
      <c r="F174" s="8" t="str">
        <f>IF(OR(A174="",B174=""),"",IFERROR(XLOOKUP(1,(Order_History!$A$2:$A$501=A174)*(Order_History!$B$2:$B$501=B174),Order_History!$D$2:$D$501,""),""))</f>
        <v/>
      </c>
      <c r="G174" s="8" t="str">
        <f>IF(COUNTIFS(Pricing!$A:$A,A174,Pricing!$B:$B,B174)=0,"",SUMIFS(Pricing!$G:$G,Pricing!$A:$A,A174,Pricing!$B:$B,B174))</f>
        <v/>
      </c>
      <c r="H174" s="9" t="str">
        <f t="shared" si="12"/>
        <v/>
      </c>
      <c r="I174" s="3">
        <v>0</v>
      </c>
      <c r="J174" s="3">
        <v>0</v>
      </c>
      <c r="K174" s="9" t="str">
        <f t="shared" si="13"/>
        <v/>
      </c>
      <c r="L174" s="6" t="str">
        <f t="shared" si="14"/>
        <v/>
      </c>
      <c r="M174" s="10" t="str">
        <f t="shared" si="15"/>
        <v/>
      </c>
      <c r="N174" s="6" t="str">
        <f t="shared" si="16"/>
        <v/>
      </c>
    </row>
    <row r="175" spans="1:14">
      <c r="A175" s="2"/>
      <c r="B175" s="2"/>
      <c r="C175" s="22" t="str">
        <f>IF(OR(A175="",B175=""),"",IFERROR(XLOOKUP(1,(Buy_History!$A$2:$A$501=A175)*(Buy_History!$B$2:$B$501=B175),Buy_History!$C$2:$C$501,""),""))</f>
        <v/>
      </c>
      <c r="D175" s="22" t="str">
        <f>IF(OR(A175="",B175=""),"",IFERROR(XLOOKUP(1,(Sell_History!$A$2:$A$501=A175)*(Sell_History!$B$2:$B$501=B175),Sell_History!$C$2:$C$501,""),""))</f>
        <v/>
      </c>
      <c r="E175" s="8" t="str">
        <f>IF(OR(A175="",B175=""),"",IFERROR(XLOOKUP(1,(Raw_Observations!$A$2:$A$1001=A175)*(Raw_Observations!$B$2:$B$1001=B175),Raw_Observations!$D$2:$D$1001,""),""))</f>
        <v/>
      </c>
      <c r="F175" s="8" t="str">
        <f>IF(OR(A175="",B175=""),"",IFERROR(XLOOKUP(1,(Order_History!$A$2:$A$501=A175)*(Order_History!$B$2:$B$501=B175),Order_History!$D$2:$D$501,""),""))</f>
        <v/>
      </c>
      <c r="G175" s="8" t="str">
        <f>IF(COUNTIFS(Pricing!$A:$A,A175,Pricing!$B:$B,B175)=0,"",SUMIFS(Pricing!$G:$G,Pricing!$A:$A,A175,Pricing!$B:$B,B175))</f>
        <v/>
      </c>
      <c r="H175" s="9" t="str">
        <f t="shared" si="12"/>
        <v/>
      </c>
      <c r="I175" s="3">
        <v>0</v>
      </c>
      <c r="J175" s="3">
        <v>0</v>
      </c>
      <c r="K175" s="9" t="str">
        <f t="shared" si="13"/>
        <v/>
      </c>
      <c r="L175" s="6" t="str">
        <f t="shared" si="14"/>
        <v/>
      </c>
      <c r="M175" s="10" t="str">
        <f t="shared" si="15"/>
        <v/>
      </c>
      <c r="N175" s="6" t="str">
        <f t="shared" si="16"/>
        <v/>
      </c>
    </row>
    <row r="176" spans="1:14">
      <c r="A176" s="2"/>
      <c r="B176" s="2"/>
      <c r="C176" s="22" t="str">
        <f>IF(OR(A176="",B176=""),"",IFERROR(XLOOKUP(1,(Buy_History!$A$2:$A$501=A176)*(Buy_History!$B$2:$B$501=B176),Buy_History!$C$2:$C$501,""),""))</f>
        <v/>
      </c>
      <c r="D176" s="22" t="str">
        <f>IF(OR(A176="",B176=""),"",IFERROR(XLOOKUP(1,(Sell_History!$A$2:$A$501=A176)*(Sell_History!$B$2:$B$501=B176),Sell_History!$C$2:$C$501,""),""))</f>
        <v/>
      </c>
      <c r="E176" s="8" t="str">
        <f>IF(OR(A176="",B176=""),"",IFERROR(XLOOKUP(1,(Raw_Observations!$A$2:$A$1001=A176)*(Raw_Observations!$B$2:$B$1001=B176),Raw_Observations!$D$2:$D$1001,""),""))</f>
        <v/>
      </c>
      <c r="F176" s="8" t="str">
        <f>IF(OR(A176="",B176=""),"",IFERROR(XLOOKUP(1,(Order_History!$A$2:$A$501=A176)*(Order_History!$B$2:$B$501=B176),Order_History!$D$2:$D$501,""),""))</f>
        <v/>
      </c>
      <c r="G176" s="8" t="str">
        <f>IF(COUNTIFS(Pricing!$A:$A,A176,Pricing!$B:$B,B176)=0,"",SUMIFS(Pricing!$G:$G,Pricing!$A:$A,A176,Pricing!$B:$B,B176))</f>
        <v/>
      </c>
      <c r="H176" s="9" t="str">
        <f t="shared" si="12"/>
        <v/>
      </c>
      <c r="I176" s="3">
        <v>0</v>
      </c>
      <c r="J176" s="3">
        <v>0</v>
      </c>
      <c r="K176" s="9" t="str">
        <f t="shared" si="13"/>
        <v/>
      </c>
      <c r="L176" s="6" t="str">
        <f t="shared" si="14"/>
        <v/>
      </c>
      <c r="M176" s="10" t="str">
        <f t="shared" si="15"/>
        <v/>
      </c>
      <c r="N176" s="6" t="str">
        <f t="shared" si="16"/>
        <v/>
      </c>
    </row>
    <row r="177" spans="1:14">
      <c r="A177" s="2"/>
      <c r="B177" s="2"/>
      <c r="C177" s="22" t="str">
        <f>IF(OR(A177="",B177=""),"",IFERROR(XLOOKUP(1,(Buy_History!$A$2:$A$501=A177)*(Buy_History!$B$2:$B$501=B177),Buy_History!$C$2:$C$501,""),""))</f>
        <v/>
      </c>
      <c r="D177" s="22" t="str">
        <f>IF(OR(A177="",B177=""),"",IFERROR(XLOOKUP(1,(Sell_History!$A$2:$A$501=A177)*(Sell_History!$B$2:$B$501=B177),Sell_History!$C$2:$C$501,""),""))</f>
        <v/>
      </c>
      <c r="E177" s="8" t="str">
        <f>IF(OR(A177="",B177=""),"",IFERROR(XLOOKUP(1,(Raw_Observations!$A$2:$A$1001=A177)*(Raw_Observations!$B$2:$B$1001=B177),Raw_Observations!$D$2:$D$1001,""),""))</f>
        <v/>
      </c>
      <c r="F177" s="8" t="str">
        <f>IF(OR(A177="",B177=""),"",IFERROR(XLOOKUP(1,(Order_History!$A$2:$A$501=A177)*(Order_History!$B$2:$B$501=B177),Order_History!$D$2:$D$501,""),""))</f>
        <v/>
      </c>
      <c r="G177" s="8" t="str">
        <f>IF(COUNTIFS(Pricing!$A:$A,A177,Pricing!$B:$B,B177)=0,"",SUMIFS(Pricing!$G:$G,Pricing!$A:$A,A177,Pricing!$B:$B,B177))</f>
        <v/>
      </c>
      <c r="H177" s="9" t="str">
        <f t="shared" si="12"/>
        <v/>
      </c>
      <c r="I177" s="3">
        <v>0</v>
      </c>
      <c r="J177" s="3">
        <v>0</v>
      </c>
      <c r="K177" s="9" t="str">
        <f t="shared" si="13"/>
        <v/>
      </c>
      <c r="L177" s="6" t="str">
        <f t="shared" si="14"/>
        <v/>
      </c>
      <c r="M177" s="10" t="str">
        <f t="shared" si="15"/>
        <v/>
      </c>
      <c r="N177" s="6" t="str">
        <f t="shared" si="16"/>
        <v/>
      </c>
    </row>
    <row r="178" spans="1:14">
      <c r="A178" s="2"/>
      <c r="B178" s="2"/>
      <c r="C178" s="22" t="str">
        <f>IF(OR(A178="",B178=""),"",IFERROR(XLOOKUP(1,(Buy_History!$A$2:$A$501=A178)*(Buy_History!$B$2:$B$501=B178),Buy_History!$C$2:$C$501,""),""))</f>
        <v/>
      </c>
      <c r="D178" s="22" t="str">
        <f>IF(OR(A178="",B178=""),"",IFERROR(XLOOKUP(1,(Sell_History!$A$2:$A$501=A178)*(Sell_History!$B$2:$B$501=B178),Sell_History!$C$2:$C$501,""),""))</f>
        <v/>
      </c>
      <c r="E178" s="8" t="str">
        <f>IF(OR(A178="",B178=""),"",IFERROR(XLOOKUP(1,(Raw_Observations!$A$2:$A$1001=A178)*(Raw_Observations!$B$2:$B$1001=B178),Raw_Observations!$D$2:$D$1001,""),""))</f>
        <v/>
      </c>
      <c r="F178" s="8" t="str">
        <f>IF(OR(A178="",B178=""),"",IFERROR(XLOOKUP(1,(Order_History!$A$2:$A$501=A178)*(Order_History!$B$2:$B$501=B178),Order_History!$D$2:$D$501,""),""))</f>
        <v/>
      </c>
      <c r="G178" s="8" t="str">
        <f>IF(COUNTIFS(Pricing!$A:$A,A178,Pricing!$B:$B,B178)=0,"",SUMIFS(Pricing!$G:$G,Pricing!$A:$A,A178,Pricing!$B:$B,B178))</f>
        <v/>
      </c>
      <c r="H178" s="9" t="str">
        <f t="shared" si="12"/>
        <v/>
      </c>
      <c r="I178" s="3">
        <v>0</v>
      </c>
      <c r="J178" s="3">
        <v>0</v>
      </c>
      <c r="K178" s="9" t="str">
        <f t="shared" si="13"/>
        <v/>
      </c>
      <c r="L178" s="6" t="str">
        <f t="shared" si="14"/>
        <v/>
      </c>
      <c r="M178" s="10" t="str">
        <f t="shared" si="15"/>
        <v/>
      </c>
      <c r="N178" s="6" t="str">
        <f t="shared" si="16"/>
        <v/>
      </c>
    </row>
    <row r="179" spans="1:14">
      <c r="A179" s="2"/>
      <c r="B179" s="2"/>
      <c r="C179" s="22" t="str">
        <f>IF(OR(A179="",B179=""),"",IFERROR(XLOOKUP(1,(Buy_History!$A$2:$A$501=A179)*(Buy_History!$B$2:$B$501=B179),Buy_History!$C$2:$C$501,""),""))</f>
        <v/>
      </c>
      <c r="D179" s="22" t="str">
        <f>IF(OR(A179="",B179=""),"",IFERROR(XLOOKUP(1,(Sell_History!$A$2:$A$501=A179)*(Sell_History!$B$2:$B$501=B179),Sell_History!$C$2:$C$501,""),""))</f>
        <v/>
      </c>
      <c r="E179" s="8" t="str">
        <f>IF(OR(A179="",B179=""),"",IFERROR(XLOOKUP(1,(Raw_Observations!$A$2:$A$1001=A179)*(Raw_Observations!$B$2:$B$1001=B179),Raw_Observations!$D$2:$D$1001,""),""))</f>
        <v/>
      </c>
      <c r="F179" s="8" t="str">
        <f>IF(OR(A179="",B179=""),"",IFERROR(XLOOKUP(1,(Order_History!$A$2:$A$501=A179)*(Order_History!$B$2:$B$501=B179),Order_History!$D$2:$D$501,""),""))</f>
        <v/>
      </c>
      <c r="G179" s="8" t="str">
        <f>IF(COUNTIFS(Pricing!$A:$A,A179,Pricing!$B:$B,B179)=0,"",SUMIFS(Pricing!$G:$G,Pricing!$A:$A,A179,Pricing!$B:$B,B179))</f>
        <v/>
      </c>
      <c r="H179" s="9" t="str">
        <f t="shared" si="12"/>
        <v/>
      </c>
      <c r="I179" s="3">
        <v>0</v>
      </c>
      <c r="J179" s="3">
        <v>0</v>
      </c>
      <c r="K179" s="9" t="str">
        <f t="shared" si="13"/>
        <v/>
      </c>
      <c r="L179" s="6" t="str">
        <f t="shared" si="14"/>
        <v/>
      </c>
      <c r="M179" s="10" t="str">
        <f t="shared" si="15"/>
        <v/>
      </c>
      <c r="N179" s="6" t="str">
        <f t="shared" si="16"/>
        <v/>
      </c>
    </row>
    <row r="180" spans="1:14">
      <c r="A180" s="2"/>
      <c r="B180" s="2"/>
      <c r="C180" s="22" t="str">
        <f>IF(OR(A180="",B180=""),"",IFERROR(XLOOKUP(1,(Buy_History!$A$2:$A$501=A180)*(Buy_History!$B$2:$B$501=B180),Buy_History!$C$2:$C$501,""),""))</f>
        <v/>
      </c>
      <c r="D180" s="22" t="str">
        <f>IF(OR(A180="",B180=""),"",IFERROR(XLOOKUP(1,(Sell_History!$A$2:$A$501=A180)*(Sell_History!$B$2:$B$501=B180),Sell_History!$C$2:$C$501,""),""))</f>
        <v/>
      </c>
      <c r="E180" s="8" t="str">
        <f>IF(OR(A180="",B180=""),"",IFERROR(XLOOKUP(1,(Raw_Observations!$A$2:$A$1001=A180)*(Raw_Observations!$B$2:$B$1001=B180),Raw_Observations!$D$2:$D$1001,""),""))</f>
        <v/>
      </c>
      <c r="F180" s="8" t="str">
        <f>IF(OR(A180="",B180=""),"",IFERROR(XLOOKUP(1,(Order_History!$A$2:$A$501=A180)*(Order_History!$B$2:$B$501=B180),Order_History!$D$2:$D$501,""),""))</f>
        <v/>
      </c>
      <c r="G180" s="8" t="str">
        <f>IF(COUNTIFS(Pricing!$A:$A,A180,Pricing!$B:$B,B180)=0,"",SUMIFS(Pricing!$G:$G,Pricing!$A:$A,A180,Pricing!$B:$B,B180))</f>
        <v/>
      </c>
      <c r="H180" s="9" t="str">
        <f t="shared" si="12"/>
        <v/>
      </c>
      <c r="I180" s="3">
        <v>0</v>
      </c>
      <c r="J180" s="3">
        <v>0</v>
      </c>
      <c r="K180" s="9" t="str">
        <f t="shared" si="13"/>
        <v/>
      </c>
      <c r="L180" s="6" t="str">
        <f t="shared" si="14"/>
        <v/>
      </c>
      <c r="M180" s="10" t="str">
        <f t="shared" si="15"/>
        <v/>
      </c>
      <c r="N180" s="6" t="str">
        <f t="shared" si="16"/>
        <v/>
      </c>
    </row>
    <row r="181" spans="1:14">
      <c r="A181" s="2"/>
      <c r="B181" s="2"/>
      <c r="C181" s="22" t="str">
        <f>IF(OR(A181="",B181=""),"",IFERROR(XLOOKUP(1,(Buy_History!$A$2:$A$501=A181)*(Buy_History!$B$2:$B$501=B181),Buy_History!$C$2:$C$501,""),""))</f>
        <v/>
      </c>
      <c r="D181" s="22" t="str">
        <f>IF(OR(A181="",B181=""),"",IFERROR(XLOOKUP(1,(Sell_History!$A$2:$A$501=A181)*(Sell_History!$B$2:$B$501=B181),Sell_History!$C$2:$C$501,""),""))</f>
        <v/>
      </c>
      <c r="E181" s="8" t="str">
        <f>IF(OR(A181="",B181=""),"",IFERROR(XLOOKUP(1,(Raw_Observations!$A$2:$A$1001=A181)*(Raw_Observations!$B$2:$B$1001=B181),Raw_Observations!$D$2:$D$1001,""),""))</f>
        <v/>
      </c>
      <c r="F181" s="8" t="str">
        <f>IF(OR(A181="",B181=""),"",IFERROR(XLOOKUP(1,(Order_History!$A$2:$A$501=A181)*(Order_History!$B$2:$B$501=B181),Order_History!$D$2:$D$501,""),""))</f>
        <v/>
      </c>
      <c r="G181" s="8" t="str">
        <f>IF(COUNTIFS(Pricing!$A:$A,A181,Pricing!$B:$B,B181)=0,"",SUMIFS(Pricing!$G:$G,Pricing!$A:$A,A181,Pricing!$B:$B,B181))</f>
        <v/>
      </c>
      <c r="H181" s="9" t="str">
        <f t="shared" si="12"/>
        <v/>
      </c>
      <c r="I181" s="3">
        <v>0</v>
      </c>
      <c r="J181" s="3">
        <v>0</v>
      </c>
      <c r="K181" s="9" t="str">
        <f t="shared" si="13"/>
        <v/>
      </c>
      <c r="L181" s="6" t="str">
        <f t="shared" si="14"/>
        <v/>
      </c>
      <c r="M181" s="10" t="str">
        <f t="shared" si="15"/>
        <v/>
      </c>
      <c r="N181" s="6" t="str">
        <f t="shared" si="16"/>
        <v/>
      </c>
    </row>
    <row r="182" spans="1:14">
      <c r="A182" s="2"/>
      <c r="B182" s="2"/>
      <c r="C182" s="22" t="str">
        <f>IF(OR(A182="",B182=""),"",IFERROR(XLOOKUP(1,(Buy_History!$A$2:$A$501=A182)*(Buy_History!$B$2:$B$501=B182),Buy_History!$C$2:$C$501,""),""))</f>
        <v/>
      </c>
      <c r="D182" s="22" t="str">
        <f>IF(OR(A182="",B182=""),"",IFERROR(XLOOKUP(1,(Sell_History!$A$2:$A$501=A182)*(Sell_History!$B$2:$B$501=B182),Sell_History!$C$2:$C$501,""),""))</f>
        <v/>
      </c>
      <c r="E182" s="8" t="str">
        <f>IF(OR(A182="",B182=""),"",IFERROR(XLOOKUP(1,(Raw_Observations!$A$2:$A$1001=A182)*(Raw_Observations!$B$2:$B$1001=B182),Raw_Observations!$D$2:$D$1001,""),""))</f>
        <v/>
      </c>
      <c r="F182" s="8" t="str">
        <f>IF(OR(A182="",B182=""),"",IFERROR(XLOOKUP(1,(Order_History!$A$2:$A$501=A182)*(Order_History!$B$2:$B$501=B182),Order_History!$D$2:$D$501,""),""))</f>
        <v/>
      </c>
      <c r="G182" s="8" t="str">
        <f>IF(COUNTIFS(Pricing!$A:$A,A182,Pricing!$B:$B,B182)=0,"",SUMIFS(Pricing!$G:$G,Pricing!$A:$A,A182,Pricing!$B:$B,B182))</f>
        <v/>
      </c>
      <c r="H182" s="9" t="str">
        <f t="shared" si="12"/>
        <v/>
      </c>
      <c r="I182" s="3">
        <v>0</v>
      </c>
      <c r="J182" s="3">
        <v>0</v>
      </c>
      <c r="K182" s="9" t="str">
        <f t="shared" si="13"/>
        <v/>
      </c>
      <c r="L182" s="6" t="str">
        <f t="shared" si="14"/>
        <v/>
      </c>
      <c r="M182" s="10" t="str">
        <f t="shared" si="15"/>
        <v/>
      </c>
      <c r="N182" s="6" t="str">
        <f t="shared" si="16"/>
        <v/>
      </c>
    </row>
    <row r="183" spans="1:14">
      <c r="A183" s="2"/>
      <c r="B183" s="2"/>
      <c r="C183" s="22" t="str">
        <f>IF(OR(A183="",B183=""),"",IFERROR(XLOOKUP(1,(Buy_History!$A$2:$A$501=A183)*(Buy_History!$B$2:$B$501=B183),Buy_History!$C$2:$C$501,""),""))</f>
        <v/>
      </c>
      <c r="D183" s="22" t="str">
        <f>IF(OR(A183="",B183=""),"",IFERROR(XLOOKUP(1,(Sell_History!$A$2:$A$501=A183)*(Sell_History!$B$2:$B$501=B183),Sell_History!$C$2:$C$501,""),""))</f>
        <v/>
      </c>
      <c r="E183" s="8" t="str">
        <f>IF(OR(A183="",B183=""),"",IFERROR(XLOOKUP(1,(Raw_Observations!$A$2:$A$1001=A183)*(Raw_Observations!$B$2:$B$1001=B183),Raw_Observations!$D$2:$D$1001,""),""))</f>
        <v/>
      </c>
      <c r="F183" s="8" t="str">
        <f>IF(OR(A183="",B183=""),"",IFERROR(XLOOKUP(1,(Order_History!$A$2:$A$501=A183)*(Order_History!$B$2:$B$501=B183),Order_History!$D$2:$D$501,""),""))</f>
        <v/>
      </c>
      <c r="G183" s="8" t="str">
        <f>IF(COUNTIFS(Pricing!$A:$A,A183,Pricing!$B:$B,B183)=0,"",SUMIFS(Pricing!$G:$G,Pricing!$A:$A,A183,Pricing!$B:$B,B183))</f>
        <v/>
      </c>
      <c r="H183" s="9" t="str">
        <f t="shared" si="12"/>
        <v/>
      </c>
      <c r="I183" s="3">
        <v>0</v>
      </c>
      <c r="J183" s="3">
        <v>0</v>
      </c>
      <c r="K183" s="9" t="str">
        <f t="shared" si="13"/>
        <v/>
      </c>
      <c r="L183" s="6" t="str">
        <f t="shared" si="14"/>
        <v/>
      </c>
      <c r="M183" s="10" t="str">
        <f t="shared" si="15"/>
        <v/>
      </c>
      <c r="N183" s="6" t="str">
        <f t="shared" si="16"/>
        <v/>
      </c>
    </row>
    <row r="184" spans="1:14">
      <c r="A184" s="2"/>
      <c r="B184" s="2"/>
      <c r="C184" s="22" t="str">
        <f>IF(OR(A184="",B184=""),"",IFERROR(XLOOKUP(1,(Buy_History!$A$2:$A$501=A184)*(Buy_History!$B$2:$B$501=B184),Buy_History!$C$2:$C$501,""),""))</f>
        <v/>
      </c>
      <c r="D184" s="22" t="str">
        <f>IF(OR(A184="",B184=""),"",IFERROR(XLOOKUP(1,(Sell_History!$A$2:$A$501=A184)*(Sell_History!$B$2:$B$501=B184),Sell_History!$C$2:$C$501,""),""))</f>
        <v/>
      </c>
      <c r="E184" s="8" t="str">
        <f>IF(OR(A184="",B184=""),"",IFERROR(XLOOKUP(1,(Raw_Observations!$A$2:$A$1001=A184)*(Raw_Observations!$B$2:$B$1001=B184),Raw_Observations!$D$2:$D$1001,""),""))</f>
        <v/>
      </c>
      <c r="F184" s="8" t="str">
        <f>IF(OR(A184="",B184=""),"",IFERROR(XLOOKUP(1,(Order_History!$A$2:$A$501=A184)*(Order_History!$B$2:$B$501=B184),Order_History!$D$2:$D$501,""),""))</f>
        <v/>
      </c>
      <c r="G184" s="8" t="str">
        <f>IF(COUNTIFS(Pricing!$A:$A,A184,Pricing!$B:$B,B184)=0,"",SUMIFS(Pricing!$G:$G,Pricing!$A:$A,A184,Pricing!$B:$B,B184))</f>
        <v/>
      </c>
      <c r="H184" s="9" t="str">
        <f t="shared" si="12"/>
        <v/>
      </c>
      <c r="I184" s="3">
        <v>0</v>
      </c>
      <c r="J184" s="3">
        <v>0</v>
      </c>
      <c r="K184" s="9" t="str">
        <f t="shared" si="13"/>
        <v/>
      </c>
      <c r="L184" s="6" t="str">
        <f t="shared" si="14"/>
        <v/>
      </c>
      <c r="M184" s="10" t="str">
        <f t="shared" si="15"/>
        <v/>
      </c>
      <c r="N184" s="6" t="str">
        <f t="shared" si="16"/>
        <v/>
      </c>
    </row>
    <row r="185" spans="1:14">
      <c r="A185" s="2"/>
      <c r="B185" s="2"/>
      <c r="C185" s="22" t="str">
        <f>IF(OR(A185="",B185=""),"",IFERROR(XLOOKUP(1,(Buy_History!$A$2:$A$501=A185)*(Buy_History!$B$2:$B$501=B185),Buy_History!$C$2:$C$501,""),""))</f>
        <v/>
      </c>
      <c r="D185" s="22" t="str">
        <f>IF(OR(A185="",B185=""),"",IFERROR(XLOOKUP(1,(Sell_History!$A$2:$A$501=A185)*(Sell_History!$B$2:$B$501=B185),Sell_History!$C$2:$C$501,""),""))</f>
        <v/>
      </c>
      <c r="E185" s="8" t="str">
        <f>IF(OR(A185="",B185=""),"",IFERROR(XLOOKUP(1,(Raw_Observations!$A$2:$A$1001=A185)*(Raw_Observations!$B$2:$B$1001=B185),Raw_Observations!$D$2:$D$1001,""),""))</f>
        <v/>
      </c>
      <c r="F185" s="8" t="str">
        <f>IF(OR(A185="",B185=""),"",IFERROR(XLOOKUP(1,(Order_History!$A$2:$A$501=A185)*(Order_History!$B$2:$B$501=B185),Order_History!$D$2:$D$501,""),""))</f>
        <v/>
      </c>
      <c r="G185" s="8" t="str">
        <f>IF(COUNTIFS(Pricing!$A:$A,A185,Pricing!$B:$B,B185)=0,"",SUMIFS(Pricing!$G:$G,Pricing!$A:$A,A185,Pricing!$B:$B,B185))</f>
        <v/>
      </c>
      <c r="H185" s="9" t="str">
        <f t="shared" si="12"/>
        <v/>
      </c>
      <c r="I185" s="3">
        <v>0</v>
      </c>
      <c r="J185" s="3">
        <v>0</v>
      </c>
      <c r="K185" s="9" t="str">
        <f t="shared" si="13"/>
        <v/>
      </c>
      <c r="L185" s="6" t="str">
        <f t="shared" si="14"/>
        <v/>
      </c>
      <c r="M185" s="10" t="str">
        <f t="shared" si="15"/>
        <v/>
      </c>
      <c r="N185" s="6" t="str">
        <f t="shared" si="16"/>
        <v/>
      </c>
    </row>
    <row r="186" spans="1:14">
      <c r="A186" s="2"/>
      <c r="B186" s="2"/>
      <c r="C186" s="22" t="str">
        <f>IF(OR(A186="",B186=""),"",IFERROR(XLOOKUP(1,(Buy_History!$A$2:$A$501=A186)*(Buy_History!$B$2:$B$501=B186),Buy_History!$C$2:$C$501,""),""))</f>
        <v/>
      </c>
      <c r="D186" s="22" t="str">
        <f>IF(OR(A186="",B186=""),"",IFERROR(XLOOKUP(1,(Sell_History!$A$2:$A$501=A186)*(Sell_History!$B$2:$B$501=B186),Sell_History!$C$2:$C$501,""),""))</f>
        <v/>
      </c>
      <c r="E186" s="8" t="str">
        <f>IF(OR(A186="",B186=""),"",IFERROR(XLOOKUP(1,(Raw_Observations!$A$2:$A$1001=A186)*(Raw_Observations!$B$2:$B$1001=B186),Raw_Observations!$D$2:$D$1001,""),""))</f>
        <v/>
      </c>
      <c r="F186" s="8" t="str">
        <f>IF(OR(A186="",B186=""),"",IFERROR(XLOOKUP(1,(Order_History!$A$2:$A$501=A186)*(Order_History!$B$2:$B$501=B186),Order_History!$D$2:$D$501,""),""))</f>
        <v/>
      </c>
      <c r="G186" s="8" t="str">
        <f>IF(COUNTIFS(Pricing!$A:$A,A186,Pricing!$B:$B,B186)=0,"",SUMIFS(Pricing!$G:$G,Pricing!$A:$A,A186,Pricing!$B:$B,B186))</f>
        <v/>
      </c>
      <c r="H186" s="9" t="str">
        <f t="shared" si="12"/>
        <v/>
      </c>
      <c r="I186" s="3">
        <v>0</v>
      </c>
      <c r="J186" s="3">
        <v>0</v>
      </c>
      <c r="K186" s="9" t="str">
        <f t="shared" si="13"/>
        <v/>
      </c>
      <c r="L186" s="6" t="str">
        <f t="shared" si="14"/>
        <v/>
      </c>
      <c r="M186" s="10" t="str">
        <f t="shared" si="15"/>
        <v/>
      </c>
      <c r="N186" s="6" t="str">
        <f t="shared" si="16"/>
        <v/>
      </c>
    </row>
    <row r="187" spans="1:14">
      <c r="A187" s="2"/>
      <c r="B187" s="2"/>
      <c r="C187" s="22" t="str">
        <f>IF(OR(A187="",B187=""),"",IFERROR(XLOOKUP(1,(Buy_History!$A$2:$A$501=A187)*(Buy_History!$B$2:$B$501=B187),Buy_History!$C$2:$C$501,""),""))</f>
        <v/>
      </c>
      <c r="D187" s="22" t="str">
        <f>IF(OR(A187="",B187=""),"",IFERROR(XLOOKUP(1,(Sell_History!$A$2:$A$501=A187)*(Sell_History!$B$2:$B$501=B187),Sell_History!$C$2:$C$501,""),""))</f>
        <v/>
      </c>
      <c r="E187" s="8" t="str">
        <f>IF(OR(A187="",B187=""),"",IFERROR(XLOOKUP(1,(Raw_Observations!$A$2:$A$1001=A187)*(Raw_Observations!$B$2:$B$1001=B187),Raw_Observations!$D$2:$D$1001,""),""))</f>
        <v/>
      </c>
      <c r="F187" s="8" t="str">
        <f>IF(OR(A187="",B187=""),"",IFERROR(XLOOKUP(1,(Order_History!$A$2:$A$501=A187)*(Order_History!$B$2:$B$501=B187),Order_History!$D$2:$D$501,""),""))</f>
        <v/>
      </c>
      <c r="G187" s="8" t="str">
        <f>IF(COUNTIFS(Pricing!$A:$A,A187,Pricing!$B:$B,B187)=0,"",SUMIFS(Pricing!$G:$G,Pricing!$A:$A,A187,Pricing!$B:$B,B187))</f>
        <v/>
      </c>
      <c r="H187" s="9" t="str">
        <f t="shared" si="12"/>
        <v/>
      </c>
      <c r="I187" s="3">
        <v>0</v>
      </c>
      <c r="J187" s="3">
        <v>0</v>
      </c>
      <c r="K187" s="9" t="str">
        <f t="shared" si="13"/>
        <v/>
      </c>
      <c r="L187" s="6" t="str">
        <f t="shared" si="14"/>
        <v/>
      </c>
      <c r="M187" s="10" t="str">
        <f t="shared" si="15"/>
        <v/>
      </c>
      <c r="N187" s="6" t="str">
        <f t="shared" si="16"/>
        <v/>
      </c>
    </row>
    <row r="188" spans="1:14">
      <c r="A188" s="2"/>
      <c r="B188" s="2"/>
      <c r="C188" s="22" t="str">
        <f>IF(OR(A188="",B188=""),"",IFERROR(XLOOKUP(1,(Buy_History!$A$2:$A$501=A188)*(Buy_History!$B$2:$B$501=B188),Buy_History!$C$2:$C$501,""),""))</f>
        <v/>
      </c>
      <c r="D188" s="22" t="str">
        <f>IF(OR(A188="",B188=""),"",IFERROR(XLOOKUP(1,(Sell_History!$A$2:$A$501=A188)*(Sell_History!$B$2:$B$501=B188),Sell_History!$C$2:$C$501,""),""))</f>
        <v/>
      </c>
      <c r="E188" s="8" t="str">
        <f>IF(OR(A188="",B188=""),"",IFERROR(XLOOKUP(1,(Raw_Observations!$A$2:$A$1001=A188)*(Raw_Observations!$B$2:$B$1001=B188),Raw_Observations!$D$2:$D$1001,""),""))</f>
        <v/>
      </c>
      <c r="F188" s="8" t="str">
        <f>IF(OR(A188="",B188=""),"",IFERROR(XLOOKUP(1,(Order_History!$A$2:$A$501=A188)*(Order_History!$B$2:$B$501=B188),Order_History!$D$2:$D$501,""),""))</f>
        <v/>
      </c>
      <c r="G188" s="8" t="str">
        <f>IF(COUNTIFS(Pricing!$A:$A,A188,Pricing!$B:$B,B188)=0,"",SUMIFS(Pricing!$G:$G,Pricing!$A:$A,A188,Pricing!$B:$B,B188))</f>
        <v/>
      </c>
      <c r="H188" s="9" t="str">
        <f t="shared" si="12"/>
        <v/>
      </c>
      <c r="I188" s="3">
        <v>0</v>
      </c>
      <c r="J188" s="3">
        <v>0</v>
      </c>
      <c r="K188" s="9" t="str">
        <f t="shared" si="13"/>
        <v/>
      </c>
      <c r="L188" s="6" t="str">
        <f t="shared" si="14"/>
        <v/>
      </c>
      <c r="M188" s="10" t="str">
        <f t="shared" si="15"/>
        <v/>
      </c>
      <c r="N188" s="6" t="str">
        <f t="shared" si="16"/>
        <v/>
      </c>
    </row>
    <row r="189" spans="1:14">
      <c r="A189" s="2"/>
      <c r="B189" s="2"/>
      <c r="C189" s="22" t="str">
        <f>IF(OR(A189="",B189=""),"",IFERROR(XLOOKUP(1,(Buy_History!$A$2:$A$501=A189)*(Buy_History!$B$2:$B$501=B189),Buy_History!$C$2:$C$501,""),""))</f>
        <v/>
      </c>
      <c r="D189" s="22" t="str">
        <f>IF(OR(A189="",B189=""),"",IFERROR(XLOOKUP(1,(Sell_History!$A$2:$A$501=A189)*(Sell_History!$B$2:$B$501=B189),Sell_History!$C$2:$C$501,""),""))</f>
        <v/>
      </c>
      <c r="E189" s="8" t="str">
        <f>IF(OR(A189="",B189=""),"",IFERROR(XLOOKUP(1,(Raw_Observations!$A$2:$A$1001=A189)*(Raw_Observations!$B$2:$B$1001=B189),Raw_Observations!$D$2:$D$1001,""),""))</f>
        <v/>
      </c>
      <c r="F189" s="8" t="str">
        <f>IF(OR(A189="",B189=""),"",IFERROR(XLOOKUP(1,(Order_History!$A$2:$A$501=A189)*(Order_History!$B$2:$B$501=B189),Order_History!$D$2:$D$501,""),""))</f>
        <v/>
      </c>
      <c r="G189" s="8" t="str">
        <f>IF(COUNTIFS(Pricing!$A:$A,A189,Pricing!$B:$B,B189)=0,"",SUMIFS(Pricing!$G:$G,Pricing!$A:$A,A189,Pricing!$B:$B,B189))</f>
        <v/>
      </c>
      <c r="H189" s="9" t="str">
        <f t="shared" si="12"/>
        <v/>
      </c>
      <c r="I189" s="3">
        <v>0</v>
      </c>
      <c r="J189" s="3">
        <v>0</v>
      </c>
      <c r="K189" s="9" t="str">
        <f t="shared" si="13"/>
        <v/>
      </c>
      <c r="L189" s="6" t="str">
        <f t="shared" si="14"/>
        <v/>
      </c>
      <c r="M189" s="10" t="str">
        <f t="shared" si="15"/>
        <v/>
      </c>
      <c r="N189" s="6" t="str">
        <f t="shared" si="16"/>
        <v/>
      </c>
    </row>
    <row r="190" spans="1:14">
      <c r="A190" s="2"/>
      <c r="B190" s="2"/>
      <c r="C190" s="22" t="str">
        <f>IF(OR(A190="",B190=""),"",IFERROR(XLOOKUP(1,(Buy_History!$A$2:$A$501=A190)*(Buy_History!$B$2:$B$501=B190),Buy_History!$C$2:$C$501,""),""))</f>
        <v/>
      </c>
      <c r="D190" s="22" t="str">
        <f>IF(OR(A190="",B190=""),"",IFERROR(XLOOKUP(1,(Sell_History!$A$2:$A$501=A190)*(Sell_History!$B$2:$B$501=B190),Sell_History!$C$2:$C$501,""),""))</f>
        <v/>
      </c>
      <c r="E190" s="8" t="str">
        <f>IF(OR(A190="",B190=""),"",IFERROR(XLOOKUP(1,(Raw_Observations!$A$2:$A$1001=A190)*(Raw_Observations!$B$2:$B$1001=B190),Raw_Observations!$D$2:$D$1001,""),""))</f>
        <v/>
      </c>
      <c r="F190" s="8" t="str">
        <f>IF(OR(A190="",B190=""),"",IFERROR(XLOOKUP(1,(Order_History!$A$2:$A$501=A190)*(Order_History!$B$2:$B$501=B190),Order_History!$D$2:$D$501,""),""))</f>
        <v/>
      </c>
      <c r="G190" s="8" t="str">
        <f>IF(COUNTIFS(Pricing!$A:$A,A190,Pricing!$B:$B,B190)=0,"",SUMIFS(Pricing!$G:$G,Pricing!$A:$A,A190,Pricing!$B:$B,B190))</f>
        <v/>
      </c>
      <c r="H190" s="9" t="str">
        <f t="shared" si="12"/>
        <v/>
      </c>
      <c r="I190" s="3">
        <v>0</v>
      </c>
      <c r="J190" s="3">
        <v>0</v>
      </c>
      <c r="K190" s="9" t="str">
        <f t="shared" si="13"/>
        <v/>
      </c>
      <c r="L190" s="6" t="str">
        <f t="shared" si="14"/>
        <v/>
      </c>
      <c r="M190" s="10" t="str">
        <f t="shared" si="15"/>
        <v/>
      </c>
      <c r="N190" s="6" t="str">
        <f t="shared" si="16"/>
        <v/>
      </c>
    </row>
    <row r="191" spans="1:14">
      <c r="A191" s="2"/>
      <c r="B191" s="2"/>
      <c r="C191" s="22" t="str">
        <f>IF(OR(A191="",B191=""),"",IFERROR(XLOOKUP(1,(Buy_History!$A$2:$A$501=A191)*(Buy_History!$B$2:$B$501=B191),Buy_History!$C$2:$C$501,""),""))</f>
        <v/>
      </c>
      <c r="D191" s="22" t="str">
        <f>IF(OR(A191="",B191=""),"",IFERROR(XLOOKUP(1,(Sell_History!$A$2:$A$501=A191)*(Sell_History!$B$2:$B$501=B191),Sell_History!$C$2:$C$501,""),""))</f>
        <v/>
      </c>
      <c r="E191" s="8" t="str">
        <f>IF(OR(A191="",B191=""),"",IFERROR(XLOOKUP(1,(Raw_Observations!$A$2:$A$1001=A191)*(Raw_Observations!$B$2:$B$1001=B191),Raw_Observations!$D$2:$D$1001,""),""))</f>
        <v/>
      </c>
      <c r="F191" s="8" t="str">
        <f>IF(OR(A191="",B191=""),"",IFERROR(XLOOKUP(1,(Order_History!$A$2:$A$501=A191)*(Order_History!$B$2:$B$501=B191),Order_History!$D$2:$D$501,""),""))</f>
        <v/>
      </c>
      <c r="G191" s="8" t="str">
        <f>IF(COUNTIFS(Pricing!$A:$A,A191,Pricing!$B:$B,B191)=0,"",SUMIFS(Pricing!$G:$G,Pricing!$A:$A,A191,Pricing!$B:$B,B191))</f>
        <v/>
      </c>
      <c r="H191" s="9" t="str">
        <f t="shared" si="12"/>
        <v/>
      </c>
      <c r="I191" s="3">
        <v>0</v>
      </c>
      <c r="J191" s="3">
        <v>0</v>
      </c>
      <c r="K191" s="9" t="str">
        <f t="shared" si="13"/>
        <v/>
      </c>
      <c r="L191" s="6" t="str">
        <f t="shared" si="14"/>
        <v/>
      </c>
      <c r="M191" s="10" t="str">
        <f t="shared" si="15"/>
        <v/>
      </c>
      <c r="N191" s="6" t="str">
        <f t="shared" si="16"/>
        <v/>
      </c>
    </row>
    <row r="192" spans="1:14">
      <c r="A192" s="2"/>
      <c r="B192" s="2"/>
      <c r="C192" s="22" t="str">
        <f>IF(OR(A192="",B192=""),"",IFERROR(XLOOKUP(1,(Buy_History!$A$2:$A$501=A192)*(Buy_History!$B$2:$B$501=B192),Buy_History!$C$2:$C$501,""),""))</f>
        <v/>
      </c>
      <c r="D192" s="22" t="str">
        <f>IF(OR(A192="",B192=""),"",IFERROR(XLOOKUP(1,(Sell_History!$A$2:$A$501=A192)*(Sell_History!$B$2:$B$501=B192),Sell_History!$C$2:$C$501,""),""))</f>
        <v/>
      </c>
      <c r="E192" s="8" t="str">
        <f>IF(OR(A192="",B192=""),"",IFERROR(XLOOKUP(1,(Raw_Observations!$A$2:$A$1001=A192)*(Raw_Observations!$B$2:$B$1001=B192),Raw_Observations!$D$2:$D$1001,""),""))</f>
        <v/>
      </c>
      <c r="F192" s="8" t="str">
        <f>IF(OR(A192="",B192=""),"",IFERROR(XLOOKUP(1,(Order_History!$A$2:$A$501=A192)*(Order_History!$B$2:$B$501=B192),Order_History!$D$2:$D$501,""),""))</f>
        <v/>
      </c>
      <c r="G192" s="8" t="str">
        <f>IF(COUNTIFS(Pricing!$A:$A,A192,Pricing!$B:$B,B192)=0,"",SUMIFS(Pricing!$G:$G,Pricing!$A:$A,A192,Pricing!$B:$B,B192))</f>
        <v/>
      </c>
      <c r="H192" s="9" t="str">
        <f t="shared" si="12"/>
        <v/>
      </c>
      <c r="I192" s="3">
        <v>0</v>
      </c>
      <c r="J192" s="3">
        <v>0</v>
      </c>
      <c r="K192" s="9" t="str">
        <f t="shared" si="13"/>
        <v/>
      </c>
      <c r="L192" s="6" t="str">
        <f t="shared" si="14"/>
        <v/>
      </c>
      <c r="M192" s="10" t="str">
        <f t="shared" si="15"/>
        <v/>
      </c>
      <c r="N192" s="6" t="str">
        <f t="shared" si="16"/>
        <v/>
      </c>
    </row>
    <row r="193" spans="1:14">
      <c r="A193" s="2"/>
      <c r="B193" s="2"/>
      <c r="C193" s="22" t="str">
        <f>IF(OR(A193="",B193=""),"",IFERROR(XLOOKUP(1,(Buy_History!$A$2:$A$501=A193)*(Buy_History!$B$2:$B$501=B193),Buy_History!$C$2:$C$501,""),""))</f>
        <v/>
      </c>
      <c r="D193" s="22" t="str">
        <f>IF(OR(A193="",B193=""),"",IFERROR(XLOOKUP(1,(Sell_History!$A$2:$A$501=A193)*(Sell_History!$B$2:$B$501=B193),Sell_History!$C$2:$C$501,""),""))</f>
        <v/>
      </c>
      <c r="E193" s="8" t="str">
        <f>IF(OR(A193="",B193=""),"",IFERROR(XLOOKUP(1,(Raw_Observations!$A$2:$A$1001=A193)*(Raw_Observations!$B$2:$B$1001=B193),Raw_Observations!$D$2:$D$1001,""),""))</f>
        <v/>
      </c>
      <c r="F193" s="8" t="str">
        <f>IF(OR(A193="",B193=""),"",IFERROR(XLOOKUP(1,(Order_History!$A$2:$A$501=A193)*(Order_History!$B$2:$B$501=B193),Order_History!$D$2:$D$501,""),""))</f>
        <v/>
      </c>
      <c r="G193" s="8" t="str">
        <f>IF(COUNTIFS(Pricing!$A:$A,A193,Pricing!$B:$B,B193)=0,"",SUMIFS(Pricing!$G:$G,Pricing!$A:$A,A193,Pricing!$B:$B,B193))</f>
        <v/>
      </c>
      <c r="H193" s="9" t="str">
        <f t="shared" si="12"/>
        <v/>
      </c>
      <c r="I193" s="3">
        <v>0</v>
      </c>
      <c r="J193" s="3">
        <v>0</v>
      </c>
      <c r="K193" s="9" t="str">
        <f t="shared" si="13"/>
        <v/>
      </c>
      <c r="L193" s="6" t="str">
        <f t="shared" si="14"/>
        <v/>
      </c>
      <c r="M193" s="10" t="str">
        <f t="shared" si="15"/>
        <v/>
      </c>
      <c r="N193" s="6" t="str">
        <f t="shared" si="16"/>
        <v/>
      </c>
    </row>
    <row r="194" spans="1:14">
      <c r="A194" s="2"/>
      <c r="B194" s="2"/>
      <c r="C194" s="22" t="str">
        <f>IF(OR(A194="",B194=""),"",IFERROR(XLOOKUP(1,(Buy_History!$A$2:$A$501=A194)*(Buy_History!$B$2:$B$501=B194),Buy_History!$C$2:$C$501,""),""))</f>
        <v/>
      </c>
      <c r="D194" s="22" t="str">
        <f>IF(OR(A194="",B194=""),"",IFERROR(XLOOKUP(1,(Sell_History!$A$2:$A$501=A194)*(Sell_History!$B$2:$B$501=B194),Sell_History!$C$2:$C$501,""),""))</f>
        <v/>
      </c>
      <c r="E194" s="8" t="str">
        <f>IF(OR(A194="",B194=""),"",IFERROR(XLOOKUP(1,(Raw_Observations!$A$2:$A$1001=A194)*(Raw_Observations!$B$2:$B$1001=B194),Raw_Observations!$D$2:$D$1001,""),""))</f>
        <v/>
      </c>
      <c r="F194" s="8" t="str">
        <f>IF(OR(A194="",B194=""),"",IFERROR(XLOOKUP(1,(Order_History!$A$2:$A$501=A194)*(Order_History!$B$2:$B$501=B194),Order_History!$D$2:$D$501,""),""))</f>
        <v/>
      </c>
      <c r="G194" s="8" t="str">
        <f>IF(COUNTIFS(Pricing!$A:$A,A194,Pricing!$B:$B,B194)=0,"",SUMIFS(Pricing!$G:$G,Pricing!$A:$A,A194,Pricing!$B:$B,B194))</f>
        <v/>
      </c>
      <c r="H194" s="9" t="str">
        <f t="shared" ref="H194:H257" si="17">IF(OR(E194="",F194=""),"",F194-E194)</f>
        <v/>
      </c>
      <c r="I194" s="3">
        <v>0</v>
      </c>
      <c r="J194" s="3">
        <v>0</v>
      </c>
      <c r="K194" s="9" t="str">
        <f t="shared" ref="K194:K257" si="18">IF(H194="","",H194-I194-J194)</f>
        <v/>
      </c>
      <c r="L194" s="6" t="str">
        <f t="shared" ref="L194:L257" si="19">IF(OR(K194="",E194=""),"",K194/E194)</f>
        <v/>
      </c>
      <c r="M194" s="10" t="str">
        <f t="shared" ref="M194:M257" si="20">IF(OR(C194="",D194=""),"",MAX(1,ROUNDUP(D194-C194,0)))</f>
        <v/>
      </c>
      <c r="N194" s="6" t="str">
        <f t="shared" ref="N194:N257" si="21">IF(OR(L194="",M194=""),"",(1+L194)^(365/M194)-1)</f>
        <v/>
      </c>
    </row>
    <row r="195" spans="1:14">
      <c r="A195" s="2"/>
      <c r="B195" s="2"/>
      <c r="C195" s="22" t="str">
        <f>IF(OR(A195="",B195=""),"",IFERROR(XLOOKUP(1,(Buy_History!$A$2:$A$501=A195)*(Buy_History!$B$2:$B$501=B195),Buy_History!$C$2:$C$501,""),""))</f>
        <v/>
      </c>
      <c r="D195" s="22" t="str">
        <f>IF(OR(A195="",B195=""),"",IFERROR(XLOOKUP(1,(Sell_History!$A$2:$A$501=A195)*(Sell_History!$B$2:$B$501=B195),Sell_History!$C$2:$C$501,""),""))</f>
        <v/>
      </c>
      <c r="E195" s="8" t="str">
        <f>IF(OR(A195="",B195=""),"",IFERROR(XLOOKUP(1,(Raw_Observations!$A$2:$A$1001=A195)*(Raw_Observations!$B$2:$B$1001=B195),Raw_Observations!$D$2:$D$1001,""),""))</f>
        <v/>
      </c>
      <c r="F195" s="8" t="str">
        <f>IF(OR(A195="",B195=""),"",IFERROR(XLOOKUP(1,(Order_History!$A$2:$A$501=A195)*(Order_History!$B$2:$B$501=B195),Order_History!$D$2:$D$501,""),""))</f>
        <v/>
      </c>
      <c r="G195" s="8" t="str">
        <f>IF(COUNTIFS(Pricing!$A:$A,A195,Pricing!$B:$B,B195)=0,"",SUMIFS(Pricing!$G:$G,Pricing!$A:$A,A195,Pricing!$B:$B,B195))</f>
        <v/>
      </c>
      <c r="H195" s="9" t="str">
        <f t="shared" si="17"/>
        <v/>
      </c>
      <c r="I195" s="3">
        <v>0</v>
      </c>
      <c r="J195" s="3">
        <v>0</v>
      </c>
      <c r="K195" s="9" t="str">
        <f t="shared" si="18"/>
        <v/>
      </c>
      <c r="L195" s="6" t="str">
        <f t="shared" si="19"/>
        <v/>
      </c>
      <c r="M195" s="10" t="str">
        <f t="shared" si="20"/>
        <v/>
      </c>
      <c r="N195" s="6" t="str">
        <f t="shared" si="21"/>
        <v/>
      </c>
    </row>
    <row r="196" spans="1:14">
      <c r="A196" s="2"/>
      <c r="B196" s="2"/>
      <c r="C196" s="22" t="str">
        <f>IF(OR(A196="",B196=""),"",IFERROR(XLOOKUP(1,(Buy_History!$A$2:$A$501=A196)*(Buy_History!$B$2:$B$501=B196),Buy_History!$C$2:$C$501,""),""))</f>
        <v/>
      </c>
      <c r="D196" s="22" t="str">
        <f>IF(OR(A196="",B196=""),"",IFERROR(XLOOKUP(1,(Sell_History!$A$2:$A$501=A196)*(Sell_History!$B$2:$B$501=B196),Sell_History!$C$2:$C$501,""),""))</f>
        <v/>
      </c>
      <c r="E196" s="8" t="str">
        <f>IF(OR(A196="",B196=""),"",IFERROR(XLOOKUP(1,(Raw_Observations!$A$2:$A$1001=A196)*(Raw_Observations!$B$2:$B$1001=B196),Raw_Observations!$D$2:$D$1001,""),""))</f>
        <v/>
      </c>
      <c r="F196" s="8" t="str">
        <f>IF(OR(A196="",B196=""),"",IFERROR(XLOOKUP(1,(Order_History!$A$2:$A$501=A196)*(Order_History!$B$2:$B$501=B196),Order_History!$D$2:$D$501,""),""))</f>
        <v/>
      </c>
      <c r="G196" s="8" t="str">
        <f>IF(COUNTIFS(Pricing!$A:$A,A196,Pricing!$B:$B,B196)=0,"",SUMIFS(Pricing!$G:$G,Pricing!$A:$A,A196,Pricing!$B:$B,B196))</f>
        <v/>
      </c>
      <c r="H196" s="9" t="str">
        <f t="shared" si="17"/>
        <v/>
      </c>
      <c r="I196" s="3">
        <v>0</v>
      </c>
      <c r="J196" s="3">
        <v>0</v>
      </c>
      <c r="K196" s="9" t="str">
        <f t="shared" si="18"/>
        <v/>
      </c>
      <c r="L196" s="6" t="str">
        <f t="shared" si="19"/>
        <v/>
      </c>
      <c r="M196" s="10" t="str">
        <f t="shared" si="20"/>
        <v/>
      </c>
      <c r="N196" s="6" t="str">
        <f t="shared" si="21"/>
        <v/>
      </c>
    </row>
    <row r="197" spans="1:14">
      <c r="A197" s="2"/>
      <c r="B197" s="2"/>
      <c r="C197" s="22" t="str">
        <f>IF(OR(A197="",B197=""),"",IFERROR(XLOOKUP(1,(Buy_History!$A$2:$A$501=A197)*(Buy_History!$B$2:$B$501=B197),Buy_History!$C$2:$C$501,""),""))</f>
        <v/>
      </c>
      <c r="D197" s="22" t="str">
        <f>IF(OR(A197="",B197=""),"",IFERROR(XLOOKUP(1,(Sell_History!$A$2:$A$501=A197)*(Sell_History!$B$2:$B$501=B197),Sell_History!$C$2:$C$501,""),""))</f>
        <v/>
      </c>
      <c r="E197" s="8" t="str">
        <f>IF(OR(A197="",B197=""),"",IFERROR(XLOOKUP(1,(Raw_Observations!$A$2:$A$1001=A197)*(Raw_Observations!$B$2:$B$1001=B197),Raw_Observations!$D$2:$D$1001,""),""))</f>
        <v/>
      </c>
      <c r="F197" s="8" t="str">
        <f>IF(OR(A197="",B197=""),"",IFERROR(XLOOKUP(1,(Order_History!$A$2:$A$501=A197)*(Order_History!$B$2:$B$501=B197),Order_History!$D$2:$D$501,""),""))</f>
        <v/>
      </c>
      <c r="G197" s="8" t="str">
        <f>IF(COUNTIFS(Pricing!$A:$A,A197,Pricing!$B:$B,B197)=0,"",SUMIFS(Pricing!$G:$G,Pricing!$A:$A,A197,Pricing!$B:$B,B197))</f>
        <v/>
      </c>
      <c r="H197" s="9" t="str">
        <f t="shared" si="17"/>
        <v/>
      </c>
      <c r="I197" s="3">
        <v>0</v>
      </c>
      <c r="J197" s="3">
        <v>0</v>
      </c>
      <c r="K197" s="9" t="str">
        <f t="shared" si="18"/>
        <v/>
      </c>
      <c r="L197" s="6" t="str">
        <f t="shared" si="19"/>
        <v/>
      </c>
      <c r="M197" s="10" t="str">
        <f t="shared" si="20"/>
        <v/>
      </c>
      <c r="N197" s="6" t="str">
        <f t="shared" si="21"/>
        <v/>
      </c>
    </row>
    <row r="198" spans="1:14">
      <c r="A198" s="2"/>
      <c r="B198" s="2"/>
      <c r="C198" s="22" t="str">
        <f>IF(OR(A198="",B198=""),"",IFERROR(XLOOKUP(1,(Buy_History!$A$2:$A$501=A198)*(Buy_History!$B$2:$B$501=B198),Buy_History!$C$2:$C$501,""),""))</f>
        <v/>
      </c>
      <c r="D198" s="22" t="str">
        <f>IF(OR(A198="",B198=""),"",IFERROR(XLOOKUP(1,(Sell_History!$A$2:$A$501=A198)*(Sell_History!$B$2:$B$501=B198),Sell_History!$C$2:$C$501,""),""))</f>
        <v/>
      </c>
      <c r="E198" s="8" t="str">
        <f>IF(OR(A198="",B198=""),"",IFERROR(XLOOKUP(1,(Raw_Observations!$A$2:$A$1001=A198)*(Raw_Observations!$B$2:$B$1001=B198),Raw_Observations!$D$2:$D$1001,""),""))</f>
        <v/>
      </c>
      <c r="F198" s="8" t="str">
        <f>IF(OR(A198="",B198=""),"",IFERROR(XLOOKUP(1,(Order_History!$A$2:$A$501=A198)*(Order_History!$B$2:$B$501=B198),Order_History!$D$2:$D$501,""),""))</f>
        <v/>
      </c>
      <c r="G198" s="8" t="str">
        <f>IF(COUNTIFS(Pricing!$A:$A,A198,Pricing!$B:$B,B198)=0,"",SUMIFS(Pricing!$G:$G,Pricing!$A:$A,A198,Pricing!$B:$B,B198))</f>
        <v/>
      </c>
      <c r="H198" s="9" t="str">
        <f t="shared" si="17"/>
        <v/>
      </c>
      <c r="I198" s="3">
        <v>0</v>
      </c>
      <c r="J198" s="3">
        <v>0</v>
      </c>
      <c r="K198" s="9" t="str">
        <f t="shared" si="18"/>
        <v/>
      </c>
      <c r="L198" s="6" t="str">
        <f t="shared" si="19"/>
        <v/>
      </c>
      <c r="M198" s="10" t="str">
        <f t="shared" si="20"/>
        <v/>
      </c>
      <c r="N198" s="6" t="str">
        <f t="shared" si="21"/>
        <v/>
      </c>
    </row>
    <row r="199" spans="1:14">
      <c r="A199" s="2"/>
      <c r="B199" s="2"/>
      <c r="C199" s="22" t="str">
        <f>IF(OR(A199="",B199=""),"",IFERROR(XLOOKUP(1,(Buy_History!$A$2:$A$501=A199)*(Buy_History!$B$2:$B$501=B199),Buy_History!$C$2:$C$501,""),""))</f>
        <v/>
      </c>
      <c r="D199" s="22" t="str">
        <f>IF(OR(A199="",B199=""),"",IFERROR(XLOOKUP(1,(Sell_History!$A$2:$A$501=A199)*(Sell_History!$B$2:$B$501=B199),Sell_History!$C$2:$C$501,""),""))</f>
        <v/>
      </c>
      <c r="E199" s="8" t="str">
        <f>IF(OR(A199="",B199=""),"",IFERROR(XLOOKUP(1,(Raw_Observations!$A$2:$A$1001=A199)*(Raw_Observations!$B$2:$B$1001=B199),Raw_Observations!$D$2:$D$1001,""),""))</f>
        <v/>
      </c>
      <c r="F199" s="8" t="str">
        <f>IF(OR(A199="",B199=""),"",IFERROR(XLOOKUP(1,(Order_History!$A$2:$A$501=A199)*(Order_History!$B$2:$B$501=B199),Order_History!$D$2:$D$501,""),""))</f>
        <v/>
      </c>
      <c r="G199" s="8" t="str">
        <f>IF(COUNTIFS(Pricing!$A:$A,A199,Pricing!$B:$B,B199)=0,"",SUMIFS(Pricing!$G:$G,Pricing!$A:$A,A199,Pricing!$B:$B,B199))</f>
        <v/>
      </c>
      <c r="H199" s="9" t="str">
        <f t="shared" si="17"/>
        <v/>
      </c>
      <c r="I199" s="3">
        <v>0</v>
      </c>
      <c r="J199" s="3">
        <v>0</v>
      </c>
      <c r="K199" s="9" t="str">
        <f t="shared" si="18"/>
        <v/>
      </c>
      <c r="L199" s="6" t="str">
        <f t="shared" si="19"/>
        <v/>
      </c>
      <c r="M199" s="10" t="str">
        <f t="shared" si="20"/>
        <v/>
      </c>
      <c r="N199" s="6" t="str">
        <f t="shared" si="21"/>
        <v/>
      </c>
    </row>
    <row r="200" spans="1:14">
      <c r="A200" s="2"/>
      <c r="B200" s="2"/>
      <c r="C200" s="22" t="str">
        <f>IF(OR(A200="",B200=""),"",IFERROR(XLOOKUP(1,(Buy_History!$A$2:$A$501=A200)*(Buy_History!$B$2:$B$501=B200),Buy_History!$C$2:$C$501,""),""))</f>
        <v/>
      </c>
      <c r="D200" s="22" t="str">
        <f>IF(OR(A200="",B200=""),"",IFERROR(XLOOKUP(1,(Sell_History!$A$2:$A$501=A200)*(Sell_History!$B$2:$B$501=B200),Sell_History!$C$2:$C$501,""),""))</f>
        <v/>
      </c>
      <c r="E200" s="8" t="str">
        <f>IF(OR(A200="",B200=""),"",IFERROR(XLOOKUP(1,(Raw_Observations!$A$2:$A$1001=A200)*(Raw_Observations!$B$2:$B$1001=B200),Raw_Observations!$D$2:$D$1001,""),""))</f>
        <v/>
      </c>
      <c r="F200" s="8" t="str">
        <f>IF(OR(A200="",B200=""),"",IFERROR(XLOOKUP(1,(Order_History!$A$2:$A$501=A200)*(Order_History!$B$2:$B$501=B200),Order_History!$D$2:$D$501,""),""))</f>
        <v/>
      </c>
      <c r="G200" s="8" t="str">
        <f>IF(COUNTIFS(Pricing!$A:$A,A200,Pricing!$B:$B,B200)=0,"",SUMIFS(Pricing!$G:$G,Pricing!$A:$A,A200,Pricing!$B:$B,B200))</f>
        <v/>
      </c>
      <c r="H200" s="9" t="str">
        <f t="shared" si="17"/>
        <v/>
      </c>
      <c r="I200" s="3">
        <v>0</v>
      </c>
      <c r="J200" s="3">
        <v>0</v>
      </c>
      <c r="K200" s="9" t="str">
        <f t="shared" si="18"/>
        <v/>
      </c>
      <c r="L200" s="6" t="str">
        <f t="shared" si="19"/>
        <v/>
      </c>
      <c r="M200" s="10" t="str">
        <f t="shared" si="20"/>
        <v/>
      </c>
      <c r="N200" s="6" t="str">
        <f t="shared" si="21"/>
        <v/>
      </c>
    </row>
    <row r="201" spans="1:14">
      <c r="A201" s="2"/>
      <c r="B201" s="2"/>
      <c r="C201" s="22" t="str">
        <f>IF(OR(A201="",B201=""),"",IFERROR(XLOOKUP(1,(Buy_History!$A$2:$A$501=A201)*(Buy_History!$B$2:$B$501=B201),Buy_History!$C$2:$C$501,""),""))</f>
        <v/>
      </c>
      <c r="D201" s="22" t="str">
        <f>IF(OR(A201="",B201=""),"",IFERROR(XLOOKUP(1,(Sell_History!$A$2:$A$501=A201)*(Sell_History!$B$2:$B$501=B201),Sell_History!$C$2:$C$501,""),""))</f>
        <v/>
      </c>
      <c r="E201" s="8" t="str">
        <f>IF(OR(A201="",B201=""),"",IFERROR(XLOOKUP(1,(Raw_Observations!$A$2:$A$1001=A201)*(Raw_Observations!$B$2:$B$1001=B201),Raw_Observations!$D$2:$D$1001,""),""))</f>
        <v/>
      </c>
      <c r="F201" s="8" t="str">
        <f>IF(OR(A201="",B201=""),"",IFERROR(XLOOKUP(1,(Order_History!$A$2:$A$501=A201)*(Order_History!$B$2:$B$501=B201),Order_History!$D$2:$D$501,""),""))</f>
        <v/>
      </c>
      <c r="G201" s="8" t="str">
        <f>IF(COUNTIFS(Pricing!$A:$A,A201,Pricing!$B:$B,B201)=0,"",SUMIFS(Pricing!$G:$G,Pricing!$A:$A,A201,Pricing!$B:$B,B201))</f>
        <v/>
      </c>
      <c r="H201" s="9" t="str">
        <f t="shared" si="17"/>
        <v/>
      </c>
      <c r="I201" s="3">
        <v>0</v>
      </c>
      <c r="J201" s="3">
        <v>0</v>
      </c>
      <c r="K201" s="9" t="str">
        <f t="shared" si="18"/>
        <v/>
      </c>
      <c r="L201" s="6" t="str">
        <f t="shared" si="19"/>
        <v/>
      </c>
      <c r="M201" s="10" t="str">
        <f t="shared" si="20"/>
        <v/>
      </c>
      <c r="N201" s="6" t="str">
        <f t="shared" si="21"/>
        <v/>
      </c>
    </row>
    <row r="202" spans="1:14">
      <c r="A202" s="2"/>
      <c r="B202" s="2"/>
      <c r="C202" s="22" t="str">
        <f>IF(OR(A202="",B202=""),"",IFERROR(XLOOKUP(1,(Buy_History!$A$2:$A$501=A202)*(Buy_History!$B$2:$B$501=B202),Buy_History!$C$2:$C$501,""),""))</f>
        <v/>
      </c>
      <c r="D202" s="22" t="str">
        <f>IF(OR(A202="",B202=""),"",IFERROR(XLOOKUP(1,(Sell_History!$A$2:$A$501=A202)*(Sell_History!$B$2:$B$501=B202),Sell_History!$C$2:$C$501,""),""))</f>
        <v/>
      </c>
      <c r="E202" s="8" t="str">
        <f>IF(OR(A202="",B202=""),"",IFERROR(XLOOKUP(1,(Raw_Observations!$A$2:$A$1001=A202)*(Raw_Observations!$B$2:$B$1001=B202),Raw_Observations!$D$2:$D$1001,""),""))</f>
        <v/>
      </c>
      <c r="F202" s="8" t="str">
        <f>IF(OR(A202="",B202=""),"",IFERROR(XLOOKUP(1,(Order_History!$A$2:$A$501=A202)*(Order_History!$B$2:$B$501=B202),Order_History!$D$2:$D$501,""),""))</f>
        <v/>
      </c>
      <c r="G202" s="8" t="str">
        <f>IF(COUNTIFS(Pricing!$A:$A,A202,Pricing!$B:$B,B202)=0,"",SUMIFS(Pricing!$G:$G,Pricing!$A:$A,A202,Pricing!$B:$B,B202))</f>
        <v/>
      </c>
      <c r="H202" s="9" t="str">
        <f t="shared" si="17"/>
        <v/>
      </c>
      <c r="I202" s="3">
        <v>0</v>
      </c>
      <c r="J202" s="3">
        <v>0</v>
      </c>
      <c r="K202" s="9" t="str">
        <f t="shared" si="18"/>
        <v/>
      </c>
      <c r="L202" s="6" t="str">
        <f t="shared" si="19"/>
        <v/>
      </c>
      <c r="M202" s="10" t="str">
        <f t="shared" si="20"/>
        <v/>
      </c>
      <c r="N202" s="6" t="str">
        <f t="shared" si="21"/>
        <v/>
      </c>
    </row>
    <row r="203" spans="1:14">
      <c r="A203" s="2"/>
      <c r="B203" s="2"/>
      <c r="C203" s="22" t="str">
        <f>IF(OR(A203="",B203=""),"",IFERROR(XLOOKUP(1,(Buy_History!$A$2:$A$501=A203)*(Buy_History!$B$2:$B$501=B203),Buy_History!$C$2:$C$501,""),""))</f>
        <v/>
      </c>
      <c r="D203" s="22" t="str">
        <f>IF(OR(A203="",B203=""),"",IFERROR(XLOOKUP(1,(Sell_History!$A$2:$A$501=A203)*(Sell_History!$B$2:$B$501=B203),Sell_History!$C$2:$C$501,""),""))</f>
        <v/>
      </c>
      <c r="E203" s="8" t="str">
        <f>IF(OR(A203="",B203=""),"",IFERROR(XLOOKUP(1,(Raw_Observations!$A$2:$A$1001=A203)*(Raw_Observations!$B$2:$B$1001=B203),Raw_Observations!$D$2:$D$1001,""),""))</f>
        <v/>
      </c>
      <c r="F203" s="8" t="str">
        <f>IF(OR(A203="",B203=""),"",IFERROR(XLOOKUP(1,(Order_History!$A$2:$A$501=A203)*(Order_History!$B$2:$B$501=B203),Order_History!$D$2:$D$501,""),""))</f>
        <v/>
      </c>
      <c r="G203" s="8" t="str">
        <f>IF(COUNTIFS(Pricing!$A:$A,A203,Pricing!$B:$B,B203)=0,"",SUMIFS(Pricing!$G:$G,Pricing!$A:$A,A203,Pricing!$B:$B,B203))</f>
        <v/>
      </c>
      <c r="H203" s="9" t="str">
        <f t="shared" si="17"/>
        <v/>
      </c>
      <c r="I203" s="3">
        <v>0</v>
      </c>
      <c r="J203" s="3">
        <v>0</v>
      </c>
      <c r="K203" s="9" t="str">
        <f t="shared" si="18"/>
        <v/>
      </c>
      <c r="L203" s="6" t="str">
        <f t="shared" si="19"/>
        <v/>
      </c>
      <c r="M203" s="10" t="str">
        <f t="shared" si="20"/>
        <v/>
      </c>
      <c r="N203" s="6" t="str">
        <f t="shared" si="21"/>
        <v/>
      </c>
    </row>
    <row r="204" spans="1:14">
      <c r="A204" s="2"/>
      <c r="B204" s="2"/>
      <c r="C204" s="22" t="str">
        <f>IF(OR(A204="",B204=""),"",IFERROR(XLOOKUP(1,(Buy_History!$A$2:$A$501=A204)*(Buy_History!$B$2:$B$501=B204),Buy_History!$C$2:$C$501,""),""))</f>
        <v/>
      </c>
      <c r="D204" s="22" t="str">
        <f>IF(OR(A204="",B204=""),"",IFERROR(XLOOKUP(1,(Sell_History!$A$2:$A$501=A204)*(Sell_History!$B$2:$B$501=B204),Sell_History!$C$2:$C$501,""),""))</f>
        <v/>
      </c>
      <c r="E204" s="8" t="str">
        <f>IF(OR(A204="",B204=""),"",IFERROR(XLOOKUP(1,(Raw_Observations!$A$2:$A$1001=A204)*(Raw_Observations!$B$2:$B$1001=B204),Raw_Observations!$D$2:$D$1001,""),""))</f>
        <v/>
      </c>
      <c r="F204" s="8" t="str">
        <f>IF(OR(A204="",B204=""),"",IFERROR(XLOOKUP(1,(Order_History!$A$2:$A$501=A204)*(Order_History!$B$2:$B$501=B204),Order_History!$D$2:$D$501,""),""))</f>
        <v/>
      </c>
      <c r="G204" s="8" t="str">
        <f>IF(COUNTIFS(Pricing!$A:$A,A204,Pricing!$B:$B,B204)=0,"",SUMIFS(Pricing!$G:$G,Pricing!$A:$A,A204,Pricing!$B:$B,B204))</f>
        <v/>
      </c>
      <c r="H204" s="9" t="str">
        <f t="shared" si="17"/>
        <v/>
      </c>
      <c r="I204" s="3">
        <v>0</v>
      </c>
      <c r="J204" s="3">
        <v>0</v>
      </c>
      <c r="K204" s="9" t="str">
        <f t="shared" si="18"/>
        <v/>
      </c>
      <c r="L204" s="6" t="str">
        <f t="shared" si="19"/>
        <v/>
      </c>
      <c r="M204" s="10" t="str">
        <f t="shared" si="20"/>
        <v/>
      </c>
      <c r="N204" s="6" t="str">
        <f t="shared" si="21"/>
        <v/>
      </c>
    </row>
    <row r="205" spans="1:14">
      <c r="A205" s="2"/>
      <c r="B205" s="2"/>
      <c r="C205" s="22" t="str">
        <f>IF(OR(A205="",B205=""),"",IFERROR(XLOOKUP(1,(Buy_History!$A$2:$A$501=A205)*(Buy_History!$B$2:$B$501=B205),Buy_History!$C$2:$C$501,""),""))</f>
        <v/>
      </c>
      <c r="D205" s="22" t="str">
        <f>IF(OR(A205="",B205=""),"",IFERROR(XLOOKUP(1,(Sell_History!$A$2:$A$501=A205)*(Sell_History!$B$2:$B$501=B205),Sell_History!$C$2:$C$501,""),""))</f>
        <v/>
      </c>
      <c r="E205" s="8" t="str">
        <f>IF(OR(A205="",B205=""),"",IFERROR(XLOOKUP(1,(Raw_Observations!$A$2:$A$1001=A205)*(Raw_Observations!$B$2:$B$1001=B205),Raw_Observations!$D$2:$D$1001,""),""))</f>
        <v/>
      </c>
      <c r="F205" s="8" t="str">
        <f>IF(OR(A205="",B205=""),"",IFERROR(XLOOKUP(1,(Order_History!$A$2:$A$501=A205)*(Order_History!$B$2:$B$501=B205),Order_History!$D$2:$D$501,""),""))</f>
        <v/>
      </c>
      <c r="G205" s="8" t="str">
        <f>IF(COUNTIFS(Pricing!$A:$A,A205,Pricing!$B:$B,B205)=0,"",SUMIFS(Pricing!$G:$G,Pricing!$A:$A,A205,Pricing!$B:$B,B205))</f>
        <v/>
      </c>
      <c r="H205" s="9" t="str">
        <f t="shared" si="17"/>
        <v/>
      </c>
      <c r="I205" s="3">
        <v>0</v>
      </c>
      <c r="J205" s="3">
        <v>0</v>
      </c>
      <c r="K205" s="9" t="str">
        <f t="shared" si="18"/>
        <v/>
      </c>
      <c r="L205" s="6" t="str">
        <f t="shared" si="19"/>
        <v/>
      </c>
      <c r="M205" s="10" t="str">
        <f t="shared" si="20"/>
        <v/>
      </c>
      <c r="N205" s="6" t="str">
        <f t="shared" si="21"/>
        <v/>
      </c>
    </row>
    <row r="206" spans="1:14">
      <c r="A206" s="2"/>
      <c r="B206" s="2"/>
      <c r="C206" s="22" t="str">
        <f>IF(OR(A206="",B206=""),"",IFERROR(XLOOKUP(1,(Buy_History!$A$2:$A$501=A206)*(Buy_History!$B$2:$B$501=B206),Buy_History!$C$2:$C$501,""),""))</f>
        <v/>
      </c>
      <c r="D206" s="22" t="str">
        <f>IF(OR(A206="",B206=""),"",IFERROR(XLOOKUP(1,(Sell_History!$A$2:$A$501=A206)*(Sell_History!$B$2:$B$501=B206),Sell_History!$C$2:$C$501,""),""))</f>
        <v/>
      </c>
      <c r="E206" s="8" t="str">
        <f>IF(OR(A206="",B206=""),"",IFERROR(XLOOKUP(1,(Raw_Observations!$A$2:$A$1001=A206)*(Raw_Observations!$B$2:$B$1001=B206),Raw_Observations!$D$2:$D$1001,""),""))</f>
        <v/>
      </c>
      <c r="F206" s="8" t="str">
        <f>IF(OR(A206="",B206=""),"",IFERROR(XLOOKUP(1,(Order_History!$A$2:$A$501=A206)*(Order_History!$B$2:$B$501=B206),Order_History!$D$2:$D$501,""),""))</f>
        <v/>
      </c>
      <c r="G206" s="8" t="str">
        <f>IF(COUNTIFS(Pricing!$A:$A,A206,Pricing!$B:$B,B206)=0,"",SUMIFS(Pricing!$G:$G,Pricing!$A:$A,A206,Pricing!$B:$B,B206))</f>
        <v/>
      </c>
      <c r="H206" s="9" t="str">
        <f t="shared" si="17"/>
        <v/>
      </c>
      <c r="I206" s="3">
        <v>0</v>
      </c>
      <c r="J206" s="3">
        <v>0</v>
      </c>
      <c r="K206" s="9" t="str">
        <f t="shared" si="18"/>
        <v/>
      </c>
      <c r="L206" s="6" t="str">
        <f t="shared" si="19"/>
        <v/>
      </c>
      <c r="M206" s="10" t="str">
        <f t="shared" si="20"/>
        <v/>
      </c>
      <c r="N206" s="6" t="str">
        <f t="shared" si="21"/>
        <v/>
      </c>
    </row>
    <row r="207" spans="1:14">
      <c r="A207" s="2"/>
      <c r="B207" s="2"/>
      <c r="C207" s="22" t="str">
        <f>IF(OR(A207="",B207=""),"",IFERROR(XLOOKUP(1,(Buy_History!$A$2:$A$501=A207)*(Buy_History!$B$2:$B$501=B207),Buy_History!$C$2:$C$501,""),""))</f>
        <v/>
      </c>
      <c r="D207" s="22" t="str">
        <f>IF(OR(A207="",B207=""),"",IFERROR(XLOOKUP(1,(Sell_History!$A$2:$A$501=A207)*(Sell_History!$B$2:$B$501=B207),Sell_History!$C$2:$C$501,""),""))</f>
        <v/>
      </c>
      <c r="E207" s="8" t="str">
        <f>IF(OR(A207="",B207=""),"",IFERROR(XLOOKUP(1,(Raw_Observations!$A$2:$A$1001=A207)*(Raw_Observations!$B$2:$B$1001=B207),Raw_Observations!$D$2:$D$1001,""),""))</f>
        <v/>
      </c>
      <c r="F207" s="8" t="str">
        <f>IF(OR(A207="",B207=""),"",IFERROR(XLOOKUP(1,(Order_History!$A$2:$A$501=A207)*(Order_History!$B$2:$B$501=B207),Order_History!$D$2:$D$501,""),""))</f>
        <v/>
      </c>
      <c r="G207" s="8" t="str">
        <f>IF(COUNTIFS(Pricing!$A:$A,A207,Pricing!$B:$B,B207)=0,"",SUMIFS(Pricing!$G:$G,Pricing!$A:$A,A207,Pricing!$B:$B,B207))</f>
        <v/>
      </c>
      <c r="H207" s="9" t="str">
        <f t="shared" si="17"/>
        <v/>
      </c>
      <c r="I207" s="3">
        <v>0</v>
      </c>
      <c r="J207" s="3">
        <v>0</v>
      </c>
      <c r="K207" s="9" t="str">
        <f t="shared" si="18"/>
        <v/>
      </c>
      <c r="L207" s="6" t="str">
        <f t="shared" si="19"/>
        <v/>
      </c>
      <c r="M207" s="10" t="str">
        <f t="shared" si="20"/>
        <v/>
      </c>
      <c r="N207" s="6" t="str">
        <f t="shared" si="21"/>
        <v/>
      </c>
    </row>
    <row r="208" spans="1:14">
      <c r="A208" s="2"/>
      <c r="B208" s="2"/>
      <c r="C208" s="22" t="str">
        <f>IF(OR(A208="",B208=""),"",IFERROR(XLOOKUP(1,(Buy_History!$A$2:$A$501=A208)*(Buy_History!$B$2:$B$501=B208),Buy_History!$C$2:$C$501,""),""))</f>
        <v/>
      </c>
      <c r="D208" s="22" t="str">
        <f>IF(OR(A208="",B208=""),"",IFERROR(XLOOKUP(1,(Sell_History!$A$2:$A$501=A208)*(Sell_History!$B$2:$B$501=B208),Sell_History!$C$2:$C$501,""),""))</f>
        <v/>
      </c>
      <c r="E208" s="8" t="str">
        <f>IF(OR(A208="",B208=""),"",IFERROR(XLOOKUP(1,(Raw_Observations!$A$2:$A$1001=A208)*(Raw_Observations!$B$2:$B$1001=B208),Raw_Observations!$D$2:$D$1001,""),""))</f>
        <v/>
      </c>
      <c r="F208" s="8" t="str">
        <f>IF(OR(A208="",B208=""),"",IFERROR(XLOOKUP(1,(Order_History!$A$2:$A$501=A208)*(Order_History!$B$2:$B$501=B208),Order_History!$D$2:$D$501,""),""))</f>
        <v/>
      </c>
      <c r="G208" s="8" t="str">
        <f>IF(COUNTIFS(Pricing!$A:$A,A208,Pricing!$B:$B,B208)=0,"",SUMIFS(Pricing!$G:$G,Pricing!$A:$A,A208,Pricing!$B:$B,B208))</f>
        <v/>
      </c>
      <c r="H208" s="9" t="str">
        <f t="shared" si="17"/>
        <v/>
      </c>
      <c r="I208" s="3">
        <v>0</v>
      </c>
      <c r="J208" s="3">
        <v>0</v>
      </c>
      <c r="K208" s="9" t="str">
        <f t="shared" si="18"/>
        <v/>
      </c>
      <c r="L208" s="6" t="str">
        <f t="shared" si="19"/>
        <v/>
      </c>
      <c r="M208" s="10" t="str">
        <f t="shared" si="20"/>
        <v/>
      </c>
      <c r="N208" s="6" t="str">
        <f t="shared" si="21"/>
        <v/>
      </c>
    </row>
    <row r="209" spans="1:14">
      <c r="A209" s="2"/>
      <c r="B209" s="2"/>
      <c r="C209" s="22" t="str">
        <f>IF(OR(A209="",B209=""),"",IFERROR(XLOOKUP(1,(Buy_History!$A$2:$A$501=A209)*(Buy_History!$B$2:$B$501=B209),Buy_History!$C$2:$C$501,""),""))</f>
        <v/>
      </c>
      <c r="D209" s="22" t="str">
        <f>IF(OR(A209="",B209=""),"",IFERROR(XLOOKUP(1,(Sell_History!$A$2:$A$501=A209)*(Sell_History!$B$2:$B$501=B209),Sell_History!$C$2:$C$501,""),""))</f>
        <v/>
      </c>
      <c r="E209" s="8" t="str">
        <f>IF(OR(A209="",B209=""),"",IFERROR(XLOOKUP(1,(Raw_Observations!$A$2:$A$1001=A209)*(Raw_Observations!$B$2:$B$1001=B209),Raw_Observations!$D$2:$D$1001,""),""))</f>
        <v/>
      </c>
      <c r="F209" s="8" t="str">
        <f>IF(OR(A209="",B209=""),"",IFERROR(XLOOKUP(1,(Order_History!$A$2:$A$501=A209)*(Order_History!$B$2:$B$501=B209),Order_History!$D$2:$D$501,""),""))</f>
        <v/>
      </c>
      <c r="G209" s="8" t="str">
        <f>IF(COUNTIFS(Pricing!$A:$A,A209,Pricing!$B:$B,B209)=0,"",SUMIFS(Pricing!$G:$G,Pricing!$A:$A,A209,Pricing!$B:$B,B209))</f>
        <v/>
      </c>
      <c r="H209" s="9" t="str">
        <f t="shared" si="17"/>
        <v/>
      </c>
      <c r="I209" s="3">
        <v>0</v>
      </c>
      <c r="J209" s="3">
        <v>0</v>
      </c>
      <c r="K209" s="9" t="str">
        <f t="shared" si="18"/>
        <v/>
      </c>
      <c r="L209" s="6" t="str">
        <f t="shared" si="19"/>
        <v/>
      </c>
      <c r="M209" s="10" t="str">
        <f t="shared" si="20"/>
        <v/>
      </c>
      <c r="N209" s="6" t="str">
        <f t="shared" si="21"/>
        <v/>
      </c>
    </row>
    <row r="210" spans="1:14">
      <c r="A210" s="2"/>
      <c r="B210" s="2"/>
      <c r="C210" s="22" t="str">
        <f>IF(OR(A210="",B210=""),"",IFERROR(XLOOKUP(1,(Buy_History!$A$2:$A$501=A210)*(Buy_History!$B$2:$B$501=B210),Buy_History!$C$2:$C$501,""),""))</f>
        <v/>
      </c>
      <c r="D210" s="22" t="str">
        <f>IF(OR(A210="",B210=""),"",IFERROR(XLOOKUP(1,(Sell_History!$A$2:$A$501=A210)*(Sell_History!$B$2:$B$501=B210),Sell_History!$C$2:$C$501,""),""))</f>
        <v/>
      </c>
      <c r="E210" s="8" t="str">
        <f>IF(OR(A210="",B210=""),"",IFERROR(XLOOKUP(1,(Raw_Observations!$A$2:$A$1001=A210)*(Raw_Observations!$B$2:$B$1001=B210),Raw_Observations!$D$2:$D$1001,""),""))</f>
        <v/>
      </c>
      <c r="F210" s="8" t="str">
        <f>IF(OR(A210="",B210=""),"",IFERROR(XLOOKUP(1,(Order_History!$A$2:$A$501=A210)*(Order_History!$B$2:$B$501=B210),Order_History!$D$2:$D$501,""),""))</f>
        <v/>
      </c>
      <c r="G210" s="8" t="str">
        <f>IF(COUNTIFS(Pricing!$A:$A,A210,Pricing!$B:$B,B210)=0,"",SUMIFS(Pricing!$G:$G,Pricing!$A:$A,A210,Pricing!$B:$B,B210))</f>
        <v/>
      </c>
      <c r="H210" s="9" t="str">
        <f t="shared" si="17"/>
        <v/>
      </c>
      <c r="I210" s="3">
        <v>0</v>
      </c>
      <c r="J210" s="3">
        <v>0</v>
      </c>
      <c r="K210" s="9" t="str">
        <f t="shared" si="18"/>
        <v/>
      </c>
      <c r="L210" s="6" t="str">
        <f t="shared" si="19"/>
        <v/>
      </c>
      <c r="M210" s="10" t="str">
        <f t="shared" si="20"/>
        <v/>
      </c>
      <c r="N210" s="6" t="str">
        <f t="shared" si="21"/>
        <v/>
      </c>
    </row>
    <row r="211" spans="1:14">
      <c r="A211" s="2"/>
      <c r="B211" s="2"/>
      <c r="C211" s="22" t="str">
        <f>IF(OR(A211="",B211=""),"",IFERROR(XLOOKUP(1,(Buy_History!$A$2:$A$501=A211)*(Buy_History!$B$2:$B$501=B211),Buy_History!$C$2:$C$501,""),""))</f>
        <v/>
      </c>
      <c r="D211" s="22" t="str">
        <f>IF(OR(A211="",B211=""),"",IFERROR(XLOOKUP(1,(Sell_History!$A$2:$A$501=A211)*(Sell_History!$B$2:$B$501=B211),Sell_History!$C$2:$C$501,""),""))</f>
        <v/>
      </c>
      <c r="E211" s="8" t="str">
        <f>IF(OR(A211="",B211=""),"",IFERROR(XLOOKUP(1,(Raw_Observations!$A$2:$A$1001=A211)*(Raw_Observations!$B$2:$B$1001=B211),Raw_Observations!$D$2:$D$1001,""),""))</f>
        <v/>
      </c>
      <c r="F211" s="8" t="str">
        <f>IF(OR(A211="",B211=""),"",IFERROR(XLOOKUP(1,(Order_History!$A$2:$A$501=A211)*(Order_History!$B$2:$B$501=B211),Order_History!$D$2:$D$501,""),""))</f>
        <v/>
      </c>
      <c r="G211" s="8" t="str">
        <f>IF(COUNTIFS(Pricing!$A:$A,A211,Pricing!$B:$B,B211)=0,"",SUMIFS(Pricing!$G:$G,Pricing!$A:$A,A211,Pricing!$B:$B,B211))</f>
        <v/>
      </c>
      <c r="H211" s="9" t="str">
        <f t="shared" si="17"/>
        <v/>
      </c>
      <c r="I211" s="3">
        <v>0</v>
      </c>
      <c r="J211" s="3">
        <v>0</v>
      </c>
      <c r="K211" s="9" t="str">
        <f t="shared" si="18"/>
        <v/>
      </c>
      <c r="L211" s="6" t="str">
        <f t="shared" si="19"/>
        <v/>
      </c>
      <c r="M211" s="10" t="str">
        <f t="shared" si="20"/>
        <v/>
      </c>
      <c r="N211" s="6" t="str">
        <f t="shared" si="21"/>
        <v/>
      </c>
    </row>
    <row r="212" spans="1:14">
      <c r="A212" s="2"/>
      <c r="B212" s="2"/>
      <c r="C212" s="22" t="str">
        <f>IF(OR(A212="",B212=""),"",IFERROR(XLOOKUP(1,(Buy_History!$A$2:$A$501=A212)*(Buy_History!$B$2:$B$501=B212),Buy_History!$C$2:$C$501,""),""))</f>
        <v/>
      </c>
      <c r="D212" s="22" t="str">
        <f>IF(OR(A212="",B212=""),"",IFERROR(XLOOKUP(1,(Sell_History!$A$2:$A$501=A212)*(Sell_History!$B$2:$B$501=B212),Sell_History!$C$2:$C$501,""),""))</f>
        <v/>
      </c>
      <c r="E212" s="8" t="str">
        <f>IF(OR(A212="",B212=""),"",IFERROR(XLOOKUP(1,(Raw_Observations!$A$2:$A$1001=A212)*(Raw_Observations!$B$2:$B$1001=B212),Raw_Observations!$D$2:$D$1001,""),""))</f>
        <v/>
      </c>
      <c r="F212" s="8" t="str">
        <f>IF(OR(A212="",B212=""),"",IFERROR(XLOOKUP(1,(Order_History!$A$2:$A$501=A212)*(Order_History!$B$2:$B$501=B212),Order_History!$D$2:$D$501,""),""))</f>
        <v/>
      </c>
      <c r="G212" s="8" t="str">
        <f>IF(COUNTIFS(Pricing!$A:$A,A212,Pricing!$B:$B,B212)=0,"",SUMIFS(Pricing!$G:$G,Pricing!$A:$A,A212,Pricing!$B:$B,B212))</f>
        <v/>
      </c>
      <c r="H212" s="9" t="str">
        <f t="shared" si="17"/>
        <v/>
      </c>
      <c r="I212" s="3">
        <v>0</v>
      </c>
      <c r="J212" s="3">
        <v>0</v>
      </c>
      <c r="K212" s="9" t="str">
        <f t="shared" si="18"/>
        <v/>
      </c>
      <c r="L212" s="6" t="str">
        <f t="shared" si="19"/>
        <v/>
      </c>
      <c r="M212" s="10" t="str">
        <f t="shared" si="20"/>
        <v/>
      </c>
      <c r="N212" s="6" t="str">
        <f t="shared" si="21"/>
        <v/>
      </c>
    </row>
    <row r="213" spans="1:14">
      <c r="A213" s="2"/>
      <c r="B213" s="2"/>
      <c r="C213" s="22" t="str">
        <f>IF(OR(A213="",B213=""),"",IFERROR(XLOOKUP(1,(Buy_History!$A$2:$A$501=A213)*(Buy_History!$B$2:$B$501=B213),Buy_History!$C$2:$C$501,""),""))</f>
        <v/>
      </c>
      <c r="D213" s="22" t="str">
        <f>IF(OR(A213="",B213=""),"",IFERROR(XLOOKUP(1,(Sell_History!$A$2:$A$501=A213)*(Sell_History!$B$2:$B$501=B213),Sell_History!$C$2:$C$501,""),""))</f>
        <v/>
      </c>
      <c r="E213" s="8" t="str">
        <f>IF(OR(A213="",B213=""),"",IFERROR(XLOOKUP(1,(Raw_Observations!$A$2:$A$1001=A213)*(Raw_Observations!$B$2:$B$1001=B213),Raw_Observations!$D$2:$D$1001,""),""))</f>
        <v/>
      </c>
      <c r="F213" s="8" t="str">
        <f>IF(OR(A213="",B213=""),"",IFERROR(XLOOKUP(1,(Order_History!$A$2:$A$501=A213)*(Order_History!$B$2:$B$501=B213),Order_History!$D$2:$D$501,""),""))</f>
        <v/>
      </c>
      <c r="G213" s="8" t="str">
        <f>IF(COUNTIFS(Pricing!$A:$A,A213,Pricing!$B:$B,B213)=0,"",SUMIFS(Pricing!$G:$G,Pricing!$A:$A,A213,Pricing!$B:$B,B213))</f>
        <v/>
      </c>
      <c r="H213" s="9" t="str">
        <f t="shared" si="17"/>
        <v/>
      </c>
      <c r="I213" s="3">
        <v>0</v>
      </c>
      <c r="J213" s="3">
        <v>0</v>
      </c>
      <c r="K213" s="9" t="str">
        <f t="shared" si="18"/>
        <v/>
      </c>
      <c r="L213" s="6" t="str">
        <f t="shared" si="19"/>
        <v/>
      </c>
      <c r="M213" s="10" t="str">
        <f t="shared" si="20"/>
        <v/>
      </c>
      <c r="N213" s="6" t="str">
        <f t="shared" si="21"/>
        <v/>
      </c>
    </row>
    <row r="214" spans="1:14">
      <c r="A214" s="2"/>
      <c r="B214" s="2"/>
      <c r="C214" s="22" t="str">
        <f>IF(OR(A214="",B214=""),"",IFERROR(XLOOKUP(1,(Buy_History!$A$2:$A$501=A214)*(Buy_History!$B$2:$B$501=B214),Buy_History!$C$2:$C$501,""),""))</f>
        <v/>
      </c>
      <c r="D214" s="22" t="str">
        <f>IF(OR(A214="",B214=""),"",IFERROR(XLOOKUP(1,(Sell_History!$A$2:$A$501=A214)*(Sell_History!$B$2:$B$501=B214),Sell_History!$C$2:$C$501,""),""))</f>
        <v/>
      </c>
      <c r="E214" s="8" t="str">
        <f>IF(OR(A214="",B214=""),"",IFERROR(XLOOKUP(1,(Raw_Observations!$A$2:$A$1001=A214)*(Raw_Observations!$B$2:$B$1001=B214),Raw_Observations!$D$2:$D$1001,""),""))</f>
        <v/>
      </c>
      <c r="F214" s="8" t="str">
        <f>IF(OR(A214="",B214=""),"",IFERROR(XLOOKUP(1,(Order_History!$A$2:$A$501=A214)*(Order_History!$B$2:$B$501=B214),Order_History!$D$2:$D$501,""),""))</f>
        <v/>
      </c>
      <c r="G214" s="8" t="str">
        <f>IF(COUNTIFS(Pricing!$A:$A,A214,Pricing!$B:$B,B214)=0,"",SUMIFS(Pricing!$G:$G,Pricing!$A:$A,A214,Pricing!$B:$B,B214))</f>
        <v/>
      </c>
      <c r="H214" s="9" t="str">
        <f t="shared" si="17"/>
        <v/>
      </c>
      <c r="I214" s="3">
        <v>0</v>
      </c>
      <c r="J214" s="3">
        <v>0</v>
      </c>
      <c r="K214" s="9" t="str">
        <f t="shared" si="18"/>
        <v/>
      </c>
      <c r="L214" s="6" t="str">
        <f t="shared" si="19"/>
        <v/>
      </c>
      <c r="M214" s="10" t="str">
        <f t="shared" si="20"/>
        <v/>
      </c>
      <c r="N214" s="6" t="str">
        <f t="shared" si="21"/>
        <v/>
      </c>
    </row>
    <row r="215" spans="1:14">
      <c r="A215" s="2"/>
      <c r="B215" s="2"/>
      <c r="C215" s="22" t="str">
        <f>IF(OR(A215="",B215=""),"",IFERROR(XLOOKUP(1,(Buy_History!$A$2:$A$501=A215)*(Buy_History!$B$2:$B$501=B215),Buy_History!$C$2:$C$501,""),""))</f>
        <v/>
      </c>
      <c r="D215" s="22" t="str">
        <f>IF(OR(A215="",B215=""),"",IFERROR(XLOOKUP(1,(Sell_History!$A$2:$A$501=A215)*(Sell_History!$B$2:$B$501=B215),Sell_History!$C$2:$C$501,""),""))</f>
        <v/>
      </c>
      <c r="E215" s="8" t="str">
        <f>IF(OR(A215="",B215=""),"",IFERROR(XLOOKUP(1,(Raw_Observations!$A$2:$A$1001=A215)*(Raw_Observations!$B$2:$B$1001=B215),Raw_Observations!$D$2:$D$1001,""),""))</f>
        <v/>
      </c>
      <c r="F215" s="8" t="str">
        <f>IF(OR(A215="",B215=""),"",IFERROR(XLOOKUP(1,(Order_History!$A$2:$A$501=A215)*(Order_History!$B$2:$B$501=B215),Order_History!$D$2:$D$501,""),""))</f>
        <v/>
      </c>
      <c r="G215" s="8" t="str">
        <f>IF(COUNTIFS(Pricing!$A:$A,A215,Pricing!$B:$B,B215)=0,"",SUMIFS(Pricing!$G:$G,Pricing!$A:$A,A215,Pricing!$B:$B,B215))</f>
        <v/>
      </c>
      <c r="H215" s="9" t="str">
        <f t="shared" si="17"/>
        <v/>
      </c>
      <c r="I215" s="3">
        <v>0</v>
      </c>
      <c r="J215" s="3">
        <v>0</v>
      </c>
      <c r="K215" s="9" t="str">
        <f t="shared" si="18"/>
        <v/>
      </c>
      <c r="L215" s="6" t="str">
        <f t="shared" si="19"/>
        <v/>
      </c>
      <c r="M215" s="10" t="str">
        <f t="shared" si="20"/>
        <v/>
      </c>
      <c r="N215" s="6" t="str">
        <f t="shared" si="21"/>
        <v/>
      </c>
    </row>
    <row r="216" spans="1:14">
      <c r="A216" s="2"/>
      <c r="B216" s="2"/>
      <c r="C216" s="22" t="str">
        <f>IF(OR(A216="",B216=""),"",IFERROR(XLOOKUP(1,(Buy_History!$A$2:$A$501=A216)*(Buy_History!$B$2:$B$501=B216),Buy_History!$C$2:$C$501,""),""))</f>
        <v/>
      </c>
      <c r="D216" s="22" t="str">
        <f>IF(OR(A216="",B216=""),"",IFERROR(XLOOKUP(1,(Sell_History!$A$2:$A$501=A216)*(Sell_History!$B$2:$B$501=B216),Sell_History!$C$2:$C$501,""),""))</f>
        <v/>
      </c>
      <c r="E216" s="8" t="str">
        <f>IF(OR(A216="",B216=""),"",IFERROR(XLOOKUP(1,(Raw_Observations!$A$2:$A$1001=A216)*(Raw_Observations!$B$2:$B$1001=B216),Raw_Observations!$D$2:$D$1001,""),""))</f>
        <v/>
      </c>
      <c r="F216" s="8" t="str">
        <f>IF(OR(A216="",B216=""),"",IFERROR(XLOOKUP(1,(Order_History!$A$2:$A$501=A216)*(Order_History!$B$2:$B$501=B216),Order_History!$D$2:$D$501,""),""))</f>
        <v/>
      </c>
      <c r="G216" s="8" t="str">
        <f>IF(COUNTIFS(Pricing!$A:$A,A216,Pricing!$B:$B,B216)=0,"",SUMIFS(Pricing!$G:$G,Pricing!$A:$A,A216,Pricing!$B:$B,B216))</f>
        <v/>
      </c>
      <c r="H216" s="9" t="str">
        <f t="shared" si="17"/>
        <v/>
      </c>
      <c r="I216" s="3">
        <v>0</v>
      </c>
      <c r="J216" s="3">
        <v>0</v>
      </c>
      <c r="K216" s="9" t="str">
        <f t="shared" si="18"/>
        <v/>
      </c>
      <c r="L216" s="6" t="str">
        <f t="shared" si="19"/>
        <v/>
      </c>
      <c r="M216" s="10" t="str">
        <f t="shared" si="20"/>
        <v/>
      </c>
      <c r="N216" s="6" t="str">
        <f t="shared" si="21"/>
        <v/>
      </c>
    </row>
    <row r="217" spans="1:14">
      <c r="A217" s="2"/>
      <c r="B217" s="2"/>
      <c r="C217" s="22" t="str">
        <f>IF(OR(A217="",B217=""),"",IFERROR(XLOOKUP(1,(Buy_History!$A$2:$A$501=A217)*(Buy_History!$B$2:$B$501=B217),Buy_History!$C$2:$C$501,""),""))</f>
        <v/>
      </c>
      <c r="D217" s="22" t="str">
        <f>IF(OR(A217="",B217=""),"",IFERROR(XLOOKUP(1,(Sell_History!$A$2:$A$501=A217)*(Sell_History!$B$2:$B$501=B217),Sell_History!$C$2:$C$501,""),""))</f>
        <v/>
      </c>
      <c r="E217" s="8" t="str">
        <f>IF(OR(A217="",B217=""),"",IFERROR(XLOOKUP(1,(Raw_Observations!$A$2:$A$1001=A217)*(Raw_Observations!$B$2:$B$1001=B217),Raw_Observations!$D$2:$D$1001,""),""))</f>
        <v/>
      </c>
      <c r="F217" s="8" t="str">
        <f>IF(OR(A217="",B217=""),"",IFERROR(XLOOKUP(1,(Order_History!$A$2:$A$501=A217)*(Order_History!$B$2:$B$501=B217),Order_History!$D$2:$D$501,""),""))</f>
        <v/>
      </c>
      <c r="G217" s="8" t="str">
        <f>IF(COUNTIFS(Pricing!$A:$A,A217,Pricing!$B:$B,B217)=0,"",SUMIFS(Pricing!$G:$G,Pricing!$A:$A,A217,Pricing!$B:$B,B217))</f>
        <v/>
      </c>
      <c r="H217" s="9" t="str">
        <f t="shared" si="17"/>
        <v/>
      </c>
      <c r="I217" s="3">
        <v>0</v>
      </c>
      <c r="J217" s="3">
        <v>0</v>
      </c>
      <c r="K217" s="9" t="str">
        <f t="shared" si="18"/>
        <v/>
      </c>
      <c r="L217" s="6" t="str">
        <f t="shared" si="19"/>
        <v/>
      </c>
      <c r="M217" s="10" t="str">
        <f t="shared" si="20"/>
        <v/>
      </c>
      <c r="N217" s="6" t="str">
        <f t="shared" si="21"/>
        <v/>
      </c>
    </row>
    <row r="218" spans="1:14">
      <c r="A218" s="2"/>
      <c r="B218" s="2"/>
      <c r="C218" s="22" t="str">
        <f>IF(OR(A218="",B218=""),"",IFERROR(XLOOKUP(1,(Buy_History!$A$2:$A$501=A218)*(Buy_History!$B$2:$B$501=B218),Buy_History!$C$2:$C$501,""),""))</f>
        <v/>
      </c>
      <c r="D218" s="22" t="str">
        <f>IF(OR(A218="",B218=""),"",IFERROR(XLOOKUP(1,(Sell_History!$A$2:$A$501=A218)*(Sell_History!$B$2:$B$501=B218),Sell_History!$C$2:$C$501,""),""))</f>
        <v/>
      </c>
      <c r="E218" s="8" t="str">
        <f>IF(OR(A218="",B218=""),"",IFERROR(XLOOKUP(1,(Raw_Observations!$A$2:$A$1001=A218)*(Raw_Observations!$B$2:$B$1001=B218),Raw_Observations!$D$2:$D$1001,""),""))</f>
        <v/>
      </c>
      <c r="F218" s="8" t="str">
        <f>IF(OR(A218="",B218=""),"",IFERROR(XLOOKUP(1,(Order_History!$A$2:$A$501=A218)*(Order_History!$B$2:$B$501=B218),Order_History!$D$2:$D$501,""),""))</f>
        <v/>
      </c>
      <c r="G218" s="8" t="str">
        <f>IF(COUNTIFS(Pricing!$A:$A,A218,Pricing!$B:$B,B218)=0,"",SUMIFS(Pricing!$G:$G,Pricing!$A:$A,A218,Pricing!$B:$B,B218))</f>
        <v/>
      </c>
      <c r="H218" s="9" t="str">
        <f t="shared" si="17"/>
        <v/>
      </c>
      <c r="I218" s="3">
        <v>0</v>
      </c>
      <c r="J218" s="3">
        <v>0</v>
      </c>
      <c r="K218" s="9" t="str">
        <f t="shared" si="18"/>
        <v/>
      </c>
      <c r="L218" s="6" t="str">
        <f t="shared" si="19"/>
        <v/>
      </c>
      <c r="M218" s="10" t="str">
        <f t="shared" si="20"/>
        <v/>
      </c>
      <c r="N218" s="6" t="str">
        <f t="shared" si="21"/>
        <v/>
      </c>
    </row>
    <row r="219" spans="1:14">
      <c r="A219" s="2"/>
      <c r="B219" s="2"/>
      <c r="C219" s="22" t="str">
        <f>IF(OR(A219="",B219=""),"",IFERROR(XLOOKUP(1,(Buy_History!$A$2:$A$501=A219)*(Buy_History!$B$2:$B$501=B219),Buy_History!$C$2:$C$501,""),""))</f>
        <v/>
      </c>
      <c r="D219" s="22" t="str">
        <f>IF(OR(A219="",B219=""),"",IFERROR(XLOOKUP(1,(Sell_History!$A$2:$A$501=A219)*(Sell_History!$B$2:$B$501=B219),Sell_History!$C$2:$C$501,""),""))</f>
        <v/>
      </c>
      <c r="E219" s="8" t="str">
        <f>IF(OR(A219="",B219=""),"",IFERROR(XLOOKUP(1,(Raw_Observations!$A$2:$A$1001=A219)*(Raw_Observations!$B$2:$B$1001=B219),Raw_Observations!$D$2:$D$1001,""),""))</f>
        <v/>
      </c>
      <c r="F219" s="8" t="str">
        <f>IF(OR(A219="",B219=""),"",IFERROR(XLOOKUP(1,(Order_History!$A$2:$A$501=A219)*(Order_History!$B$2:$B$501=B219),Order_History!$D$2:$D$501,""),""))</f>
        <v/>
      </c>
      <c r="G219" s="8" t="str">
        <f>IF(COUNTIFS(Pricing!$A:$A,A219,Pricing!$B:$B,B219)=0,"",SUMIFS(Pricing!$G:$G,Pricing!$A:$A,A219,Pricing!$B:$B,B219))</f>
        <v/>
      </c>
      <c r="H219" s="9" t="str">
        <f t="shared" si="17"/>
        <v/>
      </c>
      <c r="I219" s="3">
        <v>0</v>
      </c>
      <c r="J219" s="3">
        <v>0</v>
      </c>
      <c r="K219" s="9" t="str">
        <f t="shared" si="18"/>
        <v/>
      </c>
      <c r="L219" s="6" t="str">
        <f t="shared" si="19"/>
        <v/>
      </c>
      <c r="M219" s="10" t="str">
        <f t="shared" si="20"/>
        <v/>
      </c>
      <c r="N219" s="6" t="str">
        <f t="shared" si="21"/>
        <v/>
      </c>
    </row>
    <row r="220" spans="1:14">
      <c r="A220" s="2"/>
      <c r="B220" s="2"/>
      <c r="C220" s="22" t="str">
        <f>IF(OR(A220="",B220=""),"",IFERROR(XLOOKUP(1,(Buy_History!$A$2:$A$501=A220)*(Buy_History!$B$2:$B$501=B220),Buy_History!$C$2:$C$501,""),""))</f>
        <v/>
      </c>
      <c r="D220" s="22" t="str">
        <f>IF(OR(A220="",B220=""),"",IFERROR(XLOOKUP(1,(Sell_History!$A$2:$A$501=A220)*(Sell_History!$B$2:$B$501=B220),Sell_History!$C$2:$C$501,""),""))</f>
        <v/>
      </c>
      <c r="E220" s="8" t="str">
        <f>IF(OR(A220="",B220=""),"",IFERROR(XLOOKUP(1,(Raw_Observations!$A$2:$A$1001=A220)*(Raw_Observations!$B$2:$B$1001=B220),Raw_Observations!$D$2:$D$1001,""),""))</f>
        <v/>
      </c>
      <c r="F220" s="8" t="str">
        <f>IF(OR(A220="",B220=""),"",IFERROR(XLOOKUP(1,(Order_History!$A$2:$A$501=A220)*(Order_History!$B$2:$B$501=B220),Order_History!$D$2:$D$501,""),""))</f>
        <v/>
      </c>
      <c r="G220" s="8" t="str">
        <f>IF(COUNTIFS(Pricing!$A:$A,A220,Pricing!$B:$B,B220)=0,"",SUMIFS(Pricing!$G:$G,Pricing!$A:$A,A220,Pricing!$B:$B,B220))</f>
        <v/>
      </c>
      <c r="H220" s="9" t="str">
        <f t="shared" si="17"/>
        <v/>
      </c>
      <c r="I220" s="3">
        <v>0</v>
      </c>
      <c r="J220" s="3">
        <v>0</v>
      </c>
      <c r="K220" s="9" t="str">
        <f t="shared" si="18"/>
        <v/>
      </c>
      <c r="L220" s="6" t="str">
        <f t="shared" si="19"/>
        <v/>
      </c>
      <c r="M220" s="10" t="str">
        <f t="shared" si="20"/>
        <v/>
      </c>
      <c r="N220" s="6" t="str">
        <f t="shared" si="21"/>
        <v/>
      </c>
    </row>
    <row r="221" spans="1:14">
      <c r="A221" s="2"/>
      <c r="B221" s="2"/>
      <c r="C221" s="22" t="str">
        <f>IF(OR(A221="",B221=""),"",IFERROR(XLOOKUP(1,(Buy_History!$A$2:$A$501=A221)*(Buy_History!$B$2:$B$501=B221),Buy_History!$C$2:$C$501,""),""))</f>
        <v/>
      </c>
      <c r="D221" s="22" t="str">
        <f>IF(OR(A221="",B221=""),"",IFERROR(XLOOKUP(1,(Sell_History!$A$2:$A$501=A221)*(Sell_History!$B$2:$B$501=B221),Sell_History!$C$2:$C$501,""),""))</f>
        <v/>
      </c>
      <c r="E221" s="8" t="str">
        <f>IF(OR(A221="",B221=""),"",IFERROR(XLOOKUP(1,(Raw_Observations!$A$2:$A$1001=A221)*(Raw_Observations!$B$2:$B$1001=B221),Raw_Observations!$D$2:$D$1001,""),""))</f>
        <v/>
      </c>
      <c r="F221" s="8" t="str">
        <f>IF(OR(A221="",B221=""),"",IFERROR(XLOOKUP(1,(Order_History!$A$2:$A$501=A221)*(Order_History!$B$2:$B$501=B221),Order_History!$D$2:$D$501,""),""))</f>
        <v/>
      </c>
      <c r="G221" s="8" t="str">
        <f>IF(COUNTIFS(Pricing!$A:$A,A221,Pricing!$B:$B,B221)=0,"",SUMIFS(Pricing!$G:$G,Pricing!$A:$A,A221,Pricing!$B:$B,B221))</f>
        <v/>
      </c>
      <c r="H221" s="9" t="str">
        <f t="shared" si="17"/>
        <v/>
      </c>
      <c r="I221" s="3">
        <v>0</v>
      </c>
      <c r="J221" s="3">
        <v>0</v>
      </c>
      <c r="K221" s="9" t="str">
        <f t="shared" si="18"/>
        <v/>
      </c>
      <c r="L221" s="6" t="str">
        <f t="shared" si="19"/>
        <v/>
      </c>
      <c r="M221" s="10" t="str">
        <f t="shared" si="20"/>
        <v/>
      </c>
      <c r="N221" s="6" t="str">
        <f t="shared" si="21"/>
        <v/>
      </c>
    </row>
    <row r="222" spans="1:14">
      <c r="A222" s="2"/>
      <c r="B222" s="2"/>
      <c r="C222" s="22" t="str">
        <f>IF(OR(A222="",B222=""),"",IFERROR(XLOOKUP(1,(Buy_History!$A$2:$A$501=A222)*(Buy_History!$B$2:$B$501=B222),Buy_History!$C$2:$C$501,""),""))</f>
        <v/>
      </c>
      <c r="D222" s="22" t="str">
        <f>IF(OR(A222="",B222=""),"",IFERROR(XLOOKUP(1,(Sell_History!$A$2:$A$501=A222)*(Sell_History!$B$2:$B$501=B222),Sell_History!$C$2:$C$501,""),""))</f>
        <v/>
      </c>
      <c r="E222" s="8" t="str">
        <f>IF(OR(A222="",B222=""),"",IFERROR(XLOOKUP(1,(Raw_Observations!$A$2:$A$1001=A222)*(Raw_Observations!$B$2:$B$1001=B222),Raw_Observations!$D$2:$D$1001,""),""))</f>
        <v/>
      </c>
      <c r="F222" s="8" t="str">
        <f>IF(OR(A222="",B222=""),"",IFERROR(XLOOKUP(1,(Order_History!$A$2:$A$501=A222)*(Order_History!$B$2:$B$501=B222),Order_History!$D$2:$D$501,""),""))</f>
        <v/>
      </c>
      <c r="G222" s="8" t="str">
        <f>IF(COUNTIFS(Pricing!$A:$A,A222,Pricing!$B:$B,B222)=0,"",SUMIFS(Pricing!$G:$G,Pricing!$A:$A,A222,Pricing!$B:$B,B222))</f>
        <v/>
      </c>
      <c r="H222" s="9" t="str">
        <f t="shared" si="17"/>
        <v/>
      </c>
      <c r="I222" s="3">
        <v>0</v>
      </c>
      <c r="J222" s="3">
        <v>0</v>
      </c>
      <c r="K222" s="9" t="str">
        <f t="shared" si="18"/>
        <v/>
      </c>
      <c r="L222" s="6" t="str">
        <f t="shared" si="19"/>
        <v/>
      </c>
      <c r="M222" s="10" t="str">
        <f t="shared" si="20"/>
        <v/>
      </c>
      <c r="N222" s="6" t="str">
        <f t="shared" si="21"/>
        <v/>
      </c>
    </row>
    <row r="223" spans="1:14">
      <c r="A223" s="2"/>
      <c r="B223" s="2"/>
      <c r="C223" s="22" t="str">
        <f>IF(OR(A223="",B223=""),"",IFERROR(XLOOKUP(1,(Buy_History!$A$2:$A$501=A223)*(Buy_History!$B$2:$B$501=B223),Buy_History!$C$2:$C$501,""),""))</f>
        <v/>
      </c>
      <c r="D223" s="22" t="str">
        <f>IF(OR(A223="",B223=""),"",IFERROR(XLOOKUP(1,(Sell_History!$A$2:$A$501=A223)*(Sell_History!$B$2:$B$501=B223),Sell_History!$C$2:$C$501,""),""))</f>
        <v/>
      </c>
      <c r="E223" s="8" t="str">
        <f>IF(OR(A223="",B223=""),"",IFERROR(XLOOKUP(1,(Raw_Observations!$A$2:$A$1001=A223)*(Raw_Observations!$B$2:$B$1001=B223),Raw_Observations!$D$2:$D$1001,""),""))</f>
        <v/>
      </c>
      <c r="F223" s="8" t="str">
        <f>IF(OR(A223="",B223=""),"",IFERROR(XLOOKUP(1,(Order_History!$A$2:$A$501=A223)*(Order_History!$B$2:$B$501=B223),Order_History!$D$2:$D$501,""),""))</f>
        <v/>
      </c>
      <c r="G223" s="8" t="str">
        <f>IF(COUNTIFS(Pricing!$A:$A,A223,Pricing!$B:$B,B223)=0,"",SUMIFS(Pricing!$G:$G,Pricing!$A:$A,A223,Pricing!$B:$B,B223))</f>
        <v/>
      </c>
      <c r="H223" s="9" t="str">
        <f t="shared" si="17"/>
        <v/>
      </c>
      <c r="I223" s="3">
        <v>0</v>
      </c>
      <c r="J223" s="3">
        <v>0</v>
      </c>
      <c r="K223" s="9" t="str">
        <f t="shared" si="18"/>
        <v/>
      </c>
      <c r="L223" s="6" t="str">
        <f t="shared" si="19"/>
        <v/>
      </c>
      <c r="M223" s="10" t="str">
        <f t="shared" si="20"/>
        <v/>
      </c>
      <c r="N223" s="6" t="str">
        <f t="shared" si="21"/>
        <v/>
      </c>
    </row>
    <row r="224" spans="1:14">
      <c r="A224" s="2"/>
      <c r="B224" s="2"/>
      <c r="C224" s="22" t="str">
        <f>IF(OR(A224="",B224=""),"",IFERROR(XLOOKUP(1,(Buy_History!$A$2:$A$501=A224)*(Buy_History!$B$2:$B$501=B224),Buy_History!$C$2:$C$501,""),""))</f>
        <v/>
      </c>
      <c r="D224" s="22" t="str">
        <f>IF(OR(A224="",B224=""),"",IFERROR(XLOOKUP(1,(Sell_History!$A$2:$A$501=A224)*(Sell_History!$B$2:$B$501=B224),Sell_History!$C$2:$C$501,""),""))</f>
        <v/>
      </c>
      <c r="E224" s="8" t="str">
        <f>IF(OR(A224="",B224=""),"",IFERROR(XLOOKUP(1,(Raw_Observations!$A$2:$A$1001=A224)*(Raw_Observations!$B$2:$B$1001=B224),Raw_Observations!$D$2:$D$1001,""),""))</f>
        <v/>
      </c>
      <c r="F224" s="8" t="str">
        <f>IF(OR(A224="",B224=""),"",IFERROR(XLOOKUP(1,(Order_History!$A$2:$A$501=A224)*(Order_History!$B$2:$B$501=B224),Order_History!$D$2:$D$501,""),""))</f>
        <v/>
      </c>
      <c r="G224" s="8" t="str">
        <f>IF(COUNTIFS(Pricing!$A:$A,A224,Pricing!$B:$B,B224)=0,"",SUMIFS(Pricing!$G:$G,Pricing!$A:$A,A224,Pricing!$B:$B,B224))</f>
        <v/>
      </c>
      <c r="H224" s="9" t="str">
        <f t="shared" si="17"/>
        <v/>
      </c>
      <c r="I224" s="3">
        <v>0</v>
      </c>
      <c r="J224" s="3">
        <v>0</v>
      </c>
      <c r="K224" s="9" t="str">
        <f t="shared" si="18"/>
        <v/>
      </c>
      <c r="L224" s="6" t="str">
        <f t="shared" si="19"/>
        <v/>
      </c>
      <c r="M224" s="10" t="str">
        <f t="shared" si="20"/>
        <v/>
      </c>
      <c r="N224" s="6" t="str">
        <f t="shared" si="21"/>
        <v/>
      </c>
    </row>
    <row r="225" spans="1:14">
      <c r="A225" s="2"/>
      <c r="B225" s="2"/>
      <c r="C225" s="22" t="str">
        <f>IF(OR(A225="",B225=""),"",IFERROR(XLOOKUP(1,(Buy_History!$A$2:$A$501=A225)*(Buy_History!$B$2:$B$501=B225),Buy_History!$C$2:$C$501,""),""))</f>
        <v/>
      </c>
      <c r="D225" s="22" t="str">
        <f>IF(OR(A225="",B225=""),"",IFERROR(XLOOKUP(1,(Sell_History!$A$2:$A$501=A225)*(Sell_History!$B$2:$B$501=B225),Sell_History!$C$2:$C$501,""),""))</f>
        <v/>
      </c>
      <c r="E225" s="8" t="str">
        <f>IF(OR(A225="",B225=""),"",IFERROR(XLOOKUP(1,(Raw_Observations!$A$2:$A$1001=A225)*(Raw_Observations!$B$2:$B$1001=B225),Raw_Observations!$D$2:$D$1001,""),""))</f>
        <v/>
      </c>
      <c r="F225" s="8" t="str">
        <f>IF(OR(A225="",B225=""),"",IFERROR(XLOOKUP(1,(Order_History!$A$2:$A$501=A225)*(Order_History!$B$2:$B$501=B225),Order_History!$D$2:$D$501,""),""))</f>
        <v/>
      </c>
      <c r="G225" s="8" t="str">
        <f>IF(COUNTIFS(Pricing!$A:$A,A225,Pricing!$B:$B,B225)=0,"",SUMIFS(Pricing!$G:$G,Pricing!$A:$A,A225,Pricing!$B:$B,B225))</f>
        <v/>
      </c>
      <c r="H225" s="9" t="str">
        <f t="shared" si="17"/>
        <v/>
      </c>
      <c r="I225" s="3">
        <v>0</v>
      </c>
      <c r="J225" s="3">
        <v>0</v>
      </c>
      <c r="K225" s="9" t="str">
        <f t="shared" si="18"/>
        <v/>
      </c>
      <c r="L225" s="6" t="str">
        <f t="shared" si="19"/>
        <v/>
      </c>
      <c r="M225" s="10" t="str">
        <f t="shared" si="20"/>
        <v/>
      </c>
      <c r="N225" s="6" t="str">
        <f t="shared" si="21"/>
        <v/>
      </c>
    </row>
    <row r="226" spans="1:14">
      <c r="A226" s="2"/>
      <c r="B226" s="2"/>
      <c r="C226" s="22" t="str">
        <f>IF(OR(A226="",B226=""),"",IFERROR(XLOOKUP(1,(Buy_History!$A$2:$A$501=A226)*(Buy_History!$B$2:$B$501=B226),Buy_History!$C$2:$C$501,""),""))</f>
        <v/>
      </c>
      <c r="D226" s="22" t="str">
        <f>IF(OR(A226="",B226=""),"",IFERROR(XLOOKUP(1,(Sell_History!$A$2:$A$501=A226)*(Sell_History!$B$2:$B$501=B226),Sell_History!$C$2:$C$501,""),""))</f>
        <v/>
      </c>
      <c r="E226" s="8" t="str">
        <f>IF(OR(A226="",B226=""),"",IFERROR(XLOOKUP(1,(Raw_Observations!$A$2:$A$1001=A226)*(Raw_Observations!$B$2:$B$1001=B226),Raw_Observations!$D$2:$D$1001,""),""))</f>
        <v/>
      </c>
      <c r="F226" s="8" t="str">
        <f>IF(OR(A226="",B226=""),"",IFERROR(XLOOKUP(1,(Order_History!$A$2:$A$501=A226)*(Order_History!$B$2:$B$501=B226),Order_History!$D$2:$D$501,""),""))</f>
        <v/>
      </c>
      <c r="G226" s="8" t="str">
        <f>IF(COUNTIFS(Pricing!$A:$A,A226,Pricing!$B:$B,B226)=0,"",SUMIFS(Pricing!$G:$G,Pricing!$A:$A,A226,Pricing!$B:$B,B226))</f>
        <v/>
      </c>
      <c r="H226" s="9" t="str">
        <f t="shared" si="17"/>
        <v/>
      </c>
      <c r="I226" s="3">
        <v>0</v>
      </c>
      <c r="J226" s="3">
        <v>0</v>
      </c>
      <c r="K226" s="9" t="str">
        <f t="shared" si="18"/>
        <v/>
      </c>
      <c r="L226" s="6" t="str">
        <f t="shared" si="19"/>
        <v/>
      </c>
      <c r="M226" s="10" t="str">
        <f t="shared" si="20"/>
        <v/>
      </c>
      <c r="N226" s="6" t="str">
        <f t="shared" si="21"/>
        <v/>
      </c>
    </row>
    <row r="227" spans="1:14">
      <c r="A227" s="2"/>
      <c r="B227" s="2"/>
      <c r="C227" s="22" t="str">
        <f>IF(OR(A227="",B227=""),"",IFERROR(XLOOKUP(1,(Buy_History!$A$2:$A$501=A227)*(Buy_History!$B$2:$B$501=B227),Buy_History!$C$2:$C$501,""),""))</f>
        <v/>
      </c>
      <c r="D227" s="22" t="str">
        <f>IF(OR(A227="",B227=""),"",IFERROR(XLOOKUP(1,(Sell_History!$A$2:$A$501=A227)*(Sell_History!$B$2:$B$501=B227),Sell_History!$C$2:$C$501,""),""))</f>
        <v/>
      </c>
      <c r="E227" s="8" t="str">
        <f>IF(OR(A227="",B227=""),"",IFERROR(XLOOKUP(1,(Raw_Observations!$A$2:$A$1001=A227)*(Raw_Observations!$B$2:$B$1001=B227),Raw_Observations!$D$2:$D$1001,""),""))</f>
        <v/>
      </c>
      <c r="F227" s="8" t="str">
        <f>IF(OR(A227="",B227=""),"",IFERROR(XLOOKUP(1,(Order_History!$A$2:$A$501=A227)*(Order_History!$B$2:$B$501=B227),Order_History!$D$2:$D$501,""),""))</f>
        <v/>
      </c>
      <c r="G227" s="8" t="str">
        <f>IF(COUNTIFS(Pricing!$A:$A,A227,Pricing!$B:$B,B227)=0,"",SUMIFS(Pricing!$G:$G,Pricing!$A:$A,A227,Pricing!$B:$B,B227))</f>
        <v/>
      </c>
      <c r="H227" s="9" t="str">
        <f t="shared" si="17"/>
        <v/>
      </c>
      <c r="I227" s="3">
        <v>0</v>
      </c>
      <c r="J227" s="3">
        <v>0</v>
      </c>
      <c r="K227" s="9" t="str">
        <f t="shared" si="18"/>
        <v/>
      </c>
      <c r="L227" s="6" t="str">
        <f t="shared" si="19"/>
        <v/>
      </c>
      <c r="M227" s="10" t="str">
        <f t="shared" si="20"/>
        <v/>
      </c>
      <c r="N227" s="6" t="str">
        <f t="shared" si="21"/>
        <v/>
      </c>
    </row>
    <row r="228" spans="1:14">
      <c r="A228" s="2"/>
      <c r="B228" s="2"/>
      <c r="C228" s="22" t="str">
        <f>IF(OR(A228="",B228=""),"",IFERROR(XLOOKUP(1,(Buy_History!$A$2:$A$501=A228)*(Buy_History!$B$2:$B$501=B228),Buy_History!$C$2:$C$501,""),""))</f>
        <v/>
      </c>
      <c r="D228" s="22" t="str">
        <f>IF(OR(A228="",B228=""),"",IFERROR(XLOOKUP(1,(Sell_History!$A$2:$A$501=A228)*(Sell_History!$B$2:$B$501=B228),Sell_History!$C$2:$C$501,""),""))</f>
        <v/>
      </c>
      <c r="E228" s="8" t="str">
        <f>IF(OR(A228="",B228=""),"",IFERROR(XLOOKUP(1,(Raw_Observations!$A$2:$A$1001=A228)*(Raw_Observations!$B$2:$B$1001=B228),Raw_Observations!$D$2:$D$1001,""),""))</f>
        <v/>
      </c>
      <c r="F228" s="8" t="str">
        <f>IF(OR(A228="",B228=""),"",IFERROR(XLOOKUP(1,(Order_History!$A$2:$A$501=A228)*(Order_History!$B$2:$B$501=B228),Order_History!$D$2:$D$501,""),""))</f>
        <v/>
      </c>
      <c r="G228" s="8" t="str">
        <f>IF(COUNTIFS(Pricing!$A:$A,A228,Pricing!$B:$B,B228)=0,"",SUMIFS(Pricing!$G:$G,Pricing!$A:$A,A228,Pricing!$B:$B,B228))</f>
        <v/>
      </c>
      <c r="H228" s="9" t="str">
        <f t="shared" si="17"/>
        <v/>
      </c>
      <c r="I228" s="3">
        <v>0</v>
      </c>
      <c r="J228" s="3">
        <v>0</v>
      </c>
      <c r="K228" s="9" t="str">
        <f t="shared" si="18"/>
        <v/>
      </c>
      <c r="L228" s="6" t="str">
        <f t="shared" si="19"/>
        <v/>
      </c>
      <c r="M228" s="10" t="str">
        <f t="shared" si="20"/>
        <v/>
      </c>
      <c r="N228" s="6" t="str">
        <f t="shared" si="21"/>
        <v/>
      </c>
    </row>
    <row r="229" spans="1:14">
      <c r="A229" s="2"/>
      <c r="B229" s="2"/>
      <c r="C229" s="22" t="str">
        <f>IF(OR(A229="",B229=""),"",IFERROR(XLOOKUP(1,(Buy_History!$A$2:$A$501=A229)*(Buy_History!$B$2:$B$501=B229),Buy_History!$C$2:$C$501,""),""))</f>
        <v/>
      </c>
      <c r="D229" s="22" t="str">
        <f>IF(OR(A229="",B229=""),"",IFERROR(XLOOKUP(1,(Sell_History!$A$2:$A$501=A229)*(Sell_History!$B$2:$B$501=B229),Sell_History!$C$2:$C$501,""),""))</f>
        <v/>
      </c>
      <c r="E229" s="8" t="str">
        <f>IF(OR(A229="",B229=""),"",IFERROR(XLOOKUP(1,(Raw_Observations!$A$2:$A$1001=A229)*(Raw_Observations!$B$2:$B$1001=B229),Raw_Observations!$D$2:$D$1001,""),""))</f>
        <v/>
      </c>
      <c r="F229" s="8" t="str">
        <f>IF(OR(A229="",B229=""),"",IFERROR(XLOOKUP(1,(Order_History!$A$2:$A$501=A229)*(Order_History!$B$2:$B$501=B229),Order_History!$D$2:$D$501,""),""))</f>
        <v/>
      </c>
      <c r="G229" s="8" t="str">
        <f>IF(COUNTIFS(Pricing!$A:$A,A229,Pricing!$B:$B,B229)=0,"",SUMIFS(Pricing!$G:$G,Pricing!$A:$A,A229,Pricing!$B:$B,B229))</f>
        <v/>
      </c>
      <c r="H229" s="9" t="str">
        <f t="shared" si="17"/>
        <v/>
      </c>
      <c r="I229" s="3">
        <v>0</v>
      </c>
      <c r="J229" s="3">
        <v>0</v>
      </c>
      <c r="K229" s="9" t="str">
        <f t="shared" si="18"/>
        <v/>
      </c>
      <c r="L229" s="6" t="str">
        <f t="shared" si="19"/>
        <v/>
      </c>
      <c r="M229" s="10" t="str">
        <f t="shared" si="20"/>
        <v/>
      </c>
      <c r="N229" s="6" t="str">
        <f t="shared" si="21"/>
        <v/>
      </c>
    </row>
    <row r="230" spans="1:14">
      <c r="A230" s="2"/>
      <c r="B230" s="2"/>
      <c r="C230" s="22" t="str">
        <f>IF(OR(A230="",B230=""),"",IFERROR(XLOOKUP(1,(Buy_History!$A$2:$A$501=A230)*(Buy_History!$B$2:$B$501=B230),Buy_History!$C$2:$C$501,""),""))</f>
        <v/>
      </c>
      <c r="D230" s="22" t="str">
        <f>IF(OR(A230="",B230=""),"",IFERROR(XLOOKUP(1,(Sell_History!$A$2:$A$501=A230)*(Sell_History!$B$2:$B$501=B230),Sell_History!$C$2:$C$501,""),""))</f>
        <v/>
      </c>
      <c r="E230" s="8" t="str">
        <f>IF(OR(A230="",B230=""),"",IFERROR(XLOOKUP(1,(Raw_Observations!$A$2:$A$1001=A230)*(Raw_Observations!$B$2:$B$1001=B230),Raw_Observations!$D$2:$D$1001,""),""))</f>
        <v/>
      </c>
      <c r="F230" s="8" t="str">
        <f>IF(OR(A230="",B230=""),"",IFERROR(XLOOKUP(1,(Order_History!$A$2:$A$501=A230)*(Order_History!$B$2:$B$501=B230),Order_History!$D$2:$D$501,""),""))</f>
        <v/>
      </c>
      <c r="G230" s="8" t="str">
        <f>IF(COUNTIFS(Pricing!$A:$A,A230,Pricing!$B:$B,B230)=0,"",SUMIFS(Pricing!$G:$G,Pricing!$A:$A,A230,Pricing!$B:$B,B230))</f>
        <v/>
      </c>
      <c r="H230" s="9" t="str">
        <f t="shared" si="17"/>
        <v/>
      </c>
      <c r="I230" s="3">
        <v>0</v>
      </c>
      <c r="J230" s="3">
        <v>0</v>
      </c>
      <c r="K230" s="9" t="str">
        <f t="shared" si="18"/>
        <v/>
      </c>
      <c r="L230" s="6" t="str">
        <f t="shared" si="19"/>
        <v/>
      </c>
      <c r="M230" s="10" t="str">
        <f t="shared" si="20"/>
        <v/>
      </c>
      <c r="N230" s="6" t="str">
        <f t="shared" si="21"/>
        <v/>
      </c>
    </row>
    <row r="231" spans="1:14">
      <c r="A231" s="2"/>
      <c r="B231" s="2"/>
      <c r="C231" s="22" t="str">
        <f>IF(OR(A231="",B231=""),"",IFERROR(XLOOKUP(1,(Buy_History!$A$2:$A$501=A231)*(Buy_History!$B$2:$B$501=B231),Buy_History!$C$2:$C$501,""),""))</f>
        <v/>
      </c>
      <c r="D231" s="22" t="str">
        <f>IF(OR(A231="",B231=""),"",IFERROR(XLOOKUP(1,(Sell_History!$A$2:$A$501=A231)*(Sell_History!$B$2:$B$501=B231),Sell_History!$C$2:$C$501,""),""))</f>
        <v/>
      </c>
      <c r="E231" s="8" t="str">
        <f>IF(OR(A231="",B231=""),"",IFERROR(XLOOKUP(1,(Raw_Observations!$A$2:$A$1001=A231)*(Raw_Observations!$B$2:$B$1001=B231),Raw_Observations!$D$2:$D$1001,""),""))</f>
        <v/>
      </c>
      <c r="F231" s="8" t="str">
        <f>IF(OR(A231="",B231=""),"",IFERROR(XLOOKUP(1,(Order_History!$A$2:$A$501=A231)*(Order_History!$B$2:$B$501=B231),Order_History!$D$2:$D$501,""),""))</f>
        <v/>
      </c>
      <c r="G231" s="8" t="str">
        <f>IF(COUNTIFS(Pricing!$A:$A,A231,Pricing!$B:$B,B231)=0,"",SUMIFS(Pricing!$G:$G,Pricing!$A:$A,A231,Pricing!$B:$B,B231))</f>
        <v/>
      </c>
      <c r="H231" s="9" t="str">
        <f t="shared" si="17"/>
        <v/>
      </c>
      <c r="I231" s="3">
        <v>0</v>
      </c>
      <c r="J231" s="3">
        <v>0</v>
      </c>
      <c r="K231" s="9" t="str">
        <f t="shared" si="18"/>
        <v/>
      </c>
      <c r="L231" s="6" t="str">
        <f t="shared" si="19"/>
        <v/>
      </c>
      <c r="M231" s="10" t="str">
        <f t="shared" si="20"/>
        <v/>
      </c>
      <c r="N231" s="6" t="str">
        <f t="shared" si="21"/>
        <v/>
      </c>
    </row>
    <row r="232" spans="1:14">
      <c r="A232" s="2"/>
      <c r="B232" s="2"/>
      <c r="C232" s="22" t="str">
        <f>IF(OR(A232="",B232=""),"",IFERROR(XLOOKUP(1,(Buy_History!$A$2:$A$501=A232)*(Buy_History!$B$2:$B$501=B232),Buy_History!$C$2:$C$501,""),""))</f>
        <v/>
      </c>
      <c r="D232" s="22" t="str">
        <f>IF(OR(A232="",B232=""),"",IFERROR(XLOOKUP(1,(Sell_History!$A$2:$A$501=A232)*(Sell_History!$B$2:$B$501=B232),Sell_History!$C$2:$C$501,""),""))</f>
        <v/>
      </c>
      <c r="E232" s="8" t="str">
        <f>IF(OR(A232="",B232=""),"",IFERROR(XLOOKUP(1,(Raw_Observations!$A$2:$A$1001=A232)*(Raw_Observations!$B$2:$B$1001=B232),Raw_Observations!$D$2:$D$1001,""),""))</f>
        <v/>
      </c>
      <c r="F232" s="8" t="str">
        <f>IF(OR(A232="",B232=""),"",IFERROR(XLOOKUP(1,(Order_History!$A$2:$A$501=A232)*(Order_History!$B$2:$B$501=B232),Order_History!$D$2:$D$501,""),""))</f>
        <v/>
      </c>
      <c r="G232" s="8" t="str">
        <f>IF(COUNTIFS(Pricing!$A:$A,A232,Pricing!$B:$B,B232)=0,"",SUMIFS(Pricing!$G:$G,Pricing!$A:$A,A232,Pricing!$B:$B,B232))</f>
        <v/>
      </c>
      <c r="H232" s="9" t="str">
        <f t="shared" si="17"/>
        <v/>
      </c>
      <c r="I232" s="3">
        <v>0</v>
      </c>
      <c r="J232" s="3">
        <v>0</v>
      </c>
      <c r="K232" s="9" t="str">
        <f t="shared" si="18"/>
        <v/>
      </c>
      <c r="L232" s="6" t="str">
        <f t="shared" si="19"/>
        <v/>
      </c>
      <c r="M232" s="10" t="str">
        <f t="shared" si="20"/>
        <v/>
      </c>
      <c r="N232" s="6" t="str">
        <f t="shared" si="21"/>
        <v/>
      </c>
    </row>
    <row r="233" spans="1:14">
      <c r="A233" s="2"/>
      <c r="B233" s="2"/>
      <c r="C233" s="22" t="str">
        <f>IF(OR(A233="",B233=""),"",IFERROR(XLOOKUP(1,(Buy_History!$A$2:$A$501=A233)*(Buy_History!$B$2:$B$501=B233),Buy_History!$C$2:$C$501,""),""))</f>
        <v/>
      </c>
      <c r="D233" s="22" t="str">
        <f>IF(OR(A233="",B233=""),"",IFERROR(XLOOKUP(1,(Sell_History!$A$2:$A$501=A233)*(Sell_History!$B$2:$B$501=B233),Sell_History!$C$2:$C$501,""),""))</f>
        <v/>
      </c>
      <c r="E233" s="8" t="str">
        <f>IF(OR(A233="",B233=""),"",IFERROR(XLOOKUP(1,(Raw_Observations!$A$2:$A$1001=A233)*(Raw_Observations!$B$2:$B$1001=B233),Raw_Observations!$D$2:$D$1001,""),""))</f>
        <v/>
      </c>
      <c r="F233" s="8" t="str">
        <f>IF(OR(A233="",B233=""),"",IFERROR(XLOOKUP(1,(Order_History!$A$2:$A$501=A233)*(Order_History!$B$2:$B$501=B233),Order_History!$D$2:$D$501,""),""))</f>
        <v/>
      </c>
      <c r="G233" s="8" t="str">
        <f>IF(COUNTIFS(Pricing!$A:$A,A233,Pricing!$B:$B,B233)=0,"",SUMIFS(Pricing!$G:$G,Pricing!$A:$A,A233,Pricing!$B:$B,B233))</f>
        <v/>
      </c>
      <c r="H233" s="9" t="str">
        <f t="shared" si="17"/>
        <v/>
      </c>
      <c r="I233" s="3">
        <v>0</v>
      </c>
      <c r="J233" s="3">
        <v>0</v>
      </c>
      <c r="K233" s="9" t="str">
        <f t="shared" si="18"/>
        <v/>
      </c>
      <c r="L233" s="6" t="str">
        <f t="shared" si="19"/>
        <v/>
      </c>
      <c r="M233" s="10" t="str">
        <f t="shared" si="20"/>
        <v/>
      </c>
      <c r="N233" s="6" t="str">
        <f t="shared" si="21"/>
        <v/>
      </c>
    </row>
    <row r="234" spans="1:14">
      <c r="A234" s="2"/>
      <c r="B234" s="2"/>
      <c r="C234" s="22" t="str">
        <f>IF(OR(A234="",B234=""),"",IFERROR(XLOOKUP(1,(Buy_History!$A$2:$A$501=A234)*(Buy_History!$B$2:$B$501=B234),Buy_History!$C$2:$C$501,""),""))</f>
        <v/>
      </c>
      <c r="D234" s="22" t="str">
        <f>IF(OR(A234="",B234=""),"",IFERROR(XLOOKUP(1,(Sell_History!$A$2:$A$501=A234)*(Sell_History!$B$2:$B$501=B234),Sell_History!$C$2:$C$501,""),""))</f>
        <v/>
      </c>
      <c r="E234" s="8" t="str">
        <f>IF(OR(A234="",B234=""),"",IFERROR(XLOOKUP(1,(Raw_Observations!$A$2:$A$1001=A234)*(Raw_Observations!$B$2:$B$1001=B234),Raw_Observations!$D$2:$D$1001,""),""))</f>
        <v/>
      </c>
      <c r="F234" s="8" t="str">
        <f>IF(OR(A234="",B234=""),"",IFERROR(XLOOKUP(1,(Order_History!$A$2:$A$501=A234)*(Order_History!$B$2:$B$501=B234),Order_History!$D$2:$D$501,""),""))</f>
        <v/>
      </c>
      <c r="G234" s="8" t="str">
        <f>IF(COUNTIFS(Pricing!$A:$A,A234,Pricing!$B:$B,B234)=0,"",SUMIFS(Pricing!$G:$G,Pricing!$A:$A,A234,Pricing!$B:$B,B234))</f>
        <v/>
      </c>
      <c r="H234" s="9" t="str">
        <f t="shared" si="17"/>
        <v/>
      </c>
      <c r="I234" s="3">
        <v>0</v>
      </c>
      <c r="J234" s="3">
        <v>0</v>
      </c>
      <c r="K234" s="9" t="str">
        <f t="shared" si="18"/>
        <v/>
      </c>
      <c r="L234" s="6" t="str">
        <f t="shared" si="19"/>
        <v/>
      </c>
      <c r="M234" s="10" t="str">
        <f t="shared" si="20"/>
        <v/>
      </c>
      <c r="N234" s="6" t="str">
        <f t="shared" si="21"/>
        <v/>
      </c>
    </row>
    <row r="235" spans="1:14">
      <c r="A235" s="2"/>
      <c r="B235" s="2"/>
      <c r="C235" s="22" t="str">
        <f>IF(OR(A235="",B235=""),"",IFERROR(XLOOKUP(1,(Buy_History!$A$2:$A$501=A235)*(Buy_History!$B$2:$B$501=B235),Buy_History!$C$2:$C$501,""),""))</f>
        <v/>
      </c>
      <c r="D235" s="22" t="str">
        <f>IF(OR(A235="",B235=""),"",IFERROR(XLOOKUP(1,(Sell_History!$A$2:$A$501=A235)*(Sell_History!$B$2:$B$501=B235),Sell_History!$C$2:$C$501,""),""))</f>
        <v/>
      </c>
      <c r="E235" s="8" t="str">
        <f>IF(OR(A235="",B235=""),"",IFERROR(XLOOKUP(1,(Raw_Observations!$A$2:$A$1001=A235)*(Raw_Observations!$B$2:$B$1001=B235),Raw_Observations!$D$2:$D$1001,""),""))</f>
        <v/>
      </c>
      <c r="F235" s="8" t="str">
        <f>IF(OR(A235="",B235=""),"",IFERROR(XLOOKUP(1,(Order_History!$A$2:$A$501=A235)*(Order_History!$B$2:$B$501=B235),Order_History!$D$2:$D$501,""),""))</f>
        <v/>
      </c>
      <c r="G235" s="8" t="str">
        <f>IF(COUNTIFS(Pricing!$A:$A,A235,Pricing!$B:$B,B235)=0,"",SUMIFS(Pricing!$G:$G,Pricing!$A:$A,A235,Pricing!$B:$B,B235))</f>
        <v/>
      </c>
      <c r="H235" s="9" t="str">
        <f t="shared" si="17"/>
        <v/>
      </c>
      <c r="I235" s="3">
        <v>0</v>
      </c>
      <c r="J235" s="3">
        <v>0</v>
      </c>
      <c r="K235" s="9" t="str">
        <f t="shared" si="18"/>
        <v/>
      </c>
      <c r="L235" s="6" t="str">
        <f t="shared" si="19"/>
        <v/>
      </c>
      <c r="M235" s="10" t="str">
        <f t="shared" si="20"/>
        <v/>
      </c>
      <c r="N235" s="6" t="str">
        <f t="shared" si="21"/>
        <v/>
      </c>
    </row>
    <row r="236" spans="1:14">
      <c r="A236" s="2"/>
      <c r="B236" s="2"/>
      <c r="C236" s="22" t="str">
        <f>IF(OR(A236="",B236=""),"",IFERROR(XLOOKUP(1,(Buy_History!$A$2:$A$501=A236)*(Buy_History!$B$2:$B$501=B236),Buy_History!$C$2:$C$501,""),""))</f>
        <v/>
      </c>
      <c r="D236" s="22" t="str">
        <f>IF(OR(A236="",B236=""),"",IFERROR(XLOOKUP(1,(Sell_History!$A$2:$A$501=A236)*(Sell_History!$B$2:$B$501=B236),Sell_History!$C$2:$C$501,""),""))</f>
        <v/>
      </c>
      <c r="E236" s="8" t="str">
        <f>IF(OR(A236="",B236=""),"",IFERROR(XLOOKUP(1,(Raw_Observations!$A$2:$A$1001=A236)*(Raw_Observations!$B$2:$B$1001=B236),Raw_Observations!$D$2:$D$1001,""),""))</f>
        <v/>
      </c>
      <c r="F236" s="8" t="str">
        <f>IF(OR(A236="",B236=""),"",IFERROR(XLOOKUP(1,(Order_History!$A$2:$A$501=A236)*(Order_History!$B$2:$B$501=B236),Order_History!$D$2:$D$501,""),""))</f>
        <v/>
      </c>
      <c r="G236" s="8" t="str">
        <f>IF(COUNTIFS(Pricing!$A:$A,A236,Pricing!$B:$B,B236)=0,"",SUMIFS(Pricing!$G:$G,Pricing!$A:$A,A236,Pricing!$B:$B,B236))</f>
        <v/>
      </c>
      <c r="H236" s="9" t="str">
        <f t="shared" si="17"/>
        <v/>
      </c>
      <c r="I236" s="3">
        <v>0</v>
      </c>
      <c r="J236" s="3">
        <v>0</v>
      </c>
      <c r="K236" s="9" t="str">
        <f t="shared" si="18"/>
        <v/>
      </c>
      <c r="L236" s="6" t="str">
        <f t="shared" si="19"/>
        <v/>
      </c>
      <c r="M236" s="10" t="str">
        <f t="shared" si="20"/>
        <v/>
      </c>
      <c r="N236" s="6" t="str">
        <f t="shared" si="21"/>
        <v/>
      </c>
    </row>
    <row r="237" spans="1:14">
      <c r="A237" s="2"/>
      <c r="B237" s="2"/>
      <c r="C237" s="22" t="str">
        <f>IF(OR(A237="",B237=""),"",IFERROR(XLOOKUP(1,(Buy_History!$A$2:$A$501=A237)*(Buy_History!$B$2:$B$501=B237),Buy_History!$C$2:$C$501,""),""))</f>
        <v/>
      </c>
      <c r="D237" s="22" t="str">
        <f>IF(OR(A237="",B237=""),"",IFERROR(XLOOKUP(1,(Sell_History!$A$2:$A$501=A237)*(Sell_History!$B$2:$B$501=B237),Sell_History!$C$2:$C$501,""),""))</f>
        <v/>
      </c>
      <c r="E237" s="8" t="str">
        <f>IF(OR(A237="",B237=""),"",IFERROR(XLOOKUP(1,(Raw_Observations!$A$2:$A$1001=A237)*(Raw_Observations!$B$2:$B$1001=B237),Raw_Observations!$D$2:$D$1001,""),""))</f>
        <v/>
      </c>
      <c r="F237" s="8" t="str">
        <f>IF(OR(A237="",B237=""),"",IFERROR(XLOOKUP(1,(Order_History!$A$2:$A$501=A237)*(Order_History!$B$2:$B$501=B237),Order_History!$D$2:$D$501,""),""))</f>
        <v/>
      </c>
      <c r="G237" s="8" t="str">
        <f>IF(COUNTIFS(Pricing!$A:$A,A237,Pricing!$B:$B,B237)=0,"",SUMIFS(Pricing!$G:$G,Pricing!$A:$A,A237,Pricing!$B:$B,B237))</f>
        <v/>
      </c>
      <c r="H237" s="9" t="str">
        <f t="shared" si="17"/>
        <v/>
      </c>
      <c r="I237" s="3">
        <v>0</v>
      </c>
      <c r="J237" s="3">
        <v>0</v>
      </c>
      <c r="K237" s="9" t="str">
        <f t="shared" si="18"/>
        <v/>
      </c>
      <c r="L237" s="6" t="str">
        <f t="shared" si="19"/>
        <v/>
      </c>
      <c r="M237" s="10" t="str">
        <f t="shared" si="20"/>
        <v/>
      </c>
      <c r="N237" s="6" t="str">
        <f t="shared" si="21"/>
        <v/>
      </c>
    </row>
    <row r="238" spans="1:14">
      <c r="A238" s="2"/>
      <c r="B238" s="2"/>
      <c r="C238" s="22" t="str">
        <f>IF(OR(A238="",B238=""),"",IFERROR(XLOOKUP(1,(Buy_History!$A$2:$A$501=A238)*(Buy_History!$B$2:$B$501=B238),Buy_History!$C$2:$C$501,""),""))</f>
        <v/>
      </c>
      <c r="D238" s="22" t="str">
        <f>IF(OR(A238="",B238=""),"",IFERROR(XLOOKUP(1,(Sell_History!$A$2:$A$501=A238)*(Sell_History!$B$2:$B$501=B238),Sell_History!$C$2:$C$501,""),""))</f>
        <v/>
      </c>
      <c r="E238" s="8" t="str">
        <f>IF(OR(A238="",B238=""),"",IFERROR(XLOOKUP(1,(Raw_Observations!$A$2:$A$1001=A238)*(Raw_Observations!$B$2:$B$1001=B238),Raw_Observations!$D$2:$D$1001,""),""))</f>
        <v/>
      </c>
      <c r="F238" s="8" t="str">
        <f>IF(OR(A238="",B238=""),"",IFERROR(XLOOKUP(1,(Order_History!$A$2:$A$501=A238)*(Order_History!$B$2:$B$501=B238),Order_History!$D$2:$D$501,""),""))</f>
        <v/>
      </c>
      <c r="G238" s="8" t="str">
        <f>IF(COUNTIFS(Pricing!$A:$A,A238,Pricing!$B:$B,B238)=0,"",SUMIFS(Pricing!$G:$G,Pricing!$A:$A,A238,Pricing!$B:$B,B238))</f>
        <v/>
      </c>
      <c r="H238" s="9" t="str">
        <f t="shared" si="17"/>
        <v/>
      </c>
      <c r="I238" s="3">
        <v>0</v>
      </c>
      <c r="J238" s="3">
        <v>0</v>
      </c>
      <c r="K238" s="9" t="str">
        <f t="shared" si="18"/>
        <v/>
      </c>
      <c r="L238" s="6" t="str">
        <f t="shared" si="19"/>
        <v/>
      </c>
      <c r="M238" s="10" t="str">
        <f t="shared" si="20"/>
        <v/>
      </c>
      <c r="N238" s="6" t="str">
        <f t="shared" si="21"/>
        <v/>
      </c>
    </row>
    <row r="239" spans="1:14">
      <c r="A239" s="2"/>
      <c r="B239" s="2"/>
      <c r="C239" s="22" t="str">
        <f>IF(OR(A239="",B239=""),"",IFERROR(XLOOKUP(1,(Buy_History!$A$2:$A$501=A239)*(Buy_History!$B$2:$B$501=B239),Buy_History!$C$2:$C$501,""),""))</f>
        <v/>
      </c>
      <c r="D239" s="22" t="str">
        <f>IF(OR(A239="",B239=""),"",IFERROR(XLOOKUP(1,(Sell_History!$A$2:$A$501=A239)*(Sell_History!$B$2:$B$501=B239),Sell_History!$C$2:$C$501,""),""))</f>
        <v/>
      </c>
      <c r="E239" s="8" t="str">
        <f>IF(OR(A239="",B239=""),"",IFERROR(XLOOKUP(1,(Raw_Observations!$A$2:$A$1001=A239)*(Raw_Observations!$B$2:$B$1001=B239),Raw_Observations!$D$2:$D$1001,""),""))</f>
        <v/>
      </c>
      <c r="F239" s="8" t="str">
        <f>IF(OR(A239="",B239=""),"",IFERROR(XLOOKUP(1,(Order_History!$A$2:$A$501=A239)*(Order_History!$B$2:$B$501=B239),Order_History!$D$2:$D$501,""),""))</f>
        <v/>
      </c>
      <c r="G239" s="8" t="str">
        <f>IF(COUNTIFS(Pricing!$A:$A,A239,Pricing!$B:$B,B239)=0,"",SUMIFS(Pricing!$G:$G,Pricing!$A:$A,A239,Pricing!$B:$B,B239))</f>
        <v/>
      </c>
      <c r="H239" s="9" t="str">
        <f t="shared" si="17"/>
        <v/>
      </c>
      <c r="I239" s="3">
        <v>0</v>
      </c>
      <c r="J239" s="3">
        <v>0</v>
      </c>
      <c r="K239" s="9" t="str">
        <f t="shared" si="18"/>
        <v/>
      </c>
      <c r="L239" s="6" t="str">
        <f t="shared" si="19"/>
        <v/>
      </c>
      <c r="M239" s="10" t="str">
        <f t="shared" si="20"/>
        <v/>
      </c>
      <c r="N239" s="6" t="str">
        <f t="shared" si="21"/>
        <v/>
      </c>
    </row>
    <row r="240" spans="1:14">
      <c r="A240" s="2"/>
      <c r="B240" s="2"/>
      <c r="C240" s="22" t="str">
        <f>IF(OR(A240="",B240=""),"",IFERROR(XLOOKUP(1,(Buy_History!$A$2:$A$501=A240)*(Buy_History!$B$2:$B$501=B240),Buy_History!$C$2:$C$501,""),""))</f>
        <v/>
      </c>
      <c r="D240" s="22" t="str">
        <f>IF(OR(A240="",B240=""),"",IFERROR(XLOOKUP(1,(Sell_History!$A$2:$A$501=A240)*(Sell_History!$B$2:$B$501=B240),Sell_History!$C$2:$C$501,""),""))</f>
        <v/>
      </c>
      <c r="E240" s="8" t="str">
        <f>IF(OR(A240="",B240=""),"",IFERROR(XLOOKUP(1,(Raw_Observations!$A$2:$A$1001=A240)*(Raw_Observations!$B$2:$B$1001=B240),Raw_Observations!$D$2:$D$1001,""),""))</f>
        <v/>
      </c>
      <c r="F240" s="8" t="str">
        <f>IF(OR(A240="",B240=""),"",IFERROR(XLOOKUP(1,(Order_History!$A$2:$A$501=A240)*(Order_History!$B$2:$B$501=B240),Order_History!$D$2:$D$501,""),""))</f>
        <v/>
      </c>
      <c r="G240" s="8" t="str">
        <f>IF(COUNTIFS(Pricing!$A:$A,A240,Pricing!$B:$B,B240)=0,"",SUMIFS(Pricing!$G:$G,Pricing!$A:$A,A240,Pricing!$B:$B,B240))</f>
        <v/>
      </c>
      <c r="H240" s="9" t="str">
        <f t="shared" si="17"/>
        <v/>
      </c>
      <c r="I240" s="3">
        <v>0</v>
      </c>
      <c r="J240" s="3">
        <v>0</v>
      </c>
      <c r="K240" s="9" t="str">
        <f t="shared" si="18"/>
        <v/>
      </c>
      <c r="L240" s="6" t="str">
        <f t="shared" si="19"/>
        <v/>
      </c>
      <c r="M240" s="10" t="str">
        <f t="shared" si="20"/>
        <v/>
      </c>
      <c r="N240" s="6" t="str">
        <f t="shared" si="21"/>
        <v/>
      </c>
    </row>
    <row r="241" spans="1:14">
      <c r="A241" s="2"/>
      <c r="B241" s="2"/>
      <c r="C241" s="22" t="str">
        <f>IF(OR(A241="",B241=""),"",IFERROR(XLOOKUP(1,(Buy_History!$A$2:$A$501=A241)*(Buy_History!$B$2:$B$501=B241),Buy_History!$C$2:$C$501,""),""))</f>
        <v/>
      </c>
      <c r="D241" s="22" t="str">
        <f>IF(OR(A241="",B241=""),"",IFERROR(XLOOKUP(1,(Sell_History!$A$2:$A$501=A241)*(Sell_History!$B$2:$B$501=B241),Sell_History!$C$2:$C$501,""),""))</f>
        <v/>
      </c>
      <c r="E241" s="8" t="str">
        <f>IF(OR(A241="",B241=""),"",IFERROR(XLOOKUP(1,(Raw_Observations!$A$2:$A$1001=A241)*(Raw_Observations!$B$2:$B$1001=B241),Raw_Observations!$D$2:$D$1001,""),""))</f>
        <v/>
      </c>
      <c r="F241" s="8" t="str">
        <f>IF(OR(A241="",B241=""),"",IFERROR(XLOOKUP(1,(Order_History!$A$2:$A$501=A241)*(Order_History!$B$2:$B$501=B241),Order_History!$D$2:$D$501,""),""))</f>
        <v/>
      </c>
      <c r="G241" s="8" t="str">
        <f>IF(COUNTIFS(Pricing!$A:$A,A241,Pricing!$B:$B,B241)=0,"",SUMIFS(Pricing!$G:$G,Pricing!$A:$A,A241,Pricing!$B:$B,B241))</f>
        <v/>
      </c>
      <c r="H241" s="9" t="str">
        <f t="shared" si="17"/>
        <v/>
      </c>
      <c r="I241" s="3">
        <v>0</v>
      </c>
      <c r="J241" s="3">
        <v>0</v>
      </c>
      <c r="K241" s="9" t="str">
        <f t="shared" si="18"/>
        <v/>
      </c>
      <c r="L241" s="6" t="str">
        <f t="shared" si="19"/>
        <v/>
      </c>
      <c r="M241" s="10" t="str">
        <f t="shared" si="20"/>
        <v/>
      </c>
      <c r="N241" s="6" t="str">
        <f t="shared" si="21"/>
        <v/>
      </c>
    </row>
    <row r="242" spans="1:14">
      <c r="A242" s="2"/>
      <c r="B242" s="2"/>
      <c r="C242" s="22" t="str">
        <f>IF(OR(A242="",B242=""),"",IFERROR(XLOOKUP(1,(Buy_History!$A$2:$A$501=A242)*(Buy_History!$B$2:$B$501=B242),Buy_History!$C$2:$C$501,""),""))</f>
        <v/>
      </c>
      <c r="D242" s="22" t="str">
        <f>IF(OR(A242="",B242=""),"",IFERROR(XLOOKUP(1,(Sell_History!$A$2:$A$501=A242)*(Sell_History!$B$2:$B$501=B242),Sell_History!$C$2:$C$501,""),""))</f>
        <v/>
      </c>
      <c r="E242" s="8" t="str">
        <f>IF(OR(A242="",B242=""),"",IFERROR(XLOOKUP(1,(Raw_Observations!$A$2:$A$1001=A242)*(Raw_Observations!$B$2:$B$1001=B242),Raw_Observations!$D$2:$D$1001,""),""))</f>
        <v/>
      </c>
      <c r="F242" s="8" t="str">
        <f>IF(OR(A242="",B242=""),"",IFERROR(XLOOKUP(1,(Order_History!$A$2:$A$501=A242)*(Order_History!$B$2:$B$501=B242),Order_History!$D$2:$D$501,""),""))</f>
        <v/>
      </c>
      <c r="G242" s="8" t="str">
        <f>IF(COUNTIFS(Pricing!$A:$A,A242,Pricing!$B:$B,B242)=0,"",SUMIFS(Pricing!$G:$G,Pricing!$A:$A,A242,Pricing!$B:$B,B242))</f>
        <v/>
      </c>
      <c r="H242" s="9" t="str">
        <f t="shared" si="17"/>
        <v/>
      </c>
      <c r="I242" s="3">
        <v>0</v>
      </c>
      <c r="J242" s="3">
        <v>0</v>
      </c>
      <c r="K242" s="9" t="str">
        <f t="shared" si="18"/>
        <v/>
      </c>
      <c r="L242" s="6" t="str">
        <f t="shared" si="19"/>
        <v/>
      </c>
      <c r="M242" s="10" t="str">
        <f t="shared" si="20"/>
        <v/>
      </c>
      <c r="N242" s="6" t="str">
        <f t="shared" si="21"/>
        <v/>
      </c>
    </row>
    <row r="243" spans="1:14">
      <c r="A243" s="2"/>
      <c r="B243" s="2"/>
      <c r="C243" s="22" t="str">
        <f>IF(OR(A243="",B243=""),"",IFERROR(XLOOKUP(1,(Buy_History!$A$2:$A$501=A243)*(Buy_History!$B$2:$B$501=B243),Buy_History!$C$2:$C$501,""),""))</f>
        <v/>
      </c>
      <c r="D243" s="22" t="str">
        <f>IF(OR(A243="",B243=""),"",IFERROR(XLOOKUP(1,(Sell_History!$A$2:$A$501=A243)*(Sell_History!$B$2:$B$501=B243),Sell_History!$C$2:$C$501,""),""))</f>
        <v/>
      </c>
      <c r="E243" s="8" t="str">
        <f>IF(OR(A243="",B243=""),"",IFERROR(XLOOKUP(1,(Raw_Observations!$A$2:$A$1001=A243)*(Raw_Observations!$B$2:$B$1001=B243),Raw_Observations!$D$2:$D$1001,""),""))</f>
        <v/>
      </c>
      <c r="F243" s="8" t="str">
        <f>IF(OR(A243="",B243=""),"",IFERROR(XLOOKUP(1,(Order_History!$A$2:$A$501=A243)*(Order_History!$B$2:$B$501=B243),Order_History!$D$2:$D$501,""),""))</f>
        <v/>
      </c>
      <c r="G243" s="8" t="str">
        <f>IF(COUNTIFS(Pricing!$A:$A,A243,Pricing!$B:$B,B243)=0,"",SUMIFS(Pricing!$G:$G,Pricing!$A:$A,A243,Pricing!$B:$B,B243))</f>
        <v/>
      </c>
      <c r="H243" s="9" t="str">
        <f t="shared" si="17"/>
        <v/>
      </c>
      <c r="I243" s="3">
        <v>0</v>
      </c>
      <c r="J243" s="3">
        <v>0</v>
      </c>
      <c r="K243" s="9" t="str">
        <f t="shared" si="18"/>
        <v/>
      </c>
      <c r="L243" s="6" t="str">
        <f t="shared" si="19"/>
        <v/>
      </c>
      <c r="M243" s="10" t="str">
        <f t="shared" si="20"/>
        <v/>
      </c>
      <c r="N243" s="6" t="str">
        <f t="shared" si="21"/>
        <v/>
      </c>
    </row>
    <row r="244" spans="1:14">
      <c r="A244" s="2"/>
      <c r="B244" s="2"/>
      <c r="C244" s="22" t="str">
        <f>IF(OR(A244="",B244=""),"",IFERROR(XLOOKUP(1,(Buy_History!$A$2:$A$501=A244)*(Buy_History!$B$2:$B$501=B244),Buy_History!$C$2:$C$501,""),""))</f>
        <v/>
      </c>
      <c r="D244" s="22" t="str">
        <f>IF(OR(A244="",B244=""),"",IFERROR(XLOOKUP(1,(Sell_History!$A$2:$A$501=A244)*(Sell_History!$B$2:$B$501=B244),Sell_History!$C$2:$C$501,""),""))</f>
        <v/>
      </c>
      <c r="E244" s="8" t="str">
        <f>IF(OR(A244="",B244=""),"",IFERROR(XLOOKUP(1,(Raw_Observations!$A$2:$A$1001=A244)*(Raw_Observations!$B$2:$B$1001=B244),Raw_Observations!$D$2:$D$1001,""),""))</f>
        <v/>
      </c>
      <c r="F244" s="8" t="str">
        <f>IF(OR(A244="",B244=""),"",IFERROR(XLOOKUP(1,(Order_History!$A$2:$A$501=A244)*(Order_History!$B$2:$B$501=B244),Order_History!$D$2:$D$501,""),""))</f>
        <v/>
      </c>
      <c r="G244" s="8" t="str">
        <f>IF(COUNTIFS(Pricing!$A:$A,A244,Pricing!$B:$B,B244)=0,"",SUMIFS(Pricing!$G:$G,Pricing!$A:$A,A244,Pricing!$B:$B,B244))</f>
        <v/>
      </c>
      <c r="H244" s="9" t="str">
        <f t="shared" si="17"/>
        <v/>
      </c>
      <c r="I244" s="3">
        <v>0</v>
      </c>
      <c r="J244" s="3">
        <v>0</v>
      </c>
      <c r="K244" s="9" t="str">
        <f t="shared" si="18"/>
        <v/>
      </c>
      <c r="L244" s="6" t="str">
        <f t="shared" si="19"/>
        <v/>
      </c>
      <c r="M244" s="10" t="str">
        <f t="shared" si="20"/>
        <v/>
      </c>
      <c r="N244" s="6" t="str">
        <f t="shared" si="21"/>
        <v/>
      </c>
    </row>
    <row r="245" spans="1:14">
      <c r="A245" s="2"/>
      <c r="B245" s="2"/>
      <c r="C245" s="22" t="str">
        <f>IF(OR(A245="",B245=""),"",IFERROR(XLOOKUP(1,(Buy_History!$A$2:$A$501=A245)*(Buy_History!$B$2:$B$501=B245),Buy_History!$C$2:$C$501,""),""))</f>
        <v/>
      </c>
      <c r="D245" s="22" t="str">
        <f>IF(OR(A245="",B245=""),"",IFERROR(XLOOKUP(1,(Sell_History!$A$2:$A$501=A245)*(Sell_History!$B$2:$B$501=B245),Sell_History!$C$2:$C$501,""),""))</f>
        <v/>
      </c>
      <c r="E245" s="8" t="str">
        <f>IF(OR(A245="",B245=""),"",IFERROR(XLOOKUP(1,(Raw_Observations!$A$2:$A$1001=A245)*(Raw_Observations!$B$2:$B$1001=B245),Raw_Observations!$D$2:$D$1001,""),""))</f>
        <v/>
      </c>
      <c r="F245" s="8" t="str">
        <f>IF(OR(A245="",B245=""),"",IFERROR(XLOOKUP(1,(Order_History!$A$2:$A$501=A245)*(Order_History!$B$2:$B$501=B245),Order_History!$D$2:$D$501,""),""))</f>
        <v/>
      </c>
      <c r="G245" s="8" t="str">
        <f>IF(COUNTIFS(Pricing!$A:$A,A245,Pricing!$B:$B,B245)=0,"",SUMIFS(Pricing!$G:$G,Pricing!$A:$A,A245,Pricing!$B:$B,B245))</f>
        <v/>
      </c>
      <c r="H245" s="9" t="str">
        <f t="shared" si="17"/>
        <v/>
      </c>
      <c r="I245" s="3">
        <v>0</v>
      </c>
      <c r="J245" s="3">
        <v>0</v>
      </c>
      <c r="K245" s="9" t="str">
        <f t="shared" si="18"/>
        <v/>
      </c>
      <c r="L245" s="6" t="str">
        <f t="shared" si="19"/>
        <v/>
      </c>
      <c r="M245" s="10" t="str">
        <f t="shared" si="20"/>
        <v/>
      </c>
      <c r="N245" s="6" t="str">
        <f t="shared" si="21"/>
        <v/>
      </c>
    </row>
    <row r="246" spans="1:14">
      <c r="A246" s="2"/>
      <c r="B246" s="2"/>
      <c r="C246" s="22" t="str">
        <f>IF(OR(A246="",B246=""),"",IFERROR(XLOOKUP(1,(Buy_History!$A$2:$A$501=A246)*(Buy_History!$B$2:$B$501=B246),Buy_History!$C$2:$C$501,""),""))</f>
        <v/>
      </c>
      <c r="D246" s="22" t="str">
        <f>IF(OR(A246="",B246=""),"",IFERROR(XLOOKUP(1,(Sell_History!$A$2:$A$501=A246)*(Sell_History!$B$2:$B$501=B246),Sell_History!$C$2:$C$501,""),""))</f>
        <v/>
      </c>
      <c r="E246" s="8" t="str">
        <f>IF(OR(A246="",B246=""),"",IFERROR(XLOOKUP(1,(Raw_Observations!$A$2:$A$1001=A246)*(Raw_Observations!$B$2:$B$1001=B246),Raw_Observations!$D$2:$D$1001,""),""))</f>
        <v/>
      </c>
      <c r="F246" s="8" t="str">
        <f>IF(OR(A246="",B246=""),"",IFERROR(XLOOKUP(1,(Order_History!$A$2:$A$501=A246)*(Order_History!$B$2:$B$501=B246),Order_History!$D$2:$D$501,""),""))</f>
        <v/>
      </c>
      <c r="G246" s="8" t="str">
        <f>IF(COUNTIFS(Pricing!$A:$A,A246,Pricing!$B:$B,B246)=0,"",SUMIFS(Pricing!$G:$G,Pricing!$A:$A,A246,Pricing!$B:$B,B246))</f>
        <v/>
      </c>
      <c r="H246" s="9" t="str">
        <f t="shared" si="17"/>
        <v/>
      </c>
      <c r="I246" s="3">
        <v>0</v>
      </c>
      <c r="J246" s="3">
        <v>0</v>
      </c>
      <c r="K246" s="9" t="str">
        <f t="shared" si="18"/>
        <v/>
      </c>
      <c r="L246" s="6" t="str">
        <f t="shared" si="19"/>
        <v/>
      </c>
      <c r="M246" s="10" t="str">
        <f t="shared" si="20"/>
        <v/>
      </c>
      <c r="N246" s="6" t="str">
        <f t="shared" si="21"/>
        <v/>
      </c>
    </row>
    <row r="247" spans="1:14">
      <c r="A247" s="2"/>
      <c r="B247" s="2"/>
      <c r="C247" s="22" t="str">
        <f>IF(OR(A247="",B247=""),"",IFERROR(XLOOKUP(1,(Buy_History!$A$2:$A$501=A247)*(Buy_History!$B$2:$B$501=B247),Buy_History!$C$2:$C$501,""),""))</f>
        <v/>
      </c>
      <c r="D247" s="22" t="str">
        <f>IF(OR(A247="",B247=""),"",IFERROR(XLOOKUP(1,(Sell_History!$A$2:$A$501=A247)*(Sell_History!$B$2:$B$501=B247),Sell_History!$C$2:$C$501,""),""))</f>
        <v/>
      </c>
      <c r="E247" s="8" t="str">
        <f>IF(OR(A247="",B247=""),"",IFERROR(XLOOKUP(1,(Raw_Observations!$A$2:$A$1001=A247)*(Raw_Observations!$B$2:$B$1001=B247),Raw_Observations!$D$2:$D$1001,""),""))</f>
        <v/>
      </c>
      <c r="F247" s="8" t="str">
        <f>IF(OR(A247="",B247=""),"",IFERROR(XLOOKUP(1,(Order_History!$A$2:$A$501=A247)*(Order_History!$B$2:$B$501=B247),Order_History!$D$2:$D$501,""),""))</f>
        <v/>
      </c>
      <c r="G247" s="8" t="str">
        <f>IF(COUNTIFS(Pricing!$A:$A,A247,Pricing!$B:$B,B247)=0,"",SUMIFS(Pricing!$G:$G,Pricing!$A:$A,A247,Pricing!$B:$B,B247))</f>
        <v/>
      </c>
      <c r="H247" s="9" t="str">
        <f t="shared" si="17"/>
        <v/>
      </c>
      <c r="I247" s="3">
        <v>0</v>
      </c>
      <c r="J247" s="3">
        <v>0</v>
      </c>
      <c r="K247" s="9" t="str">
        <f t="shared" si="18"/>
        <v/>
      </c>
      <c r="L247" s="6" t="str">
        <f t="shared" si="19"/>
        <v/>
      </c>
      <c r="M247" s="10" t="str">
        <f t="shared" si="20"/>
        <v/>
      </c>
      <c r="N247" s="6" t="str">
        <f t="shared" si="21"/>
        <v/>
      </c>
    </row>
    <row r="248" spans="1:14">
      <c r="A248" s="2"/>
      <c r="B248" s="2"/>
      <c r="C248" s="22" t="str">
        <f>IF(OR(A248="",B248=""),"",IFERROR(XLOOKUP(1,(Buy_History!$A$2:$A$501=A248)*(Buy_History!$B$2:$B$501=B248),Buy_History!$C$2:$C$501,""),""))</f>
        <v/>
      </c>
      <c r="D248" s="22" t="str">
        <f>IF(OR(A248="",B248=""),"",IFERROR(XLOOKUP(1,(Sell_History!$A$2:$A$501=A248)*(Sell_History!$B$2:$B$501=B248),Sell_History!$C$2:$C$501,""),""))</f>
        <v/>
      </c>
      <c r="E248" s="8" t="str">
        <f>IF(OR(A248="",B248=""),"",IFERROR(XLOOKUP(1,(Raw_Observations!$A$2:$A$1001=A248)*(Raw_Observations!$B$2:$B$1001=B248),Raw_Observations!$D$2:$D$1001,""),""))</f>
        <v/>
      </c>
      <c r="F248" s="8" t="str">
        <f>IF(OR(A248="",B248=""),"",IFERROR(XLOOKUP(1,(Order_History!$A$2:$A$501=A248)*(Order_History!$B$2:$B$501=B248),Order_History!$D$2:$D$501,""),""))</f>
        <v/>
      </c>
      <c r="G248" s="8" t="str">
        <f>IF(COUNTIFS(Pricing!$A:$A,A248,Pricing!$B:$B,B248)=0,"",SUMIFS(Pricing!$G:$G,Pricing!$A:$A,A248,Pricing!$B:$B,B248))</f>
        <v/>
      </c>
      <c r="H248" s="9" t="str">
        <f t="shared" si="17"/>
        <v/>
      </c>
      <c r="I248" s="3">
        <v>0</v>
      </c>
      <c r="J248" s="3">
        <v>0</v>
      </c>
      <c r="K248" s="9" t="str">
        <f t="shared" si="18"/>
        <v/>
      </c>
      <c r="L248" s="6" t="str">
        <f t="shared" si="19"/>
        <v/>
      </c>
      <c r="M248" s="10" t="str">
        <f t="shared" si="20"/>
        <v/>
      </c>
      <c r="N248" s="6" t="str">
        <f t="shared" si="21"/>
        <v/>
      </c>
    </row>
    <row r="249" spans="1:14">
      <c r="A249" s="2"/>
      <c r="B249" s="2"/>
      <c r="C249" s="22" t="str">
        <f>IF(OR(A249="",B249=""),"",IFERROR(XLOOKUP(1,(Buy_History!$A$2:$A$501=A249)*(Buy_History!$B$2:$B$501=B249),Buy_History!$C$2:$C$501,""),""))</f>
        <v/>
      </c>
      <c r="D249" s="22" t="str">
        <f>IF(OR(A249="",B249=""),"",IFERROR(XLOOKUP(1,(Sell_History!$A$2:$A$501=A249)*(Sell_History!$B$2:$B$501=B249),Sell_History!$C$2:$C$501,""),""))</f>
        <v/>
      </c>
      <c r="E249" s="8" t="str">
        <f>IF(OR(A249="",B249=""),"",IFERROR(XLOOKUP(1,(Raw_Observations!$A$2:$A$1001=A249)*(Raw_Observations!$B$2:$B$1001=B249),Raw_Observations!$D$2:$D$1001,""),""))</f>
        <v/>
      </c>
      <c r="F249" s="8" t="str">
        <f>IF(OR(A249="",B249=""),"",IFERROR(XLOOKUP(1,(Order_History!$A$2:$A$501=A249)*(Order_History!$B$2:$B$501=B249),Order_History!$D$2:$D$501,""),""))</f>
        <v/>
      </c>
      <c r="G249" s="8" t="str">
        <f>IF(COUNTIFS(Pricing!$A:$A,A249,Pricing!$B:$B,B249)=0,"",SUMIFS(Pricing!$G:$G,Pricing!$A:$A,A249,Pricing!$B:$B,B249))</f>
        <v/>
      </c>
      <c r="H249" s="9" t="str">
        <f t="shared" si="17"/>
        <v/>
      </c>
      <c r="I249" s="3">
        <v>0</v>
      </c>
      <c r="J249" s="3">
        <v>0</v>
      </c>
      <c r="K249" s="9" t="str">
        <f t="shared" si="18"/>
        <v/>
      </c>
      <c r="L249" s="6" t="str">
        <f t="shared" si="19"/>
        <v/>
      </c>
      <c r="M249" s="10" t="str">
        <f t="shared" si="20"/>
        <v/>
      </c>
      <c r="N249" s="6" t="str">
        <f t="shared" si="21"/>
        <v/>
      </c>
    </row>
    <row r="250" spans="1:14">
      <c r="A250" s="2"/>
      <c r="B250" s="2"/>
      <c r="C250" s="22" t="str">
        <f>IF(OR(A250="",B250=""),"",IFERROR(XLOOKUP(1,(Buy_History!$A$2:$A$501=A250)*(Buy_History!$B$2:$B$501=B250),Buy_History!$C$2:$C$501,""),""))</f>
        <v/>
      </c>
      <c r="D250" s="22" t="str">
        <f>IF(OR(A250="",B250=""),"",IFERROR(XLOOKUP(1,(Sell_History!$A$2:$A$501=A250)*(Sell_History!$B$2:$B$501=B250),Sell_History!$C$2:$C$501,""),""))</f>
        <v/>
      </c>
      <c r="E250" s="8" t="str">
        <f>IF(OR(A250="",B250=""),"",IFERROR(XLOOKUP(1,(Raw_Observations!$A$2:$A$1001=A250)*(Raw_Observations!$B$2:$B$1001=B250),Raw_Observations!$D$2:$D$1001,""),""))</f>
        <v/>
      </c>
      <c r="F250" s="8" t="str">
        <f>IF(OR(A250="",B250=""),"",IFERROR(XLOOKUP(1,(Order_History!$A$2:$A$501=A250)*(Order_History!$B$2:$B$501=B250),Order_History!$D$2:$D$501,""),""))</f>
        <v/>
      </c>
      <c r="G250" s="8" t="str">
        <f>IF(COUNTIFS(Pricing!$A:$A,A250,Pricing!$B:$B,B250)=0,"",SUMIFS(Pricing!$G:$G,Pricing!$A:$A,A250,Pricing!$B:$B,B250))</f>
        <v/>
      </c>
      <c r="H250" s="9" t="str">
        <f t="shared" si="17"/>
        <v/>
      </c>
      <c r="I250" s="3">
        <v>0</v>
      </c>
      <c r="J250" s="3">
        <v>0</v>
      </c>
      <c r="K250" s="9" t="str">
        <f t="shared" si="18"/>
        <v/>
      </c>
      <c r="L250" s="6" t="str">
        <f t="shared" si="19"/>
        <v/>
      </c>
      <c r="M250" s="10" t="str">
        <f t="shared" si="20"/>
        <v/>
      </c>
      <c r="N250" s="6" t="str">
        <f t="shared" si="21"/>
        <v/>
      </c>
    </row>
    <row r="251" spans="1:14">
      <c r="A251" s="2"/>
      <c r="B251" s="2"/>
      <c r="C251" s="22" t="str">
        <f>IF(OR(A251="",B251=""),"",IFERROR(XLOOKUP(1,(Buy_History!$A$2:$A$501=A251)*(Buy_History!$B$2:$B$501=B251),Buy_History!$C$2:$C$501,""),""))</f>
        <v/>
      </c>
      <c r="D251" s="22" t="str">
        <f>IF(OR(A251="",B251=""),"",IFERROR(XLOOKUP(1,(Sell_History!$A$2:$A$501=A251)*(Sell_History!$B$2:$B$501=B251),Sell_History!$C$2:$C$501,""),""))</f>
        <v/>
      </c>
      <c r="E251" s="8" t="str">
        <f>IF(OR(A251="",B251=""),"",IFERROR(XLOOKUP(1,(Raw_Observations!$A$2:$A$1001=A251)*(Raw_Observations!$B$2:$B$1001=B251),Raw_Observations!$D$2:$D$1001,""),""))</f>
        <v/>
      </c>
      <c r="F251" s="8" t="str">
        <f>IF(OR(A251="",B251=""),"",IFERROR(XLOOKUP(1,(Order_History!$A$2:$A$501=A251)*(Order_History!$B$2:$B$501=B251),Order_History!$D$2:$D$501,""),""))</f>
        <v/>
      </c>
      <c r="G251" s="8" t="str">
        <f>IF(COUNTIFS(Pricing!$A:$A,A251,Pricing!$B:$B,B251)=0,"",SUMIFS(Pricing!$G:$G,Pricing!$A:$A,A251,Pricing!$B:$B,B251))</f>
        <v/>
      </c>
      <c r="H251" s="9" t="str">
        <f t="shared" si="17"/>
        <v/>
      </c>
      <c r="I251" s="3">
        <v>0</v>
      </c>
      <c r="J251" s="3">
        <v>0</v>
      </c>
      <c r="K251" s="9" t="str">
        <f t="shared" si="18"/>
        <v/>
      </c>
      <c r="L251" s="6" t="str">
        <f t="shared" si="19"/>
        <v/>
      </c>
      <c r="M251" s="10" t="str">
        <f t="shared" si="20"/>
        <v/>
      </c>
      <c r="N251" s="6" t="str">
        <f t="shared" si="21"/>
        <v/>
      </c>
    </row>
    <row r="252" spans="1:14">
      <c r="A252" s="2"/>
      <c r="B252" s="2"/>
      <c r="C252" s="22" t="str">
        <f>IF(OR(A252="",B252=""),"",IFERROR(XLOOKUP(1,(Buy_History!$A$2:$A$501=A252)*(Buy_History!$B$2:$B$501=B252),Buy_History!$C$2:$C$501,""),""))</f>
        <v/>
      </c>
      <c r="D252" s="22" t="str">
        <f>IF(OR(A252="",B252=""),"",IFERROR(XLOOKUP(1,(Sell_History!$A$2:$A$501=A252)*(Sell_History!$B$2:$B$501=B252),Sell_History!$C$2:$C$501,""),""))</f>
        <v/>
      </c>
      <c r="E252" s="8" t="str">
        <f>IF(OR(A252="",B252=""),"",IFERROR(XLOOKUP(1,(Raw_Observations!$A$2:$A$1001=A252)*(Raw_Observations!$B$2:$B$1001=B252),Raw_Observations!$D$2:$D$1001,""),""))</f>
        <v/>
      </c>
      <c r="F252" s="8" t="str">
        <f>IF(OR(A252="",B252=""),"",IFERROR(XLOOKUP(1,(Order_History!$A$2:$A$501=A252)*(Order_History!$B$2:$B$501=B252),Order_History!$D$2:$D$501,""),""))</f>
        <v/>
      </c>
      <c r="G252" s="8" t="str">
        <f>IF(COUNTIFS(Pricing!$A:$A,A252,Pricing!$B:$B,B252)=0,"",SUMIFS(Pricing!$G:$G,Pricing!$A:$A,A252,Pricing!$B:$B,B252))</f>
        <v/>
      </c>
      <c r="H252" s="9" t="str">
        <f t="shared" si="17"/>
        <v/>
      </c>
      <c r="I252" s="3">
        <v>0</v>
      </c>
      <c r="J252" s="3">
        <v>0</v>
      </c>
      <c r="K252" s="9" t="str">
        <f t="shared" si="18"/>
        <v/>
      </c>
      <c r="L252" s="6" t="str">
        <f t="shared" si="19"/>
        <v/>
      </c>
      <c r="M252" s="10" t="str">
        <f t="shared" si="20"/>
        <v/>
      </c>
      <c r="N252" s="6" t="str">
        <f t="shared" si="21"/>
        <v/>
      </c>
    </row>
    <row r="253" spans="1:14">
      <c r="A253" s="2"/>
      <c r="B253" s="2"/>
      <c r="C253" s="22" t="str">
        <f>IF(OR(A253="",B253=""),"",IFERROR(XLOOKUP(1,(Buy_History!$A$2:$A$501=A253)*(Buy_History!$B$2:$B$501=B253),Buy_History!$C$2:$C$501,""),""))</f>
        <v/>
      </c>
      <c r="D253" s="22" t="str">
        <f>IF(OR(A253="",B253=""),"",IFERROR(XLOOKUP(1,(Sell_History!$A$2:$A$501=A253)*(Sell_History!$B$2:$B$501=B253),Sell_History!$C$2:$C$501,""),""))</f>
        <v/>
      </c>
      <c r="E253" s="8" t="str">
        <f>IF(OR(A253="",B253=""),"",IFERROR(XLOOKUP(1,(Raw_Observations!$A$2:$A$1001=A253)*(Raw_Observations!$B$2:$B$1001=B253),Raw_Observations!$D$2:$D$1001,""),""))</f>
        <v/>
      </c>
      <c r="F253" s="8" t="str">
        <f>IF(OR(A253="",B253=""),"",IFERROR(XLOOKUP(1,(Order_History!$A$2:$A$501=A253)*(Order_History!$B$2:$B$501=B253),Order_History!$D$2:$D$501,""),""))</f>
        <v/>
      </c>
      <c r="G253" s="8" t="str">
        <f>IF(COUNTIFS(Pricing!$A:$A,A253,Pricing!$B:$B,B253)=0,"",SUMIFS(Pricing!$G:$G,Pricing!$A:$A,A253,Pricing!$B:$B,B253))</f>
        <v/>
      </c>
      <c r="H253" s="9" t="str">
        <f t="shared" si="17"/>
        <v/>
      </c>
      <c r="I253" s="3">
        <v>0</v>
      </c>
      <c r="J253" s="3">
        <v>0</v>
      </c>
      <c r="K253" s="9" t="str">
        <f t="shared" si="18"/>
        <v/>
      </c>
      <c r="L253" s="6" t="str">
        <f t="shared" si="19"/>
        <v/>
      </c>
      <c r="M253" s="10" t="str">
        <f t="shared" si="20"/>
        <v/>
      </c>
      <c r="N253" s="6" t="str">
        <f t="shared" si="21"/>
        <v/>
      </c>
    </row>
    <row r="254" spans="1:14">
      <c r="A254" s="2"/>
      <c r="B254" s="2"/>
      <c r="C254" s="22" t="str">
        <f>IF(OR(A254="",B254=""),"",IFERROR(XLOOKUP(1,(Buy_History!$A$2:$A$501=A254)*(Buy_History!$B$2:$B$501=B254),Buy_History!$C$2:$C$501,""),""))</f>
        <v/>
      </c>
      <c r="D254" s="22" t="str">
        <f>IF(OR(A254="",B254=""),"",IFERROR(XLOOKUP(1,(Sell_History!$A$2:$A$501=A254)*(Sell_History!$B$2:$B$501=B254),Sell_History!$C$2:$C$501,""),""))</f>
        <v/>
      </c>
      <c r="E254" s="8" t="str">
        <f>IF(OR(A254="",B254=""),"",IFERROR(XLOOKUP(1,(Raw_Observations!$A$2:$A$1001=A254)*(Raw_Observations!$B$2:$B$1001=B254),Raw_Observations!$D$2:$D$1001,""),""))</f>
        <v/>
      </c>
      <c r="F254" s="8" t="str">
        <f>IF(OR(A254="",B254=""),"",IFERROR(XLOOKUP(1,(Order_History!$A$2:$A$501=A254)*(Order_History!$B$2:$B$501=B254),Order_History!$D$2:$D$501,""),""))</f>
        <v/>
      </c>
      <c r="G254" s="8" t="str">
        <f>IF(COUNTIFS(Pricing!$A:$A,A254,Pricing!$B:$B,B254)=0,"",SUMIFS(Pricing!$G:$G,Pricing!$A:$A,A254,Pricing!$B:$B,B254))</f>
        <v/>
      </c>
      <c r="H254" s="9" t="str">
        <f t="shared" si="17"/>
        <v/>
      </c>
      <c r="I254" s="3">
        <v>0</v>
      </c>
      <c r="J254" s="3">
        <v>0</v>
      </c>
      <c r="K254" s="9" t="str">
        <f t="shared" si="18"/>
        <v/>
      </c>
      <c r="L254" s="6" t="str">
        <f t="shared" si="19"/>
        <v/>
      </c>
      <c r="M254" s="10" t="str">
        <f t="shared" si="20"/>
        <v/>
      </c>
      <c r="N254" s="6" t="str">
        <f t="shared" si="21"/>
        <v/>
      </c>
    </row>
    <row r="255" spans="1:14">
      <c r="A255" s="2"/>
      <c r="B255" s="2"/>
      <c r="C255" s="22" t="str">
        <f>IF(OR(A255="",B255=""),"",IFERROR(XLOOKUP(1,(Buy_History!$A$2:$A$501=A255)*(Buy_History!$B$2:$B$501=B255),Buy_History!$C$2:$C$501,""),""))</f>
        <v/>
      </c>
      <c r="D255" s="22" t="str">
        <f>IF(OR(A255="",B255=""),"",IFERROR(XLOOKUP(1,(Sell_History!$A$2:$A$501=A255)*(Sell_History!$B$2:$B$501=B255),Sell_History!$C$2:$C$501,""),""))</f>
        <v/>
      </c>
      <c r="E255" s="8" t="str">
        <f>IF(OR(A255="",B255=""),"",IFERROR(XLOOKUP(1,(Raw_Observations!$A$2:$A$1001=A255)*(Raw_Observations!$B$2:$B$1001=B255),Raw_Observations!$D$2:$D$1001,""),""))</f>
        <v/>
      </c>
      <c r="F255" s="8" t="str">
        <f>IF(OR(A255="",B255=""),"",IFERROR(XLOOKUP(1,(Order_History!$A$2:$A$501=A255)*(Order_History!$B$2:$B$501=B255),Order_History!$D$2:$D$501,""),""))</f>
        <v/>
      </c>
      <c r="G255" s="8" t="str">
        <f>IF(COUNTIFS(Pricing!$A:$A,A255,Pricing!$B:$B,B255)=0,"",SUMIFS(Pricing!$G:$G,Pricing!$A:$A,A255,Pricing!$B:$B,B255))</f>
        <v/>
      </c>
      <c r="H255" s="9" t="str">
        <f t="shared" si="17"/>
        <v/>
      </c>
      <c r="I255" s="3">
        <v>0</v>
      </c>
      <c r="J255" s="3">
        <v>0</v>
      </c>
      <c r="K255" s="9" t="str">
        <f t="shared" si="18"/>
        <v/>
      </c>
      <c r="L255" s="6" t="str">
        <f t="shared" si="19"/>
        <v/>
      </c>
      <c r="M255" s="10" t="str">
        <f t="shared" si="20"/>
        <v/>
      </c>
      <c r="N255" s="6" t="str">
        <f t="shared" si="21"/>
        <v/>
      </c>
    </row>
    <row r="256" spans="1:14">
      <c r="A256" s="2"/>
      <c r="B256" s="2"/>
      <c r="C256" s="22" t="str">
        <f>IF(OR(A256="",B256=""),"",IFERROR(XLOOKUP(1,(Buy_History!$A$2:$A$501=A256)*(Buy_History!$B$2:$B$501=B256),Buy_History!$C$2:$C$501,""),""))</f>
        <v/>
      </c>
      <c r="D256" s="22" t="str">
        <f>IF(OR(A256="",B256=""),"",IFERROR(XLOOKUP(1,(Sell_History!$A$2:$A$501=A256)*(Sell_History!$B$2:$B$501=B256),Sell_History!$C$2:$C$501,""),""))</f>
        <v/>
      </c>
      <c r="E256" s="8" t="str">
        <f>IF(OR(A256="",B256=""),"",IFERROR(XLOOKUP(1,(Raw_Observations!$A$2:$A$1001=A256)*(Raw_Observations!$B$2:$B$1001=B256),Raw_Observations!$D$2:$D$1001,""),""))</f>
        <v/>
      </c>
      <c r="F256" s="8" t="str">
        <f>IF(OR(A256="",B256=""),"",IFERROR(XLOOKUP(1,(Order_History!$A$2:$A$501=A256)*(Order_History!$B$2:$B$501=B256),Order_History!$D$2:$D$501,""),""))</f>
        <v/>
      </c>
      <c r="G256" s="8" t="str">
        <f>IF(COUNTIFS(Pricing!$A:$A,A256,Pricing!$B:$B,B256)=0,"",SUMIFS(Pricing!$G:$G,Pricing!$A:$A,A256,Pricing!$B:$B,B256))</f>
        <v/>
      </c>
      <c r="H256" s="9" t="str">
        <f t="shared" si="17"/>
        <v/>
      </c>
      <c r="I256" s="3">
        <v>0</v>
      </c>
      <c r="J256" s="3">
        <v>0</v>
      </c>
      <c r="K256" s="9" t="str">
        <f t="shared" si="18"/>
        <v/>
      </c>
      <c r="L256" s="6" t="str">
        <f t="shared" si="19"/>
        <v/>
      </c>
      <c r="M256" s="10" t="str">
        <f t="shared" si="20"/>
        <v/>
      </c>
      <c r="N256" s="6" t="str">
        <f t="shared" si="21"/>
        <v/>
      </c>
    </row>
    <row r="257" spans="1:14">
      <c r="A257" s="2"/>
      <c r="B257" s="2"/>
      <c r="C257" s="22" t="str">
        <f>IF(OR(A257="",B257=""),"",IFERROR(XLOOKUP(1,(Buy_History!$A$2:$A$501=A257)*(Buy_History!$B$2:$B$501=B257),Buy_History!$C$2:$C$501,""),""))</f>
        <v/>
      </c>
      <c r="D257" s="22" t="str">
        <f>IF(OR(A257="",B257=""),"",IFERROR(XLOOKUP(1,(Sell_History!$A$2:$A$501=A257)*(Sell_History!$B$2:$B$501=B257),Sell_History!$C$2:$C$501,""),""))</f>
        <v/>
      </c>
      <c r="E257" s="8" t="str">
        <f>IF(OR(A257="",B257=""),"",IFERROR(XLOOKUP(1,(Raw_Observations!$A$2:$A$1001=A257)*(Raw_Observations!$B$2:$B$1001=B257),Raw_Observations!$D$2:$D$1001,""),""))</f>
        <v/>
      </c>
      <c r="F257" s="8" t="str">
        <f>IF(OR(A257="",B257=""),"",IFERROR(XLOOKUP(1,(Order_History!$A$2:$A$501=A257)*(Order_History!$B$2:$B$501=B257),Order_History!$D$2:$D$501,""),""))</f>
        <v/>
      </c>
      <c r="G257" s="8" t="str">
        <f>IF(COUNTIFS(Pricing!$A:$A,A257,Pricing!$B:$B,B257)=0,"",SUMIFS(Pricing!$G:$G,Pricing!$A:$A,A257,Pricing!$B:$B,B257))</f>
        <v/>
      </c>
      <c r="H257" s="9" t="str">
        <f t="shared" si="17"/>
        <v/>
      </c>
      <c r="I257" s="3">
        <v>0</v>
      </c>
      <c r="J257" s="3">
        <v>0</v>
      </c>
      <c r="K257" s="9" t="str">
        <f t="shared" si="18"/>
        <v/>
      </c>
      <c r="L257" s="6" t="str">
        <f t="shared" si="19"/>
        <v/>
      </c>
      <c r="M257" s="10" t="str">
        <f t="shared" si="20"/>
        <v/>
      </c>
      <c r="N257" s="6" t="str">
        <f t="shared" si="21"/>
        <v/>
      </c>
    </row>
    <row r="258" spans="1:14">
      <c r="A258" s="2"/>
      <c r="B258" s="2"/>
      <c r="C258" s="22" t="str">
        <f>IF(OR(A258="",B258=""),"",IFERROR(XLOOKUP(1,(Buy_History!$A$2:$A$501=A258)*(Buy_History!$B$2:$B$501=B258),Buy_History!$C$2:$C$501,""),""))</f>
        <v/>
      </c>
      <c r="D258" s="22" t="str">
        <f>IF(OR(A258="",B258=""),"",IFERROR(XLOOKUP(1,(Sell_History!$A$2:$A$501=A258)*(Sell_History!$B$2:$B$501=B258),Sell_History!$C$2:$C$501,""),""))</f>
        <v/>
      </c>
      <c r="E258" s="8" t="str">
        <f>IF(OR(A258="",B258=""),"",IFERROR(XLOOKUP(1,(Raw_Observations!$A$2:$A$1001=A258)*(Raw_Observations!$B$2:$B$1001=B258),Raw_Observations!$D$2:$D$1001,""),""))</f>
        <v/>
      </c>
      <c r="F258" s="8" t="str">
        <f>IF(OR(A258="",B258=""),"",IFERROR(XLOOKUP(1,(Order_History!$A$2:$A$501=A258)*(Order_History!$B$2:$B$501=B258),Order_History!$D$2:$D$501,""),""))</f>
        <v/>
      </c>
      <c r="G258" s="8" t="str">
        <f>IF(COUNTIFS(Pricing!$A:$A,A258,Pricing!$B:$B,B258)=0,"",SUMIFS(Pricing!$G:$G,Pricing!$A:$A,A258,Pricing!$B:$B,B258))</f>
        <v/>
      </c>
      <c r="H258" s="9" t="str">
        <f t="shared" ref="H258:H321" si="22">IF(OR(E258="",F258=""),"",F258-E258)</f>
        <v/>
      </c>
      <c r="I258" s="3">
        <v>0</v>
      </c>
      <c r="J258" s="3">
        <v>0</v>
      </c>
      <c r="K258" s="9" t="str">
        <f t="shared" ref="K258:K321" si="23">IF(H258="","",H258-I258-J258)</f>
        <v/>
      </c>
      <c r="L258" s="6" t="str">
        <f t="shared" ref="L258:L321" si="24">IF(OR(K258="",E258=""),"",K258/E258)</f>
        <v/>
      </c>
      <c r="M258" s="10" t="str">
        <f t="shared" ref="M258:M321" si="25">IF(OR(C258="",D258=""),"",MAX(1,ROUNDUP(D258-C258,0)))</f>
        <v/>
      </c>
      <c r="N258" s="6" t="str">
        <f t="shared" ref="N258:N321" si="26">IF(OR(L258="",M258=""),"",(1+L258)^(365/M258)-1)</f>
        <v/>
      </c>
    </row>
    <row r="259" spans="1:14">
      <c r="A259" s="2"/>
      <c r="B259" s="2"/>
      <c r="C259" s="22" t="str">
        <f>IF(OR(A259="",B259=""),"",IFERROR(XLOOKUP(1,(Buy_History!$A$2:$A$501=A259)*(Buy_History!$B$2:$B$501=B259),Buy_History!$C$2:$C$501,""),""))</f>
        <v/>
      </c>
      <c r="D259" s="22" t="str">
        <f>IF(OR(A259="",B259=""),"",IFERROR(XLOOKUP(1,(Sell_History!$A$2:$A$501=A259)*(Sell_History!$B$2:$B$501=B259),Sell_History!$C$2:$C$501,""),""))</f>
        <v/>
      </c>
      <c r="E259" s="8" t="str">
        <f>IF(OR(A259="",B259=""),"",IFERROR(XLOOKUP(1,(Raw_Observations!$A$2:$A$1001=A259)*(Raw_Observations!$B$2:$B$1001=B259),Raw_Observations!$D$2:$D$1001,""),""))</f>
        <v/>
      </c>
      <c r="F259" s="8" t="str">
        <f>IF(OR(A259="",B259=""),"",IFERROR(XLOOKUP(1,(Order_History!$A$2:$A$501=A259)*(Order_History!$B$2:$B$501=B259),Order_History!$D$2:$D$501,""),""))</f>
        <v/>
      </c>
      <c r="G259" s="8" t="str">
        <f>IF(COUNTIFS(Pricing!$A:$A,A259,Pricing!$B:$B,B259)=0,"",SUMIFS(Pricing!$G:$G,Pricing!$A:$A,A259,Pricing!$B:$B,B259))</f>
        <v/>
      </c>
      <c r="H259" s="9" t="str">
        <f t="shared" si="22"/>
        <v/>
      </c>
      <c r="I259" s="3">
        <v>0</v>
      </c>
      <c r="J259" s="3">
        <v>0</v>
      </c>
      <c r="K259" s="9" t="str">
        <f t="shared" si="23"/>
        <v/>
      </c>
      <c r="L259" s="6" t="str">
        <f t="shared" si="24"/>
        <v/>
      </c>
      <c r="M259" s="10" t="str">
        <f t="shared" si="25"/>
        <v/>
      </c>
      <c r="N259" s="6" t="str">
        <f t="shared" si="26"/>
        <v/>
      </c>
    </row>
    <row r="260" spans="1:14">
      <c r="A260" s="2"/>
      <c r="B260" s="2"/>
      <c r="C260" s="22" t="str">
        <f>IF(OR(A260="",B260=""),"",IFERROR(XLOOKUP(1,(Buy_History!$A$2:$A$501=A260)*(Buy_History!$B$2:$B$501=B260),Buy_History!$C$2:$C$501,""),""))</f>
        <v/>
      </c>
      <c r="D260" s="22" t="str">
        <f>IF(OR(A260="",B260=""),"",IFERROR(XLOOKUP(1,(Sell_History!$A$2:$A$501=A260)*(Sell_History!$B$2:$B$501=B260),Sell_History!$C$2:$C$501,""),""))</f>
        <v/>
      </c>
      <c r="E260" s="8" t="str">
        <f>IF(OR(A260="",B260=""),"",IFERROR(XLOOKUP(1,(Raw_Observations!$A$2:$A$1001=A260)*(Raw_Observations!$B$2:$B$1001=B260),Raw_Observations!$D$2:$D$1001,""),""))</f>
        <v/>
      </c>
      <c r="F260" s="8" t="str">
        <f>IF(OR(A260="",B260=""),"",IFERROR(XLOOKUP(1,(Order_History!$A$2:$A$501=A260)*(Order_History!$B$2:$B$501=B260),Order_History!$D$2:$D$501,""),""))</f>
        <v/>
      </c>
      <c r="G260" s="8" t="str">
        <f>IF(COUNTIFS(Pricing!$A:$A,A260,Pricing!$B:$B,B260)=0,"",SUMIFS(Pricing!$G:$G,Pricing!$A:$A,A260,Pricing!$B:$B,B260))</f>
        <v/>
      </c>
      <c r="H260" s="9" t="str">
        <f t="shared" si="22"/>
        <v/>
      </c>
      <c r="I260" s="3">
        <v>0</v>
      </c>
      <c r="J260" s="3">
        <v>0</v>
      </c>
      <c r="K260" s="9" t="str">
        <f t="shared" si="23"/>
        <v/>
      </c>
      <c r="L260" s="6" t="str">
        <f t="shared" si="24"/>
        <v/>
      </c>
      <c r="M260" s="10" t="str">
        <f t="shared" si="25"/>
        <v/>
      </c>
      <c r="N260" s="6" t="str">
        <f t="shared" si="26"/>
        <v/>
      </c>
    </row>
    <row r="261" spans="1:14">
      <c r="A261" s="2"/>
      <c r="B261" s="2"/>
      <c r="C261" s="22" t="str">
        <f>IF(OR(A261="",B261=""),"",IFERROR(XLOOKUP(1,(Buy_History!$A$2:$A$501=A261)*(Buy_History!$B$2:$B$501=B261),Buy_History!$C$2:$C$501,""),""))</f>
        <v/>
      </c>
      <c r="D261" s="22" t="str">
        <f>IF(OR(A261="",B261=""),"",IFERROR(XLOOKUP(1,(Sell_History!$A$2:$A$501=A261)*(Sell_History!$B$2:$B$501=B261),Sell_History!$C$2:$C$501,""),""))</f>
        <v/>
      </c>
      <c r="E261" s="8" t="str">
        <f>IF(OR(A261="",B261=""),"",IFERROR(XLOOKUP(1,(Raw_Observations!$A$2:$A$1001=A261)*(Raw_Observations!$B$2:$B$1001=B261),Raw_Observations!$D$2:$D$1001,""),""))</f>
        <v/>
      </c>
      <c r="F261" s="8" t="str">
        <f>IF(OR(A261="",B261=""),"",IFERROR(XLOOKUP(1,(Order_History!$A$2:$A$501=A261)*(Order_History!$B$2:$B$501=B261),Order_History!$D$2:$D$501,""),""))</f>
        <v/>
      </c>
      <c r="G261" s="8" t="str">
        <f>IF(COUNTIFS(Pricing!$A:$A,A261,Pricing!$B:$B,B261)=0,"",SUMIFS(Pricing!$G:$G,Pricing!$A:$A,A261,Pricing!$B:$B,B261))</f>
        <v/>
      </c>
      <c r="H261" s="9" t="str">
        <f t="shared" si="22"/>
        <v/>
      </c>
      <c r="I261" s="3">
        <v>0</v>
      </c>
      <c r="J261" s="3">
        <v>0</v>
      </c>
      <c r="K261" s="9" t="str">
        <f t="shared" si="23"/>
        <v/>
      </c>
      <c r="L261" s="6" t="str">
        <f t="shared" si="24"/>
        <v/>
      </c>
      <c r="M261" s="10" t="str">
        <f t="shared" si="25"/>
        <v/>
      </c>
      <c r="N261" s="6" t="str">
        <f t="shared" si="26"/>
        <v/>
      </c>
    </row>
    <row r="262" spans="1:14">
      <c r="A262" s="2"/>
      <c r="B262" s="2"/>
      <c r="C262" s="22" t="str">
        <f>IF(OR(A262="",B262=""),"",IFERROR(XLOOKUP(1,(Buy_History!$A$2:$A$501=A262)*(Buy_History!$B$2:$B$501=B262),Buy_History!$C$2:$C$501,""),""))</f>
        <v/>
      </c>
      <c r="D262" s="22" t="str">
        <f>IF(OR(A262="",B262=""),"",IFERROR(XLOOKUP(1,(Sell_History!$A$2:$A$501=A262)*(Sell_History!$B$2:$B$501=B262),Sell_History!$C$2:$C$501,""),""))</f>
        <v/>
      </c>
      <c r="E262" s="8" t="str">
        <f>IF(OR(A262="",B262=""),"",IFERROR(XLOOKUP(1,(Raw_Observations!$A$2:$A$1001=A262)*(Raw_Observations!$B$2:$B$1001=B262),Raw_Observations!$D$2:$D$1001,""),""))</f>
        <v/>
      </c>
      <c r="F262" s="8" t="str">
        <f>IF(OR(A262="",B262=""),"",IFERROR(XLOOKUP(1,(Order_History!$A$2:$A$501=A262)*(Order_History!$B$2:$B$501=B262),Order_History!$D$2:$D$501,""),""))</f>
        <v/>
      </c>
      <c r="G262" s="8" t="str">
        <f>IF(COUNTIFS(Pricing!$A:$A,A262,Pricing!$B:$B,B262)=0,"",SUMIFS(Pricing!$G:$G,Pricing!$A:$A,A262,Pricing!$B:$B,B262))</f>
        <v/>
      </c>
      <c r="H262" s="9" t="str">
        <f t="shared" si="22"/>
        <v/>
      </c>
      <c r="I262" s="3">
        <v>0</v>
      </c>
      <c r="J262" s="3">
        <v>0</v>
      </c>
      <c r="K262" s="9" t="str">
        <f t="shared" si="23"/>
        <v/>
      </c>
      <c r="L262" s="6" t="str">
        <f t="shared" si="24"/>
        <v/>
      </c>
      <c r="M262" s="10" t="str">
        <f t="shared" si="25"/>
        <v/>
      </c>
      <c r="N262" s="6" t="str">
        <f t="shared" si="26"/>
        <v/>
      </c>
    </row>
    <row r="263" spans="1:14">
      <c r="A263" s="2"/>
      <c r="B263" s="2"/>
      <c r="C263" s="22" t="str">
        <f>IF(OR(A263="",B263=""),"",IFERROR(XLOOKUP(1,(Buy_History!$A$2:$A$501=A263)*(Buy_History!$B$2:$B$501=B263),Buy_History!$C$2:$C$501,""),""))</f>
        <v/>
      </c>
      <c r="D263" s="22" t="str">
        <f>IF(OR(A263="",B263=""),"",IFERROR(XLOOKUP(1,(Sell_History!$A$2:$A$501=A263)*(Sell_History!$B$2:$B$501=B263),Sell_History!$C$2:$C$501,""),""))</f>
        <v/>
      </c>
      <c r="E263" s="8" t="str">
        <f>IF(OR(A263="",B263=""),"",IFERROR(XLOOKUP(1,(Raw_Observations!$A$2:$A$1001=A263)*(Raw_Observations!$B$2:$B$1001=B263),Raw_Observations!$D$2:$D$1001,""),""))</f>
        <v/>
      </c>
      <c r="F263" s="8" t="str">
        <f>IF(OR(A263="",B263=""),"",IFERROR(XLOOKUP(1,(Order_History!$A$2:$A$501=A263)*(Order_History!$B$2:$B$501=B263),Order_History!$D$2:$D$501,""),""))</f>
        <v/>
      </c>
      <c r="G263" s="8" t="str">
        <f>IF(COUNTIFS(Pricing!$A:$A,A263,Pricing!$B:$B,B263)=0,"",SUMIFS(Pricing!$G:$G,Pricing!$A:$A,A263,Pricing!$B:$B,B263))</f>
        <v/>
      </c>
      <c r="H263" s="9" t="str">
        <f t="shared" si="22"/>
        <v/>
      </c>
      <c r="I263" s="3">
        <v>0</v>
      </c>
      <c r="J263" s="3">
        <v>0</v>
      </c>
      <c r="K263" s="9" t="str">
        <f t="shared" si="23"/>
        <v/>
      </c>
      <c r="L263" s="6" t="str">
        <f t="shared" si="24"/>
        <v/>
      </c>
      <c r="M263" s="10" t="str">
        <f t="shared" si="25"/>
        <v/>
      </c>
      <c r="N263" s="6" t="str">
        <f t="shared" si="26"/>
        <v/>
      </c>
    </row>
    <row r="264" spans="1:14">
      <c r="A264" s="2"/>
      <c r="B264" s="2"/>
      <c r="C264" s="22" t="str">
        <f>IF(OR(A264="",B264=""),"",IFERROR(XLOOKUP(1,(Buy_History!$A$2:$A$501=A264)*(Buy_History!$B$2:$B$501=B264),Buy_History!$C$2:$C$501,""),""))</f>
        <v/>
      </c>
      <c r="D264" s="22" t="str">
        <f>IF(OR(A264="",B264=""),"",IFERROR(XLOOKUP(1,(Sell_History!$A$2:$A$501=A264)*(Sell_History!$B$2:$B$501=B264),Sell_History!$C$2:$C$501,""),""))</f>
        <v/>
      </c>
      <c r="E264" s="8" t="str">
        <f>IF(OR(A264="",B264=""),"",IFERROR(XLOOKUP(1,(Raw_Observations!$A$2:$A$1001=A264)*(Raw_Observations!$B$2:$B$1001=B264),Raw_Observations!$D$2:$D$1001,""),""))</f>
        <v/>
      </c>
      <c r="F264" s="8" t="str">
        <f>IF(OR(A264="",B264=""),"",IFERROR(XLOOKUP(1,(Order_History!$A$2:$A$501=A264)*(Order_History!$B$2:$B$501=B264),Order_History!$D$2:$D$501,""),""))</f>
        <v/>
      </c>
      <c r="G264" s="8" t="str">
        <f>IF(COUNTIFS(Pricing!$A:$A,A264,Pricing!$B:$B,B264)=0,"",SUMIFS(Pricing!$G:$G,Pricing!$A:$A,A264,Pricing!$B:$B,B264))</f>
        <v/>
      </c>
      <c r="H264" s="9" t="str">
        <f t="shared" si="22"/>
        <v/>
      </c>
      <c r="I264" s="3">
        <v>0</v>
      </c>
      <c r="J264" s="3">
        <v>0</v>
      </c>
      <c r="K264" s="9" t="str">
        <f t="shared" si="23"/>
        <v/>
      </c>
      <c r="L264" s="6" t="str">
        <f t="shared" si="24"/>
        <v/>
      </c>
      <c r="M264" s="10" t="str">
        <f t="shared" si="25"/>
        <v/>
      </c>
      <c r="N264" s="6" t="str">
        <f t="shared" si="26"/>
        <v/>
      </c>
    </row>
    <row r="265" spans="1:14">
      <c r="A265" s="2"/>
      <c r="B265" s="2"/>
      <c r="C265" s="22" t="str">
        <f>IF(OR(A265="",B265=""),"",IFERROR(XLOOKUP(1,(Buy_History!$A$2:$A$501=A265)*(Buy_History!$B$2:$B$501=B265),Buy_History!$C$2:$C$501,""),""))</f>
        <v/>
      </c>
      <c r="D265" s="22" t="str">
        <f>IF(OR(A265="",B265=""),"",IFERROR(XLOOKUP(1,(Sell_History!$A$2:$A$501=A265)*(Sell_History!$B$2:$B$501=B265),Sell_History!$C$2:$C$501,""),""))</f>
        <v/>
      </c>
      <c r="E265" s="8" t="str">
        <f>IF(OR(A265="",B265=""),"",IFERROR(XLOOKUP(1,(Raw_Observations!$A$2:$A$1001=A265)*(Raw_Observations!$B$2:$B$1001=B265),Raw_Observations!$D$2:$D$1001,""),""))</f>
        <v/>
      </c>
      <c r="F265" s="8" t="str">
        <f>IF(OR(A265="",B265=""),"",IFERROR(XLOOKUP(1,(Order_History!$A$2:$A$501=A265)*(Order_History!$B$2:$B$501=B265),Order_History!$D$2:$D$501,""),""))</f>
        <v/>
      </c>
      <c r="G265" s="8" t="str">
        <f>IF(COUNTIFS(Pricing!$A:$A,A265,Pricing!$B:$B,B265)=0,"",SUMIFS(Pricing!$G:$G,Pricing!$A:$A,A265,Pricing!$B:$B,B265))</f>
        <v/>
      </c>
      <c r="H265" s="9" t="str">
        <f t="shared" si="22"/>
        <v/>
      </c>
      <c r="I265" s="3">
        <v>0</v>
      </c>
      <c r="J265" s="3">
        <v>0</v>
      </c>
      <c r="K265" s="9" t="str">
        <f t="shared" si="23"/>
        <v/>
      </c>
      <c r="L265" s="6" t="str">
        <f t="shared" si="24"/>
        <v/>
      </c>
      <c r="M265" s="10" t="str">
        <f t="shared" si="25"/>
        <v/>
      </c>
      <c r="N265" s="6" t="str">
        <f t="shared" si="26"/>
        <v/>
      </c>
    </row>
    <row r="266" spans="1:14">
      <c r="A266" s="2"/>
      <c r="B266" s="2"/>
      <c r="C266" s="22" t="str">
        <f>IF(OR(A266="",B266=""),"",IFERROR(XLOOKUP(1,(Buy_History!$A$2:$A$501=A266)*(Buy_History!$B$2:$B$501=B266),Buy_History!$C$2:$C$501,""),""))</f>
        <v/>
      </c>
      <c r="D266" s="22" t="str">
        <f>IF(OR(A266="",B266=""),"",IFERROR(XLOOKUP(1,(Sell_History!$A$2:$A$501=A266)*(Sell_History!$B$2:$B$501=B266),Sell_History!$C$2:$C$501,""),""))</f>
        <v/>
      </c>
      <c r="E266" s="8" t="str">
        <f>IF(OR(A266="",B266=""),"",IFERROR(XLOOKUP(1,(Raw_Observations!$A$2:$A$1001=A266)*(Raw_Observations!$B$2:$B$1001=B266),Raw_Observations!$D$2:$D$1001,""),""))</f>
        <v/>
      </c>
      <c r="F266" s="8" t="str">
        <f>IF(OR(A266="",B266=""),"",IFERROR(XLOOKUP(1,(Order_History!$A$2:$A$501=A266)*(Order_History!$B$2:$B$501=B266),Order_History!$D$2:$D$501,""),""))</f>
        <v/>
      </c>
      <c r="G266" s="8" t="str">
        <f>IF(COUNTIFS(Pricing!$A:$A,A266,Pricing!$B:$B,B266)=0,"",SUMIFS(Pricing!$G:$G,Pricing!$A:$A,A266,Pricing!$B:$B,B266))</f>
        <v/>
      </c>
      <c r="H266" s="9" t="str">
        <f t="shared" si="22"/>
        <v/>
      </c>
      <c r="I266" s="3">
        <v>0</v>
      </c>
      <c r="J266" s="3">
        <v>0</v>
      </c>
      <c r="K266" s="9" t="str">
        <f t="shared" si="23"/>
        <v/>
      </c>
      <c r="L266" s="6" t="str">
        <f t="shared" si="24"/>
        <v/>
      </c>
      <c r="M266" s="10" t="str">
        <f t="shared" si="25"/>
        <v/>
      </c>
      <c r="N266" s="6" t="str">
        <f t="shared" si="26"/>
        <v/>
      </c>
    </row>
    <row r="267" spans="1:14">
      <c r="A267" s="2"/>
      <c r="B267" s="2"/>
      <c r="C267" s="22" t="str">
        <f>IF(OR(A267="",B267=""),"",IFERROR(XLOOKUP(1,(Buy_History!$A$2:$A$501=A267)*(Buy_History!$B$2:$B$501=B267),Buy_History!$C$2:$C$501,""),""))</f>
        <v/>
      </c>
      <c r="D267" s="22" t="str">
        <f>IF(OR(A267="",B267=""),"",IFERROR(XLOOKUP(1,(Sell_History!$A$2:$A$501=A267)*(Sell_History!$B$2:$B$501=B267),Sell_History!$C$2:$C$501,""),""))</f>
        <v/>
      </c>
      <c r="E267" s="8" t="str">
        <f>IF(OR(A267="",B267=""),"",IFERROR(XLOOKUP(1,(Raw_Observations!$A$2:$A$1001=A267)*(Raw_Observations!$B$2:$B$1001=B267),Raw_Observations!$D$2:$D$1001,""),""))</f>
        <v/>
      </c>
      <c r="F267" s="8" t="str">
        <f>IF(OR(A267="",B267=""),"",IFERROR(XLOOKUP(1,(Order_History!$A$2:$A$501=A267)*(Order_History!$B$2:$B$501=B267),Order_History!$D$2:$D$501,""),""))</f>
        <v/>
      </c>
      <c r="G267" s="8" t="str">
        <f>IF(COUNTIFS(Pricing!$A:$A,A267,Pricing!$B:$B,B267)=0,"",SUMIFS(Pricing!$G:$G,Pricing!$A:$A,A267,Pricing!$B:$B,B267))</f>
        <v/>
      </c>
      <c r="H267" s="9" t="str">
        <f t="shared" si="22"/>
        <v/>
      </c>
      <c r="I267" s="3">
        <v>0</v>
      </c>
      <c r="J267" s="3">
        <v>0</v>
      </c>
      <c r="K267" s="9" t="str">
        <f t="shared" si="23"/>
        <v/>
      </c>
      <c r="L267" s="6" t="str">
        <f t="shared" si="24"/>
        <v/>
      </c>
      <c r="M267" s="10" t="str">
        <f t="shared" si="25"/>
        <v/>
      </c>
      <c r="N267" s="6" t="str">
        <f t="shared" si="26"/>
        <v/>
      </c>
    </row>
    <row r="268" spans="1:14">
      <c r="A268" s="2"/>
      <c r="B268" s="2"/>
      <c r="C268" s="22" t="str">
        <f>IF(OR(A268="",B268=""),"",IFERROR(XLOOKUP(1,(Buy_History!$A$2:$A$501=A268)*(Buy_History!$B$2:$B$501=B268),Buy_History!$C$2:$C$501,""),""))</f>
        <v/>
      </c>
      <c r="D268" s="22" t="str">
        <f>IF(OR(A268="",B268=""),"",IFERROR(XLOOKUP(1,(Sell_History!$A$2:$A$501=A268)*(Sell_History!$B$2:$B$501=B268),Sell_History!$C$2:$C$501,""),""))</f>
        <v/>
      </c>
      <c r="E268" s="8" t="str">
        <f>IF(OR(A268="",B268=""),"",IFERROR(XLOOKUP(1,(Raw_Observations!$A$2:$A$1001=A268)*(Raw_Observations!$B$2:$B$1001=B268),Raw_Observations!$D$2:$D$1001,""),""))</f>
        <v/>
      </c>
      <c r="F268" s="8" t="str">
        <f>IF(OR(A268="",B268=""),"",IFERROR(XLOOKUP(1,(Order_History!$A$2:$A$501=A268)*(Order_History!$B$2:$B$501=B268),Order_History!$D$2:$D$501,""),""))</f>
        <v/>
      </c>
      <c r="G268" s="8" t="str">
        <f>IF(COUNTIFS(Pricing!$A:$A,A268,Pricing!$B:$B,B268)=0,"",SUMIFS(Pricing!$G:$G,Pricing!$A:$A,A268,Pricing!$B:$B,B268))</f>
        <v/>
      </c>
      <c r="H268" s="9" t="str">
        <f t="shared" si="22"/>
        <v/>
      </c>
      <c r="I268" s="3">
        <v>0</v>
      </c>
      <c r="J268" s="3">
        <v>0</v>
      </c>
      <c r="K268" s="9" t="str">
        <f t="shared" si="23"/>
        <v/>
      </c>
      <c r="L268" s="6" t="str">
        <f t="shared" si="24"/>
        <v/>
      </c>
      <c r="M268" s="10" t="str">
        <f t="shared" si="25"/>
        <v/>
      </c>
      <c r="N268" s="6" t="str">
        <f t="shared" si="26"/>
        <v/>
      </c>
    </row>
    <row r="269" spans="1:14">
      <c r="A269" s="2"/>
      <c r="B269" s="2"/>
      <c r="C269" s="22" t="str">
        <f>IF(OR(A269="",B269=""),"",IFERROR(XLOOKUP(1,(Buy_History!$A$2:$A$501=A269)*(Buy_History!$B$2:$B$501=B269),Buy_History!$C$2:$C$501,""),""))</f>
        <v/>
      </c>
      <c r="D269" s="22" t="str">
        <f>IF(OR(A269="",B269=""),"",IFERROR(XLOOKUP(1,(Sell_History!$A$2:$A$501=A269)*(Sell_History!$B$2:$B$501=B269),Sell_History!$C$2:$C$501,""),""))</f>
        <v/>
      </c>
      <c r="E269" s="8" t="str">
        <f>IF(OR(A269="",B269=""),"",IFERROR(XLOOKUP(1,(Raw_Observations!$A$2:$A$1001=A269)*(Raw_Observations!$B$2:$B$1001=B269),Raw_Observations!$D$2:$D$1001,""),""))</f>
        <v/>
      </c>
      <c r="F269" s="8" t="str">
        <f>IF(OR(A269="",B269=""),"",IFERROR(XLOOKUP(1,(Order_History!$A$2:$A$501=A269)*(Order_History!$B$2:$B$501=B269),Order_History!$D$2:$D$501,""),""))</f>
        <v/>
      </c>
      <c r="G269" s="8" t="str">
        <f>IF(COUNTIFS(Pricing!$A:$A,A269,Pricing!$B:$B,B269)=0,"",SUMIFS(Pricing!$G:$G,Pricing!$A:$A,A269,Pricing!$B:$B,B269))</f>
        <v/>
      </c>
      <c r="H269" s="9" t="str">
        <f t="shared" si="22"/>
        <v/>
      </c>
      <c r="I269" s="3">
        <v>0</v>
      </c>
      <c r="J269" s="3">
        <v>0</v>
      </c>
      <c r="K269" s="9" t="str">
        <f t="shared" si="23"/>
        <v/>
      </c>
      <c r="L269" s="6" t="str">
        <f t="shared" si="24"/>
        <v/>
      </c>
      <c r="M269" s="10" t="str">
        <f t="shared" si="25"/>
        <v/>
      </c>
      <c r="N269" s="6" t="str">
        <f t="shared" si="26"/>
        <v/>
      </c>
    </row>
    <row r="270" spans="1:14">
      <c r="A270" s="2"/>
      <c r="B270" s="2"/>
      <c r="C270" s="22" t="str">
        <f>IF(OR(A270="",B270=""),"",IFERROR(XLOOKUP(1,(Buy_History!$A$2:$A$501=A270)*(Buy_History!$B$2:$B$501=B270),Buy_History!$C$2:$C$501,""),""))</f>
        <v/>
      </c>
      <c r="D270" s="22" t="str">
        <f>IF(OR(A270="",B270=""),"",IFERROR(XLOOKUP(1,(Sell_History!$A$2:$A$501=A270)*(Sell_History!$B$2:$B$501=B270),Sell_History!$C$2:$C$501,""),""))</f>
        <v/>
      </c>
      <c r="E270" s="8" t="str">
        <f>IF(OR(A270="",B270=""),"",IFERROR(XLOOKUP(1,(Raw_Observations!$A$2:$A$1001=A270)*(Raw_Observations!$B$2:$B$1001=B270),Raw_Observations!$D$2:$D$1001,""),""))</f>
        <v/>
      </c>
      <c r="F270" s="8" t="str">
        <f>IF(OR(A270="",B270=""),"",IFERROR(XLOOKUP(1,(Order_History!$A$2:$A$501=A270)*(Order_History!$B$2:$B$501=B270),Order_History!$D$2:$D$501,""),""))</f>
        <v/>
      </c>
      <c r="G270" s="8" t="str">
        <f>IF(COUNTIFS(Pricing!$A:$A,A270,Pricing!$B:$B,B270)=0,"",SUMIFS(Pricing!$G:$G,Pricing!$A:$A,A270,Pricing!$B:$B,B270))</f>
        <v/>
      </c>
      <c r="H270" s="9" t="str">
        <f t="shared" si="22"/>
        <v/>
      </c>
      <c r="I270" s="3">
        <v>0</v>
      </c>
      <c r="J270" s="3">
        <v>0</v>
      </c>
      <c r="K270" s="9" t="str">
        <f t="shared" si="23"/>
        <v/>
      </c>
      <c r="L270" s="6" t="str">
        <f t="shared" si="24"/>
        <v/>
      </c>
      <c r="M270" s="10" t="str">
        <f t="shared" si="25"/>
        <v/>
      </c>
      <c r="N270" s="6" t="str">
        <f t="shared" si="26"/>
        <v/>
      </c>
    </row>
    <row r="271" spans="1:14">
      <c r="A271" s="2"/>
      <c r="B271" s="2"/>
      <c r="C271" s="22" t="str">
        <f>IF(OR(A271="",B271=""),"",IFERROR(XLOOKUP(1,(Buy_History!$A$2:$A$501=A271)*(Buy_History!$B$2:$B$501=B271),Buy_History!$C$2:$C$501,""),""))</f>
        <v/>
      </c>
      <c r="D271" s="22" t="str">
        <f>IF(OR(A271="",B271=""),"",IFERROR(XLOOKUP(1,(Sell_History!$A$2:$A$501=A271)*(Sell_History!$B$2:$B$501=B271),Sell_History!$C$2:$C$501,""),""))</f>
        <v/>
      </c>
      <c r="E271" s="8" t="str">
        <f>IF(OR(A271="",B271=""),"",IFERROR(XLOOKUP(1,(Raw_Observations!$A$2:$A$1001=A271)*(Raw_Observations!$B$2:$B$1001=B271),Raw_Observations!$D$2:$D$1001,""),""))</f>
        <v/>
      </c>
      <c r="F271" s="8" t="str">
        <f>IF(OR(A271="",B271=""),"",IFERROR(XLOOKUP(1,(Order_History!$A$2:$A$501=A271)*(Order_History!$B$2:$B$501=B271),Order_History!$D$2:$D$501,""),""))</f>
        <v/>
      </c>
      <c r="G271" s="8" t="str">
        <f>IF(COUNTIFS(Pricing!$A:$A,A271,Pricing!$B:$B,B271)=0,"",SUMIFS(Pricing!$G:$G,Pricing!$A:$A,A271,Pricing!$B:$B,B271))</f>
        <v/>
      </c>
      <c r="H271" s="9" t="str">
        <f t="shared" si="22"/>
        <v/>
      </c>
      <c r="I271" s="3">
        <v>0</v>
      </c>
      <c r="J271" s="3">
        <v>0</v>
      </c>
      <c r="K271" s="9" t="str">
        <f t="shared" si="23"/>
        <v/>
      </c>
      <c r="L271" s="6" t="str">
        <f t="shared" si="24"/>
        <v/>
      </c>
      <c r="M271" s="10" t="str">
        <f t="shared" si="25"/>
        <v/>
      </c>
      <c r="N271" s="6" t="str">
        <f t="shared" si="26"/>
        <v/>
      </c>
    </row>
    <row r="272" spans="1:14">
      <c r="A272" s="2"/>
      <c r="B272" s="2"/>
      <c r="C272" s="22" t="str">
        <f>IF(OR(A272="",B272=""),"",IFERROR(XLOOKUP(1,(Buy_History!$A$2:$A$501=A272)*(Buy_History!$B$2:$B$501=B272),Buy_History!$C$2:$C$501,""),""))</f>
        <v/>
      </c>
      <c r="D272" s="22" t="str">
        <f>IF(OR(A272="",B272=""),"",IFERROR(XLOOKUP(1,(Sell_History!$A$2:$A$501=A272)*(Sell_History!$B$2:$B$501=B272),Sell_History!$C$2:$C$501,""),""))</f>
        <v/>
      </c>
      <c r="E272" s="8" t="str">
        <f>IF(OR(A272="",B272=""),"",IFERROR(XLOOKUP(1,(Raw_Observations!$A$2:$A$1001=A272)*(Raw_Observations!$B$2:$B$1001=B272),Raw_Observations!$D$2:$D$1001,""),""))</f>
        <v/>
      </c>
      <c r="F272" s="8" t="str">
        <f>IF(OR(A272="",B272=""),"",IFERROR(XLOOKUP(1,(Order_History!$A$2:$A$501=A272)*(Order_History!$B$2:$B$501=B272),Order_History!$D$2:$D$501,""),""))</f>
        <v/>
      </c>
      <c r="G272" s="8" t="str">
        <f>IF(COUNTIFS(Pricing!$A:$A,A272,Pricing!$B:$B,B272)=0,"",SUMIFS(Pricing!$G:$G,Pricing!$A:$A,A272,Pricing!$B:$B,B272))</f>
        <v/>
      </c>
      <c r="H272" s="9" t="str">
        <f t="shared" si="22"/>
        <v/>
      </c>
      <c r="I272" s="3">
        <v>0</v>
      </c>
      <c r="J272" s="3">
        <v>0</v>
      </c>
      <c r="K272" s="9" t="str">
        <f t="shared" si="23"/>
        <v/>
      </c>
      <c r="L272" s="6" t="str">
        <f t="shared" si="24"/>
        <v/>
      </c>
      <c r="M272" s="10" t="str">
        <f t="shared" si="25"/>
        <v/>
      </c>
      <c r="N272" s="6" t="str">
        <f t="shared" si="26"/>
        <v/>
      </c>
    </row>
    <row r="273" spans="1:14">
      <c r="A273" s="2"/>
      <c r="B273" s="2"/>
      <c r="C273" s="22" t="str">
        <f>IF(OR(A273="",B273=""),"",IFERROR(XLOOKUP(1,(Buy_History!$A$2:$A$501=A273)*(Buy_History!$B$2:$B$501=B273),Buy_History!$C$2:$C$501,""),""))</f>
        <v/>
      </c>
      <c r="D273" s="22" t="str">
        <f>IF(OR(A273="",B273=""),"",IFERROR(XLOOKUP(1,(Sell_History!$A$2:$A$501=A273)*(Sell_History!$B$2:$B$501=B273),Sell_History!$C$2:$C$501,""),""))</f>
        <v/>
      </c>
      <c r="E273" s="8" t="str">
        <f>IF(OR(A273="",B273=""),"",IFERROR(XLOOKUP(1,(Raw_Observations!$A$2:$A$1001=A273)*(Raw_Observations!$B$2:$B$1001=B273),Raw_Observations!$D$2:$D$1001,""),""))</f>
        <v/>
      </c>
      <c r="F273" s="8" t="str">
        <f>IF(OR(A273="",B273=""),"",IFERROR(XLOOKUP(1,(Order_History!$A$2:$A$501=A273)*(Order_History!$B$2:$B$501=B273),Order_History!$D$2:$D$501,""),""))</f>
        <v/>
      </c>
      <c r="G273" s="8" t="str">
        <f>IF(COUNTIFS(Pricing!$A:$A,A273,Pricing!$B:$B,B273)=0,"",SUMIFS(Pricing!$G:$G,Pricing!$A:$A,A273,Pricing!$B:$B,B273))</f>
        <v/>
      </c>
      <c r="H273" s="9" t="str">
        <f t="shared" si="22"/>
        <v/>
      </c>
      <c r="I273" s="3">
        <v>0</v>
      </c>
      <c r="J273" s="3">
        <v>0</v>
      </c>
      <c r="K273" s="9" t="str">
        <f t="shared" si="23"/>
        <v/>
      </c>
      <c r="L273" s="6" t="str">
        <f t="shared" si="24"/>
        <v/>
      </c>
      <c r="M273" s="10" t="str">
        <f t="shared" si="25"/>
        <v/>
      </c>
      <c r="N273" s="6" t="str">
        <f t="shared" si="26"/>
        <v/>
      </c>
    </row>
    <row r="274" spans="1:14">
      <c r="A274" s="2"/>
      <c r="B274" s="2"/>
      <c r="C274" s="22" t="str">
        <f>IF(OR(A274="",B274=""),"",IFERROR(XLOOKUP(1,(Buy_History!$A$2:$A$501=A274)*(Buy_History!$B$2:$B$501=B274),Buy_History!$C$2:$C$501,""),""))</f>
        <v/>
      </c>
      <c r="D274" s="22" t="str">
        <f>IF(OR(A274="",B274=""),"",IFERROR(XLOOKUP(1,(Sell_History!$A$2:$A$501=A274)*(Sell_History!$B$2:$B$501=B274),Sell_History!$C$2:$C$501,""),""))</f>
        <v/>
      </c>
      <c r="E274" s="8" t="str">
        <f>IF(OR(A274="",B274=""),"",IFERROR(XLOOKUP(1,(Raw_Observations!$A$2:$A$1001=A274)*(Raw_Observations!$B$2:$B$1001=B274),Raw_Observations!$D$2:$D$1001,""),""))</f>
        <v/>
      </c>
      <c r="F274" s="8" t="str">
        <f>IF(OR(A274="",B274=""),"",IFERROR(XLOOKUP(1,(Order_History!$A$2:$A$501=A274)*(Order_History!$B$2:$B$501=B274),Order_History!$D$2:$D$501,""),""))</f>
        <v/>
      </c>
      <c r="G274" s="8" t="str">
        <f>IF(COUNTIFS(Pricing!$A:$A,A274,Pricing!$B:$B,B274)=0,"",SUMIFS(Pricing!$G:$G,Pricing!$A:$A,A274,Pricing!$B:$B,B274))</f>
        <v/>
      </c>
      <c r="H274" s="9" t="str">
        <f t="shared" si="22"/>
        <v/>
      </c>
      <c r="I274" s="3">
        <v>0</v>
      </c>
      <c r="J274" s="3">
        <v>0</v>
      </c>
      <c r="K274" s="9" t="str">
        <f t="shared" si="23"/>
        <v/>
      </c>
      <c r="L274" s="6" t="str">
        <f t="shared" si="24"/>
        <v/>
      </c>
      <c r="M274" s="10" t="str">
        <f t="shared" si="25"/>
        <v/>
      </c>
      <c r="N274" s="6" t="str">
        <f t="shared" si="26"/>
        <v/>
      </c>
    </row>
    <row r="275" spans="1:14">
      <c r="A275" s="2"/>
      <c r="B275" s="2"/>
      <c r="C275" s="22" t="str">
        <f>IF(OR(A275="",B275=""),"",IFERROR(XLOOKUP(1,(Buy_History!$A$2:$A$501=A275)*(Buy_History!$B$2:$B$501=B275),Buy_History!$C$2:$C$501,""),""))</f>
        <v/>
      </c>
      <c r="D275" s="22" t="str">
        <f>IF(OR(A275="",B275=""),"",IFERROR(XLOOKUP(1,(Sell_History!$A$2:$A$501=A275)*(Sell_History!$B$2:$B$501=B275),Sell_History!$C$2:$C$501,""),""))</f>
        <v/>
      </c>
      <c r="E275" s="8" t="str">
        <f>IF(OR(A275="",B275=""),"",IFERROR(XLOOKUP(1,(Raw_Observations!$A$2:$A$1001=A275)*(Raw_Observations!$B$2:$B$1001=B275),Raw_Observations!$D$2:$D$1001,""),""))</f>
        <v/>
      </c>
      <c r="F275" s="8" t="str">
        <f>IF(OR(A275="",B275=""),"",IFERROR(XLOOKUP(1,(Order_History!$A$2:$A$501=A275)*(Order_History!$B$2:$B$501=B275),Order_History!$D$2:$D$501,""),""))</f>
        <v/>
      </c>
      <c r="G275" s="8" t="str">
        <f>IF(COUNTIFS(Pricing!$A:$A,A275,Pricing!$B:$B,B275)=0,"",SUMIFS(Pricing!$G:$G,Pricing!$A:$A,A275,Pricing!$B:$B,B275))</f>
        <v/>
      </c>
      <c r="H275" s="9" t="str">
        <f t="shared" si="22"/>
        <v/>
      </c>
      <c r="I275" s="3">
        <v>0</v>
      </c>
      <c r="J275" s="3">
        <v>0</v>
      </c>
      <c r="K275" s="9" t="str">
        <f t="shared" si="23"/>
        <v/>
      </c>
      <c r="L275" s="6" t="str">
        <f t="shared" si="24"/>
        <v/>
      </c>
      <c r="M275" s="10" t="str">
        <f t="shared" si="25"/>
        <v/>
      </c>
      <c r="N275" s="6" t="str">
        <f t="shared" si="26"/>
        <v/>
      </c>
    </row>
    <row r="276" spans="1:14">
      <c r="A276" s="2"/>
      <c r="B276" s="2"/>
      <c r="C276" s="22" t="str">
        <f>IF(OR(A276="",B276=""),"",IFERROR(XLOOKUP(1,(Buy_History!$A$2:$A$501=A276)*(Buy_History!$B$2:$B$501=B276),Buy_History!$C$2:$C$501,""),""))</f>
        <v/>
      </c>
      <c r="D276" s="22" t="str">
        <f>IF(OR(A276="",B276=""),"",IFERROR(XLOOKUP(1,(Sell_History!$A$2:$A$501=A276)*(Sell_History!$B$2:$B$501=B276),Sell_History!$C$2:$C$501,""),""))</f>
        <v/>
      </c>
      <c r="E276" s="8" t="str">
        <f>IF(OR(A276="",B276=""),"",IFERROR(XLOOKUP(1,(Raw_Observations!$A$2:$A$1001=A276)*(Raw_Observations!$B$2:$B$1001=B276),Raw_Observations!$D$2:$D$1001,""),""))</f>
        <v/>
      </c>
      <c r="F276" s="8" t="str">
        <f>IF(OR(A276="",B276=""),"",IFERROR(XLOOKUP(1,(Order_History!$A$2:$A$501=A276)*(Order_History!$B$2:$B$501=B276),Order_History!$D$2:$D$501,""),""))</f>
        <v/>
      </c>
      <c r="G276" s="8" t="str">
        <f>IF(COUNTIFS(Pricing!$A:$A,A276,Pricing!$B:$B,B276)=0,"",SUMIFS(Pricing!$G:$G,Pricing!$A:$A,A276,Pricing!$B:$B,B276))</f>
        <v/>
      </c>
      <c r="H276" s="9" t="str">
        <f t="shared" si="22"/>
        <v/>
      </c>
      <c r="I276" s="3">
        <v>0</v>
      </c>
      <c r="J276" s="3">
        <v>0</v>
      </c>
      <c r="K276" s="9" t="str">
        <f t="shared" si="23"/>
        <v/>
      </c>
      <c r="L276" s="6" t="str">
        <f t="shared" si="24"/>
        <v/>
      </c>
      <c r="M276" s="10" t="str">
        <f t="shared" si="25"/>
        <v/>
      </c>
      <c r="N276" s="6" t="str">
        <f t="shared" si="26"/>
        <v/>
      </c>
    </row>
    <row r="277" spans="1:14">
      <c r="A277" s="2"/>
      <c r="B277" s="2"/>
      <c r="C277" s="22" t="str">
        <f>IF(OR(A277="",B277=""),"",IFERROR(XLOOKUP(1,(Buy_History!$A$2:$A$501=A277)*(Buy_History!$B$2:$B$501=B277),Buy_History!$C$2:$C$501,""),""))</f>
        <v/>
      </c>
      <c r="D277" s="22" t="str">
        <f>IF(OR(A277="",B277=""),"",IFERROR(XLOOKUP(1,(Sell_History!$A$2:$A$501=A277)*(Sell_History!$B$2:$B$501=B277),Sell_History!$C$2:$C$501,""),""))</f>
        <v/>
      </c>
      <c r="E277" s="8" t="str">
        <f>IF(OR(A277="",B277=""),"",IFERROR(XLOOKUP(1,(Raw_Observations!$A$2:$A$1001=A277)*(Raw_Observations!$B$2:$B$1001=B277),Raw_Observations!$D$2:$D$1001,""),""))</f>
        <v/>
      </c>
      <c r="F277" s="8" t="str">
        <f>IF(OR(A277="",B277=""),"",IFERROR(XLOOKUP(1,(Order_History!$A$2:$A$501=A277)*(Order_History!$B$2:$B$501=B277),Order_History!$D$2:$D$501,""),""))</f>
        <v/>
      </c>
      <c r="G277" s="8" t="str">
        <f>IF(COUNTIFS(Pricing!$A:$A,A277,Pricing!$B:$B,B277)=0,"",SUMIFS(Pricing!$G:$G,Pricing!$A:$A,A277,Pricing!$B:$B,B277))</f>
        <v/>
      </c>
      <c r="H277" s="9" t="str">
        <f t="shared" si="22"/>
        <v/>
      </c>
      <c r="I277" s="3">
        <v>0</v>
      </c>
      <c r="J277" s="3">
        <v>0</v>
      </c>
      <c r="K277" s="9" t="str">
        <f t="shared" si="23"/>
        <v/>
      </c>
      <c r="L277" s="6" t="str">
        <f t="shared" si="24"/>
        <v/>
      </c>
      <c r="M277" s="10" t="str">
        <f t="shared" si="25"/>
        <v/>
      </c>
      <c r="N277" s="6" t="str">
        <f t="shared" si="26"/>
        <v/>
      </c>
    </row>
    <row r="278" spans="1:14">
      <c r="A278" s="2"/>
      <c r="B278" s="2"/>
      <c r="C278" s="22" t="str">
        <f>IF(OR(A278="",B278=""),"",IFERROR(XLOOKUP(1,(Buy_History!$A$2:$A$501=A278)*(Buy_History!$B$2:$B$501=B278),Buy_History!$C$2:$C$501,""),""))</f>
        <v/>
      </c>
      <c r="D278" s="22" t="str">
        <f>IF(OR(A278="",B278=""),"",IFERROR(XLOOKUP(1,(Sell_History!$A$2:$A$501=A278)*(Sell_History!$B$2:$B$501=B278),Sell_History!$C$2:$C$501,""),""))</f>
        <v/>
      </c>
      <c r="E278" s="8" t="str">
        <f>IF(OR(A278="",B278=""),"",IFERROR(XLOOKUP(1,(Raw_Observations!$A$2:$A$1001=A278)*(Raw_Observations!$B$2:$B$1001=B278),Raw_Observations!$D$2:$D$1001,""),""))</f>
        <v/>
      </c>
      <c r="F278" s="8" t="str">
        <f>IF(OR(A278="",B278=""),"",IFERROR(XLOOKUP(1,(Order_History!$A$2:$A$501=A278)*(Order_History!$B$2:$B$501=B278),Order_History!$D$2:$D$501,""),""))</f>
        <v/>
      </c>
      <c r="G278" s="8" t="str">
        <f>IF(COUNTIFS(Pricing!$A:$A,A278,Pricing!$B:$B,B278)=0,"",SUMIFS(Pricing!$G:$G,Pricing!$A:$A,A278,Pricing!$B:$B,B278))</f>
        <v/>
      </c>
      <c r="H278" s="9" t="str">
        <f t="shared" si="22"/>
        <v/>
      </c>
      <c r="I278" s="3">
        <v>0</v>
      </c>
      <c r="J278" s="3">
        <v>0</v>
      </c>
      <c r="K278" s="9" t="str">
        <f t="shared" si="23"/>
        <v/>
      </c>
      <c r="L278" s="6" t="str">
        <f t="shared" si="24"/>
        <v/>
      </c>
      <c r="M278" s="10" t="str">
        <f t="shared" si="25"/>
        <v/>
      </c>
      <c r="N278" s="6" t="str">
        <f t="shared" si="26"/>
        <v/>
      </c>
    </row>
    <row r="279" spans="1:14">
      <c r="A279" s="2"/>
      <c r="B279" s="2"/>
      <c r="C279" s="22" t="str">
        <f>IF(OR(A279="",B279=""),"",IFERROR(XLOOKUP(1,(Buy_History!$A$2:$A$501=A279)*(Buy_History!$B$2:$B$501=B279),Buy_History!$C$2:$C$501,""),""))</f>
        <v/>
      </c>
      <c r="D279" s="22" t="str">
        <f>IF(OR(A279="",B279=""),"",IFERROR(XLOOKUP(1,(Sell_History!$A$2:$A$501=A279)*(Sell_History!$B$2:$B$501=B279),Sell_History!$C$2:$C$501,""),""))</f>
        <v/>
      </c>
      <c r="E279" s="8" t="str">
        <f>IF(OR(A279="",B279=""),"",IFERROR(XLOOKUP(1,(Raw_Observations!$A$2:$A$1001=A279)*(Raw_Observations!$B$2:$B$1001=B279),Raw_Observations!$D$2:$D$1001,""),""))</f>
        <v/>
      </c>
      <c r="F279" s="8" t="str">
        <f>IF(OR(A279="",B279=""),"",IFERROR(XLOOKUP(1,(Order_History!$A$2:$A$501=A279)*(Order_History!$B$2:$B$501=B279),Order_History!$D$2:$D$501,""),""))</f>
        <v/>
      </c>
      <c r="G279" s="8" t="str">
        <f>IF(COUNTIFS(Pricing!$A:$A,A279,Pricing!$B:$B,B279)=0,"",SUMIFS(Pricing!$G:$G,Pricing!$A:$A,A279,Pricing!$B:$B,B279))</f>
        <v/>
      </c>
      <c r="H279" s="9" t="str">
        <f t="shared" si="22"/>
        <v/>
      </c>
      <c r="I279" s="3">
        <v>0</v>
      </c>
      <c r="J279" s="3">
        <v>0</v>
      </c>
      <c r="K279" s="9" t="str">
        <f t="shared" si="23"/>
        <v/>
      </c>
      <c r="L279" s="6" t="str">
        <f t="shared" si="24"/>
        <v/>
      </c>
      <c r="M279" s="10" t="str">
        <f t="shared" si="25"/>
        <v/>
      </c>
      <c r="N279" s="6" t="str">
        <f t="shared" si="26"/>
        <v/>
      </c>
    </row>
    <row r="280" spans="1:14">
      <c r="A280" s="2"/>
      <c r="B280" s="2"/>
      <c r="C280" s="22" t="str">
        <f>IF(OR(A280="",B280=""),"",IFERROR(XLOOKUP(1,(Buy_History!$A$2:$A$501=A280)*(Buy_History!$B$2:$B$501=B280),Buy_History!$C$2:$C$501,""),""))</f>
        <v/>
      </c>
      <c r="D280" s="22" t="str">
        <f>IF(OR(A280="",B280=""),"",IFERROR(XLOOKUP(1,(Sell_History!$A$2:$A$501=A280)*(Sell_History!$B$2:$B$501=B280),Sell_History!$C$2:$C$501,""),""))</f>
        <v/>
      </c>
      <c r="E280" s="8" t="str">
        <f>IF(OR(A280="",B280=""),"",IFERROR(XLOOKUP(1,(Raw_Observations!$A$2:$A$1001=A280)*(Raw_Observations!$B$2:$B$1001=B280),Raw_Observations!$D$2:$D$1001,""),""))</f>
        <v/>
      </c>
      <c r="F280" s="8" t="str">
        <f>IF(OR(A280="",B280=""),"",IFERROR(XLOOKUP(1,(Order_History!$A$2:$A$501=A280)*(Order_History!$B$2:$B$501=B280),Order_History!$D$2:$D$501,""),""))</f>
        <v/>
      </c>
      <c r="G280" s="8" t="str">
        <f>IF(COUNTIFS(Pricing!$A:$A,A280,Pricing!$B:$B,B280)=0,"",SUMIFS(Pricing!$G:$G,Pricing!$A:$A,A280,Pricing!$B:$B,B280))</f>
        <v/>
      </c>
      <c r="H280" s="9" t="str">
        <f t="shared" si="22"/>
        <v/>
      </c>
      <c r="I280" s="3">
        <v>0</v>
      </c>
      <c r="J280" s="3">
        <v>0</v>
      </c>
      <c r="K280" s="9" t="str">
        <f t="shared" si="23"/>
        <v/>
      </c>
      <c r="L280" s="6" t="str">
        <f t="shared" si="24"/>
        <v/>
      </c>
      <c r="M280" s="10" t="str">
        <f t="shared" si="25"/>
        <v/>
      </c>
      <c r="N280" s="6" t="str">
        <f t="shared" si="26"/>
        <v/>
      </c>
    </row>
    <row r="281" spans="1:14">
      <c r="A281" s="2"/>
      <c r="B281" s="2"/>
      <c r="C281" s="22" t="str">
        <f>IF(OR(A281="",B281=""),"",IFERROR(XLOOKUP(1,(Buy_History!$A$2:$A$501=A281)*(Buy_History!$B$2:$B$501=B281),Buy_History!$C$2:$C$501,""),""))</f>
        <v/>
      </c>
      <c r="D281" s="22" t="str">
        <f>IF(OR(A281="",B281=""),"",IFERROR(XLOOKUP(1,(Sell_History!$A$2:$A$501=A281)*(Sell_History!$B$2:$B$501=B281),Sell_History!$C$2:$C$501,""),""))</f>
        <v/>
      </c>
      <c r="E281" s="8" t="str">
        <f>IF(OR(A281="",B281=""),"",IFERROR(XLOOKUP(1,(Raw_Observations!$A$2:$A$1001=A281)*(Raw_Observations!$B$2:$B$1001=B281),Raw_Observations!$D$2:$D$1001,""),""))</f>
        <v/>
      </c>
      <c r="F281" s="8" t="str">
        <f>IF(OR(A281="",B281=""),"",IFERROR(XLOOKUP(1,(Order_History!$A$2:$A$501=A281)*(Order_History!$B$2:$B$501=B281),Order_History!$D$2:$D$501,""),""))</f>
        <v/>
      </c>
      <c r="G281" s="8" t="str">
        <f>IF(COUNTIFS(Pricing!$A:$A,A281,Pricing!$B:$B,B281)=0,"",SUMIFS(Pricing!$G:$G,Pricing!$A:$A,A281,Pricing!$B:$B,B281))</f>
        <v/>
      </c>
      <c r="H281" s="9" t="str">
        <f t="shared" si="22"/>
        <v/>
      </c>
      <c r="I281" s="3">
        <v>0</v>
      </c>
      <c r="J281" s="3">
        <v>0</v>
      </c>
      <c r="K281" s="9" t="str">
        <f t="shared" si="23"/>
        <v/>
      </c>
      <c r="L281" s="6" t="str">
        <f t="shared" si="24"/>
        <v/>
      </c>
      <c r="M281" s="10" t="str">
        <f t="shared" si="25"/>
        <v/>
      </c>
      <c r="N281" s="6" t="str">
        <f t="shared" si="26"/>
        <v/>
      </c>
    </row>
    <row r="282" spans="1:14">
      <c r="A282" s="2"/>
      <c r="B282" s="2"/>
      <c r="C282" s="22" t="str">
        <f>IF(OR(A282="",B282=""),"",IFERROR(XLOOKUP(1,(Buy_History!$A$2:$A$501=A282)*(Buy_History!$B$2:$B$501=B282),Buy_History!$C$2:$C$501,""),""))</f>
        <v/>
      </c>
      <c r="D282" s="22" t="str">
        <f>IF(OR(A282="",B282=""),"",IFERROR(XLOOKUP(1,(Sell_History!$A$2:$A$501=A282)*(Sell_History!$B$2:$B$501=B282),Sell_History!$C$2:$C$501,""),""))</f>
        <v/>
      </c>
      <c r="E282" s="8" t="str">
        <f>IF(OR(A282="",B282=""),"",IFERROR(XLOOKUP(1,(Raw_Observations!$A$2:$A$1001=A282)*(Raw_Observations!$B$2:$B$1001=B282),Raw_Observations!$D$2:$D$1001,""),""))</f>
        <v/>
      </c>
      <c r="F282" s="8" t="str">
        <f>IF(OR(A282="",B282=""),"",IFERROR(XLOOKUP(1,(Order_History!$A$2:$A$501=A282)*(Order_History!$B$2:$B$501=B282),Order_History!$D$2:$D$501,""),""))</f>
        <v/>
      </c>
      <c r="G282" s="8" t="str">
        <f>IF(COUNTIFS(Pricing!$A:$A,A282,Pricing!$B:$B,B282)=0,"",SUMIFS(Pricing!$G:$G,Pricing!$A:$A,A282,Pricing!$B:$B,B282))</f>
        <v/>
      </c>
      <c r="H282" s="9" t="str">
        <f t="shared" si="22"/>
        <v/>
      </c>
      <c r="I282" s="3">
        <v>0</v>
      </c>
      <c r="J282" s="3">
        <v>0</v>
      </c>
      <c r="K282" s="9" t="str">
        <f t="shared" si="23"/>
        <v/>
      </c>
      <c r="L282" s="6" t="str">
        <f t="shared" si="24"/>
        <v/>
      </c>
      <c r="M282" s="10" t="str">
        <f t="shared" si="25"/>
        <v/>
      </c>
      <c r="N282" s="6" t="str">
        <f t="shared" si="26"/>
        <v/>
      </c>
    </row>
    <row r="283" spans="1:14">
      <c r="A283" s="2"/>
      <c r="B283" s="2"/>
      <c r="C283" s="22" t="str">
        <f>IF(OR(A283="",B283=""),"",IFERROR(XLOOKUP(1,(Buy_History!$A$2:$A$501=A283)*(Buy_History!$B$2:$B$501=B283),Buy_History!$C$2:$C$501,""),""))</f>
        <v/>
      </c>
      <c r="D283" s="22" t="str">
        <f>IF(OR(A283="",B283=""),"",IFERROR(XLOOKUP(1,(Sell_History!$A$2:$A$501=A283)*(Sell_History!$B$2:$B$501=B283),Sell_History!$C$2:$C$501,""),""))</f>
        <v/>
      </c>
      <c r="E283" s="8" t="str">
        <f>IF(OR(A283="",B283=""),"",IFERROR(XLOOKUP(1,(Raw_Observations!$A$2:$A$1001=A283)*(Raw_Observations!$B$2:$B$1001=B283),Raw_Observations!$D$2:$D$1001,""),""))</f>
        <v/>
      </c>
      <c r="F283" s="8" t="str">
        <f>IF(OR(A283="",B283=""),"",IFERROR(XLOOKUP(1,(Order_History!$A$2:$A$501=A283)*(Order_History!$B$2:$B$501=B283),Order_History!$D$2:$D$501,""),""))</f>
        <v/>
      </c>
      <c r="G283" s="8" t="str">
        <f>IF(COUNTIFS(Pricing!$A:$A,A283,Pricing!$B:$B,B283)=0,"",SUMIFS(Pricing!$G:$G,Pricing!$A:$A,A283,Pricing!$B:$B,B283))</f>
        <v/>
      </c>
      <c r="H283" s="9" t="str">
        <f t="shared" si="22"/>
        <v/>
      </c>
      <c r="I283" s="3">
        <v>0</v>
      </c>
      <c r="J283" s="3">
        <v>0</v>
      </c>
      <c r="K283" s="9" t="str">
        <f t="shared" si="23"/>
        <v/>
      </c>
      <c r="L283" s="6" t="str">
        <f t="shared" si="24"/>
        <v/>
      </c>
      <c r="M283" s="10" t="str">
        <f t="shared" si="25"/>
        <v/>
      </c>
      <c r="N283" s="6" t="str">
        <f t="shared" si="26"/>
        <v/>
      </c>
    </row>
    <row r="284" spans="1:14">
      <c r="A284" s="2"/>
      <c r="B284" s="2"/>
      <c r="C284" s="22" t="str">
        <f>IF(OR(A284="",B284=""),"",IFERROR(XLOOKUP(1,(Buy_History!$A$2:$A$501=A284)*(Buy_History!$B$2:$B$501=B284),Buy_History!$C$2:$C$501,""),""))</f>
        <v/>
      </c>
      <c r="D284" s="22" t="str">
        <f>IF(OR(A284="",B284=""),"",IFERROR(XLOOKUP(1,(Sell_History!$A$2:$A$501=A284)*(Sell_History!$B$2:$B$501=B284),Sell_History!$C$2:$C$501,""),""))</f>
        <v/>
      </c>
      <c r="E284" s="8" t="str">
        <f>IF(OR(A284="",B284=""),"",IFERROR(XLOOKUP(1,(Raw_Observations!$A$2:$A$1001=A284)*(Raw_Observations!$B$2:$B$1001=B284),Raw_Observations!$D$2:$D$1001,""),""))</f>
        <v/>
      </c>
      <c r="F284" s="8" t="str">
        <f>IF(OR(A284="",B284=""),"",IFERROR(XLOOKUP(1,(Order_History!$A$2:$A$501=A284)*(Order_History!$B$2:$B$501=B284),Order_History!$D$2:$D$501,""),""))</f>
        <v/>
      </c>
      <c r="G284" s="8" t="str">
        <f>IF(COUNTIFS(Pricing!$A:$A,A284,Pricing!$B:$B,B284)=0,"",SUMIFS(Pricing!$G:$G,Pricing!$A:$A,A284,Pricing!$B:$B,B284))</f>
        <v/>
      </c>
      <c r="H284" s="9" t="str">
        <f t="shared" si="22"/>
        <v/>
      </c>
      <c r="I284" s="3">
        <v>0</v>
      </c>
      <c r="J284" s="3">
        <v>0</v>
      </c>
      <c r="K284" s="9" t="str">
        <f t="shared" si="23"/>
        <v/>
      </c>
      <c r="L284" s="6" t="str">
        <f t="shared" si="24"/>
        <v/>
      </c>
      <c r="M284" s="10" t="str">
        <f t="shared" si="25"/>
        <v/>
      </c>
      <c r="N284" s="6" t="str">
        <f t="shared" si="26"/>
        <v/>
      </c>
    </row>
    <row r="285" spans="1:14">
      <c r="A285" s="2"/>
      <c r="B285" s="2"/>
      <c r="C285" s="22" t="str">
        <f>IF(OR(A285="",B285=""),"",IFERROR(XLOOKUP(1,(Buy_History!$A$2:$A$501=A285)*(Buy_History!$B$2:$B$501=B285),Buy_History!$C$2:$C$501,""),""))</f>
        <v/>
      </c>
      <c r="D285" s="22" t="str">
        <f>IF(OR(A285="",B285=""),"",IFERROR(XLOOKUP(1,(Sell_History!$A$2:$A$501=A285)*(Sell_History!$B$2:$B$501=B285),Sell_History!$C$2:$C$501,""),""))</f>
        <v/>
      </c>
      <c r="E285" s="8" t="str">
        <f>IF(OR(A285="",B285=""),"",IFERROR(XLOOKUP(1,(Raw_Observations!$A$2:$A$1001=A285)*(Raw_Observations!$B$2:$B$1001=B285),Raw_Observations!$D$2:$D$1001,""),""))</f>
        <v/>
      </c>
      <c r="F285" s="8" t="str">
        <f>IF(OR(A285="",B285=""),"",IFERROR(XLOOKUP(1,(Order_History!$A$2:$A$501=A285)*(Order_History!$B$2:$B$501=B285),Order_History!$D$2:$D$501,""),""))</f>
        <v/>
      </c>
      <c r="G285" s="8" t="str">
        <f>IF(COUNTIFS(Pricing!$A:$A,A285,Pricing!$B:$B,B285)=0,"",SUMIFS(Pricing!$G:$G,Pricing!$A:$A,A285,Pricing!$B:$B,B285))</f>
        <v/>
      </c>
      <c r="H285" s="9" t="str">
        <f t="shared" si="22"/>
        <v/>
      </c>
      <c r="I285" s="3">
        <v>0</v>
      </c>
      <c r="J285" s="3">
        <v>0</v>
      </c>
      <c r="K285" s="9" t="str">
        <f t="shared" si="23"/>
        <v/>
      </c>
      <c r="L285" s="6" t="str">
        <f t="shared" si="24"/>
        <v/>
      </c>
      <c r="M285" s="10" t="str">
        <f t="shared" si="25"/>
        <v/>
      </c>
      <c r="N285" s="6" t="str">
        <f t="shared" si="26"/>
        <v/>
      </c>
    </row>
    <row r="286" spans="1:14">
      <c r="A286" s="2"/>
      <c r="B286" s="2"/>
      <c r="C286" s="22" t="str">
        <f>IF(OR(A286="",B286=""),"",IFERROR(XLOOKUP(1,(Buy_History!$A$2:$A$501=A286)*(Buy_History!$B$2:$B$501=B286),Buy_History!$C$2:$C$501,""),""))</f>
        <v/>
      </c>
      <c r="D286" s="22" t="str">
        <f>IF(OR(A286="",B286=""),"",IFERROR(XLOOKUP(1,(Sell_History!$A$2:$A$501=A286)*(Sell_History!$B$2:$B$501=B286),Sell_History!$C$2:$C$501,""),""))</f>
        <v/>
      </c>
      <c r="E286" s="8" t="str">
        <f>IF(OR(A286="",B286=""),"",IFERROR(XLOOKUP(1,(Raw_Observations!$A$2:$A$1001=A286)*(Raw_Observations!$B$2:$B$1001=B286),Raw_Observations!$D$2:$D$1001,""),""))</f>
        <v/>
      </c>
      <c r="F286" s="8" t="str">
        <f>IF(OR(A286="",B286=""),"",IFERROR(XLOOKUP(1,(Order_History!$A$2:$A$501=A286)*(Order_History!$B$2:$B$501=B286),Order_History!$D$2:$D$501,""),""))</f>
        <v/>
      </c>
      <c r="G286" s="8" t="str">
        <f>IF(COUNTIFS(Pricing!$A:$A,A286,Pricing!$B:$B,B286)=0,"",SUMIFS(Pricing!$G:$G,Pricing!$A:$A,A286,Pricing!$B:$B,B286))</f>
        <v/>
      </c>
      <c r="H286" s="9" t="str">
        <f t="shared" si="22"/>
        <v/>
      </c>
      <c r="I286" s="3">
        <v>0</v>
      </c>
      <c r="J286" s="3">
        <v>0</v>
      </c>
      <c r="K286" s="9" t="str">
        <f t="shared" si="23"/>
        <v/>
      </c>
      <c r="L286" s="6" t="str">
        <f t="shared" si="24"/>
        <v/>
      </c>
      <c r="M286" s="10" t="str">
        <f t="shared" si="25"/>
        <v/>
      </c>
      <c r="N286" s="6" t="str">
        <f t="shared" si="26"/>
        <v/>
      </c>
    </row>
    <row r="287" spans="1:14">
      <c r="A287" s="2"/>
      <c r="B287" s="2"/>
      <c r="C287" s="22" t="str">
        <f>IF(OR(A287="",B287=""),"",IFERROR(XLOOKUP(1,(Buy_History!$A$2:$A$501=A287)*(Buy_History!$B$2:$B$501=B287),Buy_History!$C$2:$C$501,""),""))</f>
        <v/>
      </c>
      <c r="D287" s="22" t="str">
        <f>IF(OR(A287="",B287=""),"",IFERROR(XLOOKUP(1,(Sell_History!$A$2:$A$501=A287)*(Sell_History!$B$2:$B$501=B287),Sell_History!$C$2:$C$501,""),""))</f>
        <v/>
      </c>
      <c r="E287" s="8" t="str">
        <f>IF(OR(A287="",B287=""),"",IFERROR(XLOOKUP(1,(Raw_Observations!$A$2:$A$1001=A287)*(Raw_Observations!$B$2:$B$1001=B287),Raw_Observations!$D$2:$D$1001,""),""))</f>
        <v/>
      </c>
      <c r="F287" s="8" t="str">
        <f>IF(OR(A287="",B287=""),"",IFERROR(XLOOKUP(1,(Order_History!$A$2:$A$501=A287)*(Order_History!$B$2:$B$501=B287),Order_History!$D$2:$D$501,""),""))</f>
        <v/>
      </c>
      <c r="G287" s="8" t="str">
        <f>IF(COUNTIFS(Pricing!$A:$A,A287,Pricing!$B:$B,B287)=0,"",SUMIFS(Pricing!$G:$G,Pricing!$A:$A,A287,Pricing!$B:$B,B287))</f>
        <v/>
      </c>
      <c r="H287" s="9" t="str">
        <f t="shared" si="22"/>
        <v/>
      </c>
      <c r="I287" s="3">
        <v>0</v>
      </c>
      <c r="J287" s="3">
        <v>0</v>
      </c>
      <c r="K287" s="9" t="str">
        <f t="shared" si="23"/>
        <v/>
      </c>
      <c r="L287" s="6" t="str">
        <f t="shared" si="24"/>
        <v/>
      </c>
      <c r="M287" s="10" t="str">
        <f t="shared" si="25"/>
        <v/>
      </c>
      <c r="N287" s="6" t="str">
        <f t="shared" si="26"/>
        <v/>
      </c>
    </row>
    <row r="288" spans="1:14">
      <c r="A288" s="2"/>
      <c r="B288" s="2"/>
      <c r="C288" s="22" t="str">
        <f>IF(OR(A288="",B288=""),"",IFERROR(XLOOKUP(1,(Buy_History!$A$2:$A$501=A288)*(Buy_History!$B$2:$B$501=B288),Buy_History!$C$2:$C$501,""),""))</f>
        <v/>
      </c>
      <c r="D288" s="22" t="str">
        <f>IF(OR(A288="",B288=""),"",IFERROR(XLOOKUP(1,(Sell_History!$A$2:$A$501=A288)*(Sell_History!$B$2:$B$501=B288),Sell_History!$C$2:$C$501,""),""))</f>
        <v/>
      </c>
      <c r="E288" s="8" t="str">
        <f>IF(OR(A288="",B288=""),"",IFERROR(XLOOKUP(1,(Raw_Observations!$A$2:$A$1001=A288)*(Raw_Observations!$B$2:$B$1001=B288),Raw_Observations!$D$2:$D$1001,""),""))</f>
        <v/>
      </c>
      <c r="F288" s="8" t="str">
        <f>IF(OR(A288="",B288=""),"",IFERROR(XLOOKUP(1,(Order_History!$A$2:$A$501=A288)*(Order_History!$B$2:$B$501=B288),Order_History!$D$2:$D$501,""),""))</f>
        <v/>
      </c>
      <c r="G288" s="8" t="str">
        <f>IF(COUNTIFS(Pricing!$A:$A,A288,Pricing!$B:$B,B288)=0,"",SUMIFS(Pricing!$G:$G,Pricing!$A:$A,A288,Pricing!$B:$B,B288))</f>
        <v/>
      </c>
      <c r="H288" s="9" t="str">
        <f t="shared" si="22"/>
        <v/>
      </c>
      <c r="I288" s="3">
        <v>0</v>
      </c>
      <c r="J288" s="3">
        <v>0</v>
      </c>
      <c r="K288" s="9" t="str">
        <f t="shared" si="23"/>
        <v/>
      </c>
      <c r="L288" s="6" t="str">
        <f t="shared" si="24"/>
        <v/>
      </c>
      <c r="M288" s="10" t="str">
        <f t="shared" si="25"/>
        <v/>
      </c>
      <c r="N288" s="6" t="str">
        <f t="shared" si="26"/>
        <v/>
      </c>
    </row>
    <row r="289" spans="1:14">
      <c r="A289" s="2"/>
      <c r="B289" s="2"/>
      <c r="C289" s="22" t="str">
        <f>IF(OR(A289="",B289=""),"",IFERROR(XLOOKUP(1,(Buy_History!$A$2:$A$501=A289)*(Buy_History!$B$2:$B$501=B289),Buy_History!$C$2:$C$501,""),""))</f>
        <v/>
      </c>
      <c r="D289" s="22" t="str">
        <f>IF(OR(A289="",B289=""),"",IFERROR(XLOOKUP(1,(Sell_History!$A$2:$A$501=A289)*(Sell_History!$B$2:$B$501=B289),Sell_History!$C$2:$C$501,""),""))</f>
        <v/>
      </c>
      <c r="E289" s="8" t="str">
        <f>IF(OR(A289="",B289=""),"",IFERROR(XLOOKUP(1,(Raw_Observations!$A$2:$A$1001=A289)*(Raw_Observations!$B$2:$B$1001=B289),Raw_Observations!$D$2:$D$1001,""),""))</f>
        <v/>
      </c>
      <c r="F289" s="8" t="str">
        <f>IF(OR(A289="",B289=""),"",IFERROR(XLOOKUP(1,(Order_History!$A$2:$A$501=A289)*(Order_History!$B$2:$B$501=B289),Order_History!$D$2:$D$501,""),""))</f>
        <v/>
      </c>
      <c r="G289" s="8" t="str">
        <f>IF(COUNTIFS(Pricing!$A:$A,A289,Pricing!$B:$B,B289)=0,"",SUMIFS(Pricing!$G:$G,Pricing!$A:$A,A289,Pricing!$B:$B,B289))</f>
        <v/>
      </c>
      <c r="H289" s="9" t="str">
        <f t="shared" si="22"/>
        <v/>
      </c>
      <c r="I289" s="3">
        <v>0</v>
      </c>
      <c r="J289" s="3">
        <v>0</v>
      </c>
      <c r="K289" s="9" t="str">
        <f t="shared" si="23"/>
        <v/>
      </c>
      <c r="L289" s="6" t="str">
        <f t="shared" si="24"/>
        <v/>
      </c>
      <c r="M289" s="10" t="str">
        <f t="shared" si="25"/>
        <v/>
      </c>
      <c r="N289" s="6" t="str">
        <f t="shared" si="26"/>
        <v/>
      </c>
    </row>
    <row r="290" spans="1:14">
      <c r="A290" s="2"/>
      <c r="B290" s="2"/>
      <c r="C290" s="22" t="str">
        <f>IF(OR(A290="",B290=""),"",IFERROR(XLOOKUP(1,(Buy_History!$A$2:$A$501=A290)*(Buy_History!$B$2:$B$501=B290),Buy_History!$C$2:$C$501,""),""))</f>
        <v/>
      </c>
      <c r="D290" s="22" t="str">
        <f>IF(OR(A290="",B290=""),"",IFERROR(XLOOKUP(1,(Sell_History!$A$2:$A$501=A290)*(Sell_History!$B$2:$B$501=B290),Sell_History!$C$2:$C$501,""),""))</f>
        <v/>
      </c>
      <c r="E290" s="8" t="str">
        <f>IF(OR(A290="",B290=""),"",IFERROR(XLOOKUP(1,(Raw_Observations!$A$2:$A$1001=A290)*(Raw_Observations!$B$2:$B$1001=B290),Raw_Observations!$D$2:$D$1001,""),""))</f>
        <v/>
      </c>
      <c r="F290" s="8" t="str">
        <f>IF(OR(A290="",B290=""),"",IFERROR(XLOOKUP(1,(Order_History!$A$2:$A$501=A290)*(Order_History!$B$2:$B$501=B290),Order_History!$D$2:$D$501,""),""))</f>
        <v/>
      </c>
      <c r="G290" s="8" t="str">
        <f>IF(COUNTIFS(Pricing!$A:$A,A290,Pricing!$B:$B,B290)=0,"",SUMIFS(Pricing!$G:$G,Pricing!$A:$A,A290,Pricing!$B:$B,B290))</f>
        <v/>
      </c>
      <c r="H290" s="9" t="str">
        <f t="shared" si="22"/>
        <v/>
      </c>
      <c r="I290" s="3">
        <v>0</v>
      </c>
      <c r="J290" s="3">
        <v>0</v>
      </c>
      <c r="K290" s="9" t="str">
        <f t="shared" si="23"/>
        <v/>
      </c>
      <c r="L290" s="6" t="str">
        <f t="shared" si="24"/>
        <v/>
      </c>
      <c r="M290" s="10" t="str">
        <f t="shared" si="25"/>
        <v/>
      </c>
      <c r="N290" s="6" t="str">
        <f t="shared" si="26"/>
        <v/>
      </c>
    </row>
    <row r="291" spans="1:14">
      <c r="A291" s="2"/>
      <c r="B291" s="2"/>
      <c r="C291" s="22" t="str">
        <f>IF(OR(A291="",B291=""),"",IFERROR(XLOOKUP(1,(Buy_History!$A$2:$A$501=A291)*(Buy_History!$B$2:$B$501=B291),Buy_History!$C$2:$C$501,""),""))</f>
        <v/>
      </c>
      <c r="D291" s="22" t="str">
        <f>IF(OR(A291="",B291=""),"",IFERROR(XLOOKUP(1,(Sell_History!$A$2:$A$501=A291)*(Sell_History!$B$2:$B$501=B291),Sell_History!$C$2:$C$501,""),""))</f>
        <v/>
      </c>
      <c r="E291" s="8" t="str">
        <f>IF(OR(A291="",B291=""),"",IFERROR(XLOOKUP(1,(Raw_Observations!$A$2:$A$1001=A291)*(Raw_Observations!$B$2:$B$1001=B291),Raw_Observations!$D$2:$D$1001,""),""))</f>
        <v/>
      </c>
      <c r="F291" s="8" t="str">
        <f>IF(OR(A291="",B291=""),"",IFERROR(XLOOKUP(1,(Order_History!$A$2:$A$501=A291)*(Order_History!$B$2:$B$501=B291),Order_History!$D$2:$D$501,""),""))</f>
        <v/>
      </c>
      <c r="G291" s="8" t="str">
        <f>IF(COUNTIFS(Pricing!$A:$A,A291,Pricing!$B:$B,B291)=0,"",SUMIFS(Pricing!$G:$G,Pricing!$A:$A,A291,Pricing!$B:$B,B291))</f>
        <v/>
      </c>
      <c r="H291" s="9" t="str">
        <f t="shared" si="22"/>
        <v/>
      </c>
      <c r="I291" s="3">
        <v>0</v>
      </c>
      <c r="J291" s="3">
        <v>0</v>
      </c>
      <c r="K291" s="9" t="str">
        <f t="shared" si="23"/>
        <v/>
      </c>
      <c r="L291" s="6" t="str">
        <f t="shared" si="24"/>
        <v/>
      </c>
      <c r="M291" s="10" t="str">
        <f t="shared" si="25"/>
        <v/>
      </c>
      <c r="N291" s="6" t="str">
        <f t="shared" si="26"/>
        <v/>
      </c>
    </row>
    <row r="292" spans="1:14">
      <c r="A292" s="2"/>
      <c r="B292" s="2"/>
      <c r="C292" s="22" t="str">
        <f>IF(OR(A292="",B292=""),"",IFERROR(XLOOKUP(1,(Buy_History!$A$2:$A$501=A292)*(Buy_History!$B$2:$B$501=B292),Buy_History!$C$2:$C$501,""),""))</f>
        <v/>
      </c>
      <c r="D292" s="22" t="str">
        <f>IF(OR(A292="",B292=""),"",IFERROR(XLOOKUP(1,(Sell_History!$A$2:$A$501=A292)*(Sell_History!$B$2:$B$501=B292),Sell_History!$C$2:$C$501,""),""))</f>
        <v/>
      </c>
      <c r="E292" s="8" t="str">
        <f>IF(OR(A292="",B292=""),"",IFERROR(XLOOKUP(1,(Raw_Observations!$A$2:$A$1001=A292)*(Raw_Observations!$B$2:$B$1001=B292),Raw_Observations!$D$2:$D$1001,""),""))</f>
        <v/>
      </c>
      <c r="F292" s="8" t="str">
        <f>IF(OR(A292="",B292=""),"",IFERROR(XLOOKUP(1,(Order_History!$A$2:$A$501=A292)*(Order_History!$B$2:$B$501=B292),Order_History!$D$2:$D$501,""),""))</f>
        <v/>
      </c>
      <c r="G292" s="8" t="str">
        <f>IF(COUNTIFS(Pricing!$A:$A,A292,Pricing!$B:$B,B292)=0,"",SUMIFS(Pricing!$G:$G,Pricing!$A:$A,A292,Pricing!$B:$B,B292))</f>
        <v/>
      </c>
      <c r="H292" s="9" t="str">
        <f t="shared" si="22"/>
        <v/>
      </c>
      <c r="I292" s="3">
        <v>0</v>
      </c>
      <c r="J292" s="3">
        <v>0</v>
      </c>
      <c r="K292" s="9" t="str">
        <f t="shared" si="23"/>
        <v/>
      </c>
      <c r="L292" s="6" t="str">
        <f t="shared" si="24"/>
        <v/>
      </c>
      <c r="M292" s="10" t="str">
        <f t="shared" si="25"/>
        <v/>
      </c>
      <c r="N292" s="6" t="str">
        <f t="shared" si="26"/>
        <v/>
      </c>
    </row>
    <row r="293" spans="1:14">
      <c r="A293" s="2"/>
      <c r="B293" s="2"/>
      <c r="C293" s="22" t="str">
        <f>IF(OR(A293="",B293=""),"",IFERROR(XLOOKUP(1,(Buy_History!$A$2:$A$501=A293)*(Buy_History!$B$2:$B$501=B293),Buy_History!$C$2:$C$501,""),""))</f>
        <v/>
      </c>
      <c r="D293" s="22" t="str">
        <f>IF(OR(A293="",B293=""),"",IFERROR(XLOOKUP(1,(Sell_History!$A$2:$A$501=A293)*(Sell_History!$B$2:$B$501=B293),Sell_History!$C$2:$C$501,""),""))</f>
        <v/>
      </c>
      <c r="E293" s="8" t="str">
        <f>IF(OR(A293="",B293=""),"",IFERROR(XLOOKUP(1,(Raw_Observations!$A$2:$A$1001=A293)*(Raw_Observations!$B$2:$B$1001=B293),Raw_Observations!$D$2:$D$1001,""),""))</f>
        <v/>
      </c>
      <c r="F293" s="8" t="str">
        <f>IF(OR(A293="",B293=""),"",IFERROR(XLOOKUP(1,(Order_History!$A$2:$A$501=A293)*(Order_History!$B$2:$B$501=B293),Order_History!$D$2:$D$501,""),""))</f>
        <v/>
      </c>
      <c r="G293" s="8" t="str">
        <f>IF(COUNTIFS(Pricing!$A:$A,A293,Pricing!$B:$B,B293)=0,"",SUMIFS(Pricing!$G:$G,Pricing!$A:$A,A293,Pricing!$B:$B,B293))</f>
        <v/>
      </c>
      <c r="H293" s="9" t="str">
        <f t="shared" si="22"/>
        <v/>
      </c>
      <c r="I293" s="3">
        <v>0</v>
      </c>
      <c r="J293" s="3">
        <v>0</v>
      </c>
      <c r="K293" s="9" t="str">
        <f t="shared" si="23"/>
        <v/>
      </c>
      <c r="L293" s="6" t="str">
        <f t="shared" si="24"/>
        <v/>
      </c>
      <c r="M293" s="10" t="str">
        <f t="shared" si="25"/>
        <v/>
      </c>
      <c r="N293" s="6" t="str">
        <f t="shared" si="26"/>
        <v/>
      </c>
    </row>
    <row r="294" spans="1:14">
      <c r="A294" s="2"/>
      <c r="B294" s="2"/>
      <c r="C294" s="22" t="str">
        <f>IF(OR(A294="",B294=""),"",IFERROR(XLOOKUP(1,(Buy_History!$A$2:$A$501=A294)*(Buy_History!$B$2:$B$501=B294),Buy_History!$C$2:$C$501,""),""))</f>
        <v/>
      </c>
      <c r="D294" s="22" t="str">
        <f>IF(OR(A294="",B294=""),"",IFERROR(XLOOKUP(1,(Sell_History!$A$2:$A$501=A294)*(Sell_History!$B$2:$B$501=B294),Sell_History!$C$2:$C$501,""),""))</f>
        <v/>
      </c>
      <c r="E294" s="8" t="str">
        <f>IF(OR(A294="",B294=""),"",IFERROR(XLOOKUP(1,(Raw_Observations!$A$2:$A$1001=A294)*(Raw_Observations!$B$2:$B$1001=B294),Raw_Observations!$D$2:$D$1001,""),""))</f>
        <v/>
      </c>
      <c r="F294" s="8" t="str">
        <f>IF(OR(A294="",B294=""),"",IFERROR(XLOOKUP(1,(Order_History!$A$2:$A$501=A294)*(Order_History!$B$2:$B$501=B294),Order_History!$D$2:$D$501,""),""))</f>
        <v/>
      </c>
      <c r="G294" s="8" t="str">
        <f>IF(COUNTIFS(Pricing!$A:$A,A294,Pricing!$B:$B,B294)=0,"",SUMIFS(Pricing!$G:$G,Pricing!$A:$A,A294,Pricing!$B:$B,B294))</f>
        <v/>
      </c>
      <c r="H294" s="9" t="str">
        <f t="shared" si="22"/>
        <v/>
      </c>
      <c r="I294" s="3">
        <v>0</v>
      </c>
      <c r="J294" s="3">
        <v>0</v>
      </c>
      <c r="K294" s="9" t="str">
        <f t="shared" si="23"/>
        <v/>
      </c>
      <c r="L294" s="6" t="str">
        <f t="shared" si="24"/>
        <v/>
      </c>
      <c r="M294" s="10" t="str">
        <f t="shared" si="25"/>
        <v/>
      </c>
      <c r="N294" s="6" t="str">
        <f t="shared" si="26"/>
        <v/>
      </c>
    </row>
    <row r="295" spans="1:14">
      <c r="A295" s="2"/>
      <c r="B295" s="2"/>
      <c r="C295" s="22" t="str">
        <f>IF(OR(A295="",B295=""),"",IFERROR(XLOOKUP(1,(Buy_History!$A$2:$A$501=A295)*(Buy_History!$B$2:$B$501=B295),Buy_History!$C$2:$C$501,""),""))</f>
        <v/>
      </c>
      <c r="D295" s="22" t="str">
        <f>IF(OR(A295="",B295=""),"",IFERROR(XLOOKUP(1,(Sell_History!$A$2:$A$501=A295)*(Sell_History!$B$2:$B$501=B295),Sell_History!$C$2:$C$501,""),""))</f>
        <v/>
      </c>
      <c r="E295" s="8" t="str">
        <f>IF(OR(A295="",B295=""),"",IFERROR(XLOOKUP(1,(Raw_Observations!$A$2:$A$1001=A295)*(Raw_Observations!$B$2:$B$1001=B295),Raw_Observations!$D$2:$D$1001,""),""))</f>
        <v/>
      </c>
      <c r="F295" s="8" t="str">
        <f>IF(OR(A295="",B295=""),"",IFERROR(XLOOKUP(1,(Order_History!$A$2:$A$501=A295)*(Order_History!$B$2:$B$501=B295),Order_History!$D$2:$D$501,""),""))</f>
        <v/>
      </c>
      <c r="G295" s="8" t="str">
        <f>IF(COUNTIFS(Pricing!$A:$A,A295,Pricing!$B:$B,B295)=0,"",SUMIFS(Pricing!$G:$G,Pricing!$A:$A,A295,Pricing!$B:$B,B295))</f>
        <v/>
      </c>
      <c r="H295" s="9" t="str">
        <f t="shared" si="22"/>
        <v/>
      </c>
      <c r="I295" s="3">
        <v>0</v>
      </c>
      <c r="J295" s="3">
        <v>0</v>
      </c>
      <c r="K295" s="9" t="str">
        <f t="shared" si="23"/>
        <v/>
      </c>
      <c r="L295" s="6" t="str">
        <f t="shared" si="24"/>
        <v/>
      </c>
      <c r="M295" s="10" t="str">
        <f t="shared" si="25"/>
        <v/>
      </c>
      <c r="N295" s="6" t="str">
        <f t="shared" si="26"/>
        <v/>
      </c>
    </row>
    <row r="296" spans="1:14">
      <c r="A296" s="2"/>
      <c r="B296" s="2"/>
      <c r="C296" s="22" t="str">
        <f>IF(OR(A296="",B296=""),"",IFERROR(XLOOKUP(1,(Buy_History!$A$2:$A$501=A296)*(Buy_History!$B$2:$B$501=B296),Buy_History!$C$2:$C$501,""),""))</f>
        <v/>
      </c>
      <c r="D296" s="22" t="str">
        <f>IF(OR(A296="",B296=""),"",IFERROR(XLOOKUP(1,(Sell_History!$A$2:$A$501=A296)*(Sell_History!$B$2:$B$501=B296),Sell_History!$C$2:$C$501,""),""))</f>
        <v/>
      </c>
      <c r="E296" s="8" t="str">
        <f>IF(OR(A296="",B296=""),"",IFERROR(XLOOKUP(1,(Raw_Observations!$A$2:$A$1001=A296)*(Raw_Observations!$B$2:$B$1001=B296),Raw_Observations!$D$2:$D$1001,""),""))</f>
        <v/>
      </c>
      <c r="F296" s="8" t="str">
        <f>IF(OR(A296="",B296=""),"",IFERROR(XLOOKUP(1,(Order_History!$A$2:$A$501=A296)*(Order_History!$B$2:$B$501=B296),Order_History!$D$2:$D$501,""),""))</f>
        <v/>
      </c>
      <c r="G296" s="8" t="str">
        <f>IF(COUNTIFS(Pricing!$A:$A,A296,Pricing!$B:$B,B296)=0,"",SUMIFS(Pricing!$G:$G,Pricing!$A:$A,A296,Pricing!$B:$B,B296))</f>
        <v/>
      </c>
      <c r="H296" s="9" t="str">
        <f t="shared" si="22"/>
        <v/>
      </c>
      <c r="I296" s="3">
        <v>0</v>
      </c>
      <c r="J296" s="3">
        <v>0</v>
      </c>
      <c r="K296" s="9" t="str">
        <f t="shared" si="23"/>
        <v/>
      </c>
      <c r="L296" s="6" t="str">
        <f t="shared" si="24"/>
        <v/>
      </c>
      <c r="M296" s="10" t="str">
        <f t="shared" si="25"/>
        <v/>
      </c>
      <c r="N296" s="6" t="str">
        <f t="shared" si="26"/>
        <v/>
      </c>
    </row>
    <row r="297" spans="1:14">
      <c r="A297" s="2"/>
      <c r="B297" s="2"/>
      <c r="C297" s="22" t="str">
        <f>IF(OR(A297="",B297=""),"",IFERROR(XLOOKUP(1,(Buy_History!$A$2:$A$501=A297)*(Buy_History!$B$2:$B$501=B297),Buy_History!$C$2:$C$501,""),""))</f>
        <v/>
      </c>
      <c r="D297" s="22" t="str">
        <f>IF(OR(A297="",B297=""),"",IFERROR(XLOOKUP(1,(Sell_History!$A$2:$A$501=A297)*(Sell_History!$B$2:$B$501=B297),Sell_History!$C$2:$C$501,""),""))</f>
        <v/>
      </c>
      <c r="E297" s="8" t="str">
        <f>IF(OR(A297="",B297=""),"",IFERROR(XLOOKUP(1,(Raw_Observations!$A$2:$A$1001=A297)*(Raw_Observations!$B$2:$B$1001=B297),Raw_Observations!$D$2:$D$1001,""),""))</f>
        <v/>
      </c>
      <c r="F297" s="8" t="str">
        <f>IF(OR(A297="",B297=""),"",IFERROR(XLOOKUP(1,(Order_History!$A$2:$A$501=A297)*(Order_History!$B$2:$B$501=B297),Order_History!$D$2:$D$501,""),""))</f>
        <v/>
      </c>
      <c r="G297" s="8" t="str">
        <f>IF(COUNTIFS(Pricing!$A:$A,A297,Pricing!$B:$B,B297)=0,"",SUMIFS(Pricing!$G:$G,Pricing!$A:$A,A297,Pricing!$B:$B,B297))</f>
        <v/>
      </c>
      <c r="H297" s="9" t="str">
        <f t="shared" si="22"/>
        <v/>
      </c>
      <c r="I297" s="3">
        <v>0</v>
      </c>
      <c r="J297" s="3">
        <v>0</v>
      </c>
      <c r="K297" s="9" t="str">
        <f t="shared" si="23"/>
        <v/>
      </c>
      <c r="L297" s="6" t="str">
        <f t="shared" si="24"/>
        <v/>
      </c>
      <c r="M297" s="10" t="str">
        <f t="shared" si="25"/>
        <v/>
      </c>
      <c r="N297" s="6" t="str">
        <f t="shared" si="26"/>
        <v/>
      </c>
    </row>
    <row r="298" spans="1:14">
      <c r="A298" s="2"/>
      <c r="B298" s="2"/>
      <c r="C298" s="22" t="str">
        <f>IF(OR(A298="",B298=""),"",IFERROR(XLOOKUP(1,(Buy_History!$A$2:$A$501=A298)*(Buy_History!$B$2:$B$501=B298),Buy_History!$C$2:$C$501,""),""))</f>
        <v/>
      </c>
      <c r="D298" s="22" t="str">
        <f>IF(OR(A298="",B298=""),"",IFERROR(XLOOKUP(1,(Sell_History!$A$2:$A$501=A298)*(Sell_History!$B$2:$B$501=B298),Sell_History!$C$2:$C$501,""),""))</f>
        <v/>
      </c>
      <c r="E298" s="8" t="str">
        <f>IF(OR(A298="",B298=""),"",IFERROR(XLOOKUP(1,(Raw_Observations!$A$2:$A$1001=A298)*(Raw_Observations!$B$2:$B$1001=B298),Raw_Observations!$D$2:$D$1001,""),""))</f>
        <v/>
      </c>
      <c r="F298" s="8" t="str">
        <f>IF(OR(A298="",B298=""),"",IFERROR(XLOOKUP(1,(Order_History!$A$2:$A$501=A298)*(Order_History!$B$2:$B$501=B298),Order_History!$D$2:$D$501,""),""))</f>
        <v/>
      </c>
      <c r="G298" s="8" t="str">
        <f>IF(COUNTIFS(Pricing!$A:$A,A298,Pricing!$B:$B,B298)=0,"",SUMIFS(Pricing!$G:$G,Pricing!$A:$A,A298,Pricing!$B:$B,B298))</f>
        <v/>
      </c>
      <c r="H298" s="9" t="str">
        <f t="shared" si="22"/>
        <v/>
      </c>
      <c r="I298" s="3">
        <v>0</v>
      </c>
      <c r="J298" s="3">
        <v>0</v>
      </c>
      <c r="K298" s="9" t="str">
        <f t="shared" si="23"/>
        <v/>
      </c>
      <c r="L298" s="6" t="str">
        <f t="shared" si="24"/>
        <v/>
      </c>
      <c r="M298" s="10" t="str">
        <f t="shared" si="25"/>
        <v/>
      </c>
      <c r="N298" s="6" t="str">
        <f t="shared" si="26"/>
        <v/>
      </c>
    </row>
    <row r="299" spans="1:14">
      <c r="A299" s="2"/>
      <c r="B299" s="2"/>
      <c r="C299" s="22" t="str">
        <f>IF(OR(A299="",B299=""),"",IFERROR(XLOOKUP(1,(Buy_History!$A$2:$A$501=A299)*(Buy_History!$B$2:$B$501=B299),Buy_History!$C$2:$C$501,""),""))</f>
        <v/>
      </c>
      <c r="D299" s="22" t="str">
        <f>IF(OR(A299="",B299=""),"",IFERROR(XLOOKUP(1,(Sell_History!$A$2:$A$501=A299)*(Sell_History!$B$2:$B$501=B299),Sell_History!$C$2:$C$501,""),""))</f>
        <v/>
      </c>
      <c r="E299" s="8" t="str">
        <f>IF(OR(A299="",B299=""),"",IFERROR(XLOOKUP(1,(Raw_Observations!$A$2:$A$1001=A299)*(Raw_Observations!$B$2:$B$1001=B299),Raw_Observations!$D$2:$D$1001,""),""))</f>
        <v/>
      </c>
      <c r="F299" s="8" t="str">
        <f>IF(OR(A299="",B299=""),"",IFERROR(XLOOKUP(1,(Order_History!$A$2:$A$501=A299)*(Order_History!$B$2:$B$501=B299),Order_History!$D$2:$D$501,""),""))</f>
        <v/>
      </c>
      <c r="G299" s="8" t="str">
        <f>IF(COUNTIFS(Pricing!$A:$A,A299,Pricing!$B:$B,B299)=0,"",SUMIFS(Pricing!$G:$G,Pricing!$A:$A,A299,Pricing!$B:$B,B299))</f>
        <v/>
      </c>
      <c r="H299" s="9" t="str">
        <f t="shared" si="22"/>
        <v/>
      </c>
      <c r="I299" s="3">
        <v>0</v>
      </c>
      <c r="J299" s="3">
        <v>0</v>
      </c>
      <c r="K299" s="9" t="str">
        <f t="shared" si="23"/>
        <v/>
      </c>
      <c r="L299" s="6" t="str">
        <f t="shared" si="24"/>
        <v/>
      </c>
      <c r="M299" s="10" t="str">
        <f t="shared" si="25"/>
        <v/>
      </c>
      <c r="N299" s="6" t="str">
        <f t="shared" si="26"/>
        <v/>
      </c>
    </row>
    <row r="300" spans="1:14">
      <c r="A300" s="2"/>
      <c r="B300" s="2"/>
      <c r="C300" s="22" t="str">
        <f>IF(OR(A300="",B300=""),"",IFERROR(XLOOKUP(1,(Buy_History!$A$2:$A$501=A300)*(Buy_History!$B$2:$B$501=B300),Buy_History!$C$2:$C$501,""),""))</f>
        <v/>
      </c>
      <c r="D300" s="22" t="str">
        <f>IF(OR(A300="",B300=""),"",IFERROR(XLOOKUP(1,(Sell_History!$A$2:$A$501=A300)*(Sell_History!$B$2:$B$501=B300),Sell_History!$C$2:$C$501,""),""))</f>
        <v/>
      </c>
      <c r="E300" s="8" t="str">
        <f>IF(OR(A300="",B300=""),"",IFERROR(XLOOKUP(1,(Raw_Observations!$A$2:$A$1001=A300)*(Raw_Observations!$B$2:$B$1001=B300),Raw_Observations!$D$2:$D$1001,""),""))</f>
        <v/>
      </c>
      <c r="F300" s="8" t="str">
        <f>IF(OR(A300="",B300=""),"",IFERROR(XLOOKUP(1,(Order_History!$A$2:$A$501=A300)*(Order_History!$B$2:$B$501=B300),Order_History!$D$2:$D$501,""),""))</f>
        <v/>
      </c>
      <c r="G300" s="8" t="str">
        <f>IF(COUNTIFS(Pricing!$A:$A,A300,Pricing!$B:$B,B300)=0,"",SUMIFS(Pricing!$G:$G,Pricing!$A:$A,A300,Pricing!$B:$B,B300))</f>
        <v/>
      </c>
      <c r="H300" s="9" t="str">
        <f t="shared" si="22"/>
        <v/>
      </c>
      <c r="I300" s="3">
        <v>0</v>
      </c>
      <c r="J300" s="3">
        <v>0</v>
      </c>
      <c r="K300" s="9" t="str">
        <f t="shared" si="23"/>
        <v/>
      </c>
      <c r="L300" s="6" t="str">
        <f t="shared" si="24"/>
        <v/>
      </c>
      <c r="M300" s="10" t="str">
        <f t="shared" si="25"/>
        <v/>
      </c>
      <c r="N300" s="6" t="str">
        <f t="shared" si="26"/>
        <v/>
      </c>
    </row>
    <row r="301" spans="1:14">
      <c r="A301" s="2"/>
      <c r="B301" s="2"/>
      <c r="C301" s="22" t="str">
        <f>IF(OR(A301="",B301=""),"",IFERROR(XLOOKUP(1,(Buy_History!$A$2:$A$501=A301)*(Buy_History!$B$2:$B$501=B301),Buy_History!$C$2:$C$501,""),""))</f>
        <v/>
      </c>
      <c r="D301" s="22" t="str">
        <f>IF(OR(A301="",B301=""),"",IFERROR(XLOOKUP(1,(Sell_History!$A$2:$A$501=A301)*(Sell_History!$B$2:$B$501=B301),Sell_History!$C$2:$C$501,""),""))</f>
        <v/>
      </c>
      <c r="E301" s="8" t="str">
        <f>IF(OR(A301="",B301=""),"",IFERROR(XLOOKUP(1,(Raw_Observations!$A$2:$A$1001=A301)*(Raw_Observations!$B$2:$B$1001=B301),Raw_Observations!$D$2:$D$1001,""),""))</f>
        <v/>
      </c>
      <c r="F301" s="8" t="str">
        <f>IF(OR(A301="",B301=""),"",IFERROR(XLOOKUP(1,(Order_History!$A$2:$A$501=A301)*(Order_History!$B$2:$B$501=B301),Order_History!$D$2:$D$501,""),""))</f>
        <v/>
      </c>
      <c r="G301" s="8" t="str">
        <f>IF(COUNTIFS(Pricing!$A:$A,A301,Pricing!$B:$B,B301)=0,"",SUMIFS(Pricing!$G:$G,Pricing!$A:$A,A301,Pricing!$B:$B,B301))</f>
        <v/>
      </c>
      <c r="H301" s="9" t="str">
        <f t="shared" si="22"/>
        <v/>
      </c>
      <c r="I301" s="3">
        <v>0</v>
      </c>
      <c r="J301" s="3">
        <v>0</v>
      </c>
      <c r="K301" s="9" t="str">
        <f t="shared" si="23"/>
        <v/>
      </c>
      <c r="L301" s="6" t="str">
        <f t="shared" si="24"/>
        <v/>
      </c>
      <c r="M301" s="10" t="str">
        <f t="shared" si="25"/>
        <v/>
      </c>
      <c r="N301" s="6" t="str">
        <f t="shared" si="26"/>
        <v/>
      </c>
    </row>
    <row r="302" spans="1:14">
      <c r="A302" s="2"/>
      <c r="B302" s="2"/>
      <c r="C302" s="22" t="str">
        <f>IF(OR(A302="",B302=""),"",IFERROR(XLOOKUP(1,(Buy_History!$A$2:$A$501=A302)*(Buy_History!$B$2:$B$501=B302),Buy_History!$C$2:$C$501,""),""))</f>
        <v/>
      </c>
      <c r="D302" s="22" t="str">
        <f>IF(OR(A302="",B302=""),"",IFERROR(XLOOKUP(1,(Sell_History!$A$2:$A$501=A302)*(Sell_History!$B$2:$B$501=B302),Sell_History!$C$2:$C$501,""),""))</f>
        <v/>
      </c>
      <c r="E302" s="8" t="str">
        <f>IF(OR(A302="",B302=""),"",IFERROR(XLOOKUP(1,(Raw_Observations!$A$2:$A$1001=A302)*(Raw_Observations!$B$2:$B$1001=B302),Raw_Observations!$D$2:$D$1001,""),""))</f>
        <v/>
      </c>
      <c r="F302" s="8" t="str">
        <f>IF(OR(A302="",B302=""),"",IFERROR(XLOOKUP(1,(Order_History!$A$2:$A$501=A302)*(Order_History!$B$2:$B$501=B302),Order_History!$D$2:$D$501,""),""))</f>
        <v/>
      </c>
      <c r="G302" s="8" t="str">
        <f>IF(COUNTIFS(Pricing!$A:$A,A302,Pricing!$B:$B,B302)=0,"",SUMIFS(Pricing!$G:$G,Pricing!$A:$A,A302,Pricing!$B:$B,B302))</f>
        <v/>
      </c>
      <c r="H302" s="9" t="str">
        <f t="shared" si="22"/>
        <v/>
      </c>
      <c r="I302" s="3">
        <v>0</v>
      </c>
      <c r="J302" s="3">
        <v>0</v>
      </c>
      <c r="K302" s="9" t="str">
        <f t="shared" si="23"/>
        <v/>
      </c>
      <c r="L302" s="6" t="str">
        <f t="shared" si="24"/>
        <v/>
      </c>
      <c r="M302" s="10" t="str">
        <f t="shared" si="25"/>
        <v/>
      </c>
      <c r="N302" s="6" t="str">
        <f t="shared" si="26"/>
        <v/>
      </c>
    </row>
    <row r="303" spans="1:14">
      <c r="A303" s="2"/>
      <c r="B303" s="2"/>
      <c r="C303" s="22" t="str">
        <f>IF(OR(A303="",B303=""),"",IFERROR(XLOOKUP(1,(Buy_History!$A$2:$A$501=A303)*(Buy_History!$B$2:$B$501=B303),Buy_History!$C$2:$C$501,""),""))</f>
        <v/>
      </c>
      <c r="D303" s="22" t="str">
        <f>IF(OR(A303="",B303=""),"",IFERROR(XLOOKUP(1,(Sell_History!$A$2:$A$501=A303)*(Sell_History!$B$2:$B$501=B303),Sell_History!$C$2:$C$501,""),""))</f>
        <v/>
      </c>
      <c r="E303" s="8" t="str">
        <f>IF(OR(A303="",B303=""),"",IFERROR(XLOOKUP(1,(Raw_Observations!$A$2:$A$1001=A303)*(Raw_Observations!$B$2:$B$1001=B303),Raw_Observations!$D$2:$D$1001,""),""))</f>
        <v/>
      </c>
      <c r="F303" s="8" t="str">
        <f>IF(OR(A303="",B303=""),"",IFERROR(XLOOKUP(1,(Order_History!$A$2:$A$501=A303)*(Order_History!$B$2:$B$501=B303),Order_History!$D$2:$D$501,""),""))</f>
        <v/>
      </c>
      <c r="G303" s="8" t="str">
        <f>IF(COUNTIFS(Pricing!$A:$A,A303,Pricing!$B:$B,B303)=0,"",SUMIFS(Pricing!$G:$G,Pricing!$A:$A,A303,Pricing!$B:$B,B303))</f>
        <v/>
      </c>
      <c r="H303" s="9" t="str">
        <f t="shared" si="22"/>
        <v/>
      </c>
      <c r="I303" s="3">
        <v>0</v>
      </c>
      <c r="J303" s="3">
        <v>0</v>
      </c>
      <c r="K303" s="9" t="str">
        <f t="shared" si="23"/>
        <v/>
      </c>
      <c r="L303" s="6" t="str">
        <f t="shared" si="24"/>
        <v/>
      </c>
      <c r="M303" s="10" t="str">
        <f t="shared" si="25"/>
        <v/>
      </c>
      <c r="N303" s="6" t="str">
        <f t="shared" si="26"/>
        <v/>
      </c>
    </row>
    <row r="304" spans="1:14">
      <c r="A304" s="2"/>
      <c r="B304" s="2"/>
      <c r="C304" s="22" t="str">
        <f>IF(OR(A304="",B304=""),"",IFERROR(XLOOKUP(1,(Buy_History!$A$2:$A$501=A304)*(Buy_History!$B$2:$B$501=B304),Buy_History!$C$2:$C$501,""),""))</f>
        <v/>
      </c>
      <c r="D304" s="22" t="str">
        <f>IF(OR(A304="",B304=""),"",IFERROR(XLOOKUP(1,(Sell_History!$A$2:$A$501=A304)*(Sell_History!$B$2:$B$501=B304),Sell_History!$C$2:$C$501,""),""))</f>
        <v/>
      </c>
      <c r="E304" s="8" t="str">
        <f>IF(OR(A304="",B304=""),"",IFERROR(XLOOKUP(1,(Raw_Observations!$A$2:$A$1001=A304)*(Raw_Observations!$B$2:$B$1001=B304),Raw_Observations!$D$2:$D$1001,""),""))</f>
        <v/>
      </c>
      <c r="F304" s="8" t="str">
        <f>IF(OR(A304="",B304=""),"",IFERROR(XLOOKUP(1,(Order_History!$A$2:$A$501=A304)*(Order_History!$B$2:$B$501=B304),Order_History!$D$2:$D$501,""),""))</f>
        <v/>
      </c>
      <c r="G304" s="8" t="str">
        <f>IF(COUNTIFS(Pricing!$A:$A,A304,Pricing!$B:$B,B304)=0,"",SUMIFS(Pricing!$G:$G,Pricing!$A:$A,A304,Pricing!$B:$B,B304))</f>
        <v/>
      </c>
      <c r="H304" s="9" t="str">
        <f t="shared" si="22"/>
        <v/>
      </c>
      <c r="I304" s="3">
        <v>0</v>
      </c>
      <c r="J304" s="3">
        <v>0</v>
      </c>
      <c r="K304" s="9" t="str">
        <f t="shared" si="23"/>
        <v/>
      </c>
      <c r="L304" s="6" t="str">
        <f t="shared" si="24"/>
        <v/>
      </c>
      <c r="M304" s="10" t="str">
        <f t="shared" si="25"/>
        <v/>
      </c>
      <c r="N304" s="6" t="str">
        <f t="shared" si="26"/>
        <v/>
      </c>
    </row>
    <row r="305" spans="1:14">
      <c r="A305" s="2"/>
      <c r="B305" s="2"/>
      <c r="C305" s="22" t="str">
        <f>IF(OR(A305="",B305=""),"",IFERROR(XLOOKUP(1,(Buy_History!$A$2:$A$501=A305)*(Buy_History!$B$2:$B$501=B305),Buy_History!$C$2:$C$501,""),""))</f>
        <v/>
      </c>
      <c r="D305" s="22" t="str">
        <f>IF(OR(A305="",B305=""),"",IFERROR(XLOOKUP(1,(Sell_History!$A$2:$A$501=A305)*(Sell_History!$B$2:$B$501=B305),Sell_History!$C$2:$C$501,""),""))</f>
        <v/>
      </c>
      <c r="E305" s="8" t="str">
        <f>IF(OR(A305="",B305=""),"",IFERROR(XLOOKUP(1,(Raw_Observations!$A$2:$A$1001=A305)*(Raw_Observations!$B$2:$B$1001=B305),Raw_Observations!$D$2:$D$1001,""),""))</f>
        <v/>
      </c>
      <c r="F305" s="8" t="str">
        <f>IF(OR(A305="",B305=""),"",IFERROR(XLOOKUP(1,(Order_History!$A$2:$A$501=A305)*(Order_History!$B$2:$B$501=B305),Order_History!$D$2:$D$501,""),""))</f>
        <v/>
      </c>
      <c r="G305" s="8" t="str">
        <f>IF(COUNTIFS(Pricing!$A:$A,A305,Pricing!$B:$B,B305)=0,"",SUMIFS(Pricing!$G:$G,Pricing!$A:$A,A305,Pricing!$B:$B,B305))</f>
        <v/>
      </c>
      <c r="H305" s="9" t="str">
        <f t="shared" si="22"/>
        <v/>
      </c>
      <c r="I305" s="3">
        <v>0</v>
      </c>
      <c r="J305" s="3">
        <v>0</v>
      </c>
      <c r="K305" s="9" t="str">
        <f t="shared" si="23"/>
        <v/>
      </c>
      <c r="L305" s="6" t="str">
        <f t="shared" si="24"/>
        <v/>
      </c>
      <c r="M305" s="10" t="str">
        <f t="shared" si="25"/>
        <v/>
      </c>
      <c r="N305" s="6" t="str">
        <f t="shared" si="26"/>
        <v/>
      </c>
    </row>
    <row r="306" spans="1:14">
      <c r="A306" s="2"/>
      <c r="B306" s="2"/>
      <c r="C306" s="22" t="str">
        <f>IF(OR(A306="",B306=""),"",IFERROR(XLOOKUP(1,(Buy_History!$A$2:$A$501=A306)*(Buy_History!$B$2:$B$501=B306),Buy_History!$C$2:$C$501,""),""))</f>
        <v/>
      </c>
      <c r="D306" s="22" t="str">
        <f>IF(OR(A306="",B306=""),"",IFERROR(XLOOKUP(1,(Sell_History!$A$2:$A$501=A306)*(Sell_History!$B$2:$B$501=B306),Sell_History!$C$2:$C$501,""),""))</f>
        <v/>
      </c>
      <c r="E306" s="8" t="str">
        <f>IF(OR(A306="",B306=""),"",IFERROR(XLOOKUP(1,(Raw_Observations!$A$2:$A$1001=A306)*(Raw_Observations!$B$2:$B$1001=B306),Raw_Observations!$D$2:$D$1001,""),""))</f>
        <v/>
      </c>
      <c r="F306" s="8" t="str">
        <f>IF(OR(A306="",B306=""),"",IFERROR(XLOOKUP(1,(Order_History!$A$2:$A$501=A306)*(Order_History!$B$2:$B$501=B306),Order_History!$D$2:$D$501,""),""))</f>
        <v/>
      </c>
      <c r="G306" s="8" t="str">
        <f>IF(COUNTIFS(Pricing!$A:$A,A306,Pricing!$B:$B,B306)=0,"",SUMIFS(Pricing!$G:$G,Pricing!$A:$A,A306,Pricing!$B:$B,B306))</f>
        <v/>
      </c>
      <c r="H306" s="9" t="str">
        <f t="shared" si="22"/>
        <v/>
      </c>
      <c r="I306" s="3">
        <v>0</v>
      </c>
      <c r="J306" s="3">
        <v>0</v>
      </c>
      <c r="K306" s="9" t="str">
        <f t="shared" si="23"/>
        <v/>
      </c>
      <c r="L306" s="6" t="str">
        <f t="shared" si="24"/>
        <v/>
      </c>
      <c r="M306" s="10" t="str">
        <f t="shared" si="25"/>
        <v/>
      </c>
      <c r="N306" s="6" t="str">
        <f t="shared" si="26"/>
        <v/>
      </c>
    </row>
    <row r="307" spans="1:14">
      <c r="A307" s="2"/>
      <c r="B307" s="2"/>
      <c r="C307" s="22" t="str">
        <f>IF(OR(A307="",B307=""),"",IFERROR(XLOOKUP(1,(Buy_History!$A$2:$A$501=A307)*(Buy_History!$B$2:$B$501=B307),Buy_History!$C$2:$C$501,""),""))</f>
        <v/>
      </c>
      <c r="D307" s="22" t="str">
        <f>IF(OR(A307="",B307=""),"",IFERROR(XLOOKUP(1,(Sell_History!$A$2:$A$501=A307)*(Sell_History!$B$2:$B$501=B307),Sell_History!$C$2:$C$501,""),""))</f>
        <v/>
      </c>
      <c r="E307" s="8" t="str">
        <f>IF(OR(A307="",B307=""),"",IFERROR(XLOOKUP(1,(Raw_Observations!$A$2:$A$1001=A307)*(Raw_Observations!$B$2:$B$1001=B307),Raw_Observations!$D$2:$D$1001,""),""))</f>
        <v/>
      </c>
      <c r="F307" s="8" t="str">
        <f>IF(OR(A307="",B307=""),"",IFERROR(XLOOKUP(1,(Order_History!$A$2:$A$501=A307)*(Order_History!$B$2:$B$501=B307),Order_History!$D$2:$D$501,""),""))</f>
        <v/>
      </c>
      <c r="G307" s="8" t="str">
        <f>IF(COUNTIFS(Pricing!$A:$A,A307,Pricing!$B:$B,B307)=0,"",SUMIFS(Pricing!$G:$G,Pricing!$A:$A,A307,Pricing!$B:$B,B307))</f>
        <v/>
      </c>
      <c r="H307" s="9" t="str">
        <f t="shared" si="22"/>
        <v/>
      </c>
      <c r="I307" s="3">
        <v>0</v>
      </c>
      <c r="J307" s="3">
        <v>0</v>
      </c>
      <c r="K307" s="9" t="str">
        <f t="shared" si="23"/>
        <v/>
      </c>
      <c r="L307" s="6" t="str">
        <f t="shared" si="24"/>
        <v/>
      </c>
      <c r="M307" s="10" t="str">
        <f t="shared" si="25"/>
        <v/>
      </c>
      <c r="N307" s="6" t="str">
        <f t="shared" si="26"/>
        <v/>
      </c>
    </row>
    <row r="308" spans="1:14">
      <c r="A308" s="2"/>
      <c r="B308" s="2"/>
      <c r="C308" s="22" t="str">
        <f>IF(OR(A308="",B308=""),"",IFERROR(XLOOKUP(1,(Buy_History!$A$2:$A$501=A308)*(Buy_History!$B$2:$B$501=B308),Buy_History!$C$2:$C$501,""),""))</f>
        <v/>
      </c>
      <c r="D308" s="22" t="str">
        <f>IF(OR(A308="",B308=""),"",IFERROR(XLOOKUP(1,(Sell_History!$A$2:$A$501=A308)*(Sell_History!$B$2:$B$501=B308),Sell_History!$C$2:$C$501,""),""))</f>
        <v/>
      </c>
      <c r="E308" s="8" t="str">
        <f>IF(OR(A308="",B308=""),"",IFERROR(XLOOKUP(1,(Raw_Observations!$A$2:$A$1001=A308)*(Raw_Observations!$B$2:$B$1001=B308),Raw_Observations!$D$2:$D$1001,""),""))</f>
        <v/>
      </c>
      <c r="F308" s="8" t="str">
        <f>IF(OR(A308="",B308=""),"",IFERROR(XLOOKUP(1,(Order_History!$A$2:$A$501=A308)*(Order_History!$B$2:$B$501=B308),Order_History!$D$2:$D$501,""),""))</f>
        <v/>
      </c>
      <c r="G308" s="8" t="str">
        <f>IF(COUNTIFS(Pricing!$A:$A,A308,Pricing!$B:$B,B308)=0,"",SUMIFS(Pricing!$G:$G,Pricing!$A:$A,A308,Pricing!$B:$B,B308))</f>
        <v/>
      </c>
      <c r="H308" s="9" t="str">
        <f t="shared" si="22"/>
        <v/>
      </c>
      <c r="I308" s="3">
        <v>0</v>
      </c>
      <c r="J308" s="3">
        <v>0</v>
      </c>
      <c r="K308" s="9" t="str">
        <f t="shared" si="23"/>
        <v/>
      </c>
      <c r="L308" s="6" t="str">
        <f t="shared" si="24"/>
        <v/>
      </c>
      <c r="M308" s="10" t="str">
        <f t="shared" si="25"/>
        <v/>
      </c>
      <c r="N308" s="6" t="str">
        <f t="shared" si="26"/>
        <v/>
      </c>
    </row>
    <row r="309" spans="1:14">
      <c r="A309" s="2"/>
      <c r="B309" s="2"/>
      <c r="C309" s="22" t="str">
        <f>IF(OR(A309="",B309=""),"",IFERROR(XLOOKUP(1,(Buy_History!$A$2:$A$501=A309)*(Buy_History!$B$2:$B$501=B309),Buy_History!$C$2:$C$501,""),""))</f>
        <v/>
      </c>
      <c r="D309" s="22" t="str">
        <f>IF(OR(A309="",B309=""),"",IFERROR(XLOOKUP(1,(Sell_History!$A$2:$A$501=A309)*(Sell_History!$B$2:$B$501=B309),Sell_History!$C$2:$C$501,""),""))</f>
        <v/>
      </c>
      <c r="E309" s="8" t="str">
        <f>IF(OR(A309="",B309=""),"",IFERROR(XLOOKUP(1,(Raw_Observations!$A$2:$A$1001=A309)*(Raw_Observations!$B$2:$B$1001=B309),Raw_Observations!$D$2:$D$1001,""),""))</f>
        <v/>
      </c>
      <c r="F309" s="8" t="str">
        <f>IF(OR(A309="",B309=""),"",IFERROR(XLOOKUP(1,(Order_History!$A$2:$A$501=A309)*(Order_History!$B$2:$B$501=B309),Order_History!$D$2:$D$501,""),""))</f>
        <v/>
      </c>
      <c r="G309" s="8" t="str">
        <f>IF(COUNTIFS(Pricing!$A:$A,A309,Pricing!$B:$B,B309)=0,"",SUMIFS(Pricing!$G:$G,Pricing!$A:$A,A309,Pricing!$B:$B,B309))</f>
        <v/>
      </c>
      <c r="H309" s="9" t="str">
        <f t="shared" si="22"/>
        <v/>
      </c>
      <c r="I309" s="3">
        <v>0</v>
      </c>
      <c r="J309" s="3">
        <v>0</v>
      </c>
      <c r="K309" s="9" t="str">
        <f t="shared" si="23"/>
        <v/>
      </c>
      <c r="L309" s="6" t="str">
        <f t="shared" si="24"/>
        <v/>
      </c>
      <c r="M309" s="10" t="str">
        <f t="shared" si="25"/>
        <v/>
      </c>
      <c r="N309" s="6" t="str">
        <f t="shared" si="26"/>
        <v/>
      </c>
    </row>
    <row r="310" spans="1:14">
      <c r="A310" s="2"/>
      <c r="B310" s="2"/>
      <c r="C310" s="22" t="str">
        <f>IF(OR(A310="",B310=""),"",IFERROR(XLOOKUP(1,(Buy_History!$A$2:$A$501=A310)*(Buy_History!$B$2:$B$501=B310),Buy_History!$C$2:$C$501,""),""))</f>
        <v/>
      </c>
      <c r="D310" s="22" t="str">
        <f>IF(OR(A310="",B310=""),"",IFERROR(XLOOKUP(1,(Sell_History!$A$2:$A$501=A310)*(Sell_History!$B$2:$B$501=B310),Sell_History!$C$2:$C$501,""),""))</f>
        <v/>
      </c>
      <c r="E310" s="8" t="str">
        <f>IF(OR(A310="",B310=""),"",IFERROR(XLOOKUP(1,(Raw_Observations!$A$2:$A$1001=A310)*(Raw_Observations!$B$2:$B$1001=B310),Raw_Observations!$D$2:$D$1001,""),""))</f>
        <v/>
      </c>
      <c r="F310" s="8" t="str">
        <f>IF(OR(A310="",B310=""),"",IFERROR(XLOOKUP(1,(Order_History!$A$2:$A$501=A310)*(Order_History!$B$2:$B$501=B310),Order_History!$D$2:$D$501,""),""))</f>
        <v/>
      </c>
      <c r="G310" s="8" t="str">
        <f>IF(COUNTIFS(Pricing!$A:$A,A310,Pricing!$B:$B,B310)=0,"",SUMIFS(Pricing!$G:$G,Pricing!$A:$A,A310,Pricing!$B:$B,B310))</f>
        <v/>
      </c>
      <c r="H310" s="9" t="str">
        <f t="shared" si="22"/>
        <v/>
      </c>
      <c r="I310" s="3">
        <v>0</v>
      </c>
      <c r="J310" s="3">
        <v>0</v>
      </c>
      <c r="K310" s="9" t="str">
        <f t="shared" si="23"/>
        <v/>
      </c>
      <c r="L310" s="6" t="str">
        <f t="shared" si="24"/>
        <v/>
      </c>
      <c r="M310" s="10" t="str">
        <f t="shared" si="25"/>
        <v/>
      </c>
      <c r="N310" s="6" t="str">
        <f t="shared" si="26"/>
        <v/>
      </c>
    </row>
    <row r="311" spans="1:14">
      <c r="A311" s="2"/>
      <c r="B311" s="2"/>
      <c r="C311" s="22" t="str">
        <f>IF(OR(A311="",B311=""),"",IFERROR(XLOOKUP(1,(Buy_History!$A$2:$A$501=A311)*(Buy_History!$B$2:$B$501=B311),Buy_History!$C$2:$C$501,""),""))</f>
        <v/>
      </c>
      <c r="D311" s="22" t="str">
        <f>IF(OR(A311="",B311=""),"",IFERROR(XLOOKUP(1,(Sell_History!$A$2:$A$501=A311)*(Sell_History!$B$2:$B$501=B311),Sell_History!$C$2:$C$501,""),""))</f>
        <v/>
      </c>
      <c r="E311" s="8" t="str">
        <f>IF(OR(A311="",B311=""),"",IFERROR(XLOOKUP(1,(Raw_Observations!$A$2:$A$1001=A311)*(Raw_Observations!$B$2:$B$1001=B311),Raw_Observations!$D$2:$D$1001,""),""))</f>
        <v/>
      </c>
      <c r="F311" s="8" t="str">
        <f>IF(OR(A311="",B311=""),"",IFERROR(XLOOKUP(1,(Order_History!$A$2:$A$501=A311)*(Order_History!$B$2:$B$501=B311),Order_History!$D$2:$D$501,""),""))</f>
        <v/>
      </c>
      <c r="G311" s="8" t="str">
        <f>IF(COUNTIFS(Pricing!$A:$A,A311,Pricing!$B:$B,B311)=0,"",SUMIFS(Pricing!$G:$G,Pricing!$A:$A,A311,Pricing!$B:$B,B311))</f>
        <v/>
      </c>
      <c r="H311" s="9" t="str">
        <f t="shared" si="22"/>
        <v/>
      </c>
      <c r="I311" s="3">
        <v>0</v>
      </c>
      <c r="J311" s="3">
        <v>0</v>
      </c>
      <c r="K311" s="9" t="str">
        <f t="shared" si="23"/>
        <v/>
      </c>
      <c r="L311" s="6" t="str">
        <f t="shared" si="24"/>
        <v/>
      </c>
      <c r="M311" s="10" t="str">
        <f t="shared" si="25"/>
        <v/>
      </c>
      <c r="N311" s="6" t="str">
        <f t="shared" si="26"/>
        <v/>
      </c>
    </row>
    <row r="312" spans="1:14">
      <c r="A312" s="2"/>
      <c r="B312" s="2"/>
      <c r="C312" s="22" t="str">
        <f>IF(OR(A312="",B312=""),"",IFERROR(XLOOKUP(1,(Buy_History!$A$2:$A$501=A312)*(Buy_History!$B$2:$B$501=B312),Buy_History!$C$2:$C$501,""),""))</f>
        <v/>
      </c>
      <c r="D312" s="22" t="str">
        <f>IF(OR(A312="",B312=""),"",IFERROR(XLOOKUP(1,(Sell_History!$A$2:$A$501=A312)*(Sell_History!$B$2:$B$501=B312),Sell_History!$C$2:$C$501,""),""))</f>
        <v/>
      </c>
      <c r="E312" s="8" t="str">
        <f>IF(OR(A312="",B312=""),"",IFERROR(XLOOKUP(1,(Raw_Observations!$A$2:$A$1001=A312)*(Raw_Observations!$B$2:$B$1001=B312),Raw_Observations!$D$2:$D$1001,""),""))</f>
        <v/>
      </c>
      <c r="F312" s="8" t="str">
        <f>IF(OR(A312="",B312=""),"",IFERROR(XLOOKUP(1,(Order_History!$A$2:$A$501=A312)*(Order_History!$B$2:$B$501=B312),Order_History!$D$2:$D$501,""),""))</f>
        <v/>
      </c>
      <c r="G312" s="8" t="str">
        <f>IF(COUNTIFS(Pricing!$A:$A,A312,Pricing!$B:$B,B312)=0,"",SUMIFS(Pricing!$G:$G,Pricing!$A:$A,A312,Pricing!$B:$B,B312))</f>
        <v/>
      </c>
      <c r="H312" s="9" t="str">
        <f t="shared" si="22"/>
        <v/>
      </c>
      <c r="I312" s="3">
        <v>0</v>
      </c>
      <c r="J312" s="3">
        <v>0</v>
      </c>
      <c r="K312" s="9" t="str">
        <f t="shared" si="23"/>
        <v/>
      </c>
      <c r="L312" s="6" t="str">
        <f t="shared" si="24"/>
        <v/>
      </c>
      <c r="M312" s="10" t="str">
        <f t="shared" si="25"/>
        <v/>
      </c>
      <c r="N312" s="6" t="str">
        <f t="shared" si="26"/>
        <v/>
      </c>
    </row>
    <row r="313" spans="1:14">
      <c r="A313" s="2"/>
      <c r="B313" s="2"/>
      <c r="C313" s="22" t="str">
        <f>IF(OR(A313="",B313=""),"",IFERROR(XLOOKUP(1,(Buy_History!$A$2:$A$501=A313)*(Buy_History!$B$2:$B$501=B313),Buy_History!$C$2:$C$501,""),""))</f>
        <v/>
      </c>
      <c r="D313" s="22" t="str">
        <f>IF(OR(A313="",B313=""),"",IFERROR(XLOOKUP(1,(Sell_History!$A$2:$A$501=A313)*(Sell_History!$B$2:$B$501=B313),Sell_History!$C$2:$C$501,""),""))</f>
        <v/>
      </c>
      <c r="E313" s="8" t="str">
        <f>IF(OR(A313="",B313=""),"",IFERROR(XLOOKUP(1,(Raw_Observations!$A$2:$A$1001=A313)*(Raw_Observations!$B$2:$B$1001=B313),Raw_Observations!$D$2:$D$1001,""),""))</f>
        <v/>
      </c>
      <c r="F313" s="8" t="str">
        <f>IF(OR(A313="",B313=""),"",IFERROR(XLOOKUP(1,(Order_History!$A$2:$A$501=A313)*(Order_History!$B$2:$B$501=B313),Order_History!$D$2:$D$501,""),""))</f>
        <v/>
      </c>
      <c r="G313" s="8" t="str">
        <f>IF(COUNTIFS(Pricing!$A:$A,A313,Pricing!$B:$B,B313)=0,"",SUMIFS(Pricing!$G:$G,Pricing!$A:$A,A313,Pricing!$B:$B,B313))</f>
        <v/>
      </c>
      <c r="H313" s="9" t="str">
        <f t="shared" si="22"/>
        <v/>
      </c>
      <c r="I313" s="3">
        <v>0</v>
      </c>
      <c r="J313" s="3">
        <v>0</v>
      </c>
      <c r="K313" s="9" t="str">
        <f t="shared" si="23"/>
        <v/>
      </c>
      <c r="L313" s="6" t="str">
        <f t="shared" si="24"/>
        <v/>
      </c>
      <c r="M313" s="10" t="str">
        <f t="shared" si="25"/>
        <v/>
      </c>
      <c r="N313" s="6" t="str">
        <f t="shared" si="26"/>
        <v/>
      </c>
    </row>
    <row r="314" spans="1:14">
      <c r="A314" s="2"/>
      <c r="B314" s="2"/>
      <c r="C314" s="22" t="str">
        <f>IF(OR(A314="",B314=""),"",IFERROR(XLOOKUP(1,(Buy_History!$A$2:$A$501=A314)*(Buy_History!$B$2:$B$501=B314),Buy_History!$C$2:$C$501,""),""))</f>
        <v/>
      </c>
      <c r="D314" s="22" t="str">
        <f>IF(OR(A314="",B314=""),"",IFERROR(XLOOKUP(1,(Sell_History!$A$2:$A$501=A314)*(Sell_History!$B$2:$B$501=B314),Sell_History!$C$2:$C$501,""),""))</f>
        <v/>
      </c>
      <c r="E314" s="8" t="str">
        <f>IF(OR(A314="",B314=""),"",IFERROR(XLOOKUP(1,(Raw_Observations!$A$2:$A$1001=A314)*(Raw_Observations!$B$2:$B$1001=B314),Raw_Observations!$D$2:$D$1001,""),""))</f>
        <v/>
      </c>
      <c r="F314" s="8" t="str">
        <f>IF(OR(A314="",B314=""),"",IFERROR(XLOOKUP(1,(Order_History!$A$2:$A$501=A314)*(Order_History!$B$2:$B$501=B314),Order_History!$D$2:$D$501,""),""))</f>
        <v/>
      </c>
      <c r="G314" s="8" t="str">
        <f>IF(COUNTIFS(Pricing!$A:$A,A314,Pricing!$B:$B,B314)=0,"",SUMIFS(Pricing!$G:$G,Pricing!$A:$A,A314,Pricing!$B:$B,B314))</f>
        <v/>
      </c>
      <c r="H314" s="9" t="str">
        <f t="shared" si="22"/>
        <v/>
      </c>
      <c r="I314" s="3">
        <v>0</v>
      </c>
      <c r="J314" s="3">
        <v>0</v>
      </c>
      <c r="K314" s="9" t="str">
        <f t="shared" si="23"/>
        <v/>
      </c>
      <c r="L314" s="6" t="str">
        <f t="shared" si="24"/>
        <v/>
      </c>
      <c r="M314" s="10" t="str">
        <f t="shared" si="25"/>
        <v/>
      </c>
      <c r="N314" s="6" t="str">
        <f t="shared" si="26"/>
        <v/>
      </c>
    </row>
    <row r="315" spans="1:14">
      <c r="A315" s="2"/>
      <c r="B315" s="2"/>
      <c r="C315" s="22" t="str">
        <f>IF(OR(A315="",B315=""),"",IFERROR(XLOOKUP(1,(Buy_History!$A$2:$A$501=A315)*(Buy_History!$B$2:$B$501=B315),Buy_History!$C$2:$C$501,""),""))</f>
        <v/>
      </c>
      <c r="D315" s="22" t="str">
        <f>IF(OR(A315="",B315=""),"",IFERROR(XLOOKUP(1,(Sell_History!$A$2:$A$501=A315)*(Sell_History!$B$2:$B$501=B315),Sell_History!$C$2:$C$501,""),""))</f>
        <v/>
      </c>
      <c r="E315" s="8" t="str">
        <f>IF(OR(A315="",B315=""),"",IFERROR(XLOOKUP(1,(Raw_Observations!$A$2:$A$1001=A315)*(Raw_Observations!$B$2:$B$1001=B315),Raw_Observations!$D$2:$D$1001,""),""))</f>
        <v/>
      </c>
      <c r="F315" s="8" t="str">
        <f>IF(OR(A315="",B315=""),"",IFERROR(XLOOKUP(1,(Order_History!$A$2:$A$501=A315)*(Order_History!$B$2:$B$501=B315),Order_History!$D$2:$D$501,""),""))</f>
        <v/>
      </c>
      <c r="G315" s="8" t="str">
        <f>IF(COUNTIFS(Pricing!$A:$A,A315,Pricing!$B:$B,B315)=0,"",SUMIFS(Pricing!$G:$G,Pricing!$A:$A,A315,Pricing!$B:$B,B315))</f>
        <v/>
      </c>
      <c r="H315" s="9" t="str">
        <f t="shared" si="22"/>
        <v/>
      </c>
      <c r="I315" s="3">
        <v>0</v>
      </c>
      <c r="J315" s="3">
        <v>0</v>
      </c>
      <c r="K315" s="9" t="str">
        <f t="shared" si="23"/>
        <v/>
      </c>
      <c r="L315" s="6" t="str">
        <f t="shared" si="24"/>
        <v/>
      </c>
      <c r="M315" s="10" t="str">
        <f t="shared" si="25"/>
        <v/>
      </c>
      <c r="N315" s="6" t="str">
        <f t="shared" si="26"/>
        <v/>
      </c>
    </row>
    <row r="316" spans="1:14">
      <c r="A316" s="2"/>
      <c r="B316" s="2"/>
      <c r="C316" s="22" t="str">
        <f>IF(OR(A316="",B316=""),"",IFERROR(XLOOKUP(1,(Buy_History!$A$2:$A$501=A316)*(Buy_History!$B$2:$B$501=B316),Buy_History!$C$2:$C$501,""),""))</f>
        <v/>
      </c>
      <c r="D316" s="22" t="str">
        <f>IF(OR(A316="",B316=""),"",IFERROR(XLOOKUP(1,(Sell_History!$A$2:$A$501=A316)*(Sell_History!$B$2:$B$501=B316),Sell_History!$C$2:$C$501,""),""))</f>
        <v/>
      </c>
      <c r="E316" s="8" t="str">
        <f>IF(OR(A316="",B316=""),"",IFERROR(XLOOKUP(1,(Raw_Observations!$A$2:$A$1001=A316)*(Raw_Observations!$B$2:$B$1001=B316),Raw_Observations!$D$2:$D$1001,""),""))</f>
        <v/>
      </c>
      <c r="F316" s="8" t="str">
        <f>IF(OR(A316="",B316=""),"",IFERROR(XLOOKUP(1,(Order_History!$A$2:$A$501=A316)*(Order_History!$B$2:$B$501=B316),Order_History!$D$2:$D$501,""),""))</f>
        <v/>
      </c>
      <c r="G316" s="8" t="str">
        <f>IF(COUNTIFS(Pricing!$A:$A,A316,Pricing!$B:$B,B316)=0,"",SUMIFS(Pricing!$G:$G,Pricing!$A:$A,A316,Pricing!$B:$B,B316))</f>
        <v/>
      </c>
      <c r="H316" s="9" t="str">
        <f t="shared" si="22"/>
        <v/>
      </c>
      <c r="I316" s="3">
        <v>0</v>
      </c>
      <c r="J316" s="3">
        <v>0</v>
      </c>
      <c r="K316" s="9" t="str">
        <f t="shared" si="23"/>
        <v/>
      </c>
      <c r="L316" s="6" t="str">
        <f t="shared" si="24"/>
        <v/>
      </c>
      <c r="M316" s="10" t="str">
        <f t="shared" si="25"/>
        <v/>
      </c>
      <c r="N316" s="6" t="str">
        <f t="shared" si="26"/>
        <v/>
      </c>
    </row>
    <row r="317" spans="1:14">
      <c r="A317" s="2"/>
      <c r="B317" s="2"/>
      <c r="C317" s="22" t="str">
        <f>IF(OR(A317="",B317=""),"",IFERROR(XLOOKUP(1,(Buy_History!$A$2:$A$501=A317)*(Buy_History!$B$2:$B$501=B317),Buy_History!$C$2:$C$501,""),""))</f>
        <v/>
      </c>
      <c r="D317" s="22" t="str">
        <f>IF(OR(A317="",B317=""),"",IFERROR(XLOOKUP(1,(Sell_History!$A$2:$A$501=A317)*(Sell_History!$B$2:$B$501=B317),Sell_History!$C$2:$C$501,""),""))</f>
        <v/>
      </c>
      <c r="E317" s="8" t="str">
        <f>IF(OR(A317="",B317=""),"",IFERROR(XLOOKUP(1,(Raw_Observations!$A$2:$A$1001=A317)*(Raw_Observations!$B$2:$B$1001=B317),Raw_Observations!$D$2:$D$1001,""),""))</f>
        <v/>
      </c>
      <c r="F317" s="8" t="str">
        <f>IF(OR(A317="",B317=""),"",IFERROR(XLOOKUP(1,(Order_History!$A$2:$A$501=A317)*(Order_History!$B$2:$B$501=B317),Order_History!$D$2:$D$501,""),""))</f>
        <v/>
      </c>
      <c r="G317" s="8" t="str">
        <f>IF(COUNTIFS(Pricing!$A:$A,A317,Pricing!$B:$B,B317)=0,"",SUMIFS(Pricing!$G:$G,Pricing!$A:$A,A317,Pricing!$B:$B,B317))</f>
        <v/>
      </c>
      <c r="H317" s="9" t="str">
        <f t="shared" si="22"/>
        <v/>
      </c>
      <c r="I317" s="3">
        <v>0</v>
      </c>
      <c r="J317" s="3">
        <v>0</v>
      </c>
      <c r="K317" s="9" t="str">
        <f t="shared" si="23"/>
        <v/>
      </c>
      <c r="L317" s="6" t="str">
        <f t="shared" si="24"/>
        <v/>
      </c>
      <c r="M317" s="10" t="str">
        <f t="shared" si="25"/>
        <v/>
      </c>
      <c r="N317" s="6" t="str">
        <f t="shared" si="26"/>
        <v/>
      </c>
    </row>
    <row r="318" spans="1:14">
      <c r="A318" s="2"/>
      <c r="B318" s="2"/>
      <c r="C318" s="22" t="str">
        <f>IF(OR(A318="",B318=""),"",IFERROR(XLOOKUP(1,(Buy_History!$A$2:$A$501=A318)*(Buy_History!$B$2:$B$501=B318),Buy_History!$C$2:$C$501,""),""))</f>
        <v/>
      </c>
      <c r="D318" s="22" t="str">
        <f>IF(OR(A318="",B318=""),"",IFERROR(XLOOKUP(1,(Sell_History!$A$2:$A$501=A318)*(Sell_History!$B$2:$B$501=B318),Sell_History!$C$2:$C$501,""),""))</f>
        <v/>
      </c>
      <c r="E318" s="8" t="str">
        <f>IF(OR(A318="",B318=""),"",IFERROR(XLOOKUP(1,(Raw_Observations!$A$2:$A$1001=A318)*(Raw_Observations!$B$2:$B$1001=B318),Raw_Observations!$D$2:$D$1001,""),""))</f>
        <v/>
      </c>
      <c r="F318" s="8" t="str">
        <f>IF(OR(A318="",B318=""),"",IFERROR(XLOOKUP(1,(Order_History!$A$2:$A$501=A318)*(Order_History!$B$2:$B$501=B318),Order_History!$D$2:$D$501,""),""))</f>
        <v/>
      </c>
      <c r="G318" s="8" t="str">
        <f>IF(COUNTIFS(Pricing!$A:$A,A318,Pricing!$B:$B,B318)=0,"",SUMIFS(Pricing!$G:$G,Pricing!$A:$A,A318,Pricing!$B:$B,B318))</f>
        <v/>
      </c>
      <c r="H318" s="9" t="str">
        <f t="shared" si="22"/>
        <v/>
      </c>
      <c r="I318" s="3">
        <v>0</v>
      </c>
      <c r="J318" s="3">
        <v>0</v>
      </c>
      <c r="K318" s="9" t="str">
        <f t="shared" si="23"/>
        <v/>
      </c>
      <c r="L318" s="6" t="str">
        <f t="shared" si="24"/>
        <v/>
      </c>
      <c r="M318" s="10" t="str">
        <f t="shared" si="25"/>
        <v/>
      </c>
      <c r="N318" s="6" t="str">
        <f t="shared" si="26"/>
        <v/>
      </c>
    </row>
    <row r="319" spans="1:14">
      <c r="A319" s="2"/>
      <c r="B319" s="2"/>
      <c r="C319" s="22" t="str">
        <f>IF(OR(A319="",B319=""),"",IFERROR(XLOOKUP(1,(Buy_History!$A$2:$A$501=A319)*(Buy_History!$B$2:$B$501=B319),Buy_History!$C$2:$C$501,""),""))</f>
        <v/>
      </c>
      <c r="D319" s="22" t="str">
        <f>IF(OR(A319="",B319=""),"",IFERROR(XLOOKUP(1,(Sell_History!$A$2:$A$501=A319)*(Sell_History!$B$2:$B$501=B319),Sell_History!$C$2:$C$501,""),""))</f>
        <v/>
      </c>
      <c r="E319" s="8" t="str">
        <f>IF(OR(A319="",B319=""),"",IFERROR(XLOOKUP(1,(Raw_Observations!$A$2:$A$1001=A319)*(Raw_Observations!$B$2:$B$1001=B319),Raw_Observations!$D$2:$D$1001,""),""))</f>
        <v/>
      </c>
      <c r="F319" s="8" t="str">
        <f>IF(OR(A319="",B319=""),"",IFERROR(XLOOKUP(1,(Order_History!$A$2:$A$501=A319)*(Order_History!$B$2:$B$501=B319),Order_History!$D$2:$D$501,""),""))</f>
        <v/>
      </c>
      <c r="G319" s="8" t="str">
        <f>IF(COUNTIFS(Pricing!$A:$A,A319,Pricing!$B:$B,B319)=0,"",SUMIFS(Pricing!$G:$G,Pricing!$A:$A,A319,Pricing!$B:$B,B319))</f>
        <v/>
      </c>
      <c r="H319" s="9" t="str">
        <f t="shared" si="22"/>
        <v/>
      </c>
      <c r="I319" s="3">
        <v>0</v>
      </c>
      <c r="J319" s="3">
        <v>0</v>
      </c>
      <c r="K319" s="9" t="str">
        <f t="shared" si="23"/>
        <v/>
      </c>
      <c r="L319" s="6" t="str">
        <f t="shared" si="24"/>
        <v/>
      </c>
      <c r="M319" s="10" t="str">
        <f t="shared" si="25"/>
        <v/>
      </c>
      <c r="N319" s="6" t="str">
        <f t="shared" si="26"/>
        <v/>
      </c>
    </row>
    <row r="320" spans="1:14">
      <c r="A320" s="2"/>
      <c r="B320" s="2"/>
      <c r="C320" s="22" t="str">
        <f>IF(OR(A320="",B320=""),"",IFERROR(XLOOKUP(1,(Buy_History!$A$2:$A$501=A320)*(Buy_History!$B$2:$B$501=B320),Buy_History!$C$2:$C$501,""),""))</f>
        <v/>
      </c>
      <c r="D320" s="22" t="str">
        <f>IF(OR(A320="",B320=""),"",IFERROR(XLOOKUP(1,(Sell_History!$A$2:$A$501=A320)*(Sell_History!$B$2:$B$501=B320),Sell_History!$C$2:$C$501,""),""))</f>
        <v/>
      </c>
      <c r="E320" s="8" t="str">
        <f>IF(OR(A320="",B320=""),"",IFERROR(XLOOKUP(1,(Raw_Observations!$A$2:$A$1001=A320)*(Raw_Observations!$B$2:$B$1001=B320),Raw_Observations!$D$2:$D$1001,""),""))</f>
        <v/>
      </c>
      <c r="F320" s="8" t="str">
        <f>IF(OR(A320="",B320=""),"",IFERROR(XLOOKUP(1,(Order_History!$A$2:$A$501=A320)*(Order_History!$B$2:$B$501=B320),Order_History!$D$2:$D$501,""),""))</f>
        <v/>
      </c>
      <c r="G320" s="8" t="str">
        <f>IF(COUNTIFS(Pricing!$A:$A,A320,Pricing!$B:$B,B320)=0,"",SUMIFS(Pricing!$G:$G,Pricing!$A:$A,A320,Pricing!$B:$B,B320))</f>
        <v/>
      </c>
      <c r="H320" s="9" t="str">
        <f t="shared" si="22"/>
        <v/>
      </c>
      <c r="I320" s="3">
        <v>0</v>
      </c>
      <c r="J320" s="3">
        <v>0</v>
      </c>
      <c r="K320" s="9" t="str">
        <f t="shared" si="23"/>
        <v/>
      </c>
      <c r="L320" s="6" t="str">
        <f t="shared" si="24"/>
        <v/>
      </c>
      <c r="M320" s="10" t="str">
        <f t="shared" si="25"/>
        <v/>
      </c>
      <c r="N320" s="6" t="str">
        <f t="shared" si="26"/>
        <v/>
      </c>
    </row>
    <row r="321" spans="1:14">
      <c r="A321" s="2"/>
      <c r="B321" s="2"/>
      <c r="C321" s="22" t="str">
        <f>IF(OR(A321="",B321=""),"",IFERROR(XLOOKUP(1,(Buy_History!$A$2:$A$501=A321)*(Buy_History!$B$2:$B$501=B321),Buy_History!$C$2:$C$501,""),""))</f>
        <v/>
      </c>
      <c r="D321" s="22" t="str">
        <f>IF(OR(A321="",B321=""),"",IFERROR(XLOOKUP(1,(Sell_History!$A$2:$A$501=A321)*(Sell_History!$B$2:$B$501=B321),Sell_History!$C$2:$C$501,""),""))</f>
        <v/>
      </c>
      <c r="E321" s="8" t="str">
        <f>IF(OR(A321="",B321=""),"",IFERROR(XLOOKUP(1,(Raw_Observations!$A$2:$A$1001=A321)*(Raw_Observations!$B$2:$B$1001=B321),Raw_Observations!$D$2:$D$1001,""),""))</f>
        <v/>
      </c>
      <c r="F321" s="8" t="str">
        <f>IF(OR(A321="",B321=""),"",IFERROR(XLOOKUP(1,(Order_History!$A$2:$A$501=A321)*(Order_History!$B$2:$B$501=B321),Order_History!$D$2:$D$501,""),""))</f>
        <v/>
      </c>
      <c r="G321" s="8" t="str">
        <f>IF(COUNTIFS(Pricing!$A:$A,A321,Pricing!$B:$B,B321)=0,"",SUMIFS(Pricing!$G:$G,Pricing!$A:$A,A321,Pricing!$B:$B,B321))</f>
        <v/>
      </c>
      <c r="H321" s="9" t="str">
        <f t="shared" si="22"/>
        <v/>
      </c>
      <c r="I321" s="3">
        <v>0</v>
      </c>
      <c r="J321" s="3">
        <v>0</v>
      </c>
      <c r="K321" s="9" t="str">
        <f t="shared" si="23"/>
        <v/>
      </c>
      <c r="L321" s="6" t="str">
        <f t="shared" si="24"/>
        <v/>
      </c>
      <c r="M321" s="10" t="str">
        <f t="shared" si="25"/>
        <v/>
      </c>
      <c r="N321" s="6" t="str">
        <f t="shared" si="26"/>
        <v/>
      </c>
    </row>
    <row r="322" spans="1:14">
      <c r="A322" s="2"/>
      <c r="B322" s="2"/>
      <c r="C322" s="22" t="str">
        <f>IF(OR(A322="",B322=""),"",IFERROR(XLOOKUP(1,(Buy_History!$A$2:$A$501=A322)*(Buy_History!$B$2:$B$501=B322),Buy_History!$C$2:$C$501,""),""))</f>
        <v/>
      </c>
      <c r="D322" s="22" t="str">
        <f>IF(OR(A322="",B322=""),"",IFERROR(XLOOKUP(1,(Sell_History!$A$2:$A$501=A322)*(Sell_History!$B$2:$B$501=B322),Sell_History!$C$2:$C$501,""),""))</f>
        <v/>
      </c>
      <c r="E322" s="8" t="str">
        <f>IF(OR(A322="",B322=""),"",IFERROR(XLOOKUP(1,(Raw_Observations!$A$2:$A$1001=A322)*(Raw_Observations!$B$2:$B$1001=B322),Raw_Observations!$D$2:$D$1001,""),""))</f>
        <v/>
      </c>
      <c r="F322" s="8" t="str">
        <f>IF(OR(A322="",B322=""),"",IFERROR(XLOOKUP(1,(Order_History!$A$2:$A$501=A322)*(Order_History!$B$2:$B$501=B322),Order_History!$D$2:$D$501,""),""))</f>
        <v/>
      </c>
      <c r="G322" s="8" t="str">
        <f>IF(COUNTIFS(Pricing!$A:$A,A322,Pricing!$B:$B,B322)=0,"",SUMIFS(Pricing!$G:$G,Pricing!$A:$A,A322,Pricing!$B:$B,B322))</f>
        <v/>
      </c>
      <c r="H322" s="9" t="str">
        <f t="shared" ref="H322:H385" si="27">IF(OR(E322="",F322=""),"",F322-E322)</f>
        <v/>
      </c>
      <c r="I322" s="3">
        <v>0</v>
      </c>
      <c r="J322" s="3">
        <v>0</v>
      </c>
      <c r="K322" s="9" t="str">
        <f t="shared" ref="K322:K385" si="28">IF(H322="","",H322-I322-J322)</f>
        <v/>
      </c>
      <c r="L322" s="6" t="str">
        <f t="shared" ref="L322:L385" si="29">IF(OR(K322="",E322=""),"",K322/E322)</f>
        <v/>
      </c>
      <c r="M322" s="10" t="str">
        <f t="shared" ref="M322:M385" si="30">IF(OR(C322="",D322=""),"",MAX(1,ROUNDUP(D322-C322,0)))</f>
        <v/>
      </c>
      <c r="N322" s="6" t="str">
        <f t="shared" ref="N322:N385" si="31">IF(OR(L322="",M322=""),"",(1+L322)^(365/M322)-1)</f>
        <v/>
      </c>
    </row>
    <row r="323" spans="1:14">
      <c r="A323" s="2"/>
      <c r="B323" s="2"/>
      <c r="C323" s="22" t="str">
        <f>IF(OR(A323="",B323=""),"",IFERROR(XLOOKUP(1,(Buy_History!$A$2:$A$501=A323)*(Buy_History!$B$2:$B$501=B323),Buy_History!$C$2:$C$501,""),""))</f>
        <v/>
      </c>
      <c r="D323" s="22" t="str">
        <f>IF(OR(A323="",B323=""),"",IFERROR(XLOOKUP(1,(Sell_History!$A$2:$A$501=A323)*(Sell_History!$B$2:$B$501=B323),Sell_History!$C$2:$C$501,""),""))</f>
        <v/>
      </c>
      <c r="E323" s="8" t="str">
        <f>IF(OR(A323="",B323=""),"",IFERROR(XLOOKUP(1,(Raw_Observations!$A$2:$A$1001=A323)*(Raw_Observations!$B$2:$B$1001=B323),Raw_Observations!$D$2:$D$1001,""),""))</f>
        <v/>
      </c>
      <c r="F323" s="8" t="str">
        <f>IF(OR(A323="",B323=""),"",IFERROR(XLOOKUP(1,(Order_History!$A$2:$A$501=A323)*(Order_History!$B$2:$B$501=B323),Order_History!$D$2:$D$501,""),""))</f>
        <v/>
      </c>
      <c r="G323" s="8" t="str">
        <f>IF(COUNTIFS(Pricing!$A:$A,A323,Pricing!$B:$B,B323)=0,"",SUMIFS(Pricing!$G:$G,Pricing!$A:$A,A323,Pricing!$B:$B,B323))</f>
        <v/>
      </c>
      <c r="H323" s="9" t="str">
        <f t="shared" si="27"/>
        <v/>
      </c>
      <c r="I323" s="3">
        <v>0</v>
      </c>
      <c r="J323" s="3">
        <v>0</v>
      </c>
      <c r="K323" s="9" t="str">
        <f t="shared" si="28"/>
        <v/>
      </c>
      <c r="L323" s="6" t="str">
        <f t="shared" si="29"/>
        <v/>
      </c>
      <c r="M323" s="10" t="str">
        <f t="shared" si="30"/>
        <v/>
      </c>
      <c r="N323" s="6" t="str">
        <f t="shared" si="31"/>
        <v/>
      </c>
    </row>
    <row r="324" spans="1:14">
      <c r="A324" s="2"/>
      <c r="B324" s="2"/>
      <c r="C324" s="22" t="str">
        <f>IF(OR(A324="",B324=""),"",IFERROR(XLOOKUP(1,(Buy_History!$A$2:$A$501=A324)*(Buy_History!$B$2:$B$501=B324),Buy_History!$C$2:$C$501,""),""))</f>
        <v/>
      </c>
      <c r="D324" s="22" t="str">
        <f>IF(OR(A324="",B324=""),"",IFERROR(XLOOKUP(1,(Sell_History!$A$2:$A$501=A324)*(Sell_History!$B$2:$B$501=B324),Sell_History!$C$2:$C$501,""),""))</f>
        <v/>
      </c>
      <c r="E324" s="8" t="str">
        <f>IF(OR(A324="",B324=""),"",IFERROR(XLOOKUP(1,(Raw_Observations!$A$2:$A$1001=A324)*(Raw_Observations!$B$2:$B$1001=B324),Raw_Observations!$D$2:$D$1001,""),""))</f>
        <v/>
      </c>
      <c r="F324" s="8" t="str">
        <f>IF(OR(A324="",B324=""),"",IFERROR(XLOOKUP(1,(Order_History!$A$2:$A$501=A324)*(Order_History!$B$2:$B$501=B324),Order_History!$D$2:$D$501,""),""))</f>
        <v/>
      </c>
      <c r="G324" s="8" t="str">
        <f>IF(COUNTIFS(Pricing!$A:$A,A324,Pricing!$B:$B,B324)=0,"",SUMIFS(Pricing!$G:$G,Pricing!$A:$A,A324,Pricing!$B:$B,B324))</f>
        <v/>
      </c>
      <c r="H324" s="9" t="str">
        <f t="shared" si="27"/>
        <v/>
      </c>
      <c r="I324" s="3">
        <v>0</v>
      </c>
      <c r="J324" s="3">
        <v>0</v>
      </c>
      <c r="K324" s="9" t="str">
        <f t="shared" si="28"/>
        <v/>
      </c>
      <c r="L324" s="6" t="str">
        <f t="shared" si="29"/>
        <v/>
      </c>
      <c r="M324" s="10" t="str">
        <f t="shared" si="30"/>
        <v/>
      </c>
      <c r="N324" s="6" t="str">
        <f t="shared" si="31"/>
        <v/>
      </c>
    </row>
    <row r="325" spans="1:14">
      <c r="A325" s="2"/>
      <c r="B325" s="2"/>
      <c r="C325" s="22" t="str">
        <f>IF(OR(A325="",B325=""),"",IFERROR(XLOOKUP(1,(Buy_History!$A$2:$A$501=A325)*(Buy_History!$B$2:$B$501=B325),Buy_History!$C$2:$C$501,""),""))</f>
        <v/>
      </c>
      <c r="D325" s="22" t="str">
        <f>IF(OR(A325="",B325=""),"",IFERROR(XLOOKUP(1,(Sell_History!$A$2:$A$501=A325)*(Sell_History!$B$2:$B$501=B325),Sell_History!$C$2:$C$501,""),""))</f>
        <v/>
      </c>
      <c r="E325" s="8" t="str">
        <f>IF(OR(A325="",B325=""),"",IFERROR(XLOOKUP(1,(Raw_Observations!$A$2:$A$1001=A325)*(Raw_Observations!$B$2:$B$1001=B325),Raw_Observations!$D$2:$D$1001,""),""))</f>
        <v/>
      </c>
      <c r="F325" s="8" t="str">
        <f>IF(OR(A325="",B325=""),"",IFERROR(XLOOKUP(1,(Order_History!$A$2:$A$501=A325)*(Order_History!$B$2:$B$501=B325),Order_History!$D$2:$D$501,""),""))</f>
        <v/>
      </c>
      <c r="G325" s="8" t="str">
        <f>IF(COUNTIFS(Pricing!$A:$A,A325,Pricing!$B:$B,B325)=0,"",SUMIFS(Pricing!$G:$G,Pricing!$A:$A,A325,Pricing!$B:$B,B325))</f>
        <v/>
      </c>
      <c r="H325" s="9" t="str">
        <f t="shared" si="27"/>
        <v/>
      </c>
      <c r="I325" s="3">
        <v>0</v>
      </c>
      <c r="J325" s="3">
        <v>0</v>
      </c>
      <c r="K325" s="9" t="str">
        <f t="shared" si="28"/>
        <v/>
      </c>
      <c r="L325" s="6" t="str">
        <f t="shared" si="29"/>
        <v/>
      </c>
      <c r="M325" s="10" t="str">
        <f t="shared" si="30"/>
        <v/>
      </c>
      <c r="N325" s="6" t="str">
        <f t="shared" si="31"/>
        <v/>
      </c>
    </row>
    <row r="326" spans="1:14">
      <c r="A326" s="2"/>
      <c r="B326" s="2"/>
      <c r="C326" s="22" t="str">
        <f>IF(OR(A326="",B326=""),"",IFERROR(XLOOKUP(1,(Buy_History!$A$2:$A$501=A326)*(Buy_History!$B$2:$B$501=B326),Buy_History!$C$2:$C$501,""),""))</f>
        <v/>
      </c>
      <c r="D326" s="22" t="str">
        <f>IF(OR(A326="",B326=""),"",IFERROR(XLOOKUP(1,(Sell_History!$A$2:$A$501=A326)*(Sell_History!$B$2:$B$501=B326),Sell_History!$C$2:$C$501,""),""))</f>
        <v/>
      </c>
      <c r="E326" s="8" t="str">
        <f>IF(OR(A326="",B326=""),"",IFERROR(XLOOKUP(1,(Raw_Observations!$A$2:$A$1001=A326)*(Raw_Observations!$B$2:$B$1001=B326),Raw_Observations!$D$2:$D$1001,""),""))</f>
        <v/>
      </c>
      <c r="F326" s="8" t="str">
        <f>IF(OR(A326="",B326=""),"",IFERROR(XLOOKUP(1,(Order_History!$A$2:$A$501=A326)*(Order_History!$B$2:$B$501=B326),Order_History!$D$2:$D$501,""),""))</f>
        <v/>
      </c>
      <c r="G326" s="8" t="str">
        <f>IF(COUNTIFS(Pricing!$A:$A,A326,Pricing!$B:$B,B326)=0,"",SUMIFS(Pricing!$G:$G,Pricing!$A:$A,A326,Pricing!$B:$B,B326))</f>
        <v/>
      </c>
      <c r="H326" s="9" t="str">
        <f t="shared" si="27"/>
        <v/>
      </c>
      <c r="I326" s="3">
        <v>0</v>
      </c>
      <c r="J326" s="3">
        <v>0</v>
      </c>
      <c r="K326" s="9" t="str">
        <f t="shared" si="28"/>
        <v/>
      </c>
      <c r="L326" s="6" t="str">
        <f t="shared" si="29"/>
        <v/>
      </c>
      <c r="M326" s="10" t="str">
        <f t="shared" si="30"/>
        <v/>
      </c>
      <c r="N326" s="6" t="str">
        <f t="shared" si="31"/>
        <v/>
      </c>
    </row>
    <row r="327" spans="1:14">
      <c r="A327" s="2"/>
      <c r="B327" s="2"/>
      <c r="C327" s="22" t="str">
        <f>IF(OR(A327="",B327=""),"",IFERROR(XLOOKUP(1,(Buy_History!$A$2:$A$501=A327)*(Buy_History!$B$2:$B$501=B327),Buy_History!$C$2:$C$501,""),""))</f>
        <v/>
      </c>
      <c r="D327" s="22" t="str">
        <f>IF(OR(A327="",B327=""),"",IFERROR(XLOOKUP(1,(Sell_History!$A$2:$A$501=A327)*(Sell_History!$B$2:$B$501=B327),Sell_History!$C$2:$C$501,""),""))</f>
        <v/>
      </c>
      <c r="E327" s="8" t="str">
        <f>IF(OR(A327="",B327=""),"",IFERROR(XLOOKUP(1,(Raw_Observations!$A$2:$A$1001=A327)*(Raw_Observations!$B$2:$B$1001=B327),Raw_Observations!$D$2:$D$1001,""),""))</f>
        <v/>
      </c>
      <c r="F327" s="8" t="str">
        <f>IF(OR(A327="",B327=""),"",IFERROR(XLOOKUP(1,(Order_History!$A$2:$A$501=A327)*(Order_History!$B$2:$B$501=B327),Order_History!$D$2:$D$501,""),""))</f>
        <v/>
      </c>
      <c r="G327" s="8" t="str">
        <f>IF(COUNTIFS(Pricing!$A:$A,A327,Pricing!$B:$B,B327)=0,"",SUMIFS(Pricing!$G:$G,Pricing!$A:$A,A327,Pricing!$B:$B,B327))</f>
        <v/>
      </c>
      <c r="H327" s="9" t="str">
        <f t="shared" si="27"/>
        <v/>
      </c>
      <c r="I327" s="3">
        <v>0</v>
      </c>
      <c r="J327" s="3">
        <v>0</v>
      </c>
      <c r="K327" s="9" t="str">
        <f t="shared" si="28"/>
        <v/>
      </c>
      <c r="L327" s="6" t="str">
        <f t="shared" si="29"/>
        <v/>
      </c>
      <c r="M327" s="10" t="str">
        <f t="shared" si="30"/>
        <v/>
      </c>
      <c r="N327" s="6" t="str">
        <f t="shared" si="31"/>
        <v/>
      </c>
    </row>
    <row r="328" spans="1:14">
      <c r="A328" s="2"/>
      <c r="B328" s="2"/>
      <c r="C328" s="22" t="str">
        <f>IF(OR(A328="",B328=""),"",IFERROR(XLOOKUP(1,(Buy_History!$A$2:$A$501=A328)*(Buy_History!$B$2:$B$501=B328),Buy_History!$C$2:$C$501,""),""))</f>
        <v/>
      </c>
      <c r="D328" s="22" t="str">
        <f>IF(OR(A328="",B328=""),"",IFERROR(XLOOKUP(1,(Sell_History!$A$2:$A$501=A328)*(Sell_History!$B$2:$B$501=B328),Sell_History!$C$2:$C$501,""),""))</f>
        <v/>
      </c>
      <c r="E328" s="8" t="str">
        <f>IF(OR(A328="",B328=""),"",IFERROR(XLOOKUP(1,(Raw_Observations!$A$2:$A$1001=A328)*(Raw_Observations!$B$2:$B$1001=B328),Raw_Observations!$D$2:$D$1001,""),""))</f>
        <v/>
      </c>
      <c r="F328" s="8" t="str">
        <f>IF(OR(A328="",B328=""),"",IFERROR(XLOOKUP(1,(Order_History!$A$2:$A$501=A328)*(Order_History!$B$2:$B$501=B328),Order_History!$D$2:$D$501,""),""))</f>
        <v/>
      </c>
      <c r="G328" s="8" t="str">
        <f>IF(COUNTIFS(Pricing!$A:$A,A328,Pricing!$B:$B,B328)=0,"",SUMIFS(Pricing!$G:$G,Pricing!$A:$A,A328,Pricing!$B:$B,B328))</f>
        <v/>
      </c>
      <c r="H328" s="9" t="str">
        <f t="shared" si="27"/>
        <v/>
      </c>
      <c r="I328" s="3">
        <v>0</v>
      </c>
      <c r="J328" s="3">
        <v>0</v>
      </c>
      <c r="K328" s="9" t="str">
        <f t="shared" si="28"/>
        <v/>
      </c>
      <c r="L328" s="6" t="str">
        <f t="shared" si="29"/>
        <v/>
      </c>
      <c r="M328" s="10" t="str">
        <f t="shared" si="30"/>
        <v/>
      </c>
      <c r="N328" s="6" t="str">
        <f t="shared" si="31"/>
        <v/>
      </c>
    </row>
    <row r="329" spans="1:14">
      <c r="A329" s="2"/>
      <c r="B329" s="2"/>
      <c r="C329" s="22" t="str">
        <f>IF(OR(A329="",B329=""),"",IFERROR(XLOOKUP(1,(Buy_History!$A$2:$A$501=A329)*(Buy_History!$B$2:$B$501=B329),Buy_History!$C$2:$C$501,""),""))</f>
        <v/>
      </c>
      <c r="D329" s="22" t="str">
        <f>IF(OR(A329="",B329=""),"",IFERROR(XLOOKUP(1,(Sell_History!$A$2:$A$501=A329)*(Sell_History!$B$2:$B$501=B329),Sell_History!$C$2:$C$501,""),""))</f>
        <v/>
      </c>
      <c r="E329" s="8" t="str">
        <f>IF(OR(A329="",B329=""),"",IFERROR(XLOOKUP(1,(Raw_Observations!$A$2:$A$1001=A329)*(Raw_Observations!$B$2:$B$1001=B329),Raw_Observations!$D$2:$D$1001,""),""))</f>
        <v/>
      </c>
      <c r="F329" s="8" t="str">
        <f>IF(OR(A329="",B329=""),"",IFERROR(XLOOKUP(1,(Order_History!$A$2:$A$501=A329)*(Order_History!$B$2:$B$501=B329),Order_History!$D$2:$D$501,""),""))</f>
        <v/>
      </c>
      <c r="G329" s="8" t="str">
        <f>IF(COUNTIFS(Pricing!$A:$A,A329,Pricing!$B:$B,B329)=0,"",SUMIFS(Pricing!$G:$G,Pricing!$A:$A,A329,Pricing!$B:$B,B329))</f>
        <v/>
      </c>
      <c r="H329" s="9" t="str">
        <f t="shared" si="27"/>
        <v/>
      </c>
      <c r="I329" s="3">
        <v>0</v>
      </c>
      <c r="J329" s="3">
        <v>0</v>
      </c>
      <c r="K329" s="9" t="str">
        <f t="shared" si="28"/>
        <v/>
      </c>
      <c r="L329" s="6" t="str">
        <f t="shared" si="29"/>
        <v/>
      </c>
      <c r="M329" s="10" t="str">
        <f t="shared" si="30"/>
        <v/>
      </c>
      <c r="N329" s="6" t="str">
        <f t="shared" si="31"/>
        <v/>
      </c>
    </row>
    <row r="330" spans="1:14">
      <c r="A330" s="2"/>
      <c r="B330" s="2"/>
      <c r="C330" s="22" t="str">
        <f>IF(OR(A330="",B330=""),"",IFERROR(XLOOKUP(1,(Buy_History!$A$2:$A$501=A330)*(Buy_History!$B$2:$B$501=B330),Buy_History!$C$2:$C$501,""),""))</f>
        <v/>
      </c>
      <c r="D330" s="22" t="str">
        <f>IF(OR(A330="",B330=""),"",IFERROR(XLOOKUP(1,(Sell_History!$A$2:$A$501=A330)*(Sell_History!$B$2:$B$501=B330),Sell_History!$C$2:$C$501,""),""))</f>
        <v/>
      </c>
      <c r="E330" s="8" t="str">
        <f>IF(OR(A330="",B330=""),"",IFERROR(XLOOKUP(1,(Raw_Observations!$A$2:$A$1001=A330)*(Raw_Observations!$B$2:$B$1001=B330),Raw_Observations!$D$2:$D$1001,""),""))</f>
        <v/>
      </c>
      <c r="F330" s="8" t="str">
        <f>IF(OR(A330="",B330=""),"",IFERROR(XLOOKUP(1,(Order_History!$A$2:$A$501=A330)*(Order_History!$B$2:$B$501=B330),Order_History!$D$2:$D$501,""),""))</f>
        <v/>
      </c>
      <c r="G330" s="8" t="str">
        <f>IF(COUNTIFS(Pricing!$A:$A,A330,Pricing!$B:$B,B330)=0,"",SUMIFS(Pricing!$G:$G,Pricing!$A:$A,A330,Pricing!$B:$B,B330))</f>
        <v/>
      </c>
      <c r="H330" s="9" t="str">
        <f t="shared" si="27"/>
        <v/>
      </c>
      <c r="I330" s="3">
        <v>0</v>
      </c>
      <c r="J330" s="3">
        <v>0</v>
      </c>
      <c r="K330" s="9" t="str">
        <f t="shared" si="28"/>
        <v/>
      </c>
      <c r="L330" s="6" t="str">
        <f t="shared" si="29"/>
        <v/>
      </c>
      <c r="M330" s="10" t="str">
        <f t="shared" si="30"/>
        <v/>
      </c>
      <c r="N330" s="6" t="str">
        <f t="shared" si="31"/>
        <v/>
      </c>
    </row>
    <row r="331" spans="1:14">
      <c r="A331" s="2"/>
      <c r="B331" s="2"/>
      <c r="C331" s="22" t="str">
        <f>IF(OR(A331="",B331=""),"",IFERROR(XLOOKUP(1,(Buy_History!$A$2:$A$501=A331)*(Buy_History!$B$2:$B$501=B331),Buy_History!$C$2:$C$501,""),""))</f>
        <v/>
      </c>
      <c r="D331" s="22" t="str">
        <f>IF(OR(A331="",B331=""),"",IFERROR(XLOOKUP(1,(Sell_History!$A$2:$A$501=A331)*(Sell_History!$B$2:$B$501=B331),Sell_History!$C$2:$C$501,""),""))</f>
        <v/>
      </c>
      <c r="E331" s="8" t="str">
        <f>IF(OR(A331="",B331=""),"",IFERROR(XLOOKUP(1,(Raw_Observations!$A$2:$A$1001=A331)*(Raw_Observations!$B$2:$B$1001=B331),Raw_Observations!$D$2:$D$1001,""),""))</f>
        <v/>
      </c>
      <c r="F331" s="8" t="str">
        <f>IF(OR(A331="",B331=""),"",IFERROR(XLOOKUP(1,(Order_History!$A$2:$A$501=A331)*(Order_History!$B$2:$B$501=B331),Order_History!$D$2:$D$501,""),""))</f>
        <v/>
      </c>
      <c r="G331" s="8" t="str">
        <f>IF(COUNTIFS(Pricing!$A:$A,A331,Pricing!$B:$B,B331)=0,"",SUMIFS(Pricing!$G:$G,Pricing!$A:$A,A331,Pricing!$B:$B,B331))</f>
        <v/>
      </c>
      <c r="H331" s="9" t="str">
        <f t="shared" si="27"/>
        <v/>
      </c>
      <c r="I331" s="3">
        <v>0</v>
      </c>
      <c r="J331" s="3">
        <v>0</v>
      </c>
      <c r="K331" s="9" t="str">
        <f t="shared" si="28"/>
        <v/>
      </c>
      <c r="L331" s="6" t="str">
        <f t="shared" si="29"/>
        <v/>
      </c>
      <c r="M331" s="10" t="str">
        <f t="shared" si="30"/>
        <v/>
      </c>
      <c r="N331" s="6" t="str">
        <f t="shared" si="31"/>
        <v/>
      </c>
    </row>
    <row r="332" spans="1:14">
      <c r="A332" s="2"/>
      <c r="B332" s="2"/>
      <c r="C332" s="22" t="str">
        <f>IF(OR(A332="",B332=""),"",IFERROR(XLOOKUP(1,(Buy_History!$A$2:$A$501=A332)*(Buy_History!$B$2:$B$501=B332),Buy_History!$C$2:$C$501,""),""))</f>
        <v/>
      </c>
      <c r="D332" s="22" t="str">
        <f>IF(OR(A332="",B332=""),"",IFERROR(XLOOKUP(1,(Sell_History!$A$2:$A$501=A332)*(Sell_History!$B$2:$B$501=B332),Sell_History!$C$2:$C$501,""),""))</f>
        <v/>
      </c>
      <c r="E332" s="8" t="str">
        <f>IF(OR(A332="",B332=""),"",IFERROR(XLOOKUP(1,(Raw_Observations!$A$2:$A$1001=A332)*(Raw_Observations!$B$2:$B$1001=B332),Raw_Observations!$D$2:$D$1001,""),""))</f>
        <v/>
      </c>
      <c r="F332" s="8" t="str">
        <f>IF(OR(A332="",B332=""),"",IFERROR(XLOOKUP(1,(Order_History!$A$2:$A$501=A332)*(Order_History!$B$2:$B$501=B332),Order_History!$D$2:$D$501,""),""))</f>
        <v/>
      </c>
      <c r="G332" s="8" t="str">
        <f>IF(COUNTIFS(Pricing!$A:$A,A332,Pricing!$B:$B,B332)=0,"",SUMIFS(Pricing!$G:$G,Pricing!$A:$A,A332,Pricing!$B:$B,B332))</f>
        <v/>
      </c>
      <c r="H332" s="9" t="str">
        <f t="shared" si="27"/>
        <v/>
      </c>
      <c r="I332" s="3">
        <v>0</v>
      </c>
      <c r="J332" s="3">
        <v>0</v>
      </c>
      <c r="K332" s="9" t="str">
        <f t="shared" si="28"/>
        <v/>
      </c>
      <c r="L332" s="6" t="str">
        <f t="shared" si="29"/>
        <v/>
      </c>
      <c r="M332" s="10" t="str">
        <f t="shared" si="30"/>
        <v/>
      </c>
      <c r="N332" s="6" t="str">
        <f t="shared" si="31"/>
        <v/>
      </c>
    </row>
    <row r="333" spans="1:14">
      <c r="A333" s="2"/>
      <c r="B333" s="2"/>
      <c r="C333" s="22" t="str">
        <f>IF(OR(A333="",B333=""),"",IFERROR(XLOOKUP(1,(Buy_History!$A$2:$A$501=A333)*(Buy_History!$B$2:$B$501=B333),Buy_History!$C$2:$C$501,""),""))</f>
        <v/>
      </c>
      <c r="D333" s="22" t="str">
        <f>IF(OR(A333="",B333=""),"",IFERROR(XLOOKUP(1,(Sell_History!$A$2:$A$501=A333)*(Sell_History!$B$2:$B$501=B333),Sell_History!$C$2:$C$501,""),""))</f>
        <v/>
      </c>
      <c r="E333" s="8" t="str">
        <f>IF(OR(A333="",B333=""),"",IFERROR(XLOOKUP(1,(Raw_Observations!$A$2:$A$1001=A333)*(Raw_Observations!$B$2:$B$1001=B333),Raw_Observations!$D$2:$D$1001,""),""))</f>
        <v/>
      </c>
      <c r="F333" s="8" t="str">
        <f>IF(OR(A333="",B333=""),"",IFERROR(XLOOKUP(1,(Order_History!$A$2:$A$501=A333)*(Order_History!$B$2:$B$501=B333),Order_History!$D$2:$D$501,""),""))</f>
        <v/>
      </c>
      <c r="G333" s="8" t="str">
        <f>IF(COUNTIFS(Pricing!$A:$A,A333,Pricing!$B:$B,B333)=0,"",SUMIFS(Pricing!$G:$G,Pricing!$A:$A,A333,Pricing!$B:$B,B333))</f>
        <v/>
      </c>
      <c r="H333" s="9" t="str">
        <f t="shared" si="27"/>
        <v/>
      </c>
      <c r="I333" s="3">
        <v>0</v>
      </c>
      <c r="J333" s="3">
        <v>0</v>
      </c>
      <c r="K333" s="9" t="str">
        <f t="shared" si="28"/>
        <v/>
      </c>
      <c r="L333" s="6" t="str">
        <f t="shared" si="29"/>
        <v/>
      </c>
      <c r="M333" s="10" t="str">
        <f t="shared" si="30"/>
        <v/>
      </c>
      <c r="N333" s="6" t="str">
        <f t="shared" si="31"/>
        <v/>
      </c>
    </row>
    <row r="334" spans="1:14">
      <c r="A334" s="2"/>
      <c r="B334" s="2"/>
      <c r="C334" s="22" t="str">
        <f>IF(OR(A334="",B334=""),"",IFERROR(XLOOKUP(1,(Buy_History!$A$2:$A$501=A334)*(Buy_History!$B$2:$B$501=B334),Buy_History!$C$2:$C$501,""),""))</f>
        <v/>
      </c>
      <c r="D334" s="22" t="str">
        <f>IF(OR(A334="",B334=""),"",IFERROR(XLOOKUP(1,(Sell_History!$A$2:$A$501=A334)*(Sell_History!$B$2:$B$501=B334),Sell_History!$C$2:$C$501,""),""))</f>
        <v/>
      </c>
      <c r="E334" s="8" t="str">
        <f>IF(OR(A334="",B334=""),"",IFERROR(XLOOKUP(1,(Raw_Observations!$A$2:$A$1001=A334)*(Raw_Observations!$B$2:$B$1001=B334),Raw_Observations!$D$2:$D$1001,""),""))</f>
        <v/>
      </c>
      <c r="F334" s="8" t="str">
        <f>IF(OR(A334="",B334=""),"",IFERROR(XLOOKUP(1,(Order_History!$A$2:$A$501=A334)*(Order_History!$B$2:$B$501=B334),Order_History!$D$2:$D$501,""),""))</f>
        <v/>
      </c>
      <c r="G334" s="8" t="str">
        <f>IF(COUNTIFS(Pricing!$A:$A,A334,Pricing!$B:$B,B334)=0,"",SUMIFS(Pricing!$G:$G,Pricing!$A:$A,A334,Pricing!$B:$B,B334))</f>
        <v/>
      </c>
      <c r="H334" s="9" t="str">
        <f t="shared" si="27"/>
        <v/>
      </c>
      <c r="I334" s="3">
        <v>0</v>
      </c>
      <c r="J334" s="3">
        <v>0</v>
      </c>
      <c r="K334" s="9" t="str">
        <f t="shared" si="28"/>
        <v/>
      </c>
      <c r="L334" s="6" t="str">
        <f t="shared" si="29"/>
        <v/>
      </c>
      <c r="M334" s="10" t="str">
        <f t="shared" si="30"/>
        <v/>
      </c>
      <c r="N334" s="6" t="str">
        <f t="shared" si="31"/>
        <v/>
      </c>
    </row>
    <row r="335" spans="1:14">
      <c r="A335" s="2"/>
      <c r="B335" s="2"/>
      <c r="C335" s="22" t="str">
        <f>IF(OR(A335="",B335=""),"",IFERROR(XLOOKUP(1,(Buy_History!$A$2:$A$501=A335)*(Buy_History!$B$2:$B$501=B335),Buy_History!$C$2:$C$501,""),""))</f>
        <v/>
      </c>
      <c r="D335" s="22" t="str">
        <f>IF(OR(A335="",B335=""),"",IFERROR(XLOOKUP(1,(Sell_History!$A$2:$A$501=A335)*(Sell_History!$B$2:$B$501=B335),Sell_History!$C$2:$C$501,""),""))</f>
        <v/>
      </c>
      <c r="E335" s="8" t="str">
        <f>IF(OR(A335="",B335=""),"",IFERROR(XLOOKUP(1,(Raw_Observations!$A$2:$A$1001=A335)*(Raw_Observations!$B$2:$B$1001=B335),Raw_Observations!$D$2:$D$1001,""),""))</f>
        <v/>
      </c>
      <c r="F335" s="8" t="str">
        <f>IF(OR(A335="",B335=""),"",IFERROR(XLOOKUP(1,(Order_History!$A$2:$A$501=A335)*(Order_History!$B$2:$B$501=B335),Order_History!$D$2:$D$501,""),""))</f>
        <v/>
      </c>
      <c r="G335" s="8" t="str">
        <f>IF(COUNTIFS(Pricing!$A:$A,A335,Pricing!$B:$B,B335)=0,"",SUMIFS(Pricing!$G:$G,Pricing!$A:$A,A335,Pricing!$B:$B,B335))</f>
        <v/>
      </c>
      <c r="H335" s="9" t="str">
        <f t="shared" si="27"/>
        <v/>
      </c>
      <c r="I335" s="3">
        <v>0</v>
      </c>
      <c r="J335" s="3">
        <v>0</v>
      </c>
      <c r="K335" s="9" t="str">
        <f t="shared" si="28"/>
        <v/>
      </c>
      <c r="L335" s="6" t="str">
        <f t="shared" si="29"/>
        <v/>
      </c>
      <c r="M335" s="10" t="str">
        <f t="shared" si="30"/>
        <v/>
      </c>
      <c r="N335" s="6" t="str">
        <f t="shared" si="31"/>
        <v/>
      </c>
    </row>
    <row r="336" spans="1:14">
      <c r="A336" s="2"/>
      <c r="B336" s="2"/>
      <c r="C336" s="22" t="str">
        <f>IF(OR(A336="",B336=""),"",IFERROR(XLOOKUP(1,(Buy_History!$A$2:$A$501=A336)*(Buy_History!$B$2:$B$501=B336),Buy_History!$C$2:$C$501,""),""))</f>
        <v/>
      </c>
      <c r="D336" s="22" t="str">
        <f>IF(OR(A336="",B336=""),"",IFERROR(XLOOKUP(1,(Sell_History!$A$2:$A$501=A336)*(Sell_History!$B$2:$B$501=B336),Sell_History!$C$2:$C$501,""),""))</f>
        <v/>
      </c>
      <c r="E336" s="8" t="str">
        <f>IF(OR(A336="",B336=""),"",IFERROR(XLOOKUP(1,(Raw_Observations!$A$2:$A$1001=A336)*(Raw_Observations!$B$2:$B$1001=B336),Raw_Observations!$D$2:$D$1001,""),""))</f>
        <v/>
      </c>
      <c r="F336" s="8" t="str">
        <f>IF(OR(A336="",B336=""),"",IFERROR(XLOOKUP(1,(Order_History!$A$2:$A$501=A336)*(Order_History!$B$2:$B$501=B336),Order_History!$D$2:$D$501,""),""))</f>
        <v/>
      </c>
      <c r="G336" s="8" t="str">
        <f>IF(COUNTIFS(Pricing!$A:$A,A336,Pricing!$B:$B,B336)=0,"",SUMIFS(Pricing!$G:$G,Pricing!$A:$A,A336,Pricing!$B:$B,B336))</f>
        <v/>
      </c>
      <c r="H336" s="9" t="str">
        <f t="shared" si="27"/>
        <v/>
      </c>
      <c r="I336" s="3">
        <v>0</v>
      </c>
      <c r="J336" s="3">
        <v>0</v>
      </c>
      <c r="K336" s="9" t="str">
        <f t="shared" si="28"/>
        <v/>
      </c>
      <c r="L336" s="6" t="str">
        <f t="shared" si="29"/>
        <v/>
      </c>
      <c r="M336" s="10" t="str">
        <f t="shared" si="30"/>
        <v/>
      </c>
      <c r="N336" s="6" t="str">
        <f t="shared" si="31"/>
        <v/>
      </c>
    </row>
    <row r="337" spans="1:14">
      <c r="A337" s="2"/>
      <c r="B337" s="2"/>
      <c r="C337" s="22" t="str">
        <f>IF(OR(A337="",B337=""),"",IFERROR(XLOOKUP(1,(Buy_History!$A$2:$A$501=A337)*(Buy_History!$B$2:$B$501=B337),Buy_History!$C$2:$C$501,""),""))</f>
        <v/>
      </c>
      <c r="D337" s="22" t="str">
        <f>IF(OR(A337="",B337=""),"",IFERROR(XLOOKUP(1,(Sell_History!$A$2:$A$501=A337)*(Sell_History!$B$2:$B$501=B337),Sell_History!$C$2:$C$501,""),""))</f>
        <v/>
      </c>
      <c r="E337" s="8" t="str">
        <f>IF(OR(A337="",B337=""),"",IFERROR(XLOOKUP(1,(Raw_Observations!$A$2:$A$1001=A337)*(Raw_Observations!$B$2:$B$1001=B337),Raw_Observations!$D$2:$D$1001,""),""))</f>
        <v/>
      </c>
      <c r="F337" s="8" t="str">
        <f>IF(OR(A337="",B337=""),"",IFERROR(XLOOKUP(1,(Order_History!$A$2:$A$501=A337)*(Order_History!$B$2:$B$501=B337),Order_History!$D$2:$D$501,""),""))</f>
        <v/>
      </c>
      <c r="G337" s="8" t="str">
        <f>IF(COUNTIFS(Pricing!$A:$A,A337,Pricing!$B:$B,B337)=0,"",SUMIFS(Pricing!$G:$G,Pricing!$A:$A,A337,Pricing!$B:$B,B337))</f>
        <v/>
      </c>
      <c r="H337" s="9" t="str">
        <f t="shared" si="27"/>
        <v/>
      </c>
      <c r="I337" s="3">
        <v>0</v>
      </c>
      <c r="J337" s="3">
        <v>0</v>
      </c>
      <c r="K337" s="9" t="str">
        <f t="shared" si="28"/>
        <v/>
      </c>
      <c r="L337" s="6" t="str">
        <f t="shared" si="29"/>
        <v/>
      </c>
      <c r="M337" s="10" t="str">
        <f t="shared" si="30"/>
        <v/>
      </c>
      <c r="N337" s="6" t="str">
        <f t="shared" si="31"/>
        <v/>
      </c>
    </row>
    <row r="338" spans="1:14">
      <c r="A338" s="2"/>
      <c r="B338" s="2"/>
      <c r="C338" s="22" t="str">
        <f>IF(OR(A338="",B338=""),"",IFERROR(XLOOKUP(1,(Buy_History!$A$2:$A$501=A338)*(Buy_History!$B$2:$B$501=B338),Buy_History!$C$2:$C$501,""),""))</f>
        <v/>
      </c>
      <c r="D338" s="22" t="str">
        <f>IF(OR(A338="",B338=""),"",IFERROR(XLOOKUP(1,(Sell_History!$A$2:$A$501=A338)*(Sell_History!$B$2:$B$501=B338),Sell_History!$C$2:$C$501,""),""))</f>
        <v/>
      </c>
      <c r="E338" s="8" t="str">
        <f>IF(OR(A338="",B338=""),"",IFERROR(XLOOKUP(1,(Raw_Observations!$A$2:$A$1001=A338)*(Raw_Observations!$B$2:$B$1001=B338),Raw_Observations!$D$2:$D$1001,""),""))</f>
        <v/>
      </c>
      <c r="F338" s="8" t="str">
        <f>IF(OR(A338="",B338=""),"",IFERROR(XLOOKUP(1,(Order_History!$A$2:$A$501=A338)*(Order_History!$B$2:$B$501=B338),Order_History!$D$2:$D$501,""),""))</f>
        <v/>
      </c>
      <c r="G338" s="8" t="str">
        <f>IF(COUNTIFS(Pricing!$A:$A,A338,Pricing!$B:$B,B338)=0,"",SUMIFS(Pricing!$G:$G,Pricing!$A:$A,A338,Pricing!$B:$B,B338))</f>
        <v/>
      </c>
      <c r="H338" s="9" t="str">
        <f t="shared" si="27"/>
        <v/>
      </c>
      <c r="I338" s="3">
        <v>0</v>
      </c>
      <c r="J338" s="3">
        <v>0</v>
      </c>
      <c r="K338" s="9" t="str">
        <f t="shared" si="28"/>
        <v/>
      </c>
      <c r="L338" s="6" t="str">
        <f t="shared" si="29"/>
        <v/>
      </c>
      <c r="M338" s="10" t="str">
        <f t="shared" si="30"/>
        <v/>
      </c>
      <c r="N338" s="6" t="str">
        <f t="shared" si="31"/>
        <v/>
      </c>
    </row>
    <row r="339" spans="1:14">
      <c r="A339" s="2"/>
      <c r="B339" s="2"/>
      <c r="C339" s="22" t="str">
        <f>IF(OR(A339="",B339=""),"",IFERROR(XLOOKUP(1,(Buy_History!$A$2:$A$501=A339)*(Buy_History!$B$2:$B$501=B339),Buy_History!$C$2:$C$501,""),""))</f>
        <v/>
      </c>
      <c r="D339" s="22" t="str">
        <f>IF(OR(A339="",B339=""),"",IFERROR(XLOOKUP(1,(Sell_History!$A$2:$A$501=A339)*(Sell_History!$B$2:$B$501=B339),Sell_History!$C$2:$C$501,""),""))</f>
        <v/>
      </c>
      <c r="E339" s="8" t="str">
        <f>IF(OR(A339="",B339=""),"",IFERROR(XLOOKUP(1,(Raw_Observations!$A$2:$A$1001=A339)*(Raw_Observations!$B$2:$B$1001=B339),Raw_Observations!$D$2:$D$1001,""),""))</f>
        <v/>
      </c>
      <c r="F339" s="8" t="str">
        <f>IF(OR(A339="",B339=""),"",IFERROR(XLOOKUP(1,(Order_History!$A$2:$A$501=A339)*(Order_History!$B$2:$B$501=B339),Order_History!$D$2:$D$501,""),""))</f>
        <v/>
      </c>
      <c r="G339" s="8" t="str">
        <f>IF(COUNTIFS(Pricing!$A:$A,A339,Pricing!$B:$B,B339)=0,"",SUMIFS(Pricing!$G:$G,Pricing!$A:$A,A339,Pricing!$B:$B,B339))</f>
        <v/>
      </c>
      <c r="H339" s="9" t="str">
        <f t="shared" si="27"/>
        <v/>
      </c>
      <c r="I339" s="3">
        <v>0</v>
      </c>
      <c r="J339" s="3">
        <v>0</v>
      </c>
      <c r="K339" s="9" t="str">
        <f t="shared" si="28"/>
        <v/>
      </c>
      <c r="L339" s="6" t="str">
        <f t="shared" si="29"/>
        <v/>
      </c>
      <c r="M339" s="10" t="str">
        <f t="shared" si="30"/>
        <v/>
      </c>
      <c r="N339" s="6" t="str">
        <f t="shared" si="31"/>
        <v/>
      </c>
    </row>
    <row r="340" spans="1:14">
      <c r="A340" s="2"/>
      <c r="B340" s="2"/>
      <c r="C340" s="22" t="str">
        <f>IF(OR(A340="",B340=""),"",IFERROR(XLOOKUP(1,(Buy_History!$A$2:$A$501=A340)*(Buy_History!$B$2:$B$501=B340),Buy_History!$C$2:$C$501,""),""))</f>
        <v/>
      </c>
      <c r="D340" s="22" t="str">
        <f>IF(OR(A340="",B340=""),"",IFERROR(XLOOKUP(1,(Sell_History!$A$2:$A$501=A340)*(Sell_History!$B$2:$B$501=B340),Sell_History!$C$2:$C$501,""),""))</f>
        <v/>
      </c>
      <c r="E340" s="8" t="str">
        <f>IF(OR(A340="",B340=""),"",IFERROR(XLOOKUP(1,(Raw_Observations!$A$2:$A$1001=A340)*(Raw_Observations!$B$2:$B$1001=B340),Raw_Observations!$D$2:$D$1001,""),""))</f>
        <v/>
      </c>
      <c r="F340" s="8" t="str">
        <f>IF(OR(A340="",B340=""),"",IFERROR(XLOOKUP(1,(Order_History!$A$2:$A$501=A340)*(Order_History!$B$2:$B$501=B340),Order_History!$D$2:$D$501,""),""))</f>
        <v/>
      </c>
      <c r="G340" s="8" t="str">
        <f>IF(COUNTIFS(Pricing!$A:$A,A340,Pricing!$B:$B,B340)=0,"",SUMIFS(Pricing!$G:$G,Pricing!$A:$A,A340,Pricing!$B:$B,B340))</f>
        <v/>
      </c>
      <c r="H340" s="9" t="str">
        <f t="shared" si="27"/>
        <v/>
      </c>
      <c r="I340" s="3">
        <v>0</v>
      </c>
      <c r="J340" s="3">
        <v>0</v>
      </c>
      <c r="K340" s="9" t="str">
        <f t="shared" si="28"/>
        <v/>
      </c>
      <c r="L340" s="6" t="str">
        <f t="shared" si="29"/>
        <v/>
      </c>
      <c r="M340" s="10" t="str">
        <f t="shared" si="30"/>
        <v/>
      </c>
      <c r="N340" s="6" t="str">
        <f t="shared" si="31"/>
        <v/>
      </c>
    </row>
    <row r="341" spans="1:14">
      <c r="A341" s="2"/>
      <c r="B341" s="2"/>
      <c r="C341" s="22" t="str">
        <f>IF(OR(A341="",B341=""),"",IFERROR(XLOOKUP(1,(Buy_History!$A$2:$A$501=A341)*(Buy_History!$B$2:$B$501=B341),Buy_History!$C$2:$C$501,""),""))</f>
        <v/>
      </c>
      <c r="D341" s="22" t="str">
        <f>IF(OR(A341="",B341=""),"",IFERROR(XLOOKUP(1,(Sell_History!$A$2:$A$501=A341)*(Sell_History!$B$2:$B$501=B341),Sell_History!$C$2:$C$501,""),""))</f>
        <v/>
      </c>
      <c r="E341" s="8" t="str">
        <f>IF(OR(A341="",B341=""),"",IFERROR(XLOOKUP(1,(Raw_Observations!$A$2:$A$1001=A341)*(Raw_Observations!$B$2:$B$1001=B341),Raw_Observations!$D$2:$D$1001,""),""))</f>
        <v/>
      </c>
      <c r="F341" s="8" t="str">
        <f>IF(OR(A341="",B341=""),"",IFERROR(XLOOKUP(1,(Order_History!$A$2:$A$501=A341)*(Order_History!$B$2:$B$501=B341),Order_History!$D$2:$D$501,""),""))</f>
        <v/>
      </c>
      <c r="G341" s="8" t="str">
        <f>IF(COUNTIFS(Pricing!$A:$A,A341,Pricing!$B:$B,B341)=0,"",SUMIFS(Pricing!$G:$G,Pricing!$A:$A,A341,Pricing!$B:$B,B341))</f>
        <v/>
      </c>
      <c r="H341" s="9" t="str">
        <f t="shared" si="27"/>
        <v/>
      </c>
      <c r="I341" s="3">
        <v>0</v>
      </c>
      <c r="J341" s="3">
        <v>0</v>
      </c>
      <c r="K341" s="9" t="str">
        <f t="shared" si="28"/>
        <v/>
      </c>
      <c r="L341" s="6" t="str">
        <f t="shared" si="29"/>
        <v/>
      </c>
      <c r="M341" s="10" t="str">
        <f t="shared" si="30"/>
        <v/>
      </c>
      <c r="N341" s="6" t="str">
        <f t="shared" si="31"/>
        <v/>
      </c>
    </row>
    <row r="342" spans="1:14">
      <c r="A342" s="2"/>
      <c r="B342" s="2"/>
      <c r="C342" s="22" t="str">
        <f>IF(OR(A342="",B342=""),"",IFERROR(XLOOKUP(1,(Buy_History!$A$2:$A$501=A342)*(Buy_History!$B$2:$B$501=B342),Buy_History!$C$2:$C$501,""),""))</f>
        <v/>
      </c>
      <c r="D342" s="22" t="str">
        <f>IF(OR(A342="",B342=""),"",IFERROR(XLOOKUP(1,(Sell_History!$A$2:$A$501=A342)*(Sell_History!$B$2:$B$501=B342),Sell_History!$C$2:$C$501,""),""))</f>
        <v/>
      </c>
      <c r="E342" s="8" t="str">
        <f>IF(OR(A342="",B342=""),"",IFERROR(XLOOKUP(1,(Raw_Observations!$A$2:$A$1001=A342)*(Raw_Observations!$B$2:$B$1001=B342),Raw_Observations!$D$2:$D$1001,""),""))</f>
        <v/>
      </c>
      <c r="F342" s="8" t="str">
        <f>IF(OR(A342="",B342=""),"",IFERROR(XLOOKUP(1,(Order_History!$A$2:$A$501=A342)*(Order_History!$B$2:$B$501=B342),Order_History!$D$2:$D$501,""),""))</f>
        <v/>
      </c>
      <c r="G342" s="8" t="str">
        <f>IF(COUNTIFS(Pricing!$A:$A,A342,Pricing!$B:$B,B342)=0,"",SUMIFS(Pricing!$G:$G,Pricing!$A:$A,A342,Pricing!$B:$B,B342))</f>
        <v/>
      </c>
      <c r="H342" s="9" t="str">
        <f t="shared" si="27"/>
        <v/>
      </c>
      <c r="I342" s="3">
        <v>0</v>
      </c>
      <c r="J342" s="3">
        <v>0</v>
      </c>
      <c r="K342" s="9" t="str">
        <f t="shared" si="28"/>
        <v/>
      </c>
      <c r="L342" s="6" t="str">
        <f t="shared" si="29"/>
        <v/>
      </c>
      <c r="M342" s="10" t="str">
        <f t="shared" si="30"/>
        <v/>
      </c>
      <c r="N342" s="6" t="str">
        <f t="shared" si="31"/>
        <v/>
      </c>
    </row>
    <row r="343" spans="1:14">
      <c r="A343" s="2"/>
      <c r="B343" s="2"/>
      <c r="C343" s="22" t="str">
        <f>IF(OR(A343="",B343=""),"",IFERROR(XLOOKUP(1,(Buy_History!$A$2:$A$501=A343)*(Buy_History!$B$2:$B$501=B343),Buy_History!$C$2:$C$501,""),""))</f>
        <v/>
      </c>
      <c r="D343" s="22" t="str">
        <f>IF(OR(A343="",B343=""),"",IFERROR(XLOOKUP(1,(Sell_History!$A$2:$A$501=A343)*(Sell_History!$B$2:$B$501=B343),Sell_History!$C$2:$C$501,""),""))</f>
        <v/>
      </c>
      <c r="E343" s="8" t="str">
        <f>IF(OR(A343="",B343=""),"",IFERROR(XLOOKUP(1,(Raw_Observations!$A$2:$A$1001=A343)*(Raw_Observations!$B$2:$B$1001=B343),Raw_Observations!$D$2:$D$1001,""),""))</f>
        <v/>
      </c>
      <c r="F343" s="8" t="str">
        <f>IF(OR(A343="",B343=""),"",IFERROR(XLOOKUP(1,(Order_History!$A$2:$A$501=A343)*(Order_History!$B$2:$B$501=B343),Order_History!$D$2:$D$501,""),""))</f>
        <v/>
      </c>
      <c r="G343" s="8" t="str">
        <f>IF(COUNTIFS(Pricing!$A:$A,A343,Pricing!$B:$B,B343)=0,"",SUMIFS(Pricing!$G:$G,Pricing!$A:$A,A343,Pricing!$B:$B,B343))</f>
        <v/>
      </c>
      <c r="H343" s="9" t="str">
        <f t="shared" si="27"/>
        <v/>
      </c>
      <c r="I343" s="3">
        <v>0</v>
      </c>
      <c r="J343" s="3">
        <v>0</v>
      </c>
      <c r="K343" s="9" t="str">
        <f t="shared" si="28"/>
        <v/>
      </c>
      <c r="L343" s="6" t="str">
        <f t="shared" si="29"/>
        <v/>
      </c>
      <c r="M343" s="10" t="str">
        <f t="shared" si="30"/>
        <v/>
      </c>
      <c r="N343" s="6" t="str">
        <f t="shared" si="31"/>
        <v/>
      </c>
    </row>
    <row r="344" spans="1:14">
      <c r="A344" s="2"/>
      <c r="B344" s="2"/>
      <c r="C344" s="22" t="str">
        <f>IF(OR(A344="",B344=""),"",IFERROR(XLOOKUP(1,(Buy_History!$A$2:$A$501=A344)*(Buy_History!$B$2:$B$501=B344),Buy_History!$C$2:$C$501,""),""))</f>
        <v/>
      </c>
      <c r="D344" s="22" t="str">
        <f>IF(OR(A344="",B344=""),"",IFERROR(XLOOKUP(1,(Sell_History!$A$2:$A$501=A344)*(Sell_History!$B$2:$B$501=B344),Sell_History!$C$2:$C$501,""),""))</f>
        <v/>
      </c>
      <c r="E344" s="8" t="str">
        <f>IF(OR(A344="",B344=""),"",IFERROR(XLOOKUP(1,(Raw_Observations!$A$2:$A$1001=A344)*(Raw_Observations!$B$2:$B$1001=B344),Raw_Observations!$D$2:$D$1001,""),""))</f>
        <v/>
      </c>
      <c r="F344" s="8" t="str">
        <f>IF(OR(A344="",B344=""),"",IFERROR(XLOOKUP(1,(Order_History!$A$2:$A$501=A344)*(Order_History!$B$2:$B$501=B344),Order_History!$D$2:$D$501,""),""))</f>
        <v/>
      </c>
      <c r="G344" s="8" t="str">
        <f>IF(COUNTIFS(Pricing!$A:$A,A344,Pricing!$B:$B,B344)=0,"",SUMIFS(Pricing!$G:$G,Pricing!$A:$A,A344,Pricing!$B:$B,B344))</f>
        <v/>
      </c>
      <c r="H344" s="9" t="str">
        <f t="shared" si="27"/>
        <v/>
      </c>
      <c r="I344" s="3">
        <v>0</v>
      </c>
      <c r="J344" s="3">
        <v>0</v>
      </c>
      <c r="K344" s="9" t="str">
        <f t="shared" si="28"/>
        <v/>
      </c>
      <c r="L344" s="6" t="str">
        <f t="shared" si="29"/>
        <v/>
      </c>
      <c r="M344" s="10" t="str">
        <f t="shared" si="30"/>
        <v/>
      </c>
      <c r="N344" s="6" t="str">
        <f t="shared" si="31"/>
        <v/>
      </c>
    </row>
    <row r="345" spans="1:14">
      <c r="A345" s="2"/>
      <c r="B345" s="2"/>
      <c r="C345" s="22" t="str">
        <f>IF(OR(A345="",B345=""),"",IFERROR(XLOOKUP(1,(Buy_History!$A$2:$A$501=A345)*(Buy_History!$B$2:$B$501=B345),Buy_History!$C$2:$C$501,""),""))</f>
        <v/>
      </c>
      <c r="D345" s="22" t="str">
        <f>IF(OR(A345="",B345=""),"",IFERROR(XLOOKUP(1,(Sell_History!$A$2:$A$501=A345)*(Sell_History!$B$2:$B$501=B345),Sell_History!$C$2:$C$501,""),""))</f>
        <v/>
      </c>
      <c r="E345" s="8" t="str">
        <f>IF(OR(A345="",B345=""),"",IFERROR(XLOOKUP(1,(Raw_Observations!$A$2:$A$1001=A345)*(Raw_Observations!$B$2:$B$1001=B345),Raw_Observations!$D$2:$D$1001,""),""))</f>
        <v/>
      </c>
      <c r="F345" s="8" t="str">
        <f>IF(OR(A345="",B345=""),"",IFERROR(XLOOKUP(1,(Order_History!$A$2:$A$501=A345)*(Order_History!$B$2:$B$501=B345),Order_History!$D$2:$D$501,""),""))</f>
        <v/>
      </c>
      <c r="G345" s="8" t="str">
        <f>IF(COUNTIFS(Pricing!$A:$A,A345,Pricing!$B:$B,B345)=0,"",SUMIFS(Pricing!$G:$G,Pricing!$A:$A,A345,Pricing!$B:$B,B345))</f>
        <v/>
      </c>
      <c r="H345" s="9" t="str">
        <f t="shared" si="27"/>
        <v/>
      </c>
      <c r="I345" s="3">
        <v>0</v>
      </c>
      <c r="J345" s="3">
        <v>0</v>
      </c>
      <c r="K345" s="9" t="str">
        <f t="shared" si="28"/>
        <v/>
      </c>
      <c r="L345" s="6" t="str">
        <f t="shared" si="29"/>
        <v/>
      </c>
      <c r="M345" s="10" t="str">
        <f t="shared" si="30"/>
        <v/>
      </c>
      <c r="N345" s="6" t="str">
        <f t="shared" si="31"/>
        <v/>
      </c>
    </row>
    <row r="346" spans="1:14">
      <c r="A346" s="2"/>
      <c r="B346" s="2"/>
      <c r="C346" s="22" t="str">
        <f>IF(OR(A346="",B346=""),"",IFERROR(XLOOKUP(1,(Buy_History!$A$2:$A$501=A346)*(Buy_History!$B$2:$B$501=B346),Buy_History!$C$2:$C$501,""),""))</f>
        <v/>
      </c>
      <c r="D346" s="22" t="str">
        <f>IF(OR(A346="",B346=""),"",IFERROR(XLOOKUP(1,(Sell_History!$A$2:$A$501=A346)*(Sell_History!$B$2:$B$501=B346),Sell_History!$C$2:$C$501,""),""))</f>
        <v/>
      </c>
      <c r="E346" s="8" t="str">
        <f>IF(OR(A346="",B346=""),"",IFERROR(XLOOKUP(1,(Raw_Observations!$A$2:$A$1001=A346)*(Raw_Observations!$B$2:$B$1001=B346),Raw_Observations!$D$2:$D$1001,""),""))</f>
        <v/>
      </c>
      <c r="F346" s="8" t="str">
        <f>IF(OR(A346="",B346=""),"",IFERROR(XLOOKUP(1,(Order_History!$A$2:$A$501=A346)*(Order_History!$B$2:$B$501=B346),Order_History!$D$2:$D$501,""),""))</f>
        <v/>
      </c>
      <c r="G346" s="8" t="str">
        <f>IF(COUNTIFS(Pricing!$A:$A,A346,Pricing!$B:$B,B346)=0,"",SUMIFS(Pricing!$G:$G,Pricing!$A:$A,A346,Pricing!$B:$B,B346))</f>
        <v/>
      </c>
      <c r="H346" s="9" t="str">
        <f t="shared" si="27"/>
        <v/>
      </c>
      <c r="I346" s="3">
        <v>0</v>
      </c>
      <c r="J346" s="3">
        <v>0</v>
      </c>
      <c r="K346" s="9" t="str">
        <f t="shared" si="28"/>
        <v/>
      </c>
      <c r="L346" s="6" t="str">
        <f t="shared" si="29"/>
        <v/>
      </c>
      <c r="M346" s="10" t="str">
        <f t="shared" si="30"/>
        <v/>
      </c>
      <c r="N346" s="6" t="str">
        <f t="shared" si="31"/>
        <v/>
      </c>
    </row>
    <row r="347" spans="1:14">
      <c r="A347" s="2"/>
      <c r="B347" s="2"/>
      <c r="C347" s="22" t="str">
        <f>IF(OR(A347="",B347=""),"",IFERROR(XLOOKUP(1,(Buy_History!$A$2:$A$501=A347)*(Buy_History!$B$2:$B$501=B347),Buy_History!$C$2:$C$501,""),""))</f>
        <v/>
      </c>
      <c r="D347" s="22" t="str">
        <f>IF(OR(A347="",B347=""),"",IFERROR(XLOOKUP(1,(Sell_History!$A$2:$A$501=A347)*(Sell_History!$B$2:$B$501=B347),Sell_History!$C$2:$C$501,""),""))</f>
        <v/>
      </c>
      <c r="E347" s="8" t="str">
        <f>IF(OR(A347="",B347=""),"",IFERROR(XLOOKUP(1,(Raw_Observations!$A$2:$A$1001=A347)*(Raw_Observations!$B$2:$B$1001=B347),Raw_Observations!$D$2:$D$1001,""),""))</f>
        <v/>
      </c>
      <c r="F347" s="8" t="str">
        <f>IF(OR(A347="",B347=""),"",IFERROR(XLOOKUP(1,(Order_History!$A$2:$A$501=A347)*(Order_History!$B$2:$B$501=B347),Order_History!$D$2:$D$501,""),""))</f>
        <v/>
      </c>
      <c r="G347" s="8" t="str">
        <f>IF(COUNTIFS(Pricing!$A:$A,A347,Pricing!$B:$B,B347)=0,"",SUMIFS(Pricing!$G:$G,Pricing!$A:$A,A347,Pricing!$B:$B,B347))</f>
        <v/>
      </c>
      <c r="H347" s="9" t="str">
        <f t="shared" si="27"/>
        <v/>
      </c>
      <c r="I347" s="3">
        <v>0</v>
      </c>
      <c r="J347" s="3">
        <v>0</v>
      </c>
      <c r="K347" s="9" t="str">
        <f t="shared" si="28"/>
        <v/>
      </c>
      <c r="L347" s="6" t="str">
        <f t="shared" si="29"/>
        <v/>
      </c>
      <c r="M347" s="10" t="str">
        <f t="shared" si="30"/>
        <v/>
      </c>
      <c r="N347" s="6" t="str">
        <f t="shared" si="31"/>
        <v/>
      </c>
    </row>
    <row r="348" spans="1:14">
      <c r="A348" s="2"/>
      <c r="B348" s="2"/>
      <c r="C348" s="22" t="str">
        <f>IF(OR(A348="",B348=""),"",IFERROR(XLOOKUP(1,(Buy_History!$A$2:$A$501=A348)*(Buy_History!$B$2:$B$501=B348),Buy_History!$C$2:$C$501,""),""))</f>
        <v/>
      </c>
      <c r="D348" s="22" t="str">
        <f>IF(OR(A348="",B348=""),"",IFERROR(XLOOKUP(1,(Sell_History!$A$2:$A$501=A348)*(Sell_History!$B$2:$B$501=B348),Sell_History!$C$2:$C$501,""),""))</f>
        <v/>
      </c>
      <c r="E348" s="8" t="str">
        <f>IF(OR(A348="",B348=""),"",IFERROR(XLOOKUP(1,(Raw_Observations!$A$2:$A$1001=A348)*(Raw_Observations!$B$2:$B$1001=B348),Raw_Observations!$D$2:$D$1001,""),""))</f>
        <v/>
      </c>
      <c r="F348" s="8" t="str">
        <f>IF(OR(A348="",B348=""),"",IFERROR(XLOOKUP(1,(Order_History!$A$2:$A$501=A348)*(Order_History!$B$2:$B$501=B348),Order_History!$D$2:$D$501,""),""))</f>
        <v/>
      </c>
      <c r="G348" s="8" t="str">
        <f>IF(COUNTIFS(Pricing!$A:$A,A348,Pricing!$B:$B,B348)=0,"",SUMIFS(Pricing!$G:$G,Pricing!$A:$A,A348,Pricing!$B:$B,B348))</f>
        <v/>
      </c>
      <c r="H348" s="9" t="str">
        <f t="shared" si="27"/>
        <v/>
      </c>
      <c r="I348" s="3">
        <v>0</v>
      </c>
      <c r="J348" s="3">
        <v>0</v>
      </c>
      <c r="K348" s="9" t="str">
        <f t="shared" si="28"/>
        <v/>
      </c>
      <c r="L348" s="6" t="str">
        <f t="shared" si="29"/>
        <v/>
      </c>
      <c r="M348" s="10" t="str">
        <f t="shared" si="30"/>
        <v/>
      </c>
      <c r="N348" s="6" t="str">
        <f t="shared" si="31"/>
        <v/>
      </c>
    </row>
    <row r="349" spans="1:14">
      <c r="A349" s="2"/>
      <c r="B349" s="2"/>
      <c r="C349" s="22" t="str">
        <f>IF(OR(A349="",B349=""),"",IFERROR(XLOOKUP(1,(Buy_History!$A$2:$A$501=A349)*(Buy_History!$B$2:$B$501=B349),Buy_History!$C$2:$C$501,""),""))</f>
        <v/>
      </c>
      <c r="D349" s="22" t="str">
        <f>IF(OR(A349="",B349=""),"",IFERROR(XLOOKUP(1,(Sell_History!$A$2:$A$501=A349)*(Sell_History!$B$2:$B$501=B349),Sell_History!$C$2:$C$501,""),""))</f>
        <v/>
      </c>
      <c r="E349" s="8" t="str">
        <f>IF(OR(A349="",B349=""),"",IFERROR(XLOOKUP(1,(Raw_Observations!$A$2:$A$1001=A349)*(Raw_Observations!$B$2:$B$1001=B349),Raw_Observations!$D$2:$D$1001,""),""))</f>
        <v/>
      </c>
      <c r="F349" s="8" t="str">
        <f>IF(OR(A349="",B349=""),"",IFERROR(XLOOKUP(1,(Order_History!$A$2:$A$501=A349)*(Order_History!$B$2:$B$501=B349),Order_History!$D$2:$D$501,""),""))</f>
        <v/>
      </c>
      <c r="G349" s="8" t="str">
        <f>IF(COUNTIFS(Pricing!$A:$A,A349,Pricing!$B:$B,B349)=0,"",SUMIFS(Pricing!$G:$G,Pricing!$A:$A,A349,Pricing!$B:$B,B349))</f>
        <v/>
      </c>
      <c r="H349" s="9" t="str">
        <f t="shared" si="27"/>
        <v/>
      </c>
      <c r="I349" s="3">
        <v>0</v>
      </c>
      <c r="J349" s="3">
        <v>0</v>
      </c>
      <c r="K349" s="9" t="str">
        <f t="shared" si="28"/>
        <v/>
      </c>
      <c r="L349" s="6" t="str">
        <f t="shared" si="29"/>
        <v/>
      </c>
      <c r="M349" s="10" t="str">
        <f t="shared" si="30"/>
        <v/>
      </c>
      <c r="N349" s="6" t="str">
        <f t="shared" si="31"/>
        <v/>
      </c>
    </row>
    <row r="350" spans="1:14">
      <c r="A350" s="2"/>
      <c r="B350" s="2"/>
      <c r="C350" s="22" t="str">
        <f>IF(OR(A350="",B350=""),"",IFERROR(XLOOKUP(1,(Buy_History!$A$2:$A$501=A350)*(Buy_History!$B$2:$B$501=B350),Buy_History!$C$2:$C$501,""),""))</f>
        <v/>
      </c>
      <c r="D350" s="22" t="str">
        <f>IF(OR(A350="",B350=""),"",IFERROR(XLOOKUP(1,(Sell_History!$A$2:$A$501=A350)*(Sell_History!$B$2:$B$501=B350),Sell_History!$C$2:$C$501,""),""))</f>
        <v/>
      </c>
      <c r="E350" s="8" t="str">
        <f>IF(OR(A350="",B350=""),"",IFERROR(XLOOKUP(1,(Raw_Observations!$A$2:$A$1001=A350)*(Raw_Observations!$B$2:$B$1001=B350),Raw_Observations!$D$2:$D$1001,""),""))</f>
        <v/>
      </c>
      <c r="F350" s="8" t="str">
        <f>IF(OR(A350="",B350=""),"",IFERROR(XLOOKUP(1,(Order_History!$A$2:$A$501=A350)*(Order_History!$B$2:$B$501=B350),Order_History!$D$2:$D$501,""),""))</f>
        <v/>
      </c>
      <c r="G350" s="8" t="str">
        <f>IF(COUNTIFS(Pricing!$A:$A,A350,Pricing!$B:$B,B350)=0,"",SUMIFS(Pricing!$G:$G,Pricing!$A:$A,A350,Pricing!$B:$B,B350))</f>
        <v/>
      </c>
      <c r="H350" s="9" t="str">
        <f t="shared" si="27"/>
        <v/>
      </c>
      <c r="I350" s="3">
        <v>0</v>
      </c>
      <c r="J350" s="3">
        <v>0</v>
      </c>
      <c r="K350" s="9" t="str">
        <f t="shared" si="28"/>
        <v/>
      </c>
      <c r="L350" s="6" t="str">
        <f t="shared" si="29"/>
        <v/>
      </c>
      <c r="M350" s="10" t="str">
        <f t="shared" si="30"/>
        <v/>
      </c>
      <c r="N350" s="6" t="str">
        <f t="shared" si="31"/>
        <v/>
      </c>
    </row>
    <row r="351" spans="1:14">
      <c r="A351" s="2"/>
      <c r="B351" s="2"/>
      <c r="C351" s="22" t="str">
        <f>IF(OR(A351="",B351=""),"",IFERROR(XLOOKUP(1,(Buy_History!$A$2:$A$501=A351)*(Buy_History!$B$2:$B$501=B351),Buy_History!$C$2:$C$501,""),""))</f>
        <v/>
      </c>
      <c r="D351" s="22" t="str">
        <f>IF(OR(A351="",B351=""),"",IFERROR(XLOOKUP(1,(Sell_History!$A$2:$A$501=A351)*(Sell_History!$B$2:$B$501=B351),Sell_History!$C$2:$C$501,""),""))</f>
        <v/>
      </c>
      <c r="E351" s="8" t="str">
        <f>IF(OR(A351="",B351=""),"",IFERROR(XLOOKUP(1,(Raw_Observations!$A$2:$A$1001=A351)*(Raw_Observations!$B$2:$B$1001=B351),Raw_Observations!$D$2:$D$1001,""),""))</f>
        <v/>
      </c>
      <c r="F351" s="8" t="str">
        <f>IF(OR(A351="",B351=""),"",IFERROR(XLOOKUP(1,(Order_History!$A$2:$A$501=A351)*(Order_History!$B$2:$B$501=B351),Order_History!$D$2:$D$501,""),""))</f>
        <v/>
      </c>
      <c r="G351" s="8" t="str">
        <f>IF(COUNTIFS(Pricing!$A:$A,A351,Pricing!$B:$B,B351)=0,"",SUMIFS(Pricing!$G:$G,Pricing!$A:$A,A351,Pricing!$B:$B,B351))</f>
        <v/>
      </c>
      <c r="H351" s="9" t="str">
        <f t="shared" si="27"/>
        <v/>
      </c>
      <c r="I351" s="3">
        <v>0</v>
      </c>
      <c r="J351" s="3">
        <v>0</v>
      </c>
      <c r="K351" s="9" t="str">
        <f t="shared" si="28"/>
        <v/>
      </c>
      <c r="L351" s="6" t="str">
        <f t="shared" si="29"/>
        <v/>
      </c>
      <c r="M351" s="10" t="str">
        <f t="shared" si="30"/>
        <v/>
      </c>
      <c r="N351" s="6" t="str">
        <f t="shared" si="31"/>
        <v/>
      </c>
    </row>
    <row r="352" spans="1:14">
      <c r="A352" s="2"/>
      <c r="B352" s="2"/>
      <c r="C352" s="22" t="str">
        <f>IF(OR(A352="",B352=""),"",IFERROR(XLOOKUP(1,(Buy_History!$A$2:$A$501=A352)*(Buy_History!$B$2:$B$501=B352),Buy_History!$C$2:$C$501,""),""))</f>
        <v/>
      </c>
      <c r="D352" s="22" t="str">
        <f>IF(OR(A352="",B352=""),"",IFERROR(XLOOKUP(1,(Sell_History!$A$2:$A$501=A352)*(Sell_History!$B$2:$B$501=B352),Sell_History!$C$2:$C$501,""),""))</f>
        <v/>
      </c>
      <c r="E352" s="8" t="str">
        <f>IF(OR(A352="",B352=""),"",IFERROR(XLOOKUP(1,(Raw_Observations!$A$2:$A$1001=A352)*(Raw_Observations!$B$2:$B$1001=B352),Raw_Observations!$D$2:$D$1001,""),""))</f>
        <v/>
      </c>
      <c r="F352" s="8" t="str">
        <f>IF(OR(A352="",B352=""),"",IFERROR(XLOOKUP(1,(Order_History!$A$2:$A$501=A352)*(Order_History!$B$2:$B$501=B352),Order_History!$D$2:$D$501,""),""))</f>
        <v/>
      </c>
      <c r="G352" s="8" t="str">
        <f>IF(COUNTIFS(Pricing!$A:$A,A352,Pricing!$B:$B,B352)=0,"",SUMIFS(Pricing!$G:$G,Pricing!$A:$A,A352,Pricing!$B:$B,B352))</f>
        <v/>
      </c>
      <c r="H352" s="9" t="str">
        <f t="shared" si="27"/>
        <v/>
      </c>
      <c r="I352" s="3">
        <v>0</v>
      </c>
      <c r="J352" s="3">
        <v>0</v>
      </c>
      <c r="K352" s="9" t="str">
        <f t="shared" si="28"/>
        <v/>
      </c>
      <c r="L352" s="6" t="str">
        <f t="shared" si="29"/>
        <v/>
      </c>
      <c r="M352" s="10" t="str">
        <f t="shared" si="30"/>
        <v/>
      </c>
      <c r="N352" s="6" t="str">
        <f t="shared" si="31"/>
        <v/>
      </c>
    </row>
    <row r="353" spans="1:14">
      <c r="A353" s="2"/>
      <c r="B353" s="2"/>
      <c r="C353" s="22" t="str">
        <f>IF(OR(A353="",B353=""),"",IFERROR(XLOOKUP(1,(Buy_History!$A$2:$A$501=A353)*(Buy_History!$B$2:$B$501=B353),Buy_History!$C$2:$C$501,""),""))</f>
        <v/>
      </c>
      <c r="D353" s="22" t="str">
        <f>IF(OR(A353="",B353=""),"",IFERROR(XLOOKUP(1,(Sell_History!$A$2:$A$501=A353)*(Sell_History!$B$2:$B$501=B353),Sell_History!$C$2:$C$501,""),""))</f>
        <v/>
      </c>
      <c r="E353" s="8" t="str">
        <f>IF(OR(A353="",B353=""),"",IFERROR(XLOOKUP(1,(Raw_Observations!$A$2:$A$1001=A353)*(Raw_Observations!$B$2:$B$1001=B353),Raw_Observations!$D$2:$D$1001,""),""))</f>
        <v/>
      </c>
      <c r="F353" s="8" t="str">
        <f>IF(OR(A353="",B353=""),"",IFERROR(XLOOKUP(1,(Order_History!$A$2:$A$501=A353)*(Order_History!$B$2:$B$501=B353),Order_History!$D$2:$D$501,""),""))</f>
        <v/>
      </c>
      <c r="G353" s="8" t="str">
        <f>IF(COUNTIFS(Pricing!$A:$A,A353,Pricing!$B:$B,B353)=0,"",SUMIFS(Pricing!$G:$G,Pricing!$A:$A,A353,Pricing!$B:$B,B353))</f>
        <v/>
      </c>
      <c r="H353" s="9" t="str">
        <f t="shared" si="27"/>
        <v/>
      </c>
      <c r="I353" s="3">
        <v>0</v>
      </c>
      <c r="J353" s="3">
        <v>0</v>
      </c>
      <c r="K353" s="9" t="str">
        <f t="shared" si="28"/>
        <v/>
      </c>
      <c r="L353" s="6" t="str">
        <f t="shared" si="29"/>
        <v/>
      </c>
      <c r="M353" s="10" t="str">
        <f t="shared" si="30"/>
        <v/>
      </c>
      <c r="N353" s="6" t="str">
        <f t="shared" si="31"/>
        <v/>
      </c>
    </row>
    <row r="354" spans="1:14">
      <c r="A354" s="2"/>
      <c r="B354" s="2"/>
      <c r="C354" s="22" t="str">
        <f>IF(OR(A354="",B354=""),"",IFERROR(XLOOKUP(1,(Buy_History!$A$2:$A$501=A354)*(Buy_History!$B$2:$B$501=B354),Buy_History!$C$2:$C$501,""),""))</f>
        <v/>
      </c>
      <c r="D354" s="22" t="str">
        <f>IF(OR(A354="",B354=""),"",IFERROR(XLOOKUP(1,(Sell_History!$A$2:$A$501=A354)*(Sell_History!$B$2:$B$501=B354),Sell_History!$C$2:$C$501,""),""))</f>
        <v/>
      </c>
      <c r="E354" s="8" t="str">
        <f>IF(OR(A354="",B354=""),"",IFERROR(XLOOKUP(1,(Raw_Observations!$A$2:$A$1001=A354)*(Raw_Observations!$B$2:$B$1001=B354),Raw_Observations!$D$2:$D$1001,""),""))</f>
        <v/>
      </c>
      <c r="F354" s="8" t="str">
        <f>IF(OR(A354="",B354=""),"",IFERROR(XLOOKUP(1,(Order_History!$A$2:$A$501=A354)*(Order_History!$B$2:$B$501=B354),Order_History!$D$2:$D$501,""),""))</f>
        <v/>
      </c>
      <c r="G354" s="8" t="str">
        <f>IF(COUNTIFS(Pricing!$A:$A,A354,Pricing!$B:$B,B354)=0,"",SUMIFS(Pricing!$G:$G,Pricing!$A:$A,A354,Pricing!$B:$B,B354))</f>
        <v/>
      </c>
      <c r="H354" s="9" t="str">
        <f t="shared" si="27"/>
        <v/>
      </c>
      <c r="I354" s="3">
        <v>0</v>
      </c>
      <c r="J354" s="3">
        <v>0</v>
      </c>
      <c r="K354" s="9" t="str">
        <f t="shared" si="28"/>
        <v/>
      </c>
      <c r="L354" s="6" t="str">
        <f t="shared" si="29"/>
        <v/>
      </c>
      <c r="M354" s="10" t="str">
        <f t="shared" si="30"/>
        <v/>
      </c>
      <c r="N354" s="6" t="str">
        <f t="shared" si="31"/>
        <v/>
      </c>
    </row>
    <row r="355" spans="1:14">
      <c r="A355" s="2"/>
      <c r="B355" s="2"/>
      <c r="C355" s="22" t="str">
        <f>IF(OR(A355="",B355=""),"",IFERROR(XLOOKUP(1,(Buy_History!$A$2:$A$501=A355)*(Buy_History!$B$2:$B$501=B355),Buy_History!$C$2:$C$501,""),""))</f>
        <v/>
      </c>
      <c r="D355" s="22" t="str">
        <f>IF(OR(A355="",B355=""),"",IFERROR(XLOOKUP(1,(Sell_History!$A$2:$A$501=A355)*(Sell_History!$B$2:$B$501=B355),Sell_History!$C$2:$C$501,""),""))</f>
        <v/>
      </c>
      <c r="E355" s="8" t="str">
        <f>IF(OR(A355="",B355=""),"",IFERROR(XLOOKUP(1,(Raw_Observations!$A$2:$A$1001=A355)*(Raw_Observations!$B$2:$B$1001=B355),Raw_Observations!$D$2:$D$1001,""),""))</f>
        <v/>
      </c>
      <c r="F355" s="8" t="str">
        <f>IF(OR(A355="",B355=""),"",IFERROR(XLOOKUP(1,(Order_History!$A$2:$A$501=A355)*(Order_History!$B$2:$B$501=B355),Order_History!$D$2:$D$501,""),""))</f>
        <v/>
      </c>
      <c r="G355" s="8" t="str">
        <f>IF(COUNTIFS(Pricing!$A:$A,A355,Pricing!$B:$B,B355)=0,"",SUMIFS(Pricing!$G:$G,Pricing!$A:$A,A355,Pricing!$B:$B,B355))</f>
        <v/>
      </c>
      <c r="H355" s="9" t="str">
        <f t="shared" si="27"/>
        <v/>
      </c>
      <c r="I355" s="3">
        <v>0</v>
      </c>
      <c r="J355" s="3">
        <v>0</v>
      </c>
      <c r="K355" s="9" t="str">
        <f t="shared" si="28"/>
        <v/>
      </c>
      <c r="L355" s="6" t="str">
        <f t="shared" si="29"/>
        <v/>
      </c>
      <c r="M355" s="10" t="str">
        <f t="shared" si="30"/>
        <v/>
      </c>
      <c r="N355" s="6" t="str">
        <f t="shared" si="31"/>
        <v/>
      </c>
    </row>
    <row r="356" spans="1:14">
      <c r="A356" s="2"/>
      <c r="B356" s="2"/>
      <c r="C356" s="22" t="str">
        <f>IF(OR(A356="",B356=""),"",IFERROR(XLOOKUP(1,(Buy_History!$A$2:$A$501=A356)*(Buy_History!$B$2:$B$501=B356),Buy_History!$C$2:$C$501,""),""))</f>
        <v/>
      </c>
      <c r="D356" s="22" t="str">
        <f>IF(OR(A356="",B356=""),"",IFERROR(XLOOKUP(1,(Sell_History!$A$2:$A$501=A356)*(Sell_History!$B$2:$B$501=B356),Sell_History!$C$2:$C$501,""),""))</f>
        <v/>
      </c>
      <c r="E356" s="8" t="str">
        <f>IF(OR(A356="",B356=""),"",IFERROR(XLOOKUP(1,(Raw_Observations!$A$2:$A$1001=A356)*(Raw_Observations!$B$2:$B$1001=B356),Raw_Observations!$D$2:$D$1001,""),""))</f>
        <v/>
      </c>
      <c r="F356" s="8" t="str">
        <f>IF(OR(A356="",B356=""),"",IFERROR(XLOOKUP(1,(Order_History!$A$2:$A$501=A356)*(Order_History!$B$2:$B$501=B356),Order_History!$D$2:$D$501,""),""))</f>
        <v/>
      </c>
      <c r="G356" s="8" t="str">
        <f>IF(COUNTIFS(Pricing!$A:$A,A356,Pricing!$B:$B,B356)=0,"",SUMIFS(Pricing!$G:$G,Pricing!$A:$A,A356,Pricing!$B:$B,B356))</f>
        <v/>
      </c>
      <c r="H356" s="9" t="str">
        <f t="shared" si="27"/>
        <v/>
      </c>
      <c r="I356" s="3">
        <v>0</v>
      </c>
      <c r="J356" s="3">
        <v>0</v>
      </c>
      <c r="K356" s="9" t="str">
        <f t="shared" si="28"/>
        <v/>
      </c>
      <c r="L356" s="6" t="str">
        <f t="shared" si="29"/>
        <v/>
      </c>
      <c r="M356" s="10" t="str">
        <f t="shared" si="30"/>
        <v/>
      </c>
      <c r="N356" s="6" t="str">
        <f t="shared" si="31"/>
        <v/>
      </c>
    </row>
    <row r="357" spans="1:14">
      <c r="A357" s="2"/>
      <c r="B357" s="2"/>
      <c r="C357" s="22" t="str">
        <f>IF(OR(A357="",B357=""),"",IFERROR(XLOOKUP(1,(Buy_History!$A$2:$A$501=A357)*(Buy_History!$B$2:$B$501=B357),Buy_History!$C$2:$C$501,""),""))</f>
        <v/>
      </c>
      <c r="D357" s="22" t="str">
        <f>IF(OR(A357="",B357=""),"",IFERROR(XLOOKUP(1,(Sell_History!$A$2:$A$501=A357)*(Sell_History!$B$2:$B$501=B357),Sell_History!$C$2:$C$501,""),""))</f>
        <v/>
      </c>
      <c r="E357" s="8" t="str">
        <f>IF(OR(A357="",B357=""),"",IFERROR(XLOOKUP(1,(Raw_Observations!$A$2:$A$1001=A357)*(Raw_Observations!$B$2:$B$1001=B357),Raw_Observations!$D$2:$D$1001,""),""))</f>
        <v/>
      </c>
      <c r="F357" s="8" t="str">
        <f>IF(OR(A357="",B357=""),"",IFERROR(XLOOKUP(1,(Order_History!$A$2:$A$501=A357)*(Order_History!$B$2:$B$501=B357),Order_History!$D$2:$D$501,""),""))</f>
        <v/>
      </c>
      <c r="G357" s="8" t="str">
        <f>IF(COUNTIFS(Pricing!$A:$A,A357,Pricing!$B:$B,B357)=0,"",SUMIFS(Pricing!$G:$G,Pricing!$A:$A,A357,Pricing!$B:$B,B357))</f>
        <v/>
      </c>
      <c r="H357" s="9" t="str">
        <f t="shared" si="27"/>
        <v/>
      </c>
      <c r="I357" s="3">
        <v>0</v>
      </c>
      <c r="J357" s="3">
        <v>0</v>
      </c>
      <c r="K357" s="9" t="str">
        <f t="shared" si="28"/>
        <v/>
      </c>
      <c r="L357" s="6" t="str">
        <f t="shared" si="29"/>
        <v/>
      </c>
      <c r="M357" s="10" t="str">
        <f t="shared" si="30"/>
        <v/>
      </c>
      <c r="N357" s="6" t="str">
        <f t="shared" si="31"/>
        <v/>
      </c>
    </row>
    <row r="358" spans="1:14">
      <c r="A358" s="2"/>
      <c r="B358" s="2"/>
      <c r="C358" s="22" t="str">
        <f>IF(OR(A358="",B358=""),"",IFERROR(XLOOKUP(1,(Buy_History!$A$2:$A$501=A358)*(Buy_History!$B$2:$B$501=B358),Buy_History!$C$2:$C$501,""),""))</f>
        <v/>
      </c>
      <c r="D358" s="22" t="str">
        <f>IF(OR(A358="",B358=""),"",IFERROR(XLOOKUP(1,(Sell_History!$A$2:$A$501=A358)*(Sell_History!$B$2:$B$501=B358),Sell_History!$C$2:$C$501,""),""))</f>
        <v/>
      </c>
      <c r="E358" s="8" t="str">
        <f>IF(OR(A358="",B358=""),"",IFERROR(XLOOKUP(1,(Raw_Observations!$A$2:$A$1001=A358)*(Raw_Observations!$B$2:$B$1001=B358),Raw_Observations!$D$2:$D$1001,""),""))</f>
        <v/>
      </c>
      <c r="F358" s="8" t="str">
        <f>IF(OR(A358="",B358=""),"",IFERROR(XLOOKUP(1,(Order_History!$A$2:$A$501=A358)*(Order_History!$B$2:$B$501=B358),Order_History!$D$2:$D$501,""),""))</f>
        <v/>
      </c>
      <c r="G358" s="8" t="str">
        <f>IF(COUNTIFS(Pricing!$A:$A,A358,Pricing!$B:$B,B358)=0,"",SUMIFS(Pricing!$G:$G,Pricing!$A:$A,A358,Pricing!$B:$B,B358))</f>
        <v/>
      </c>
      <c r="H358" s="9" t="str">
        <f t="shared" si="27"/>
        <v/>
      </c>
      <c r="I358" s="3">
        <v>0</v>
      </c>
      <c r="J358" s="3">
        <v>0</v>
      </c>
      <c r="K358" s="9" t="str">
        <f t="shared" si="28"/>
        <v/>
      </c>
      <c r="L358" s="6" t="str">
        <f t="shared" si="29"/>
        <v/>
      </c>
      <c r="M358" s="10" t="str">
        <f t="shared" si="30"/>
        <v/>
      </c>
      <c r="N358" s="6" t="str">
        <f t="shared" si="31"/>
        <v/>
      </c>
    </row>
    <row r="359" spans="1:14">
      <c r="A359" s="2"/>
      <c r="B359" s="2"/>
      <c r="C359" s="22" t="str">
        <f>IF(OR(A359="",B359=""),"",IFERROR(XLOOKUP(1,(Buy_History!$A$2:$A$501=A359)*(Buy_History!$B$2:$B$501=B359),Buy_History!$C$2:$C$501,""),""))</f>
        <v/>
      </c>
      <c r="D359" s="22" t="str">
        <f>IF(OR(A359="",B359=""),"",IFERROR(XLOOKUP(1,(Sell_History!$A$2:$A$501=A359)*(Sell_History!$B$2:$B$501=B359),Sell_History!$C$2:$C$501,""),""))</f>
        <v/>
      </c>
      <c r="E359" s="8" t="str">
        <f>IF(OR(A359="",B359=""),"",IFERROR(XLOOKUP(1,(Raw_Observations!$A$2:$A$1001=A359)*(Raw_Observations!$B$2:$B$1001=B359),Raw_Observations!$D$2:$D$1001,""),""))</f>
        <v/>
      </c>
      <c r="F359" s="8" t="str">
        <f>IF(OR(A359="",B359=""),"",IFERROR(XLOOKUP(1,(Order_History!$A$2:$A$501=A359)*(Order_History!$B$2:$B$501=B359),Order_History!$D$2:$D$501,""),""))</f>
        <v/>
      </c>
      <c r="G359" s="8" t="str">
        <f>IF(COUNTIFS(Pricing!$A:$A,A359,Pricing!$B:$B,B359)=0,"",SUMIFS(Pricing!$G:$G,Pricing!$A:$A,A359,Pricing!$B:$B,B359))</f>
        <v/>
      </c>
      <c r="H359" s="9" t="str">
        <f t="shared" si="27"/>
        <v/>
      </c>
      <c r="I359" s="3">
        <v>0</v>
      </c>
      <c r="J359" s="3">
        <v>0</v>
      </c>
      <c r="K359" s="9" t="str">
        <f t="shared" si="28"/>
        <v/>
      </c>
      <c r="L359" s="6" t="str">
        <f t="shared" si="29"/>
        <v/>
      </c>
      <c r="M359" s="10" t="str">
        <f t="shared" si="30"/>
        <v/>
      </c>
      <c r="N359" s="6" t="str">
        <f t="shared" si="31"/>
        <v/>
      </c>
    </row>
    <row r="360" spans="1:14">
      <c r="A360" s="2"/>
      <c r="B360" s="2"/>
      <c r="C360" s="22" t="str">
        <f>IF(OR(A360="",B360=""),"",IFERROR(XLOOKUP(1,(Buy_History!$A$2:$A$501=A360)*(Buy_History!$B$2:$B$501=B360),Buy_History!$C$2:$C$501,""),""))</f>
        <v/>
      </c>
      <c r="D360" s="22" t="str">
        <f>IF(OR(A360="",B360=""),"",IFERROR(XLOOKUP(1,(Sell_History!$A$2:$A$501=A360)*(Sell_History!$B$2:$B$501=B360),Sell_History!$C$2:$C$501,""),""))</f>
        <v/>
      </c>
      <c r="E360" s="8" t="str">
        <f>IF(OR(A360="",B360=""),"",IFERROR(XLOOKUP(1,(Raw_Observations!$A$2:$A$1001=A360)*(Raw_Observations!$B$2:$B$1001=B360),Raw_Observations!$D$2:$D$1001,""),""))</f>
        <v/>
      </c>
      <c r="F360" s="8" t="str">
        <f>IF(OR(A360="",B360=""),"",IFERROR(XLOOKUP(1,(Order_History!$A$2:$A$501=A360)*(Order_History!$B$2:$B$501=B360),Order_History!$D$2:$D$501,""),""))</f>
        <v/>
      </c>
      <c r="G360" s="8" t="str">
        <f>IF(COUNTIFS(Pricing!$A:$A,A360,Pricing!$B:$B,B360)=0,"",SUMIFS(Pricing!$G:$G,Pricing!$A:$A,A360,Pricing!$B:$B,B360))</f>
        <v/>
      </c>
      <c r="H360" s="9" t="str">
        <f t="shared" si="27"/>
        <v/>
      </c>
      <c r="I360" s="3">
        <v>0</v>
      </c>
      <c r="J360" s="3">
        <v>0</v>
      </c>
      <c r="K360" s="9" t="str">
        <f t="shared" si="28"/>
        <v/>
      </c>
      <c r="L360" s="6" t="str">
        <f t="shared" si="29"/>
        <v/>
      </c>
      <c r="M360" s="10" t="str">
        <f t="shared" si="30"/>
        <v/>
      </c>
      <c r="N360" s="6" t="str">
        <f t="shared" si="31"/>
        <v/>
      </c>
    </row>
    <row r="361" spans="1:14">
      <c r="A361" s="2"/>
      <c r="B361" s="2"/>
      <c r="C361" s="22" t="str">
        <f>IF(OR(A361="",B361=""),"",IFERROR(XLOOKUP(1,(Buy_History!$A$2:$A$501=A361)*(Buy_History!$B$2:$B$501=B361),Buy_History!$C$2:$C$501,""),""))</f>
        <v/>
      </c>
      <c r="D361" s="22" t="str">
        <f>IF(OR(A361="",B361=""),"",IFERROR(XLOOKUP(1,(Sell_History!$A$2:$A$501=A361)*(Sell_History!$B$2:$B$501=B361),Sell_History!$C$2:$C$501,""),""))</f>
        <v/>
      </c>
      <c r="E361" s="8" t="str">
        <f>IF(OR(A361="",B361=""),"",IFERROR(XLOOKUP(1,(Raw_Observations!$A$2:$A$1001=A361)*(Raw_Observations!$B$2:$B$1001=B361),Raw_Observations!$D$2:$D$1001,""),""))</f>
        <v/>
      </c>
      <c r="F361" s="8" t="str">
        <f>IF(OR(A361="",B361=""),"",IFERROR(XLOOKUP(1,(Order_History!$A$2:$A$501=A361)*(Order_History!$B$2:$B$501=B361),Order_History!$D$2:$D$501,""),""))</f>
        <v/>
      </c>
      <c r="G361" s="8" t="str">
        <f>IF(COUNTIFS(Pricing!$A:$A,A361,Pricing!$B:$B,B361)=0,"",SUMIFS(Pricing!$G:$G,Pricing!$A:$A,A361,Pricing!$B:$B,B361))</f>
        <v/>
      </c>
      <c r="H361" s="9" t="str">
        <f t="shared" si="27"/>
        <v/>
      </c>
      <c r="I361" s="3">
        <v>0</v>
      </c>
      <c r="J361" s="3">
        <v>0</v>
      </c>
      <c r="K361" s="9" t="str">
        <f t="shared" si="28"/>
        <v/>
      </c>
      <c r="L361" s="6" t="str">
        <f t="shared" si="29"/>
        <v/>
      </c>
      <c r="M361" s="10" t="str">
        <f t="shared" si="30"/>
        <v/>
      </c>
      <c r="N361" s="6" t="str">
        <f t="shared" si="31"/>
        <v/>
      </c>
    </row>
    <row r="362" spans="1:14">
      <c r="A362" s="2"/>
      <c r="B362" s="2"/>
      <c r="C362" s="22" t="str">
        <f>IF(OR(A362="",B362=""),"",IFERROR(XLOOKUP(1,(Buy_History!$A$2:$A$501=A362)*(Buy_History!$B$2:$B$501=B362),Buy_History!$C$2:$C$501,""),""))</f>
        <v/>
      </c>
      <c r="D362" s="22" t="str">
        <f>IF(OR(A362="",B362=""),"",IFERROR(XLOOKUP(1,(Sell_History!$A$2:$A$501=A362)*(Sell_History!$B$2:$B$501=B362),Sell_History!$C$2:$C$501,""),""))</f>
        <v/>
      </c>
      <c r="E362" s="8" t="str">
        <f>IF(OR(A362="",B362=""),"",IFERROR(XLOOKUP(1,(Raw_Observations!$A$2:$A$1001=A362)*(Raw_Observations!$B$2:$B$1001=B362),Raw_Observations!$D$2:$D$1001,""),""))</f>
        <v/>
      </c>
      <c r="F362" s="8" t="str">
        <f>IF(OR(A362="",B362=""),"",IFERROR(XLOOKUP(1,(Order_History!$A$2:$A$501=A362)*(Order_History!$B$2:$B$501=B362),Order_History!$D$2:$D$501,""),""))</f>
        <v/>
      </c>
      <c r="G362" s="8" t="str">
        <f>IF(COUNTIFS(Pricing!$A:$A,A362,Pricing!$B:$B,B362)=0,"",SUMIFS(Pricing!$G:$G,Pricing!$A:$A,A362,Pricing!$B:$B,B362))</f>
        <v/>
      </c>
      <c r="H362" s="9" t="str">
        <f t="shared" si="27"/>
        <v/>
      </c>
      <c r="I362" s="3">
        <v>0</v>
      </c>
      <c r="J362" s="3">
        <v>0</v>
      </c>
      <c r="K362" s="9" t="str">
        <f t="shared" si="28"/>
        <v/>
      </c>
      <c r="L362" s="6" t="str">
        <f t="shared" si="29"/>
        <v/>
      </c>
      <c r="M362" s="10" t="str">
        <f t="shared" si="30"/>
        <v/>
      </c>
      <c r="N362" s="6" t="str">
        <f t="shared" si="31"/>
        <v/>
      </c>
    </row>
    <row r="363" spans="1:14">
      <c r="A363" s="2"/>
      <c r="B363" s="2"/>
      <c r="C363" s="22" t="str">
        <f>IF(OR(A363="",B363=""),"",IFERROR(XLOOKUP(1,(Buy_History!$A$2:$A$501=A363)*(Buy_History!$B$2:$B$501=B363),Buy_History!$C$2:$C$501,""),""))</f>
        <v/>
      </c>
      <c r="D363" s="22" t="str">
        <f>IF(OR(A363="",B363=""),"",IFERROR(XLOOKUP(1,(Sell_History!$A$2:$A$501=A363)*(Sell_History!$B$2:$B$501=B363),Sell_History!$C$2:$C$501,""),""))</f>
        <v/>
      </c>
      <c r="E363" s="8" t="str">
        <f>IF(OR(A363="",B363=""),"",IFERROR(XLOOKUP(1,(Raw_Observations!$A$2:$A$1001=A363)*(Raw_Observations!$B$2:$B$1001=B363),Raw_Observations!$D$2:$D$1001,""),""))</f>
        <v/>
      </c>
      <c r="F363" s="8" t="str">
        <f>IF(OR(A363="",B363=""),"",IFERROR(XLOOKUP(1,(Order_History!$A$2:$A$501=A363)*(Order_History!$B$2:$B$501=B363),Order_History!$D$2:$D$501,""),""))</f>
        <v/>
      </c>
      <c r="G363" s="8" t="str">
        <f>IF(COUNTIFS(Pricing!$A:$A,A363,Pricing!$B:$B,B363)=0,"",SUMIFS(Pricing!$G:$G,Pricing!$A:$A,A363,Pricing!$B:$B,B363))</f>
        <v/>
      </c>
      <c r="H363" s="9" t="str">
        <f t="shared" si="27"/>
        <v/>
      </c>
      <c r="I363" s="3">
        <v>0</v>
      </c>
      <c r="J363" s="3">
        <v>0</v>
      </c>
      <c r="K363" s="9" t="str">
        <f t="shared" si="28"/>
        <v/>
      </c>
      <c r="L363" s="6" t="str">
        <f t="shared" si="29"/>
        <v/>
      </c>
      <c r="M363" s="10" t="str">
        <f t="shared" si="30"/>
        <v/>
      </c>
      <c r="N363" s="6" t="str">
        <f t="shared" si="31"/>
        <v/>
      </c>
    </row>
    <row r="364" spans="1:14">
      <c r="A364" s="2"/>
      <c r="B364" s="2"/>
      <c r="C364" s="22" t="str">
        <f>IF(OR(A364="",B364=""),"",IFERROR(XLOOKUP(1,(Buy_History!$A$2:$A$501=A364)*(Buy_History!$B$2:$B$501=B364),Buy_History!$C$2:$C$501,""),""))</f>
        <v/>
      </c>
      <c r="D364" s="22" t="str">
        <f>IF(OR(A364="",B364=""),"",IFERROR(XLOOKUP(1,(Sell_History!$A$2:$A$501=A364)*(Sell_History!$B$2:$B$501=B364),Sell_History!$C$2:$C$501,""),""))</f>
        <v/>
      </c>
      <c r="E364" s="8" t="str">
        <f>IF(OR(A364="",B364=""),"",IFERROR(XLOOKUP(1,(Raw_Observations!$A$2:$A$1001=A364)*(Raw_Observations!$B$2:$B$1001=B364),Raw_Observations!$D$2:$D$1001,""),""))</f>
        <v/>
      </c>
      <c r="F364" s="8" t="str">
        <f>IF(OR(A364="",B364=""),"",IFERROR(XLOOKUP(1,(Order_History!$A$2:$A$501=A364)*(Order_History!$B$2:$B$501=B364),Order_History!$D$2:$D$501,""),""))</f>
        <v/>
      </c>
      <c r="G364" s="8" t="str">
        <f>IF(COUNTIFS(Pricing!$A:$A,A364,Pricing!$B:$B,B364)=0,"",SUMIFS(Pricing!$G:$G,Pricing!$A:$A,A364,Pricing!$B:$B,B364))</f>
        <v/>
      </c>
      <c r="H364" s="9" t="str">
        <f t="shared" si="27"/>
        <v/>
      </c>
      <c r="I364" s="3">
        <v>0</v>
      </c>
      <c r="J364" s="3">
        <v>0</v>
      </c>
      <c r="K364" s="9" t="str">
        <f t="shared" si="28"/>
        <v/>
      </c>
      <c r="L364" s="6" t="str">
        <f t="shared" si="29"/>
        <v/>
      </c>
      <c r="M364" s="10" t="str">
        <f t="shared" si="30"/>
        <v/>
      </c>
      <c r="N364" s="6" t="str">
        <f t="shared" si="31"/>
        <v/>
      </c>
    </row>
    <row r="365" spans="1:14">
      <c r="A365" s="2"/>
      <c r="B365" s="2"/>
      <c r="C365" s="22" t="str">
        <f>IF(OR(A365="",B365=""),"",IFERROR(XLOOKUP(1,(Buy_History!$A$2:$A$501=A365)*(Buy_History!$B$2:$B$501=B365),Buy_History!$C$2:$C$501,""),""))</f>
        <v/>
      </c>
      <c r="D365" s="22" t="str">
        <f>IF(OR(A365="",B365=""),"",IFERROR(XLOOKUP(1,(Sell_History!$A$2:$A$501=A365)*(Sell_History!$B$2:$B$501=B365),Sell_History!$C$2:$C$501,""),""))</f>
        <v/>
      </c>
      <c r="E365" s="8" t="str">
        <f>IF(OR(A365="",B365=""),"",IFERROR(XLOOKUP(1,(Raw_Observations!$A$2:$A$1001=A365)*(Raw_Observations!$B$2:$B$1001=B365),Raw_Observations!$D$2:$D$1001,""),""))</f>
        <v/>
      </c>
      <c r="F365" s="8" t="str">
        <f>IF(OR(A365="",B365=""),"",IFERROR(XLOOKUP(1,(Order_History!$A$2:$A$501=A365)*(Order_History!$B$2:$B$501=B365),Order_History!$D$2:$D$501,""),""))</f>
        <v/>
      </c>
      <c r="G365" s="8" t="str">
        <f>IF(COUNTIFS(Pricing!$A:$A,A365,Pricing!$B:$B,B365)=0,"",SUMIFS(Pricing!$G:$G,Pricing!$A:$A,A365,Pricing!$B:$B,B365))</f>
        <v/>
      </c>
      <c r="H365" s="9" t="str">
        <f t="shared" si="27"/>
        <v/>
      </c>
      <c r="I365" s="3">
        <v>0</v>
      </c>
      <c r="J365" s="3">
        <v>0</v>
      </c>
      <c r="K365" s="9" t="str">
        <f t="shared" si="28"/>
        <v/>
      </c>
      <c r="L365" s="6" t="str">
        <f t="shared" si="29"/>
        <v/>
      </c>
      <c r="M365" s="10" t="str">
        <f t="shared" si="30"/>
        <v/>
      </c>
      <c r="N365" s="6" t="str">
        <f t="shared" si="31"/>
        <v/>
      </c>
    </row>
    <row r="366" spans="1:14">
      <c r="A366" s="2"/>
      <c r="B366" s="2"/>
      <c r="C366" s="22" t="str">
        <f>IF(OR(A366="",B366=""),"",IFERROR(XLOOKUP(1,(Buy_History!$A$2:$A$501=A366)*(Buy_History!$B$2:$B$501=B366),Buy_History!$C$2:$C$501,""),""))</f>
        <v/>
      </c>
      <c r="D366" s="22" t="str">
        <f>IF(OR(A366="",B366=""),"",IFERROR(XLOOKUP(1,(Sell_History!$A$2:$A$501=A366)*(Sell_History!$B$2:$B$501=B366),Sell_History!$C$2:$C$501,""),""))</f>
        <v/>
      </c>
      <c r="E366" s="8" t="str">
        <f>IF(OR(A366="",B366=""),"",IFERROR(XLOOKUP(1,(Raw_Observations!$A$2:$A$1001=A366)*(Raw_Observations!$B$2:$B$1001=B366),Raw_Observations!$D$2:$D$1001,""),""))</f>
        <v/>
      </c>
      <c r="F366" s="8" t="str">
        <f>IF(OR(A366="",B366=""),"",IFERROR(XLOOKUP(1,(Order_History!$A$2:$A$501=A366)*(Order_History!$B$2:$B$501=B366),Order_History!$D$2:$D$501,""),""))</f>
        <v/>
      </c>
      <c r="G366" s="8" t="str">
        <f>IF(COUNTIFS(Pricing!$A:$A,A366,Pricing!$B:$B,B366)=0,"",SUMIFS(Pricing!$G:$G,Pricing!$A:$A,A366,Pricing!$B:$B,B366))</f>
        <v/>
      </c>
      <c r="H366" s="9" t="str">
        <f t="shared" si="27"/>
        <v/>
      </c>
      <c r="I366" s="3">
        <v>0</v>
      </c>
      <c r="J366" s="3">
        <v>0</v>
      </c>
      <c r="K366" s="9" t="str">
        <f t="shared" si="28"/>
        <v/>
      </c>
      <c r="L366" s="6" t="str">
        <f t="shared" si="29"/>
        <v/>
      </c>
      <c r="M366" s="10" t="str">
        <f t="shared" si="30"/>
        <v/>
      </c>
      <c r="N366" s="6" t="str">
        <f t="shared" si="31"/>
        <v/>
      </c>
    </row>
    <row r="367" spans="1:14">
      <c r="A367" s="2"/>
      <c r="B367" s="2"/>
      <c r="C367" s="22" t="str">
        <f>IF(OR(A367="",B367=""),"",IFERROR(XLOOKUP(1,(Buy_History!$A$2:$A$501=A367)*(Buy_History!$B$2:$B$501=B367),Buy_History!$C$2:$C$501,""),""))</f>
        <v/>
      </c>
      <c r="D367" s="22" t="str">
        <f>IF(OR(A367="",B367=""),"",IFERROR(XLOOKUP(1,(Sell_History!$A$2:$A$501=A367)*(Sell_History!$B$2:$B$501=B367),Sell_History!$C$2:$C$501,""),""))</f>
        <v/>
      </c>
      <c r="E367" s="8" t="str">
        <f>IF(OR(A367="",B367=""),"",IFERROR(XLOOKUP(1,(Raw_Observations!$A$2:$A$1001=A367)*(Raw_Observations!$B$2:$B$1001=B367),Raw_Observations!$D$2:$D$1001,""),""))</f>
        <v/>
      </c>
      <c r="F367" s="8" t="str">
        <f>IF(OR(A367="",B367=""),"",IFERROR(XLOOKUP(1,(Order_History!$A$2:$A$501=A367)*(Order_History!$B$2:$B$501=B367),Order_History!$D$2:$D$501,""),""))</f>
        <v/>
      </c>
      <c r="G367" s="8" t="str">
        <f>IF(COUNTIFS(Pricing!$A:$A,A367,Pricing!$B:$B,B367)=0,"",SUMIFS(Pricing!$G:$G,Pricing!$A:$A,A367,Pricing!$B:$B,B367))</f>
        <v/>
      </c>
      <c r="H367" s="9" t="str">
        <f t="shared" si="27"/>
        <v/>
      </c>
      <c r="I367" s="3">
        <v>0</v>
      </c>
      <c r="J367" s="3">
        <v>0</v>
      </c>
      <c r="K367" s="9" t="str">
        <f t="shared" si="28"/>
        <v/>
      </c>
      <c r="L367" s="6" t="str">
        <f t="shared" si="29"/>
        <v/>
      </c>
      <c r="M367" s="10" t="str">
        <f t="shared" si="30"/>
        <v/>
      </c>
      <c r="N367" s="6" t="str">
        <f t="shared" si="31"/>
        <v/>
      </c>
    </row>
    <row r="368" spans="1:14">
      <c r="A368" s="2"/>
      <c r="B368" s="2"/>
      <c r="C368" s="22" t="str">
        <f>IF(OR(A368="",B368=""),"",IFERROR(XLOOKUP(1,(Buy_History!$A$2:$A$501=A368)*(Buy_History!$B$2:$B$501=B368),Buy_History!$C$2:$C$501,""),""))</f>
        <v/>
      </c>
      <c r="D368" s="22" t="str">
        <f>IF(OR(A368="",B368=""),"",IFERROR(XLOOKUP(1,(Sell_History!$A$2:$A$501=A368)*(Sell_History!$B$2:$B$501=B368),Sell_History!$C$2:$C$501,""),""))</f>
        <v/>
      </c>
      <c r="E368" s="8" t="str">
        <f>IF(OR(A368="",B368=""),"",IFERROR(XLOOKUP(1,(Raw_Observations!$A$2:$A$1001=A368)*(Raw_Observations!$B$2:$B$1001=B368),Raw_Observations!$D$2:$D$1001,""),""))</f>
        <v/>
      </c>
      <c r="F368" s="8" t="str">
        <f>IF(OR(A368="",B368=""),"",IFERROR(XLOOKUP(1,(Order_History!$A$2:$A$501=A368)*(Order_History!$B$2:$B$501=B368),Order_History!$D$2:$D$501,""),""))</f>
        <v/>
      </c>
      <c r="G368" s="8" t="str">
        <f>IF(COUNTIFS(Pricing!$A:$A,A368,Pricing!$B:$B,B368)=0,"",SUMIFS(Pricing!$G:$G,Pricing!$A:$A,A368,Pricing!$B:$B,B368))</f>
        <v/>
      </c>
      <c r="H368" s="9" t="str">
        <f t="shared" si="27"/>
        <v/>
      </c>
      <c r="I368" s="3">
        <v>0</v>
      </c>
      <c r="J368" s="3">
        <v>0</v>
      </c>
      <c r="K368" s="9" t="str">
        <f t="shared" si="28"/>
        <v/>
      </c>
      <c r="L368" s="6" t="str">
        <f t="shared" si="29"/>
        <v/>
      </c>
      <c r="M368" s="10" t="str">
        <f t="shared" si="30"/>
        <v/>
      </c>
      <c r="N368" s="6" t="str">
        <f t="shared" si="31"/>
        <v/>
      </c>
    </row>
    <row r="369" spans="1:14">
      <c r="A369" s="2"/>
      <c r="B369" s="2"/>
      <c r="C369" s="22" t="str">
        <f>IF(OR(A369="",B369=""),"",IFERROR(XLOOKUP(1,(Buy_History!$A$2:$A$501=A369)*(Buy_History!$B$2:$B$501=B369),Buy_History!$C$2:$C$501,""),""))</f>
        <v/>
      </c>
      <c r="D369" s="22" t="str">
        <f>IF(OR(A369="",B369=""),"",IFERROR(XLOOKUP(1,(Sell_History!$A$2:$A$501=A369)*(Sell_History!$B$2:$B$501=B369),Sell_History!$C$2:$C$501,""),""))</f>
        <v/>
      </c>
      <c r="E369" s="8" t="str">
        <f>IF(OR(A369="",B369=""),"",IFERROR(XLOOKUP(1,(Raw_Observations!$A$2:$A$1001=A369)*(Raw_Observations!$B$2:$B$1001=B369),Raw_Observations!$D$2:$D$1001,""),""))</f>
        <v/>
      </c>
      <c r="F369" s="8" t="str">
        <f>IF(OR(A369="",B369=""),"",IFERROR(XLOOKUP(1,(Order_History!$A$2:$A$501=A369)*(Order_History!$B$2:$B$501=B369),Order_History!$D$2:$D$501,""),""))</f>
        <v/>
      </c>
      <c r="G369" s="8" t="str">
        <f>IF(COUNTIFS(Pricing!$A:$A,A369,Pricing!$B:$B,B369)=0,"",SUMIFS(Pricing!$G:$G,Pricing!$A:$A,A369,Pricing!$B:$B,B369))</f>
        <v/>
      </c>
      <c r="H369" s="9" t="str">
        <f t="shared" si="27"/>
        <v/>
      </c>
      <c r="I369" s="3">
        <v>0</v>
      </c>
      <c r="J369" s="3">
        <v>0</v>
      </c>
      <c r="K369" s="9" t="str">
        <f t="shared" si="28"/>
        <v/>
      </c>
      <c r="L369" s="6" t="str">
        <f t="shared" si="29"/>
        <v/>
      </c>
      <c r="M369" s="10" t="str">
        <f t="shared" si="30"/>
        <v/>
      </c>
      <c r="N369" s="6" t="str">
        <f t="shared" si="31"/>
        <v/>
      </c>
    </row>
    <row r="370" spans="1:14">
      <c r="A370" s="2"/>
      <c r="B370" s="2"/>
      <c r="C370" s="22" t="str">
        <f>IF(OR(A370="",B370=""),"",IFERROR(XLOOKUP(1,(Buy_History!$A$2:$A$501=A370)*(Buy_History!$B$2:$B$501=B370),Buy_History!$C$2:$C$501,""),""))</f>
        <v/>
      </c>
      <c r="D370" s="22" t="str">
        <f>IF(OR(A370="",B370=""),"",IFERROR(XLOOKUP(1,(Sell_History!$A$2:$A$501=A370)*(Sell_History!$B$2:$B$501=B370),Sell_History!$C$2:$C$501,""),""))</f>
        <v/>
      </c>
      <c r="E370" s="8" t="str">
        <f>IF(OR(A370="",B370=""),"",IFERROR(XLOOKUP(1,(Raw_Observations!$A$2:$A$1001=A370)*(Raw_Observations!$B$2:$B$1001=B370),Raw_Observations!$D$2:$D$1001,""),""))</f>
        <v/>
      </c>
      <c r="F370" s="8" t="str">
        <f>IF(OR(A370="",B370=""),"",IFERROR(XLOOKUP(1,(Order_History!$A$2:$A$501=A370)*(Order_History!$B$2:$B$501=B370),Order_History!$D$2:$D$501,""),""))</f>
        <v/>
      </c>
      <c r="G370" s="8" t="str">
        <f>IF(COUNTIFS(Pricing!$A:$A,A370,Pricing!$B:$B,B370)=0,"",SUMIFS(Pricing!$G:$G,Pricing!$A:$A,A370,Pricing!$B:$B,B370))</f>
        <v/>
      </c>
      <c r="H370" s="9" t="str">
        <f t="shared" si="27"/>
        <v/>
      </c>
      <c r="I370" s="3">
        <v>0</v>
      </c>
      <c r="J370" s="3">
        <v>0</v>
      </c>
      <c r="K370" s="9" t="str">
        <f t="shared" si="28"/>
        <v/>
      </c>
      <c r="L370" s="6" t="str">
        <f t="shared" si="29"/>
        <v/>
      </c>
      <c r="M370" s="10" t="str">
        <f t="shared" si="30"/>
        <v/>
      </c>
      <c r="N370" s="6" t="str">
        <f t="shared" si="31"/>
        <v/>
      </c>
    </row>
    <row r="371" spans="1:14">
      <c r="A371" s="2"/>
      <c r="B371" s="2"/>
      <c r="C371" s="22" t="str">
        <f>IF(OR(A371="",B371=""),"",IFERROR(XLOOKUP(1,(Buy_History!$A$2:$A$501=A371)*(Buy_History!$B$2:$B$501=B371),Buy_History!$C$2:$C$501,""),""))</f>
        <v/>
      </c>
      <c r="D371" s="22" t="str">
        <f>IF(OR(A371="",B371=""),"",IFERROR(XLOOKUP(1,(Sell_History!$A$2:$A$501=A371)*(Sell_History!$B$2:$B$501=B371),Sell_History!$C$2:$C$501,""),""))</f>
        <v/>
      </c>
      <c r="E371" s="8" t="str">
        <f>IF(OR(A371="",B371=""),"",IFERROR(XLOOKUP(1,(Raw_Observations!$A$2:$A$1001=A371)*(Raw_Observations!$B$2:$B$1001=B371),Raw_Observations!$D$2:$D$1001,""),""))</f>
        <v/>
      </c>
      <c r="F371" s="8" t="str">
        <f>IF(OR(A371="",B371=""),"",IFERROR(XLOOKUP(1,(Order_History!$A$2:$A$501=A371)*(Order_History!$B$2:$B$501=B371),Order_History!$D$2:$D$501,""),""))</f>
        <v/>
      </c>
      <c r="G371" s="8" t="str">
        <f>IF(COUNTIFS(Pricing!$A:$A,A371,Pricing!$B:$B,B371)=0,"",SUMIFS(Pricing!$G:$G,Pricing!$A:$A,A371,Pricing!$B:$B,B371))</f>
        <v/>
      </c>
      <c r="H371" s="9" t="str">
        <f t="shared" si="27"/>
        <v/>
      </c>
      <c r="I371" s="3">
        <v>0</v>
      </c>
      <c r="J371" s="3">
        <v>0</v>
      </c>
      <c r="K371" s="9" t="str">
        <f t="shared" si="28"/>
        <v/>
      </c>
      <c r="L371" s="6" t="str">
        <f t="shared" si="29"/>
        <v/>
      </c>
      <c r="M371" s="10" t="str">
        <f t="shared" si="30"/>
        <v/>
      </c>
      <c r="N371" s="6" t="str">
        <f t="shared" si="31"/>
        <v/>
      </c>
    </row>
    <row r="372" spans="1:14">
      <c r="A372" s="2"/>
      <c r="B372" s="2"/>
      <c r="C372" s="22" t="str">
        <f>IF(OR(A372="",B372=""),"",IFERROR(XLOOKUP(1,(Buy_History!$A$2:$A$501=A372)*(Buy_History!$B$2:$B$501=B372),Buy_History!$C$2:$C$501,""),""))</f>
        <v/>
      </c>
      <c r="D372" s="22" t="str">
        <f>IF(OR(A372="",B372=""),"",IFERROR(XLOOKUP(1,(Sell_History!$A$2:$A$501=A372)*(Sell_History!$B$2:$B$501=B372),Sell_History!$C$2:$C$501,""),""))</f>
        <v/>
      </c>
      <c r="E372" s="8" t="str">
        <f>IF(OR(A372="",B372=""),"",IFERROR(XLOOKUP(1,(Raw_Observations!$A$2:$A$1001=A372)*(Raw_Observations!$B$2:$B$1001=B372),Raw_Observations!$D$2:$D$1001,""),""))</f>
        <v/>
      </c>
      <c r="F372" s="8" t="str">
        <f>IF(OR(A372="",B372=""),"",IFERROR(XLOOKUP(1,(Order_History!$A$2:$A$501=A372)*(Order_History!$B$2:$B$501=B372),Order_History!$D$2:$D$501,""),""))</f>
        <v/>
      </c>
      <c r="G372" s="8" t="str">
        <f>IF(COUNTIFS(Pricing!$A:$A,A372,Pricing!$B:$B,B372)=0,"",SUMIFS(Pricing!$G:$G,Pricing!$A:$A,A372,Pricing!$B:$B,B372))</f>
        <v/>
      </c>
      <c r="H372" s="9" t="str">
        <f t="shared" si="27"/>
        <v/>
      </c>
      <c r="I372" s="3">
        <v>0</v>
      </c>
      <c r="J372" s="3">
        <v>0</v>
      </c>
      <c r="K372" s="9" t="str">
        <f t="shared" si="28"/>
        <v/>
      </c>
      <c r="L372" s="6" t="str">
        <f t="shared" si="29"/>
        <v/>
      </c>
      <c r="M372" s="10" t="str">
        <f t="shared" si="30"/>
        <v/>
      </c>
      <c r="N372" s="6" t="str">
        <f t="shared" si="31"/>
        <v/>
      </c>
    </row>
    <row r="373" spans="1:14">
      <c r="A373" s="2"/>
      <c r="B373" s="2"/>
      <c r="C373" s="22" t="str">
        <f>IF(OR(A373="",B373=""),"",IFERROR(XLOOKUP(1,(Buy_History!$A$2:$A$501=A373)*(Buy_History!$B$2:$B$501=B373),Buy_History!$C$2:$C$501,""),""))</f>
        <v/>
      </c>
      <c r="D373" s="22" t="str">
        <f>IF(OR(A373="",B373=""),"",IFERROR(XLOOKUP(1,(Sell_History!$A$2:$A$501=A373)*(Sell_History!$B$2:$B$501=B373),Sell_History!$C$2:$C$501,""),""))</f>
        <v/>
      </c>
      <c r="E373" s="8" t="str">
        <f>IF(OR(A373="",B373=""),"",IFERROR(XLOOKUP(1,(Raw_Observations!$A$2:$A$1001=A373)*(Raw_Observations!$B$2:$B$1001=B373),Raw_Observations!$D$2:$D$1001,""),""))</f>
        <v/>
      </c>
      <c r="F373" s="8" t="str">
        <f>IF(OR(A373="",B373=""),"",IFERROR(XLOOKUP(1,(Order_History!$A$2:$A$501=A373)*(Order_History!$B$2:$B$501=B373),Order_History!$D$2:$D$501,""),""))</f>
        <v/>
      </c>
      <c r="G373" s="8" t="str">
        <f>IF(COUNTIFS(Pricing!$A:$A,A373,Pricing!$B:$B,B373)=0,"",SUMIFS(Pricing!$G:$G,Pricing!$A:$A,A373,Pricing!$B:$B,B373))</f>
        <v/>
      </c>
      <c r="H373" s="9" t="str">
        <f t="shared" si="27"/>
        <v/>
      </c>
      <c r="I373" s="3">
        <v>0</v>
      </c>
      <c r="J373" s="3">
        <v>0</v>
      </c>
      <c r="K373" s="9" t="str">
        <f t="shared" si="28"/>
        <v/>
      </c>
      <c r="L373" s="6" t="str">
        <f t="shared" si="29"/>
        <v/>
      </c>
      <c r="M373" s="10" t="str">
        <f t="shared" si="30"/>
        <v/>
      </c>
      <c r="N373" s="6" t="str">
        <f t="shared" si="31"/>
        <v/>
      </c>
    </row>
    <row r="374" spans="1:14">
      <c r="A374" s="2"/>
      <c r="B374" s="2"/>
      <c r="C374" s="22" t="str">
        <f>IF(OR(A374="",B374=""),"",IFERROR(XLOOKUP(1,(Buy_History!$A$2:$A$501=A374)*(Buy_History!$B$2:$B$501=B374),Buy_History!$C$2:$C$501,""),""))</f>
        <v/>
      </c>
      <c r="D374" s="22" t="str">
        <f>IF(OR(A374="",B374=""),"",IFERROR(XLOOKUP(1,(Sell_History!$A$2:$A$501=A374)*(Sell_History!$B$2:$B$501=B374),Sell_History!$C$2:$C$501,""),""))</f>
        <v/>
      </c>
      <c r="E374" s="8" t="str">
        <f>IF(OR(A374="",B374=""),"",IFERROR(XLOOKUP(1,(Raw_Observations!$A$2:$A$1001=A374)*(Raw_Observations!$B$2:$B$1001=B374),Raw_Observations!$D$2:$D$1001,""),""))</f>
        <v/>
      </c>
      <c r="F374" s="8" t="str">
        <f>IF(OR(A374="",B374=""),"",IFERROR(XLOOKUP(1,(Order_History!$A$2:$A$501=A374)*(Order_History!$B$2:$B$501=B374),Order_History!$D$2:$D$501,""),""))</f>
        <v/>
      </c>
      <c r="G374" s="8" t="str">
        <f>IF(COUNTIFS(Pricing!$A:$A,A374,Pricing!$B:$B,B374)=0,"",SUMIFS(Pricing!$G:$G,Pricing!$A:$A,A374,Pricing!$B:$B,B374))</f>
        <v/>
      </c>
      <c r="H374" s="9" t="str">
        <f t="shared" si="27"/>
        <v/>
      </c>
      <c r="I374" s="3">
        <v>0</v>
      </c>
      <c r="J374" s="3">
        <v>0</v>
      </c>
      <c r="K374" s="9" t="str">
        <f t="shared" si="28"/>
        <v/>
      </c>
      <c r="L374" s="6" t="str">
        <f t="shared" si="29"/>
        <v/>
      </c>
      <c r="M374" s="10" t="str">
        <f t="shared" si="30"/>
        <v/>
      </c>
      <c r="N374" s="6" t="str">
        <f t="shared" si="31"/>
        <v/>
      </c>
    </row>
    <row r="375" spans="1:14">
      <c r="A375" s="2"/>
      <c r="B375" s="2"/>
      <c r="C375" s="22" t="str">
        <f>IF(OR(A375="",B375=""),"",IFERROR(XLOOKUP(1,(Buy_History!$A$2:$A$501=A375)*(Buy_History!$B$2:$B$501=B375),Buy_History!$C$2:$C$501,""),""))</f>
        <v/>
      </c>
      <c r="D375" s="22" t="str">
        <f>IF(OR(A375="",B375=""),"",IFERROR(XLOOKUP(1,(Sell_History!$A$2:$A$501=A375)*(Sell_History!$B$2:$B$501=B375),Sell_History!$C$2:$C$501,""),""))</f>
        <v/>
      </c>
      <c r="E375" s="8" t="str">
        <f>IF(OR(A375="",B375=""),"",IFERROR(XLOOKUP(1,(Raw_Observations!$A$2:$A$1001=A375)*(Raw_Observations!$B$2:$B$1001=B375),Raw_Observations!$D$2:$D$1001,""),""))</f>
        <v/>
      </c>
      <c r="F375" s="8" t="str">
        <f>IF(OR(A375="",B375=""),"",IFERROR(XLOOKUP(1,(Order_History!$A$2:$A$501=A375)*(Order_History!$B$2:$B$501=B375),Order_History!$D$2:$D$501,""),""))</f>
        <v/>
      </c>
      <c r="G375" s="8" t="str">
        <f>IF(COUNTIFS(Pricing!$A:$A,A375,Pricing!$B:$B,B375)=0,"",SUMIFS(Pricing!$G:$G,Pricing!$A:$A,A375,Pricing!$B:$B,B375))</f>
        <v/>
      </c>
      <c r="H375" s="9" t="str">
        <f t="shared" si="27"/>
        <v/>
      </c>
      <c r="I375" s="3">
        <v>0</v>
      </c>
      <c r="J375" s="3">
        <v>0</v>
      </c>
      <c r="K375" s="9" t="str">
        <f t="shared" si="28"/>
        <v/>
      </c>
      <c r="L375" s="6" t="str">
        <f t="shared" si="29"/>
        <v/>
      </c>
      <c r="M375" s="10" t="str">
        <f t="shared" si="30"/>
        <v/>
      </c>
      <c r="N375" s="6" t="str">
        <f t="shared" si="31"/>
        <v/>
      </c>
    </row>
    <row r="376" spans="1:14">
      <c r="A376" s="2"/>
      <c r="B376" s="2"/>
      <c r="C376" s="22" t="str">
        <f>IF(OR(A376="",B376=""),"",IFERROR(XLOOKUP(1,(Buy_History!$A$2:$A$501=A376)*(Buy_History!$B$2:$B$501=B376),Buy_History!$C$2:$C$501,""),""))</f>
        <v/>
      </c>
      <c r="D376" s="22" t="str">
        <f>IF(OR(A376="",B376=""),"",IFERROR(XLOOKUP(1,(Sell_History!$A$2:$A$501=A376)*(Sell_History!$B$2:$B$501=B376),Sell_History!$C$2:$C$501,""),""))</f>
        <v/>
      </c>
      <c r="E376" s="8" t="str">
        <f>IF(OR(A376="",B376=""),"",IFERROR(XLOOKUP(1,(Raw_Observations!$A$2:$A$1001=A376)*(Raw_Observations!$B$2:$B$1001=B376),Raw_Observations!$D$2:$D$1001,""),""))</f>
        <v/>
      </c>
      <c r="F376" s="8" t="str">
        <f>IF(OR(A376="",B376=""),"",IFERROR(XLOOKUP(1,(Order_History!$A$2:$A$501=A376)*(Order_History!$B$2:$B$501=B376),Order_History!$D$2:$D$501,""),""))</f>
        <v/>
      </c>
      <c r="G376" s="8" t="str">
        <f>IF(COUNTIFS(Pricing!$A:$A,A376,Pricing!$B:$B,B376)=0,"",SUMIFS(Pricing!$G:$G,Pricing!$A:$A,A376,Pricing!$B:$B,B376))</f>
        <v/>
      </c>
      <c r="H376" s="9" t="str">
        <f t="shared" si="27"/>
        <v/>
      </c>
      <c r="I376" s="3">
        <v>0</v>
      </c>
      <c r="J376" s="3">
        <v>0</v>
      </c>
      <c r="K376" s="9" t="str">
        <f t="shared" si="28"/>
        <v/>
      </c>
      <c r="L376" s="6" t="str">
        <f t="shared" si="29"/>
        <v/>
      </c>
      <c r="M376" s="10" t="str">
        <f t="shared" si="30"/>
        <v/>
      </c>
      <c r="N376" s="6" t="str">
        <f t="shared" si="31"/>
        <v/>
      </c>
    </row>
    <row r="377" spans="1:14">
      <c r="A377" s="2"/>
      <c r="B377" s="2"/>
      <c r="C377" s="22" t="str">
        <f>IF(OR(A377="",B377=""),"",IFERROR(XLOOKUP(1,(Buy_History!$A$2:$A$501=A377)*(Buy_History!$B$2:$B$501=B377),Buy_History!$C$2:$C$501,""),""))</f>
        <v/>
      </c>
      <c r="D377" s="22" t="str">
        <f>IF(OR(A377="",B377=""),"",IFERROR(XLOOKUP(1,(Sell_History!$A$2:$A$501=A377)*(Sell_History!$B$2:$B$501=B377),Sell_History!$C$2:$C$501,""),""))</f>
        <v/>
      </c>
      <c r="E377" s="8" t="str">
        <f>IF(OR(A377="",B377=""),"",IFERROR(XLOOKUP(1,(Raw_Observations!$A$2:$A$1001=A377)*(Raw_Observations!$B$2:$B$1001=B377),Raw_Observations!$D$2:$D$1001,""),""))</f>
        <v/>
      </c>
      <c r="F377" s="8" t="str">
        <f>IF(OR(A377="",B377=""),"",IFERROR(XLOOKUP(1,(Order_History!$A$2:$A$501=A377)*(Order_History!$B$2:$B$501=B377),Order_History!$D$2:$D$501,""),""))</f>
        <v/>
      </c>
      <c r="G377" s="8" t="str">
        <f>IF(COUNTIFS(Pricing!$A:$A,A377,Pricing!$B:$B,B377)=0,"",SUMIFS(Pricing!$G:$G,Pricing!$A:$A,A377,Pricing!$B:$B,B377))</f>
        <v/>
      </c>
      <c r="H377" s="9" t="str">
        <f t="shared" si="27"/>
        <v/>
      </c>
      <c r="I377" s="3">
        <v>0</v>
      </c>
      <c r="J377" s="3">
        <v>0</v>
      </c>
      <c r="K377" s="9" t="str">
        <f t="shared" si="28"/>
        <v/>
      </c>
      <c r="L377" s="6" t="str">
        <f t="shared" si="29"/>
        <v/>
      </c>
      <c r="M377" s="10" t="str">
        <f t="shared" si="30"/>
        <v/>
      </c>
      <c r="N377" s="6" t="str">
        <f t="shared" si="31"/>
        <v/>
      </c>
    </row>
    <row r="378" spans="1:14">
      <c r="A378" s="2"/>
      <c r="B378" s="2"/>
      <c r="C378" s="22" t="str">
        <f>IF(OR(A378="",B378=""),"",IFERROR(XLOOKUP(1,(Buy_History!$A$2:$A$501=A378)*(Buy_History!$B$2:$B$501=B378),Buy_History!$C$2:$C$501,""),""))</f>
        <v/>
      </c>
      <c r="D378" s="22" t="str">
        <f>IF(OR(A378="",B378=""),"",IFERROR(XLOOKUP(1,(Sell_History!$A$2:$A$501=A378)*(Sell_History!$B$2:$B$501=B378),Sell_History!$C$2:$C$501,""),""))</f>
        <v/>
      </c>
      <c r="E378" s="8" t="str">
        <f>IF(OR(A378="",B378=""),"",IFERROR(XLOOKUP(1,(Raw_Observations!$A$2:$A$1001=A378)*(Raw_Observations!$B$2:$B$1001=B378),Raw_Observations!$D$2:$D$1001,""),""))</f>
        <v/>
      </c>
      <c r="F378" s="8" t="str">
        <f>IF(OR(A378="",B378=""),"",IFERROR(XLOOKUP(1,(Order_History!$A$2:$A$501=A378)*(Order_History!$B$2:$B$501=B378),Order_History!$D$2:$D$501,""),""))</f>
        <v/>
      </c>
      <c r="G378" s="8" t="str">
        <f>IF(COUNTIFS(Pricing!$A:$A,A378,Pricing!$B:$B,B378)=0,"",SUMIFS(Pricing!$G:$G,Pricing!$A:$A,A378,Pricing!$B:$B,B378))</f>
        <v/>
      </c>
      <c r="H378" s="9" t="str">
        <f t="shared" si="27"/>
        <v/>
      </c>
      <c r="I378" s="3">
        <v>0</v>
      </c>
      <c r="J378" s="3">
        <v>0</v>
      </c>
      <c r="K378" s="9" t="str">
        <f t="shared" si="28"/>
        <v/>
      </c>
      <c r="L378" s="6" t="str">
        <f t="shared" si="29"/>
        <v/>
      </c>
      <c r="M378" s="10" t="str">
        <f t="shared" si="30"/>
        <v/>
      </c>
      <c r="N378" s="6" t="str">
        <f t="shared" si="31"/>
        <v/>
      </c>
    </row>
    <row r="379" spans="1:14">
      <c r="A379" s="2"/>
      <c r="B379" s="2"/>
      <c r="C379" s="22" t="str">
        <f>IF(OR(A379="",B379=""),"",IFERROR(XLOOKUP(1,(Buy_History!$A$2:$A$501=A379)*(Buy_History!$B$2:$B$501=B379),Buy_History!$C$2:$C$501,""),""))</f>
        <v/>
      </c>
      <c r="D379" s="22" t="str">
        <f>IF(OR(A379="",B379=""),"",IFERROR(XLOOKUP(1,(Sell_History!$A$2:$A$501=A379)*(Sell_History!$B$2:$B$501=B379),Sell_History!$C$2:$C$501,""),""))</f>
        <v/>
      </c>
      <c r="E379" s="8" t="str">
        <f>IF(OR(A379="",B379=""),"",IFERROR(XLOOKUP(1,(Raw_Observations!$A$2:$A$1001=A379)*(Raw_Observations!$B$2:$B$1001=B379),Raw_Observations!$D$2:$D$1001,""),""))</f>
        <v/>
      </c>
      <c r="F379" s="8" t="str">
        <f>IF(OR(A379="",B379=""),"",IFERROR(XLOOKUP(1,(Order_History!$A$2:$A$501=A379)*(Order_History!$B$2:$B$501=B379),Order_History!$D$2:$D$501,""),""))</f>
        <v/>
      </c>
      <c r="G379" s="8" t="str">
        <f>IF(COUNTIFS(Pricing!$A:$A,A379,Pricing!$B:$B,B379)=0,"",SUMIFS(Pricing!$G:$G,Pricing!$A:$A,A379,Pricing!$B:$B,B379))</f>
        <v/>
      </c>
      <c r="H379" s="9" t="str">
        <f t="shared" si="27"/>
        <v/>
      </c>
      <c r="I379" s="3">
        <v>0</v>
      </c>
      <c r="J379" s="3">
        <v>0</v>
      </c>
      <c r="K379" s="9" t="str">
        <f t="shared" si="28"/>
        <v/>
      </c>
      <c r="L379" s="6" t="str">
        <f t="shared" si="29"/>
        <v/>
      </c>
      <c r="M379" s="10" t="str">
        <f t="shared" si="30"/>
        <v/>
      </c>
      <c r="N379" s="6" t="str">
        <f t="shared" si="31"/>
        <v/>
      </c>
    </row>
    <row r="380" spans="1:14">
      <c r="A380" s="2"/>
      <c r="B380" s="2"/>
      <c r="C380" s="22" t="str">
        <f>IF(OR(A380="",B380=""),"",IFERROR(XLOOKUP(1,(Buy_History!$A$2:$A$501=A380)*(Buy_History!$B$2:$B$501=B380),Buy_History!$C$2:$C$501,""),""))</f>
        <v/>
      </c>
      <c r="D380" s="22" t="str">
        <f>IF(OR(A380="",B380=""),"",IFERROR(XLOOKUP(1,(Sell_History!$A$2:$A$501=A380)*(Sell_History!$B$2:$B$501=B380),Sell_History!$C$2:$C$501,""),""))</f>
        <v/>
      </c>
      <c r="E380" s="8" t="str">
        <f>IF(OR(A380="",B380=""),"",IFERROR(XLOOKUP(1,(Raw_Observations!$A$2:$A$1001=A380)*(Raw_Observations!$B$2:$B$1001=B380),Raw_Observations!$D$2:$D$1001,""),""))</f>
        <v/>
      </c>
      <c r="F380" s="8" t="str">
        <f>IF(OR(A380="",B380=""),"",IFERROR(XLOOKUP(1,(Order_History!$A$2:$A$501=A380)*(Order_History!$B$2:$B$501=B380),Order_History!$D$2:$D$501,""),""))</f>
        <v/>
      </c>
      <c r="G380" s="8" t="str">
        <f>IF(COUNTIFS(Pricing!$A:$A,A380,Pricing!$B:$B,B380)=0,"",SUMIFS(Pricing!$G:$G,Pricing!$A:$A,A380,Pricing!$B:$B,B380))</f>
        <v/>
      </c>
      <c r="H380" s="9" t="str">
        <f t="shared" si="27"/>
        <v/>
      </c>
      <c r="I380" s="3">
        <v>0</v>
      </c>
      <c r="J380" s="3">
        <v>0</v>
      </c>
      <c r="K380" s="9" t="str">
        <f t="shared" si="28"/>
        <v/>
      </c>
      <c r="L380" s="6" t="str">
        <f t="shared" si="29"/>
        <v/>
      </c>
      <c r="M380" s="10" t="str">
        <f t="shared" si="30"/>
        <v/>
      </c>
      <c r="N380" s="6" t="str">
        <f t="shared" si="31"/>
        <v/>
      </c>
    </row>
    <row r="381" spans="1:14">
      <c r="A381" s="2"/>
      <c r="B381" s="2"/>
      <c r="C381" s="22" t="str">
        <f>IF(OR(A381="",B381=""),"",IFERROR(XLOOKUP(1,(Buy_History!$A$2:$A$501=A381)*(Buy_History!$B$2:$B$501=B381),Buy_History!$C$2:$C$501,""),""))</f>
        <v/>
      </c>
      <c r="D381" s="22" t="str">
        <f>IF(OR(A381="",B381=""),"",IFERROR(XLOOKUP(1,(Sell_History!$A$2:$A$501=A381)*(Sell_History!$B$2:$B$501=B381),Sell_History!$C$2:$C$501,""),""))</f>
        <v/>
      </c>
      <c r="E381" s="8" t="str">
        <f>IF(OR(A381="",B381=""),"",IFERROR(XLOOKUP(1,(Raw_Observations!$A$2:$A$1001=A381)*(Raw_Observations!$B$2:$B$1001=B381),Raw_Observations!$D$2:$D$1001,""),""))</f>
        <v/>
      </c>
      <c r="F381" s="8" t="str">
        <f>IF(OR(A381="",B381=""),"",IFERROR(XLOOKUP(1,(Order_History!$A$2:$A$501=A381)*(Order_History!$B$2:$B$501=B381),Order_History!$D$2:$D$501,""),""))</f>
        <v/>
      </c>
      <c r="G381" s="8" t="str">
        <f>IF(COUNTIFS(Pricing!$A:$A,A381,Pricing!$B:$B,B381)=0,"",SUMIFS(Pricing!$G:$G,Pricing!$A:$A,A381,Pricing!$B:$B,B381))</f>
        <v/>
      </c>
      <c r="H381" s="9" t="str">
        <f t="shared" si="27"/>
        <v/>
      </c>
      <c r="I381" s="3">
        <v>0</v>
      </c>
      <c r="J381" s="3">
        <v>0</v>
      </c>
      <c r="K381" s="9" t="str">
        <f t="shared" si="28"/>
        <v/>
      </c>
      <c r="L381" s="6" t="str">
        <f t="shared" si="29"/>
        <v/>
      </c>
      <c r="M381" s="10" t="str">
        <f t="shared" si="30"/>
        <v/>
      </c>
      <c r="N381" s="6" t="str">
        <f t="shared" si="31"/>
        <v/>
      </c>
    </row>
    <row r="382" spans="1:14">
      <c r="A382" s="2"/>
      <c r="B382" s="2"/>
      <c r="C382" s="22" t="str">
        <f>IF(OR(A382="",B382=""),"",IFERROR(XLOOKUP(1,(Buy_History!$A$2:$A$501=A382)*(Buy_History!$B$2:$B$501=B382),Buy_History!$C$2:$C$501,""),""))</f>
        <v/>
      </c>
      <c r="D382" s="22" t="str">
        <f>IF(OR(A382="",B382=""),"",IFERROR(XLOOKUP(1,(Sell_History!$A$2:$A$501=A382)*(Sell_History!$B$2:$B$501=B382),Sell_History!$C$2:$C$501,""),""))</f>
        <v/>
      </c>
      <c r="E382" s="8" t="str">
        <f>IF(OR(A382="",B382=""),"",IFERROR(XLOOKUP(1,(Raw_Observations!$A$2:$A$1001=A382)*(Raw_Observations!$B$2:$B$1001=B382),Raw_Observations!$D$2:$D$1001,""),""))</f>
        <v/>
      </c>
      <c r="F382" s="8" t="str">
        <f>IF(OR(A382="",B382=""),"",IFERROR(XLOOKUP(1,(Order_History!$A$2:$A$501=A382)*(Order_History!$B$2:$B$501=B382),Order_History!$D$2:$D$501,""),""))</f>
        <v/>
      </c>
      <c r="G382" s="8" t="str">
        <f>IF(COUNTIFS(Pricing!$A:$A,A382,Pricing!$B:$B,B382)=0,"",SUMIFS(Pricing!$G:$G,Pricing!$A:$A,A382,Pricing!$B:$B,B382))</f>
        <v/>
      </c>
      <c r="H382" s="9" t="str">
        <f t="shared" si="27"/>
        <v/>
      </c>
      <c r="I382" s="3">
        <v>0</v>
      </c>
      <c r="J382" s="3">
        <v>0</v>
      </c>
      <c r="K382" s="9" t="str">
        <f t="shared" si="28"/>
        <v/>
      </c>
      <c r="L382" s="6" t="str">
        <f t="shared" si="29"/>
        <v/>
      </c>
      <c r="M382" s="10" t="str">
        <f t="shared" si="30"/>
        <v/>
      </c>
      <c r="N382" s="6" t="str">
        <f t="shared" si="31"/>
        <v/>
      </c>
    </row>
    <row r="383" spans="1:14">
      <c r="A383" s="2"/>
      <c r="B383" s="2"/>
      <c r="C383" s="22" t="str">
        <f>IF(OR(A383="",B383=""),"",IFERROR(XLOOKUP(1,(Buy_History!$A$2:$A$501=A383)*(Buy_History!$B$2:$B$501=B383),Buy_History!$C$2:$C$501,""),""))</f>
        <v/>
      </c>
      <c r="D383" s="22" t="str">
        <f>IF(OR(A383="",B383=""),"",IFERROR(XLOOKUP(1,(Sell_History!$A$2:$A$501=A383)*(Sell_History!$B$2:$B$501=B383),Sell_History!$C$2:$C$501,""),""))</f>
        <v/>
      </c>
      <c r="E383" s="8" t="str">
        <f>IF(OR(A383="",B383=""),"",IFERROR(XLOOKUP(1,(Raw_Observations!$A$2:$A$1001=A383)*(Raw_Observations!$B$2:$B$1001=B383),Raw_Observations!$D$2:$D$1001,""),""))</f>
        <v/>
      </c>
      <c r="F383" s="8" t="str">
        <f>IF(OR(A383="",B383=""),"",IFERROR(XLOOKUP(1,(Order_History!$A$2:$A$501=A383)*(Order_History!$B$2:$B$501=B383),Order_History!$D$2:$D$501,""),""))</f>
        <v/>
      </c>
      <c r="G383" s="8" t="str">
        <f>IF(COUNTIFS(Pricing!$A:$A,A383,Pricing!$B:$B,B383)=0,"",SUMIFS(Pricing!$G:$G,Pricing!$A:$A,A383,Pricing!$B:$B,B383))</f>
        <v/>
      </c>
      <c r="H383" s="9" t="str">
        <f t="shared" si="27"/>
        <v/>
      </c>
      <c r="I383" s="3">
        <v>0</v>
      </c>
      <c r="J383" s="3">
        <v>0</v>
      </c>
      <c r="K383" s="9" t="str">
        <f t="shared" si="28"/>
        <v/>
      </c>
      <c r="L383" s="6" t="str">
        <f t="shared" si="29"/>
        <v/>
      </c>
      <c r="M383" s="10" t="str">
        <f t="shared" si="30"/>
        <v/>
      </c>
      <c r="N383" s="6" t="str">
        <f t="shared" si="31"/>
        <v/>
      </c>
    </row>
    <row r="384" spans="1:14">
      <c r="A384" s="2"/>
      <c r="B384" s="2"/>
      <c r="C384" s="22" t="str">
        <f>IF(OR(A384="",B384=""),"",IFERROR(XLOOKUP(1,(Buy_History!$A$2:$A$501=A384)*(Buy_History!$B$2:$B$501=B384),Buy_History!$C$2:$C$501,""),""))</f>
        <v/>
      </c>
      <c r="D384" s="22" t="str">
        <f>IF(OR(A384="",B384=""),"",IFERROR(XLOOKUP(1,(Sell_History!$A$2:$A$501=A384)*(Sell_History!$B$2:$B$501=B384),Sell_History!$C$2:$C$501,""),""))</f>
        <v/>
      </c>
      <c r="E384" s="8" t="str">
        <f>IF(OR(A384="",B384=""),"",IFERROR(XLOOKUP(1,(Raw_Observations!$A$2:$A$1001=A384)*(Raw_Observations!$B$2:$B$1001=B384),Raw_Observations!$D$2:$D$1001,""),""))</f>
        <v/>
      </c>
      <c r="F384" s="8" t="str">
        <f>IF(OR(A384="",B384=""),"",IFERROR(XLOOKUP(1,(Order_History!$A$2:$A$501=A384)*(Order_History!$B$2:$B$501=B384),Order_History!$D$2:$D$501,""),""))</f>
        <v/>
      </c>
      <c r="G384" s="8" t="str">
        <f>IF(COUNTIFS(Pricing!$A:$A,A384,Pricing!$B:$B,B384)=0,"",SUMIFS(Pricing!$G:$G,Pricing!$A:$A,A384,Pricing!$B:$B,B384))</f>
        <v/>
      </c>
      <c r="H384" s="9" t="str">
        <f t="shared" si="27"/>
        <v/>
      </c>
      <c r="I384" s="3">
        <v>0</v>
      </c>
      <c r="J384" s="3">
        <v>0</v>
      </c>
      <c r="K384" s="9" t="str">
        <f t="shared" si="28"/>
        <v/>
      </c>
      <c r="L384" s="6" t="str">
        <f t="shared" si="29"/>
        <v/>
      </c>
      <c r="M384" s="10" t="str">
        <f t="shared" si="30"/>
        <v/>
      </c>
      <c r="N384" s="6" t="str">
        <f t="shared" si="31"/>
        <v/>
      </c>
    </row>
    <row r="385" spans="1:14">
      <c r="A385" s="2"/>
      <c r="B385" s="2"/>
      <c r="C385" s="22" t="str">
        <f>IF(OR(A385="",B385=""),"",IFERROR(XLOOKUP(1,(Buy_History!$A$2:$A$501=A385)*(Buy_History!$B$2:$B$501=B385),Buy_History!$C$2:$C$501,""),""))</f>
        <v/>
      </c>
      <c r="D385" s="22" t="str">
        <f>IF(OR(A385="",B385=""),"",IFERROR(XLOOKUP(1,(Sell_History!$A$2:$A$501=A385)*(Sell_History!$B$2:$B$501=B385),Sell_History!$C$2:$C$501,""),""))</f>
        <v/>
      </c>
      <c r="E385" s="8" t="str">
        <f>IF(OR(A385="",B385=""),"",IFERROR(XLOOKUP(1,(Raw_Observations!$A$2:$A$1001=A385)*(Raw_Observations!$B$2:$B$1001=B385),Raw_Observations!$D$2:$D$1001,""),""))</f>
        <v/>
      </c>
      <c r="F385" s="8" t="str">
        <f>IF(OR(A385="",B385=""),"",IFERROR(XLOOKUP(1,(Order_History!$A$2:$A$501=A385)*(Order_History!$B$2:$B$501=B385),Order_History!$D$2:$D$501,""),""))</f>
        <v/>
      </c>
      <c r="G385" s="8" t="str">
        <f>IF(COUNTIFS(Pricing!$A:$A,A385,Pricing!$B:$B,B385)=0,"",SUMIFS(Pricing!$G:$G,Pricing!$A:$A,A385,Pricing!$B:$B,B385))</f>
        <v/>
      </c>
      <c r="H385" s="9" t="str">
        <f t="shared" si="27"/>
        <v/>
      </c>
      <c r="I385" s="3">
        <v>0</v>
      </c>
      <c r="J385" s="3">
        <v>0</v>
      </c>
      <c r="K385" s="9" t="str">
        <f t="shared" si="28"/>
        <v/>
      </c>
      <c r="L385" s="6" t="str">
        <f t="shared" si="29"/>
        <v/>
      </c>
      <c r="M385" s="10" t="str">
        <f t="shared" si="30"/>
        <v/>
      </c>
      <c r="N385" s="6" t="str">
        <f t="shared" si="31"/>
        <v/>
      </c>
    </row>
    <row r="386" spans="1:14">
      <c r="A386" s="2"/>
      <c r="B386" s="2"/>
      <c r="C386" s="22" t="str">
        <f>IF(OR(A386="",B386=""),"",IFERROR(XLOOKUP(1,(Buy_History!$A$2:$A$501=A386)*(Buy_History!$B$2:$B$501=B386),Buy_History!$C$2:$C$501,""),""))</f>
        <v/>
      </c>
      <c r="D386" s="22" t="str">
        <f>IF(OR(A386="",B386=""),"",IFERROR(XLOOKUP(1,(Sell_History!$A$2:$A$501=A386)*(Sell_History!$B$2:$B$501=B386),Sell_History!$C$2:$C$501,""),""))</f>
        <v/>
      </c>
      <c r="E386" s="8" t="str">
        <f>IF(OR(A386="",B386=""),"",IFERROR(XLOOKUP(1,(Raw_Observations!$A$2:$A$1001=A386)*(Raw_Observations!$B$2:$B$1001=B386),Raw_Observations!$D$2:$D$1001,""),""))</f>
        <v/>
      </c>
      <c r="F386" s="8" t="str">
        <f>IF(OR(A386="",B386=""),"",IFERROR(XLOOKUP(1,(Order_History!$A$2:$A$501=A386)*(Order_History!$B$2:$B$501=B386),Order_History!$D$2:$D$501,""),""))</f>
        <v/>
      </c>
      <c r="G386" s="8" t="str">
        <f>IF(COUNTIFS(Pricing!$A:$A,A386,Pricing!$B:$B,B386)=0,"",SUMIFS(Pricing!$G:$G,Pricing!$A:$A,A386,Pricing!$B:$B,B386))</f>
        <v/>
      </c>
      <c r="H386" s="9" t="str">
        <f t="shared" ref="H386:H449" si="32">IF(OR(E386="",F386=""),"",F386-E386)</f>
        <v/>
      </c>
      <c r="I386" s="3">
        <v>0</v>
      </c>
      <c r="J386" s="3">
        <v>0</v>
      </c>
      <c r="K386" s="9" t="str">
        <f t="shared" ref="K386:K449" si="33">IF(H386="","",H386-I386-J386)</f>
        <v/>
      </c>
      <c r="L386" s="6" t="str">
        <f t="shared" ref="L386:L449" si="34">IF(OR(K386="",E386=""),"",K386/E386)</f>
        <v/>
      </c>
      <c r="M386" s="10" t="str">
        <f t="shared" ref="M386:M449" si="35">IF(OR(C386="",D386=""),"",MAX(1,ROUNDUP(D386-C386,0)))</f>
        <v/>
      </c>
      <c r="N386" s="6" t="str">
        <f t="shared" ref="N386:N449" si="36">IF(OR(L386="",M386=""),"",(1+L386)^(365/M386)-1)</f>
        <v/>
      </c>
    </row>
    <row r="387" spans="1:14">
      <c r="A387" s="2"/>
      <c r="B387" s="2"/>
      <c r="C387" s="22" t="str">
        <f>IF(OR(A387="",B387=""),"",IFERROR(XLOOKUP(1,(Buy_History!$A$2:$A$501=A387)*(Buy_History!$B$2:$B$501=B387),Buy_History!$C$2:$C$501,""),""))</f>
        <v/>
      </c>
      <c r="D387" s="22" t="str">
        <f>IF(OR(A387="",B387=""),"",IFERROR(XLOOKUP(1,(Sell_History!$A$2:$A$501=A387)*(Sell_History!$B$2:$B$501=B387),Sell_History!$C$2:$C$501,""),""))</f>
        <v/>
      </c>
      <c r="E387" s="8" t="str">
        <f>IF(OR(A387="",B387=""),"",IFERROR(XLOOKUP(1,(Raw_Observations!$A$2:$A$1001=A387)*(Raw_Observations!$B$2:$B$1001=B387),Raw_Observations!$D$2:$D$1001,""),""))</f>
        <v/>
      </c>
      <c r="F387" s="8" t="str">
        <f>IF(OR(A387="",B387=""),"",IFERROR(XLOOKUP(1,(Order_History!$A$2:$A$501=A387)*(Order_History!$B$2:$B$501=B387),Order_History!$D$2:$D$501,""),""))</f>
        <v/>
      </c>
      <c r="G387" s="8" t="str">
        <f>IF(COUNTIFS(Pricing!$A:$A,A387,Pricing!$B:$B,B387)=0,"",SUMIFS(Pricing!$G:$G,Pricing!$A:$A,A387,Pricing!$B:$B,B387))</f>
        <v/>
      </c>
      <c r="H387" s="9" t="str">
        <f t="shared" si="32"/>
        <v/>
      </c>
      <c r="I387" s="3">
        <v>0</v>
      </c>
      <c r="J387" s="3">
        <v>0</v>
      </c>
      <c r="K387" s="9" t="str">
        <f t="shared" si="33"/>
        <v/>
      </c>
      <c r="L387" s="6" t="str">
        <f t="shared" si="34"/>
        <v/>
      </c>
      <c r="M387" s="10" t="str">
        <f t="shared" si="35"/>
        <v/>
      </c>
      <c r="N387" s="6" t="str">
        <f t="shared" si="36"/>
        <v/>
      </c>
    </row>
    <row r="388" spans="1:14">
      <c r="A388" s="2"/>
      <c r="B388" s="2"/>
      <c r="C388" s="22" t="str">
        <f>IF(OR(A388="",B388=""),"",IFERROR(XLOOKUP(1,(Buy_History!$A$2:$A$501=A388)*(Buy_History!$B$2:$B$501=B388),Buy_History!$C$2:$C$501,""),""))</f>
        <v/>
      </c>
      <c r="D388" s="22" t="str">
        <f>IF(OR(A388="",B388=""),"",IFERROR(XLOOKUP(1,(Sell_History!$A$2:$A$501=A388)*(Sell_History!$B$2:$B$501=B388),Sell_History!$C$2:$C$501,""),""))</f>
        <v/>
      </c>
      <c r="E388" s="8" t="str">
        <f>IF(OR(A388="",B388=""),"",IFERROR(XLOOKUP(1,(Raw_Observations!$A$2:$A$1001=A388)*(Raw_Observations!$B$2:$B$1001=B388),Raw_Observations!$D$2:$D$1001,""),""))</f>
        <v/>
      </c>
      <c r="F388" s="8" t="str">
        <f>IF(OR(A388="",B388=""),"",IFERROR(XLOOKUP(1,(Order_History!$A$2:$A$501=A388)*(Order_History!$B$2:$B$501=B388),Order_History!$D$2:$D$501,""),""))</f>
        <v/>
      </c>
      <c r="G388" s="8" t="str">
        <f>IF(COUNTIFS(Pricing!$A:$A,A388,Pricing!$B:$B,B388)=0,"",SUMIFS(Pricing!$G:$G,Pricing!$A:$A,A388,Pricing!$B:$B,B388))</f>
        <v/>
      </c>
      <c r="H388" s="9" t="str">
        <f t="shared" si="32"/>
        <v/>
      </c>
      <c r="I388" s="3">
        <v>0</v>
      </c>
      <c r="J388" s="3">
        <v>0</v>
      </c>
      <c r="K388" s="9" t="str">
        <f t="shared" si="33"/>
        <v/>
      </c>
      <c r="L388" s="6" t="str">
        <f t="shared" si="34"/>
        <v/>
      </c>
      <c r="M388" s="10" t="str">
        <f t="shared" si="35"/>
        <v/>
      </c>
      <c r="N388" s="6" t="str">
        <f t="shared" si="36"/>
        <v/>
      </c>
    </row>
    <row r="389" spans="1:14">
      <c r="A389" s="2"/>
      <c r="B389" s="2"/>
      <c r="C389" s="22" t="str">
        <f>IF(OR(A389="",B389=""),"",IFERROR(XLOOKUP(1,(Buy_History!$A$2:$A$501=A389)*(Buy_History!$B$2:$B$501=B389),Buy_History!$C$2:$C$501,""),""))</f>
        <v/>
      </c>
      <c r="D389" s="22" t="str">
        <f>IF(OR(A389="",B389=""),"",IFERROR(XLOOKUP(1,(Sell_History!$A$2:$A$501=A389)*(Sell_History!$B$2:$B$501=B389),Sell_History!$C$2:$C$501,""),""))</f>
        <v/>
      </c>
      <c r="E389" s="8" t="str">
        <f>IF(OR(A389="",B389=""),"",IFERROR(XLOOKUP(1,(Raw_Observations!$A$2:$A$1001=A389)*(Raw_Observations!$B$2:$B$1001=B389),Raw_Observations!$D$2:$D$1001,""),""))</f>
        <v/>
      </c>
      <c r="F389" s="8" t="str">
        <f>IF(OR(A389="",B389=""),"",IFERROR(XLOOKUP(1,(Order_History!$A$2:$A$501=A389)*(Order_History!$B$2:$B$501=B389),Order_History!$D$2:$D$501,""),""))</f>
        <v/>
      </c>
      <c r="G389" s="8" t="str">
        <f>IF(COUNTIFS(Pricing!$A:$A,A389,Pricing!$B:$B,B389)=0,"",SUMIFS(Pricing!$G:$G,Pricing!$A:$A,A389,Pricing!$B:$B,B389))</f>
        <v/>
      </c>
      <c r="H389" s="9" t="str">
        <f t="shared" si="32"/>
        <v/>
      </c>
      <c r="I389" s="3">
        <v>0</v>
      </c>
      <c r="J389" s="3">
        <v>0</v>
      </c>
      <c r="K389" s="9" t="str">
        <f t="shared" si="33"/>
        <v/>
      </c>
      <c r="L389" s="6" t="str">
        <f t="shared" si="34"/>
        <v/>
      </c>
      <c r="M389" s="10" t="str">
        <f t="shared" si="35"/>
        <v/>
      </c>
      <c r="N389" s="6" t="str">
        <f t="shared" si="36"/>
        <v/>
      </c>
    </row>
    <row r="390" spans="1:14">
      <c r="A390" s="2"/>
      <c r="B390" s="2"/>
      <c r="C390" s="22" t="str">
        <f>IF(OR(A390="",B390=""),"",IFERROR(XLOOKUP(1,(Buy_History!$A$2:$A$501=A390)*(Buy_History!$B$2:$B$501=B390),Buy_History!$C$2:$C$501,""),""))</f>
        <v/>
      </c>
      <c r="D390" s="22" t="str">
        <f>IF(OR(A390="",B390=""),"",IFERROR(XLOOKUP(1,(Sell_History!$A$2:$A$501=A390)*(Sell_History!$B$2:$B$501=B390),Sell_History!$C$2:$C$501,""),""))</f>
        <v/>
      </c>
      <c r="E390" s="8" t="str">
        <f>IF(OR(A390="",B390=""),"",IFERROR(XLOOKUP(1,(Raw_Observations!$A$2:$A$1001=A390)*(Raw_Observations!$B$2:$B$1001=B390),Raw_Observations!$D$2:$D$1001,""),""))</f>
        <v/>
      </c>
      <c r="F390" s="8" t="str">
        <f>IF(OR(A390="",B390=""),"",IFERROR(XLOOKUP(1,(Order_History!$A$2:$A$501=A390)*(Order_History!$B$2:$B$501=B390),Order_History!$D$2:$D$501,""),""))</f>
        <v/>
      </c>
      <c r="G390" s="8" t="str">
        <f>IF(COUNTIFS(Pricing!$A:$A,A390,Pricing!$B:$B,B390)=0,"",SUMIFS(Pricing!$G:$G,Pricing!$A:$A,A390,Pricing!$B:$B,B390))</f>
        <v/>
      </c>
      <c r="H390" s="9" t="str">
        <f t="shared" si="32"/>
        <v/>
      </c>
      <c r="I390" s="3">
        <v>0</v>
      </c>
      <c r="J390" s="3">
        <v>0</v>
      </c>
      <c r="K390" s="9" t="str">
        <f t="shared" si="33"/>
        <v/>
      </c>
      <c r="L390" s="6" t="str">
        <f t="shared" si="34"/>
        <v/>
      </c>
      <c r="M390" s="10" t="str">
        <f t="shared" si="35"/>
        <v/>
      </c>
      <c r="N390" s="6" t="str">
        <f t="shared" si="36"/>
        <v/>
      </c>
    </row>
    <row r="391" spans="1:14">
      <c r="A391" s="2"/>
      <c r="B391" s="2"/>
      <c r="C391" s="22" t="str">
        <f>IF(OR(A391="",B391=""),"",IFERROR(XLOOKUP(1,(Buy_History!$A$2:$A$501=A391)*(Buy_History!$B$2:$B$501=B391),Buy_History!$C$2:$C$501,""),""))</f>
        <v/>
      </c>
      <c r="D391" s="22" t="str">
        <f>IF(OR(A391="",B391=""),"",IFERROR(XLOOKUP(1,(Sell_History!$A$2:$A$501=A391)*(Sell_History!$B$2:$B$501=B391),Sell_History!$C$2:$C$501,""),""))</f>
        <v/>
      </c>
      <c r="E391" s="8" t="str">
        <f>IF(OR(A391="",B391=""),"",IFERROR(XLOOKUP(1,(Raw_Observations!$A$2:$A$1001=A391)*(Raw_Observations!$B$2:$B$1001=B391),Raw_Observations!$D$2:$D$1001,""),""))</f>
        <v/>
      </c>
      <c r="F391" s="8" t="str">
        <f>IF(OR(A391="",B391=""),"",IFERROR(XLOOKUP(1,(Order_History!$A$2:$A$501=A391)*(Order_History!$B$2:$B$501=B391),Order_History!$D$2:$D$501,""),""))</f>
        <v/>
      </c>
      <c r="G391" s="8" t="str">
        <f>IF(COUNTIFS(Pricing!$A:$A,A391,Pricing!$B:$B,B391)=0,"",SUMIFS(Pricing!$G:$G,Pricing!$A:$A,A391,Pricing!$B:$B,B391))</f>
        <v/>
      </c>
      <c r="H391" s="9" t="str">
        <f t="shared" si="32"/>
        <v/>
      </c>
      <c r="I391" s="3">
        <v>0</v>
      </c>
      <c r="J391" s="3">
        <v>0</v>
      </c>
      <c r="K391" s="9" t="str">
        <f t="shared" si="33"/>
        <v/>
      </c>
      <c r="L391" s="6" t="str">
        <f t="shared" si="34"/>
        <v/>
      </c>
      <c r="M391" s="10" t="str">
        <f t="shared" si="35"/>
        <v/>
      </c>
      <c r="N391" s="6" t="str">
        <f t="shared" si="36"/>
        <v/>
      </c>
    </row>
    <row r="392" spans="1:14">
      <c r="A392" s="2"/>
      <c r="B392" s="2"/>
      <c r="C392" s="22" t="str">
        <f>IF(OR(A392="",B392=""),"",IFERROR(XLOOKUP(1,(Buy_History!$A$2:$A$501=A392)*(Buy_History!$B$2:$B$501=B392),Buy_History!$C$2:$C$501,""),""))</f>
        <v/>
      </c>
      <c r="D392" s="22" t="str">
        <f>IF(OR(A392="",B392=""),"",IFERROR(XLOOKUP(1,(Sell_History!$A$2:$A$501=A392)*(Sell_History!$B$2:$B$501=B392),Sell_History!$C$2:$C$501,""),""))</f>
        <v/>
      </c>
      <c r="E392" s="8" t="str">
        <f>IF(OR(A392="",B392=""),"",IFERROR(XLOOKUP(1,(Raw_Observations!$A$2:$A$1001=A392)*(Raw_Observations!$B$2:$B$1001=B392),Raw_Observations!$D$2:$D$1001,""),""))</f>
        <v/>
      </c>
      <c r="F392" s="8" t="str">
        <f>IF(OR(A392="",B392=""),"",IFERROR(XLOOKUP(1,(Order_History!$A$2:$A$501=A392)*(Order_History!$B$2:$B$501=B392),Order_History!$D$2:$D$501,""),""))</f>
        <v/>
      </c>
      <c r="G392" s="8" t="str">
        <f>IF(COUNTIFS(Pricing!$A:$A,A392,Pricing!$B:$B,B392)=0,"",SUMIFS(Pricing!$G:$G,Pricing!$A:$A,A392,Pricing!$B:$B,B392))</f>
        <v/>
      </c>
      <c r="H392" s="9" t="str">
        <f t="shared" si="32"/>
        <v/>
      </c>
      <c r="I392" s="3">
        <v>0</v>
      </c>
      <c r="J392" s="3">
        <v>0</v>
      </c>
      <c r="K392" s="9" t="str">
        <f t="shared" si="33"/>
        <v/>
      </c>
      <c r="L392" s="6" t="str">
        <f t="shared" si="34"/>
        <v/>
      </c>
      <c r="M392" s="10" t="str">
        <f t="shared" si="35"/>
        <v/>
      </c>
      <c r="N392" s="6" t="str">
        <f t="shared" si="36"/>
        <v/>
      </c>
    </row>
    <row r="393" spans="1:14">
      <c r="A393" s="2"/>
      <c r="B393" s="2"/>
      <c r="C393" s="22" t="str">
        <f>IF(OR(A393="",B393=""),"",IFERROR(XLOOKUP(1,(Buy_History!$A$2:$A$501=A393)*(Buy_History!$B$2:$B$501=B393),Buy_History!$C$2:$C$501,""),""))</f>
        <v/>
      </c>
      <c r="D393" s="22" t="str">
        <f>IF(OR(A393="",B393=""),"",IFERROR(XLOOKUP(1,(Sell_History!$A$2:$A$501=A393)*(Sell_History!$B$2:$B$501=B393),Sell_History!$C$2:$C$501,""),""))</f>
        <v/>
      </c>
      <c r="E393" s="8" t="str">
        <f>IF(OR(A393="",B393=""),"",IFERROR(XLOOKUP(1,(Raw_Observations!$A$2:$A$1001=A393)*(Raw_Observations!$B$2:$B$1001=B393),Raw_Observations!$D$2:$D$1001,""),""))</f>
        <v/>
      </c>
      <c r="F393" s="8" t="str">
        <f>IF(OR(A393="",B393=""),"",IFERROR(XLOOKUP(1,(Order_History!$A$2:$A$501=A393)*(Order_History!$B$2:$B$501=B393),Order_History!$D$2:$D$501,""),""))</f>
        <v/>
      </c>
      <c r="G393" s="8" t="str">
        <f>IF(COUNTIFS(Pricing!$A:$A,A393,Pricing!$B:$B,B393)=0,"",SUMIFS(Pricing!$G:$G,Pricing!$A:$A,A393,Pricing!$B:$B,B393))</f>
        <v/>
      </c>
      <c r="H393" s="9" t="str">
        <f t="shared" si="32"/>
        <v/>
      </c>
      <c r="I393" s="3">
        <v>0</v>
      </c>
      <c r="J393" s="3">
        <v>0</v>
      </c>
      <c r="K393" s="9" t="str">
        <f t="shared" si="33"/>
        <v/>
      </c>
      <c r="L393" s="6" t="str">
        <f t="shared" si="34"/>
        <v/>
      </c>
      <c r="M393" s="10" t="str">
        <f t="shared" si="35"/>
        <v/>
      </c>
      <c r="N393" s="6" t="str">
        <f t="shared" si="36"/>
        <v/>
      </c>
    </row>
    <row r="394" spans="1:14">
      <c r="A394" s="2"/>
      <c r="B394" s="2"/>
      <c r="C394" s="22" t="str">
        <f>IF(OR(A394="",B394=""),"",IFERROR(XLOOKUP(1,(Buy_History!$A$2:$A$501=A394)*(Buy_History!$B$2:$B$501=B394),Buy_History!$C$2:$C$501,""),""))</f>
        <v/>
      </c>
      <c r="D394" s="22" t="str">
        <f>IF(OR(A394="",B394=""),"",IFERROR(XLOOKUP(1,(Sell_History!$A$2:$A$501=A394)*(Sell_History!$B$2:$B$501=B394),Sell_History!$C$2:$C$501,""),""))</f>
        <v/>
      </c>
      <c r="E394" s="8" t="str">
        <f>IF(OR(A394="",B394=""),"",IFERROR(XLOOKUP(1,(Raw_Observations!$A$2:$A$1001=A394)*(Raw_Observations!$B$2:$B$1001=B394),Raw_Observations!$D$2:$D$1001,""),""))</f>
        <v/>
      </c>
      <c r="F394" s="8" t="str">
        <f>IF(OR(A394="",B394=""),"",IFERROR(XLOOKUP(1,(Order_History!$A$2:$A$501=A394)*(Order_History!$B$2:$B$501=B394),Order_History!$D$2:$D$501,""),""))</f>
        <v/>
      </c>
      <c r="G394" s="8" t="str">
        <f>IF(COUNTIFS(Pricing!$A:$A,A394,Pricing!$B:$B,B394)=0,"",SUMIFS(Pricing!$G:$G,Pricing!$A:$A,A394,Pricing!$B:$B,B394))</f>
        <v/>
      </c>
      <c r="H394" s="9" t="str">
        <f t="shared" si="32"/>
        <v/>
      </c>
      <c r="I394" s="3">
        <v>0</v>
      </c>
      <c r="J394" s="3">
        <v>0</v>
      </c>
      <c r="K394" s="9" t="str">
        <f t="shared" si="33"/>
        <v/>
      </c>
      <c r="L394" s="6" t="str">
        <f t="shared" si="34"/>
        <v/>
      </c>
      <c r="M394" s="10" t="str">
        <f t="shared" si="35"/>
        <v/>
      </c>
      <c r="N394" s="6" t="str">
        <f t="shared" si="36"/>
        <v/>
      </c>
    </row>
    <row r="395" spans="1:14">
      <c r="A395" s="2"/>
      <c r="B395" s="2"/>
      <c r="C395" s="22" t="str">
        <f>IF(OR(A395="",B395=""),"",IFERROR(XLOOKUP(1,(Buy_History!$A$2:$A$501=A395)*(Buy_History!$B$2:$B$501=B395),Buy_History!$C$2:$C$501,""),""))</f>
        <v/>
      </c>
      <c r="D395" s="22" t="str">
        <f>IF(OR(A395="",B395=""),"",IFERROR(XLOOKUP(1,(Sell_History!$A$2:$A$501=A395)*(Sell_History!$B$2:$B$501=B395),Sell_History!$C$2:$C$501,""),""))</f>
        <v/>
      </c>
      <c r="E395" s="8" t="str">
        <f>IF(OR(A395="",B395=""),"",IFERROR(XLOOKUP(1,(Raw_Observations!$A$2:$A$1001=A395)*(Raw_Observations!$B$2:$B$1001=B395),Raw_Observations!$D$2:$D$1001,""),""))</f>
        <v/>
      </c>
      <c r="F395" s="8" t="str">
        <f>IF(OR(A395="",B395=""),"",IFERROR(XLOOKUP(1,(Order_History!$A$2:$A$501=A395)*(Order_History!$B$2:$B$501=B395),Order_History!$D$2:$D$501,""),""))</f>
        <v/>
      </c>
      <c r="G395" s="8" t="str">
        <f>IF(COUNTIFS(Pricing!$A:$A,A395,Pricing!$B:$B,B395)=0,"",SUMIFS(Pricing!$G:$G,Pricing!$A:$A,A395,Pricing!$B:$B,B395))</f>
        <v/>
      </c>
      <c r="H395" s="9" t="str">
        <f t="shared" si="32"/>
        <v/>
      </c>
      <c r="I395" s="3">
        <v>0</v>
      </c>
      <c r="J395" s="3">
        <v>0</v>
      </c>
      <c r="K395" s="9" t="str">
        <f t="shared" si="33"/>
        <v/>
      </c>
      <c r="L395" s="6" t="str">
        <f t="shared" si="34"/>
        <v/>
      </c>
      <c r="M395" s="10" t="str">
        <f t="shared" si="35"/>
        <v/>
      </c>
      <c r="N395" s="6" t="str">
        <f t="shared" si="36"/>
        <v/>
      </c>
    </row>
    <row r="396" spans="1:14">
      <c r="A396" s="2"/>
      <c r="B396" s="2"/>
      <c r="C396" s="22" t="str">
        <f>IF(OR(A396="",B396=""),"",IFERROR(XLOOKUP(1,(Buy_History!$A$2:$A$501=A396)*(Buy_History!$B$2:$B$501=B396),Buy_History!$C$2:$C$501,""),""))</f>
        <v/>
      </c>
      <c r="D396" s="22" t="str">
        <f>IF(OR(A396="",B396=""),"",IFERROR(XLOOKUP(1,(Sell_History!$A$2:$A$501=A396)*(Sell_History!$B$2:$B$501=B396),Sell_History!$C$2:$C$501,""),""))</f>
        <v/>
      </c>
      <c r="E396" s="8" t="str">
        <f>IF(OR(A396="",B396=""),"",IFERROR(XLOOKUP(1,(Raw_Observations!$A$2:$A$1001=A396)*(Raw_Observations!$B$2:$B$1001=B396),Raw_Observations!$D$2:$D$1001,""),""))</f>
        <v/>
      </c>
      <c r="F396" s="8" t="str">
        <f>IF(OR(A396="",B396=""),"",IFERROR(XLOOKUP(1,(Order_History!$A$2:$A$501=A396)*(Order_History!$B$2:$B$501=B396),Order_History!$D$2:$D$501,""),""))</f>
        <v/>
      </c>
      <c r="G396" s="8" t="str">
        <f>IF(COUNTIFS(Pricing!$A:$A,A396,Pricing!$B:$B,B396)=0,"",SUMIFS(Pricing!$G:$G,Pricing!$A:$A,A396,Pricing!$B:$B,B396))</f>
        <v/>
      </c>
      <c r="H396" s="9" t="str">
        <f t="shared" si="32"/>
        <v/>
      </c>
      <c r="I396" s="3">
        <v>0</v>
      </c>
      <c r="J396" s="3">
        <v>0</v>
      </c>
      <c r="K396" s="9" t="str">
        <f t="shared" si="33"/>
        <v/>
      </c>
      <c r="L396" s="6" t="str">
        <f t="shared" si="34"/>
        <v/>
      </c>
      <c r="M396" s="10" t="str">
        <f t="shared" si="35"/>
        <v/>
      </c>
      <c r="N396" s="6" t="str">
        <f t="shared" si="36"/>
        <v/>
      </c>
    </row>
    <row r="397" spans="1:14">
      <c r="A397" s="2"/>
      <c r="B397" s="2"/>
      <c r="C397" s="22" t="str">
        <f>IF(OR(A397="",B397=""),"",IFERROR(XLOOKUP(1,(Buy_History!$A$2:$A$501=A397)*(Buy_History!$B$2:$B$501=B397),Buy_History!$C$2:$C$501,""),""))</f>
        <v/>
      </c>
      <c r="D397" s="22" t="str">
        <f>IF(OR(A397="",B397=""),"",IFERROR(XLOOKUP(1,(Sell_History!$A$2:$A$501=A397)*(Sell_History!$B$2:$B$501=B397),Sell_History!$C$2:$C$501,""),""))</f>
        <v/>
      </c>
      <c r="E397" s="8" t="str">
        <f>IF(OR(A397="",B397=""),"",IFERROR(XLOOKUP(1,(Raw_Observations!$A$2:$A$1001=A397)*(Raw_Observations!$B$2:$B$1001=B397),Raw_Observations!$D$2:$D$1001,""),""))</f>
        <v/>
      </c>
      <c r="F397" s="8" t="str">
        <f>IF(OR(A397="",B397=""),"",IFERROR(XLOOKUP(1,(Order_History!$A$2:$A$501=A397)*(Order_History!$B$2:$B$501=B397),Order_History!$D$2:$D$501,""),""))</f>
        <v/>
      </c>
      <c r="G397" s="8" t="str">
        <f>IF(COUNTIFS(Pricing!$A:$A,A397,Pricing!$B:$B,B397)=0,"",SUMIFS(Pricing!$G:$G,Pricing!$A:$A,A397,Pricing!$B:$B,B397))</f>
        <v/>
      </c>
      <c r="H397" s="9" t="str">
        <f t="shared" si="32"/>
        <v/>
      </c>
      <c r="I397" s="3">
        <v>0</v>
      </c>
      <c r="J397" s="3">
        <v>0</v>
      </c>
      <c r="K397" s="9" t="str">
        <f t="shared" si="33"/>
        <v/>
      </c>
      <c r="L397" s="6" t="str">
        <f t="shared" si="34"/>
        <v/>
      </c>
      <c r="M397" s="10" t="str">
        <f t="shared" si="35"/>
        <v/>
      </c>
      <c r="N397" s="6" t="str">
        <f t="shared" si="36"/>
        <v/>
      </c>
    </row>
    <row r="398" spans="1:14">
      <c r="A398" s="2"/>
      <c r="B398" s="2"/>
      <c r="C398" s="22" t="str">
        <f>IF(OR(A398="",B398=""),"",IFERROR(XLOOKUP(1,(Buy_History!$A$2:$A$501=A398)*(Buy_History!$B$2:$B$501=B398),Buy_History!$C$2:$C$501,""),""))</f>
        <v/>
      </c>
      <c r="D398" s="22" t="str">
        <f>IF(OR(A398="",B398=""),"",IFERROR(XLOOKUP(1,(Sell_History!$A$2:$A$501=A398)*(Sell_History!$B$2:$B$501=B398),Sell_History!$C$2:$C$501,""),""))</f>
        <v/>
      </c>
      <c r="E398" s="8" t="str">
        <f>IF(OR(A398="",B398=""),"",IFERROR(XLOOKUP(1,(Raw_Observations!$A$2:$A$1001=A398)*(Raw_Observations!$B$2:$B$1001=B398),Raw_Observations!$D$2:$D$1001,""),""))</f>
        <v/>
      </c>
      <c r="F398" s="8" t="str">
        <f>IF(OR(A398="",B398=""),"",IFERROR(XLOOKUP(1,(Order_History!$A$2:$A$501=A398)*(Order_History!$B$2:$B$501=B398),Order_History!$D$2:$D$501,""),""))</f>
        <v/>
      </c>
      <c r="G398" s="8" t="str">
        <f>IF(COUNTIFS(Pricing!$A:$A,A398,Pricing!$B:$B,B398)=0,"",SUMIFS(Pricing!$G:$G,Pricing!$A:$A,A398,Pricing!$B:$B,B398))</f>
        <v/>
      </c>
      <c r="H398" s="9" t="str">
        <f t="shared" si="32"/>
        <v/>
      </c>
      <c r="I398" s="3">
        <v>0</v>
      </c>
      <c r="J398" s="3">
        <v>0</v>
      </c>
      <c r="K398" s="9" t="str">
        <f t="shared" si="33"/>
        <v/>
      </c>
      <c r="L398" s="6" t="str">
        <f t="shared" si="34"/>
        <v/>
      </c>
      <c r="M398" s="10" t="str">
        <f t="shared" si="35"/>
        <v/>
      </c>
      <c r="N398" s="6" t="str">
        <f t="shared" si="36"/>
        <v/>
      </c>
    </row>
    <row r="399" spans="1:14">
      <c r="A399" s="2"/>
      <c r="B399" s="2"/>
      <c r="C399" s="22" t="str">
        <f>IF(OR(A399="",B399=""),"",IFERROR(XLOOKUP(1,(Buy_History!$A$2:$A$501=A399)*(Buy_History!$B$2:$B$501=B399),Buy_History!$C$2:$C$501,""),""))</f>
        <v/>
      </c>
      <c r="D399" s="22" t="str">
        <f>IF(OR(A399="",B399=""),"",IFERROR(XLOOKUP(1,(Sell_History!$A$2:$A$501=A399)*(Sell_History!$B$2:$B$501=B399),Sell_History!$C$2:$C$501,""),""))</f>
        <v/>
      </c>
      <c r="E399" s="8" t="str">
        <f>IF(OR(A399="",B399=""),"",IFERROR(XLOOKUP(1,(Raw_Observations!$A$2:$A$1001=A399)*(Raw_Observations!$B$2:$B$1001=B399),Raw_Observations!$D$2:$D$1001,""),""))</f>
        <v/>
      </c>
      <c r="F399" s="8" t="str">
        <f>IF(OR(A399="",B399=""),"",IFERROR(XLOOKUP(1,(Order_History!$A$2:$A$501=A399)*(Order_History!$B$2:$B$501=B399),Order_History!$D$2:$D$501,""),""))</f>
        <v/>
      </c>
      <c r="G399" s="8" t="str">
        <f>IF(COUNTIFS(Pricing!$A:$A,A399,Pricing!$B:$B,B399)=0,"",SUMIFS(Pricing!$G:$G,Pricing!$A:$A,A399,Pricing!$B:$B,B399))</f>
        <v/>
      </c>
      <c r="H399" s="9" t="str">
        <f t="shared" si="32"/>
        <v/>
      </c>
      <c r="I399" s="3">
        <v>0</v>
      </c>
      <c r="J399" s="3">
        <v>0</v>
      </c>
      <c r="K399" s="9" t="str">
        <f t="shared" si="33"/>
        <v/>
      </c>
      <c r="L399" s="6" t="str">
        <f t="shared" si="34"/>
        <v/>
      </c>
      <c r="M399" s="10" t="str">
        <f t="shared" si="35"/>
        <v/>
      </c>
      <c r="N399" s="6" t="str">
        <f t="shared" si="36"/>
        <v/>
      </c>
    </row>
    <row r="400" spans="1:14">
      <c r="A400" s="2"/>
      <c r="B400" s="2"/>
      <c r="C400" s="22" t="str">
        <f>IF(OR(A400="",B400=""),"",IFERROR(XLOOKUP(1,(Buy_History!$A$2:$A$501=A400)*(Buy_History!$B$2:$B$501=B400),Buy_History!$C$2:$C$501,""),""))</f>
        <v/>
      </c>
      <c r="D400" s="22" t="str">
        <f>IF(OR(A400="",B400=""),"",IFERROR(XLOOKUP(1,(Sell_History!$A$2:$A$501=A400)*(Sell_History!$B$2:$B$501=B400),Sell_History!$C$2:$C$501,""),""))</f>
        <v/>
      </c>
      <c r="E400" s="8" t="str">
        <f>IF(OR(A400="",B400=""),"",IFERROR(XLOOKUP(1,(Raw_Observations!$A$2:$A$1001=A400)*(Raw_Observations!$B$2:$B$1001=B400),Raw_Observations!$D$2:$D$1001,""),""))</f>
        <v/>
      </c>
      <c r="F400" s="8" t="str">
        <f>IF(OR(A400="",B400=""),"",IFERROR(XLOOKUP(1,(Order_History!$A$2:$A$501=A400)*(Order_History!$B$2:$B$501=B400),Order_History!$D$2:$D$501,""),""))</f>
        <v/>
      </c>
      <c r="G400" s="8" t="str">
        <f>IF(COUNTIFS(Pricing!$A:$A,A400,Pricing!$B:$B,B400)=0,"",SUMIFS(Pricing!$G:$G,Pricing!$A:$A,A400,Pricing!$B:$B,B400))</f>
        <v/>
      </c>
      <c r="H400" s="9" t="str">
        <f t="shared" si="32"/>
        <v/>
      </c>
      <c r="I400" s="3">
        <v>0</v>
      </c>
      <c r="J400" s="3">
        <v>0</v>
      </c>
      <c r="K400" s="9" t="str">
        <f t="shared" si="33"/>
        <v/>
      </c>
      <c r="L400" s="6" t="str">
        <f t="shared" si="34"/>
        <v/>
      </c>
      <c r="M400" s="10" t="str">
        <f t="shared" si="35"/>
        <v/>
      </c>
      <c r="N400" s="6" t="str">
        <f t="shared" si="36"/>
        <v/>
      </c>
    </row>
    <row r="401" spans="1:14">
      <c r="A401" s="2"/>
      <c r="B401" s="2"/>
      <c r="C401" s="22" t="str">
        <f>IF(OR(A401="",B401=""),"",IFERROR(XLOOKUP(1,(Buy_History!$A$2:$A$501=A401)*(Buy_History!$B$2:$B$501=B401),Buy_History!$C$2:$C$501,""),""))</f>
        <v/>
      </c>
      <c r="D401" s="22" t="str">
        <f>IF(OR(A401="",B401=""),"",IFERROR(XLOOKUP(1,(Sell_History!$A$2:$A$501=A401)*(Sell_History!$B$2:$B$501=B401),Sell_History!$C$2:$C$501,""),""))</f>
        <v/>
      </c>
      <c r="E401" s="8" t="str">
        <f>IF(OR(A401="",B401=""),"",IFERROR(XLOOKUP(1,(Raw_Observations!$A$2:$A$1001=A401)*(Raw_Observations!$B$2:$B$1001=B401),Raw_Observations!$D$2:$D$1001,""),""))</f>
        <v/>
      </c>
      <c r="F401" s="8" t="str">
        <f>IF(OR(A401="",B401=""),"",IFERROR(XLOOKUP(1,(Order_History!$A$2:$A$501=A401)*(Order_History!$B$2:$B$501=B401),Order_History!$D$2:$D$501,""),""))</f>
        <v/>
      </c>
      <c r="G401" s="8" t="str">
        <f>IF(COUNTIFS(Pricing!$A:$A,A401,Pricing!$B:$B,B401)=0,"",SUMIFS(Pricing!$G:$G,Pricing!$A:$A,A401,Pricing!$B:$B,B401))</f>
        <v/>
      </c>
      <c r="H401" s="9" t="str">
        <f t="shared" si="32"/>
        <v/>
      </c>
      <c r="I401" s="3">
        <v>0</v>
      </c>
      <c r="J401" s="3">
        <v>0</v>
      </c>
      <c r="K401" s="9" t="str">
        <f t="shared" si="33"/>
        <v/>
      </c>
      <c r="L401" s="6" t="str">
        <f t="shared" si="34"/>
        <v/>
      </c>
      <c r="M401" s="10" t="str">
        <f t="shared" si="35"/>
        <v/>
      </c>
      <c r="N401" s="6" t="str">
        <f t="shared" si="36"/>
        <v/>
      </c>
    </row>
    <row r="402" spans="1:14">
      <c r="A402" s="2"/>
      <c r="B402" s="2"/>
      <c r="C402" s="22" t="str">
        <f>IF(OR(A402="",B402=""),"",IFERROR(XLOOKUP(1,(Buy_History!$A$2:$A$501=A402)*(Buy_History!$B$2:$B$501=B402),Buy_History!$C$2:$C$501,""),""))</f>
        <v/>
      </c>
      <c r="D402" s="22" t="str">
        <f>IF(OR(A402="",B402=""),"",IFERROR(XLOOKUP(1,(Sell_History!$A$2:$A$501=A402)*(Sell_History!$B$2:$B$501=B402),Sell_History!$C$2:$C$501,""),""))</f>
        <v/>
      </c>
      <c r="E402" s="8" t="str">
        <f>IF(OR(A402="",B402=""),"",IFERROR(XLOOKUP(1,(Raw_Observations!$A$2:$A$1001=A402)*(Raw_Observations!$B$2:$B$1001=B402),Raw_Observations!$D$2:$D$1001,""),""))</f>
        <v/>
      </c>
      <c r="F402" s="8" t="str">
        <f>IF(OR(A402="",B402=""),"",IFERROR(XLOOKUP(1,(Order_History!$A$2:$A$501=A402)*(Order_History!$B$2:$B$501=B402),Order_History!$D$2:$D$501,""),""))</f>
        <v/>
      </c>
      <c r="G402" s="8" t="str">
        <f>IF(COUNTIFS(Pricing!$A:$A,A402,Pricing!$B:$B,B402)=0,"",SUMIFS(Pricing!$G:$G,Pricing!$A:$A,A402,Pricing!$B:$B,B402))</f>
        <v/>
      </c>
      <c r="H402" s="9" t="str">
        <f t="shared" si="32"/>
        <v/>
      </c>
      <c r="I402" s="3">
        <v>0</v>
      </c>
      <c r="J402" s="3">
        <v>0</v>
      </c>
      <c r="K402" s="9" t="str">
        <f t="shared" si="33"/>
        <v/>
      </c>
      <c r="L402" s="6" t="str">
        <f t="shared" si="34"/>
        <v/>
      </c>
      <c r="M402" s="10" t="str">
        <f t="shared" si="35"/>
        <v/>
      </c>
      <c r="N402" s="6" t="str">
        <f t="shared" si="36"/>
        <v/>
      </c>
    </row>
    <row r="403" spans="1:14">
      <c r="A403" s="2"/>
      <c r="B403" s="2"/>
      <c r="C403" s="22" t="str">
        <f>IF(OR(A403="",B403=""),"",IFERROR(XLOOKUP(1,(Buy_History!$A$2:$A$501=A403)*(Buy_History!$B$2:$B$501=B403),Buy_History!$C$2:$C$501,""),""))</f>
        <v/>
      </c>
      <c r="D403" s="22" t="str">
        <f>IF(OR(A403="",B403=""),"",IFERROR(XLOOKUP(1,(Sell_History!$A$2:$A$501=A403)*(Sell_History!$B$2:$B$501=B403),Sell_History!$C$2:$C$501,""),""))</f>
        <v/>
      </c>
      <c r="E403" s="8" t="str">
        <f>IF(OR(A403="",B403=""),"",IFERROR(XLOOKUP(1,(Raw_Observations!$A$2:$A$1001=A403)*(Raw_Observations!$B$2:$B$1001=B403),Raw_Observations!$D$2:$D$1001,""),""))</f>
        <v/>
      </c>
      <c r="F403" s="8" t="str">
        <f>IF(OR(A403="",B403=""),"",IFERROR(XLOOKUP(1,(Order_History!$A$2:$A$501=A403)*(Order_History!$B$2:$B$501=B403),Order_History!$D$2:$D$501,""),""))</f>
        <v/>
      </c>
      <c r="G403" s="8" t="str">
        <f>IF(COUNTIFS(Pricing!$A:$A,A403,Pricing!$B:$B,B403)=0,"",SUMIFS(Pricing!$G:$G,Pricing!$A:$A,A403,Pricing!$B:$B,B403))</f>
        <v/>
      </c>
      <c r="H403" s="9" t="str">
        <f t="shared" si="32"/>
        <v/>
      </c>
      <c r="I403" s="3">
        <v>0</v>
      </c>
      <c r="J403" s="3">
        <v>0</v>
      </c>
      <c r="K403" s="9" t="str">
        <f t="shared" si="33"/>
        <v/>
      </c>
      <c r="L403" s="6" t="str">
        <f t="shared" si="34"/>
        <v/>
      </c>
      <c r="M403" s="10" t="str">
        <f t="shared" si="35"/>
        <v/>
      </c>
      <c r="N403" s="6" t="str">
        <f t="shared" si="36"/>
        <v/>
      </c>
    </row>
    <row r="404" spans="1:14">
      <c r="A404" s="2"/>
      <c r="B404" s="2"/>
      <c r="C404" s="22" t="str">
        <f>IF(OR(A404="",B404=""),"",IFERROR(XLOOKUP(1,(Buy_History!$A$2:$A$501=A404)*(Buy_History!$B$2:$B$501=B404),Buy_History!$C$2:$C$501,""),""))</f>
        <v/>
      </c>
      <c r="D404" s="22" t="str">
        <f>IF(OR(A404="",B404=""),"",IFERROR(XLOOKUP(1,(Sell_History!$A$2:$A$501=A404)*(Sell_History!$B$2:$B$501=B404),Sell_History!$C$2:$C$501,""),""))</f>
        <v/>
      </c>
      <c r="E404" s="8" t="str">
        <f>IF(OR(A404="",B404=""),"",IFERROR(XLOOKUP(1,(Raw_Observations!$A$2:$A$1001=A404)*(Raw_Observations!$B$2:$B$1001=B404),Raw_Observations!$D$2:$D$1001,""),""))</f>
        <v/>
      </c>
      <c r="F404" s="8" t="str">
        <f>IF(OR(A404="",B404=""),"",IFERROR(XLOOKUP(1,(Order_History!$A$2:$A$501=A404)*(Order_History!$B$2:$B$501=B404),Order_History!$D$2:$D$501,""),""))</f>
        <v/>
      </c>
      <c r="G404" s="8" t="str">
        <f>IF(COUNTIFS(Pricing!$A:$A,A404,Pricing!$B:$B,B404)=0,"",SUMIFS(Pricing!$G:$G,Pricing!$A:$A,A404,Pricing!$B:$B,B404))</f>
        <v/>
      </c>
      <c r="H404" s="9" t="str">
        <f t="shared" si="32"/>
        <v/>
      </c>
      <c r="I404" s="3">
        <v>0</v>
      </c>
      <c r="J404" s="3">
        <v>0</v>
      </c>
      <c r="K404" s="9" t="str">
        <f t="shared" si="33"/>
        <v/>
      </c>
      <c r="L404" s="6" t="str">
        <f t="shared" si="34"/>
        <v/>
      </c>
      <c r="M404" s="10" t="str">
        <f t="shared" si="35"/>
        <v/>
      </c>
      <c r="N404" s="6" t="str">
        <f t="shared" si="36"/>
        <v/>
      </c>
    </row>
    <row r="405" spans="1:14">
      <c r="A405" s="2"/>
      <c r="B405" s="2"/>
      <c r="C405" s="22" t="str">
        <f>IF(OR(A405="",B405=""),"",IFERROR(XLOOKUP(1,(Buy_History!$A$2:$A$501=A405)*(Buy_History!$B$2:$B$501=B405),Buy_History!$C$2:$C$501,""),""))</f>
        <v/>
      </c>
      <c r="D405" s="22" t="str">
        <f>IF(OR(A405="",B405=""),"",IFERROR(XLOOKUP(1,(Sell_History!$A$2:$A$501=A405)*(Sell_History!$B$2:$B$501=B405),Sell_History!$C$2:$C$501,""),""))</f>
        <v/>
      </c>
      <c r="E405" s="8" t="str">
        <f>IF(OR(A405="",B405=""),"",IFERROR(XLOOKUP(1,(Raw_Observations!$A$2:$A$1001=A405)*(Raw_Observations!$B$2:$B$1001=B405),Raw_Observations!$D$2:$D$1001,""),""))</f>
        <v/>
      </c>
      <c r="F405" s="8" t="str">
        <f>IF(OR(A405="",B405=""),"",IFERROR(XLOOKUP(1,(Order_History!$A$2:$A$501=A405)*(Order_History!$B$2:$B$501=B405),Order_History!$D$2:$D$501,""),""))</f>
        <v/>
      </c>
      <c r="G405" s="8" t="str">
        <f>IF(COUNTIFS(Pricing!$A:$A,A405,Pricing!$B:$B,B405)=0,"",SUMIFS(Pricing!$G:$G,Pricing!$A:$A,A405,Pricing!$B:$B,B405))</f>
        <v/>
      </c>
      <c r="H405" s="9" t="str">
        <f t="shared" si="32"/>
        <v/>
      </c>
      <c r="I405" s="3">
        <v>0</v>
      </c>
      <c r="J405" s="3">
        <v>0</v>
      </c>
      <c r="K405" s="9" t="str">
        <f t="shared" si="33"/>
        <v/>
      </c>
      <c r="L405" s="6" t="str">
        <f t="shared" si="34"/>
        <v/>
      </c>
      <c r="M405" s="10" t="str">
        <f t="shared" si="35"/>
        <v/>
      </c>
      <c r="N405" s="6" t="str">
        <f t="shared" si="36"/>
        <v/>
      </c>
    </row>
    <row r="406" spans="1:14">
      <c r="A406" s="2"/>
      <c r="B406" s="2"/>
      <c r="C406" s="22" t="str">
        <f>IF(OR(A406="",B406=""),"",IFERROR(XLOOKUP(1,(Buy_History!$A$2:$A$501=A406)*(Buy_History!$B$2:$B$501=B406),Buy_History!$C$2:$C$501,""),""))</f>
        <v/>
      </c>
      <c r="D406" s="22" t="str">
        <f>IF(OR(A406="",B406=""),"",IFERROR(XLOOKUP(1,(Sell_History!$A$2:$A$501=A406)*(Sell_History!$B$2:$B$501=B406),Sell_History!$C$2:$C$501,""),""))</f>
        <v/>
      </c>
      <c r="E406" s="8" t="str">
        <f>IF(OR(A406="",B406=""),"",IFERROR(XLOOKUP(1,(Raw_Observations!$A$2:$A$1001=A406)*(Raw_Observations!$B$2:$B$1001=B406),Raw_Observations!$D$2:$D$1001,""),""))</f>
        <v/>
      </c>
      <c r="F406" s="8" t="str">
        <f>IF(OR(A406="",B406=""),"",IFERROR(XLOOKUP(1,(Order_History!$A$2:$A$501=A406)*(Order_History!$B$2:$B$501=B406),Order_History!$D$2:$D$501,""),""))</f>
        <v/>
      </c>
      <c r="G406" s="8" t="str">
        <f>IF(COUNTIFS(Pricing!$A:$A,A406,Pricing!$B:$B,B406)=0,"",SUMIFS(Pricing!$G:$G,Pricing!$A:$A,A406,Pricing!$B:$B,B406))</f>
        <v/>
      </c>
      <c r="H406" s="9" t="str">
        <f t="shared" si="32"/>
        <v/>
      </c>
      <c r="I406" s="3">
        <v>0</v>
      </c>
      <c r="J406" s="3">
        <v>0</v>
      </c>
      <c r="K406" s="9" t="str">
        <f t="shared" si="33"/>
        <v/>
      </c>
      <c r="L406" s="6" t="str">
        <f t="shared" si="34"/>
        <v/>
      </c>
      <c r="M406" s="10" t="str">
        <f t="shared" si="35"/>
        <v/>
      </c>
      <c r="N406" s="6" t="str">
        <f t="shared" si="36"/>
        <v/>
      </c>
    </row>
    <row r="407" spans="1:14">
      <c r="A407" s="2"/>
      <c r="B407" s="2"/>
      <c r="C407" s="22" t="str">
        <f>IF(OR(A407="",B407=""),"",IFERROR(XLOOKUP(1,(Buy_History!$A$2:$A$501=A407)*(Buy_History!$B$2:$B$501=B407),Buy_History!$C$2:$C$501,""),""))</f>
        <v/>
      </c>
      <c r="D407" s="22" t="str">
        <f>IF(OR(A407="",B407=""),"",IFERROR(XLOOKUP(1,(Sell_History!$A$2:$A$501=A407)*(Sell_History!$B$2:$B$501=B407),Sell_History!$C$2:$C$501,""),""))</f>
        <v/>
      </c>
      <c r="E407" s="8" t="str">
        <f>IF(OR(A407="",B407=""),"",IFERROR(XLOOKUP(1,(Raw_Observations!$A$2:$A$1001=A407)*(Raw_Observations!$B$2:$B$1001=B407),Raw_Observations!$D$2:$D$1001,""),""))</f>
        <v/>
      </c>
      <c r="F407" s="8" t="str">
        <f>IF(OR(A407="",B407=""),"",IFERROR(XLOOKUP(1,(Order_History!$A$2:$A$501=A407)*(Order_History!$B$2:$B$501=B407),Order_History!$D$2:$D$501,""),""))</f>
        <v/>
      </c>
      <c r="G407" s="8" t="str">
        <f>IF(COUNTIFS(Pricing!$A:$A,A407,Pricing!$B:$B,B407)=0,"",SUMIFS(Pricing!$G:$G,Pricing!$A:$A,A407,Pricing!$B:$B,B407))</f>
        <v/>
      </c>
      <c r="H407" s="9" t="str">
        <f t="shared" si="32"/>
        <v/>
      </c>
      <c r="I407" s="3">
        <v>0</v>
      </c>
      <c r="J407" s="3">
        <v>0</v>
      </c>
      <c r="K407" s="9" t="str">
        <f t="shared" si="33"/>
        <v/>
      </c>
      <c r="L407" s="6" t="str">
        <f t="shared" si="34"/>
        <v/>
      </c>
      <c r="M407" s="10" t="str">
        <f t="shared" si="35"/>
        <v/>
      </c>
      <c r="N407" s="6" t="str">
        <f t="shared" si="36"/>
        <v/>
      </c>
    </row>
    <row r="408" spans="1:14">
      <c r="A408" s="2"/>
      <c r="B408" s="2"/>
      <c r="C408" s="22" t="str">
        <f>IF(OR(A408="",B408=""),"",IFERROR(XLOOKUP(1,(Buy_History!$A$2:$A$501=A408)*(Buy_History!$B$2:$B$501=B408),Buy_History!$C$2:$C$501,""),""))</f>
        <v/>
      </c>
      <c r="D408" s="22" t="str">
        <f>IF(OR(A408="",B408=""),"",IFERROR(XLOOKUP(1,(Sell_History!$A$2:$A$501=A408)*(Sell_History!$B$2:$B$501=B408),Sell_History!$C$2:$C$501,""),""))</f>
        <v/>
      </c>
      <c r="E408" s="8" t="str">
        <f>IF(OR(A408="",B408=""),"",IFERROR(XLOOKUP(1,(Raw_Observations!$A$2:$A$1001=A408)*(Raw_Observations!$B$2:$B$1001=B408),Raw_Observations!$D$2:$D$1001,""),""))</f>
        <v/>
      </c>
      <c r="F408" s="8" t="str">
        <f>IF(OR(A408="",B408=""),"",IFERROR(XLOOKUP(1,(Order_History!$A$2:$A$501=A408)*(Order_History!$B$2:$B$501=B408),Order_History!$D$2:$D$501,""),""))</f>
        <v/>
      </c>
      <c r="G408" s="8" t="str">
        <f>IF(COUNTIFS(Pricing!$A:$A,A408,Pricing!$B:$B,B408)=0,"",SUMIFS(Pricing!$G:$G,Pricing!$A:$A,A408,Pricing!$B:$B,B408))</f>
        <v/>
      </c>
      <c r="H408" s="9" t="str">
        <f t="shared" si="32"/>
        <v/>
      </c>
      <c r="I408" s="3">
        <v>0</v>
      </c>
      <c r="J408" s="3">
        <v>0</v>
      </c>
      <c r="K408" s="9" t="str">
        <f t="shared" si="33"/>
        <v/>
      </c>
      <c r="L408" s="6" t="str">
        <f t="shared" si="34"/>
        <v/>
      </c>
      <c r="M408" s="10" t="str">
        <f t="shared" si="35"/>
        <v/>
      </c>
      <c r="N408" s="6" t="str">
        <f t="shared" si="36"/>
        <v/>
      </c>
    </row>
    <row r="409" spans="1:14">
      <c r="A409" s="2"/>
      <c r="B409" s="2"/>
      <c r="C409" s="22" t="str">
        <f>IF(OR(A409="",B409=""),"",IFERROR(XLOOKUP(1,(Buy_History!$A$2:$A$501=A409)*(Buy_History!$B$2:$B$501=B409),Buy_History!$C$2:$C$501,""),""))</f>
        <v/>
      </c>
      <c r="D409" s="22" t="str">
        <f>IF(OR(A409="",B409=""),"",IFERROR(XLOOKUP(1,(Sell_History!$A$2:$A$501=A409)*(Sell_History!$B$2:$B$501=B409),Sell_History!$C$2:$C$501,""),""))</f>
        <v/>
      </c>
      <c r="E409" s="8" t="str">
        <f>IF(OR(A409="",B409=""),"",IFERROR(XLOOKUP(1,(Raw_Observations!$A$2:$A$1001=A409)*(Raw_Observations!$B$2:$B$1001=B409),Raw_Observations!$D$2:$D$1001,""),""))</f>
        <v/>
      </c>
      <c r="F409" s="8" t="str">
        <f>IF(OR(A409="",B409=""),"",IFERROR(XLOOKUP(1,(Order_History!$A$2:$A$501=A409)*(Order_History!$B$2:$B$501=B409),Order_History!$D$2:$D$501,""),""))</f>
        <v/>
      </c>
      <c r="G409" s="8" t="str">
        <f>IF(COUNTIFS(Pricing!$A:$A,A409,Pricing!$B:$B,B409)=0,"",SUMIFS(Pricing!$G:$G,Pricing!$A:$A,A409,Pricing!$B:$B,B409))</f>
        <v/>
      </c>
      <c r="H409" s="9" t="str">
        <f t="shared" si="32"/>
        <v/>
      </c>
      <c r="I409" s="3">
        <v>0</v>
      </c>
      <c r="J409" s="3">
        <v>0</v>
      </c>
      <c r="K409" s="9" t="str">
        <f t="shared" si="33"/>
        <v/>
      </c>
      <c r="L409" s="6" t="str">
        <f t="shared" si="34"/>
        <v/>
      </c>
      <c r="M409" s="10" t="str">
        <f t="shared" si="35"/>
        <v/>
      </c>
      <c r="N409" s="6" t="str">
        <f t="shared" si="36"/>
        <v/>
      </c>
    </row>
    <row r="410" spans="1:14">
      <c r="A410" s="2"/>
      <c r="B410" s="2"/>
      <c r="C410" s="22" t="str">
        <f>IF(OR(A410="",B410=""),"",IFERROR(XLOOKUP(1,(Buy_History!$A$2:$A$501=A410)*(Buy_History!$B$2:$B$501=B410),Buy_History!$C$2:$C$501,""),""))</f>
        <v/>
      </c>
      <c r="D410" s="22" t="str">
        <f>IF(OR(A410="",B410=""),"",IFERROR(XLOOKUP(1,(Sell_History!$A$2:$A$501=A410)*(Sell_History!$B$2:$B$501=B410),Sell_History!$C$2:$C$501,""),""))</f>
        <v/>
      </c>
      <c r="E410" s="8" t="str">
        <f>IF(OR(A410="",B410=""),"",IFERROR(XLOOKUP(1,(Raw_Observations!$A$2:$A$1001=A410)*(Raw_Observations!$B$2:$B$1001=B410),Raw_Observations!$D$2:$D$1001,""),""))</f>
        <v/>
      </c>
      <c r="F410" s="8" t="str">
        <f>IF(OR(A410="",B410=""),"",IFERROR(XLOOKUP(1,(Order_History!$A$2:$A$501=A410)*(Order_History!$B$2:$B$501=B410),Order_History!$D$2:$D$501,""),""))</f>
        <v/>
      </c>
      <c r="G410" s="8" t="str">
        <f>IF(COUNTIFS(Pricing!$A:$A,A410,Pricing!$B:$B,B410)=0,"",SUMIFS(Pricing!$G:$G,Pricing!$A:$A,A410,Pricing!$B:$B,B410))</f>
        <v/>
      </c>
      <c r="H410" s="9" t="str">
        <f t="shared" si="32"/>
        <v/>
      </c>
      <c r="I410" s="3">
        <v>0</v>
      </c>
      <c r="J410" s="3">
        <v>0</v>
      </c>
      <c r="K410" s="9" t="str">
        <f t="shared" si="33"/>
        <v/>
      </c>
      <c r="L410" s="6" t="str">
        <f t="shared" si="34"/>
        <v/>
      </c>
      <c r="M410" s="10" t="str">
        <f t="shared" si="35"/>
        <v/>
      </c>
      <c r="N410" s="6" t="str">
        <f t="shared" si="36"/>
        <v/>
      </c>
    </row>
    <row r="411" spans="1:14">
      <c r="A411" s="2"/>
      <c r="B411" s="2"/>
      <c r="C411" s="22" t="str">
        <f>IF(OR(A411="",B411=""),"",IFERROR(XLOOKUP(1,(Buy_History!$A$2:$A$501=A411)*(Buy_History!$B$2:$B$501=B411),Buy_History!$C$2:$C$501,""),""))</f>
        <v/>
      </c>
      <c r="D411" s="22" t="str">
        <f>IF(OR(A411="",B411=""),"",IFERROR(XLOOKUP(1,(Sell_History!$A$2:$A$501=A411)*(Sell_History!$B$2:$B$501=B411),Sell_History!$C$2:$C$501,""),""))</f>
        <v/>
      </c>
      <c r="E411" s="8" t="str">
        <f>IF(OR(A411="",B411=""),"",IFERROR(XLOOKUP(1,(Raw_Observations!$A$2:$A$1001=A411)*(Raw_Observations!$B$2:$B$1001=B411),Raw_Observations!$D$2:$D$1001,""),""))</f>
        <v/>
      </c>
      <c r="F411" s="8" t="str">
        <f>IF(OR(A411="",B411=""),"",IFERROR(XLOOKUP(1,(Order_History!$A$2:$A$501=A411)*(Order_History!$B$2:$B$501=B411),Order_History!$D$2:$D$501,""),""))</f>
        <v/>
      </c>
      <c r="G411" s="8" t="str">
        <f>IF(COUNTIFS(Pricing!$A:$A,A411,Pricing!$B:$B,B411)=0,"",SUMIFS(Pricing!$G:$G,Pricing!$A:$A,A411,Pricing!$B:$B,B411))</f>
        <v/>
      </c>
      <c r="H411" s="9" t="str">
        <f t="shared" si="32"/>
        <v/>
      </c>
      <c r="I411" s="3">
        <v>0</v>
      </c>
      <c r="J411" s="3">
        <v>0</v>
      </c>
      <c r="K411" s="9" t="str">
        <f t="shared" si="33"/>
        <v/>
      </c>
      <c r="L411" s="6" t="str">
        <f t="shared" si="34"/>
        <v/>
      </c>
      <c r="M411" s="10" t="str">
        <f t="shared" si="35"/>
        <v/>
      </c>
      <c r="N411" s="6" t="str">
        <f t="shared" si="36"/>
        <v/>
      </c>
    </row>
    <row r="412" spans="1:14">
      <c r="A412" s="2"/>
      <c r="B412" s="2"/>
      <c r="C412" s="22" t="str">
        <f>IF(OR(A412="",B412=""),"",IFERROR(XLOOKUP(1,(Buy_History!$A$2:$A$501=A412)*(Buy_History!$B$2:$B$501=B412),Buy_History!$C$2:$C$501,""),""))</f>
        <v/>
      </c>
      <c r="D412" s="22" t="str">
        <f>IF(OR(A412="",B412=""),"",IFERROR(XLOOKUP(1,(Sell_History!$A$2:$A$501=A412)*(Sell_History!$B$2:$B$501=B412),Sell_History!$C$2:$C$501,""),""))</f>
        <v/>
      </c>
      <c r="E412" s="8" t="str">
        <f>IF(OR(A412="",B412=""),"",IFERROR(XLOOKUP(1,(Raw_Observations!$A$2:$A$1001=A412)*(Raw_Observations!$B$2:$B$1001=B412),Raw_Observations!$D$2:$D$1001,""),""))</f>
        <v/>
      </c>
      <c r="F412" s="8" t="str">
        <f>IF(OR(A412="",B412=""),"",IFERROR(XLOOKUP(1,(Order_History!$A$2:$A$501=A412)*(Order_History!$B$2:$B$501=B412),Order_History!$D$2:$D$501,""),""))</f>
        <v/>
      </c>
      <c r="G412" s="8" t="str">
        <f>IF(COUNTIFS(Pricing!$A:$A,A412,Pricing!$B:$B,B412)=0,"",SUMIFS(Pricing!$G:$G,Pricing!$A:$A,A412,Pricing!$B:$B,B412))</f>
        <v/>
      </c>
      <c r="H412" s="9" t="str">
        <f t="shared" si="32"/>
        <v/>
      </c>
      <c r="I412" s="3">
        <v>0</v>
      </c>
      <c r="J412" s="3">
        <v>0</v>
      </c>
      <c r="K412" s="9" t="str">
        <f t="shared" si="33"/>
        <v/>
      </c>
      <c r="L412" s="6" t="str">
        <f t="shared" si="34"/>
        <v/>
      </c>
      <c r="M412" s="10" t="str">
        <f t="shared" si="35"/>
        <v/>
      </c>
      <c r="N412" s="6" t="str">
        <f t="shared" si="36"/>
        <v/>
      </c>
    </row>
    <row r="413" spans="1:14">
      <c r="A413" s="2"/>
      <c r="B413" s="2"/>
      <c r="C413" s="22" t="str">
        <f>IF(OR(A413="",B413=""),"",IFERROR(XLOOKUP(1,(Buy_History!$A$2:$A$501=A413)*(Buy_History!$B$2:$B$501=B413),Buy_History!$C$2:$C$501,""),""))</f>
        <v/>
      </c>
      <c r="D413" s="22" t="str">
        <f>IF(OR(A413="",B413=""),"",IFERROR(XLOOKUP(1,(Sell_History!$A$2:$A$501=A413)*(Sell_History!$B$2:$B$501=B413),Sell_History!$C$2:$C$501,""),""))</f>
        <v/>
      </c>
      <c r="E413" s="8" t="str">
        <f>IF(OR(A413="",B413=""),"",IFERROR(XLOOKUP(1,(Raw_Observations!$A$2:$A$1001=A413)*(Raw_Observations!$B$2:$B$1001=B413),Raw_Observations!$D$2:$D$1001,""),""))</f>
        <v/>
      </c>
      <c r="F413" s="8" t="str">
        <f>IF(OR(A413="",B413=""),"",IFERROR(XLOOKUP(1,(Order_History!$A$2:$A$501=A413)*(Order_History!$B$2:$B$501=B413),Order_History!$D$2:$D$501,""),""))</f>
        <v/>
      </c>
      <c r="G413" s="8" t="str">
        <f>IF(COUNTIFS(Pricing!$A:$A,A413,Pricing!$B:$B,B413)=0,"",SUMIFS(Pricing!$G:$G,Pricing!$A:$A,A413,Pricing!$B:$B,B413))</f>
        <v/>
      </c>
      <c r="H413" s="9" t="str">
        <f t="shared" si="32"/>
        <v/>
      </c>
      <c r="I413" s="3">
        <v>0</v>
      </c>
      <c r="J413" s="3">
        <v>0</v>
      </c>
      <c r="K413" s="9" t="str">
        <f t="shared" si="33"/>
        <v/>
      </c>
      <c r="L413" s="6" t="str">
        <f t="shared" si="34"/>
        <v/>
      </c>
      <c r="M413" s="10" t="str">
        <f t="shared" si="35"/>
        <v/>
      </c>
      <c r="N413" s="6" t="str">
        <f t="shared" si="36"/>
        <v/>
      </c>
    </row>
    <row r="414" spans="1:14">
      <c r="A414" s="2"/>
      <c r="B414" s="2"/>
      <c r="C414" s="22" t="str">
        <f>IF(OR(A414="",B414=""),"",IFERROR(XLOOKUP(1,(Buy_History!$A$2:$A$501=A414)*(Buy_History!$B$2:$B$501=B414),Buy_History!$C$2:$C$501,""),""))</f>
        <v/>
      </c>
      <c r="D414" s="22" t="str">
        <f>IF(OR(A414="",B414=""),"",IFERROR(XLOOKUP(1,(Sell_History!$A$2:$A$501=A414)*(Sell_History!$B$2:$B$501=B414),Sell_History!$C$2:$C$501,""),""))</f>
        <v/>
      </c>
      <c r="E414" s="8" t="str">
        <f>IF(OR(A414="",B414=""),"",IFERROR(XLOOKUP(1,(Raw_Observations!$A$2:$A$1001=A414)*(Raw_Observations!$B$2:$B$1001=B414),Raw_Observations!$D$2:$D$1001,""),""))</f>
        <v/>
      </c>
      <c r="F414" s="8" t="str">
        <f>IF(OR(A414="",B414=""),"",IFERROR(XLOOKUP(1,(Order_History!$A$2:$A$501=A414)*(Order_History!$B$2:$B$501=B414),Order_History!$D$2:$D$501,""),""))</f>
        <v/>
      </c>
      <c r="G414" s="8" t="str">
        <f>IF(COUNTIFS(Pricing!$A:$A,A414,Pricing!$B:$B,B414)=0,"",SUMIFS(Pricing!$G:$G,Pricing!$A:$A,A414,Pricing!$B:$B,B414))</f>
        <v/>
      </c>
      <c r="H414" s="9" t="str">
        <f t="shared" si="32"/>
        <v/>
      </c>
      <c r="I414" s="3">
        <v>0</v>
      </c>
      <c r="J414" s="3">
        <v>0</v>
      </c>
      <c r="K414" s="9" t="str">
        <f t="shared" si="33"/>
        <v/>
      </c>
      <c r="L414" s="6" t="str">
        <f t="shared" si="34"/>
        <v/>
      </c>
      <c r="M414" s="10" t="str">
        <f t="shared" si="35"/>
        <v/>
      </c>
      <c r="N414" s="6" t="str">
        <f t="shared" si="36"/>
        <v/>
      </c>
    </row>
    <row r="415" spans="1:14">
      <c r="A415" s="2"/>
      <c r="B415" s="2"/>
      <c r="C415" s="22" t="str">
        <f>IF(OR(A415="",B415=""),"",IFERROR(XLOOKUP(1,(Buy_History!$A$2:$A$501=A415)*(Buy_History!$B$2:$B$501=B415),Buy_History!$C$2:$C$501,""),""))</f>
        <v/>
      </c>
      <c r="D415" s="22" t="str">
        <f>IF(OR(A415="",B415=""),"",IFERROR(XLOOKUP(1,(Sell_History!$A$2:$A$501=A415)*(Sell_History!$B$2:$B$501=B415),Sell_History!$C$2:$C$501,""),""))</f>
        <v/>
      </c>
      <c r="E415" s="8" t="str">
        <f>IF(OR(A415="",B415=""),"",IFERROR(XLOOKUP(1,(Raw_Observations!$A$2:$A$1001=A415)*(Raw_Observations!$B$2:$B$1001=B415),Raw_Observations!$D$2:$D$1001,""),""))</f>
        <v/>
      </c>
      <c r="F415" s="8" t="str">
        <f>IF(OR(A415="",B415=""),"",IFERROR(XLOOKUP(1,(Order_History!$A$2:$A$501=A415)*(Order_History!$B$2:$B$501=B415),Order_History!$D$2:$D$501,""),""))</f>
        <v/>
      </c>
      <c r="G415" s="8" t="str">
        <f>IF(COUNTIFS(Pricing!$A:$A,A415,Pricing!$B:$B,B415)=0,"",SUMIFS(Pricing!$G:$G,Pricing!$A:$A,A415,Pricing!$B:$B,B415))</f>
        <v/>
      </c>
      <c r="H415" s="9" t="str">
        <f t="shared" si="32"/>
        <v/>
      </c>
      <c r="I415" s="3">
        <v>0</v>
      </c>
      <c r="J415" s="3">
        <v>0</v>
      </c>
      <c r="K415" s="9" t="str">
        <f t="shared" si="33"/>
        <v/>
      </c>
      <c r="L415" s="6" t="str">
        <f t="shared" si="34"/>
        <v/>
      </c>
      <c r="M415" s="10" t="str">
        <f t="shared" si="35"/>
        <v/>
      </c>
      <c r="N415" s="6" t="str">
        <f t="shared" si="36"/>
        <v/>
      </c>
    </row>
    <row r="416" spans="1:14">
      <c r="A416" s="2"/>
      <c r="B416" s="2"/>
      <c r="C416" s="22" t="str">
        <f>IF(OR(A416="",B416=""),"",IFERROR(XLOOKUP(1,(Buy_History!$A$2:$A$501=A416)*(Buy_History!$B$2:$B$501=B416),Buy_History!$C$2:$C$501,""),""))</f>
        <v/>
      </c>
      <c r="D416" s="22" t="str">
        <f>IF(OR(A416="",B416=""),"",IFERROR(XLOOKUP(1,(Sell_History!$A$2:$A$501=A416)*(Sell_History!$B$2:$B$501=B416),Sell_History!$C$2:$C$501,""),""))</f>
        <v/>
      </c>
      <c r="E416" s="8" t="str">
        <f>IF(OR(A416="",B416=""),"",IFERROR(XLOOKUP(1,(Raw_Observations!$A$2:$A$1001=A416)*(Raw_Observations!$B$2:$B$1001=B416),Raw_Observations!$D$2:$D$1001,""),""))</f>
        <v/>
      </c>
      <c r="F416" s="8" t="str">
        <f>IF(OR(A416="",B416=""),"",IFERROR(XLOOKUP(1,(Order_History!$A$2:$A$501=A416)*(Order_History!$B$2:$B$501=B416),Order_History!$D$2:$D$501,""),""))</f>
        <v/>
      </c>
      <c r="G416" s="8" t="str">
        <f>IF(COUNTIFS(Pricing!$A:$A,A416,Pricing!$B:$B,B416)=0,"",SUMIFS(Pricing!$G:$G,Pricing!$A:$A,A416,Pricing!$B:$B,B416))</f>
        <v/>
      </c>
      <c r="H416" s="9" t="str">
        <f t="shared" si="32"/>
        <v/>
      </c>
      <c r="I416" s="3">
        <v>0</v>
      </c>
      <c r="J416" s="3">
        <v>0</v>
      </c>
      <c r="K416" s="9" t="str">
        <f t="shared" si="33"/>
        <v/>
      </c>
      <c r="L416" s="6" t="str">
        <f t="shared" si="34"/>
        <v/>
      </c>
      <c r="M416" s="10" t="str">
        <f t="shared" si="35"/>
        <v/>
      </c>
      <c r="N416" s="6" t="str">
        <f t="shared" si="36"/>
        <v/>
      </c>
    </row>
    <row r="417" spans="1:14">
      <c r="A417" s="2"/>
      <c r="B417" s="2"/>
      <c r="C417" s="22" t="str">
        <f>IF(OR(A417="",B417=""),"",IFERROR(XLOOKUP(1,(Buy_History!$A$2:$A$501=A417)*(Buy_History!$B$2:$B$501=B417),Buy_History!$C$2:$C$501,""),""))</f>
        <v/>
      </c>
      <c r="D417" s="22" t="str">
        <f>IF(OR(A417="",B417=""),"",IFERROR(XLOOKUP(1,(Sell_History!$A$2:$A$501=A417)*(Sell_History!$B$2:$B$501=B417),Sell_History!$C$2:$C$501,""),""))</f>
        <v/>
      </c>
      <c r="E417" s="8" t="str">
        <f>IF(OR(A417="",B417=""),"",IFERROR(XLOOKUP(1,(Raw_Observations!$A$2:$A$1001=A417)*(Raw_Observations!$B$2:$B$1001=B417),Raw_Observations!$D$2:$D$1001,""),""))</f>
        <v/>
      </c>
      <c r="F417" s="8" t="str">
        <f>IF(OR(A417="",B417=""),"",IFERROR(XLOOKUP(1,(Order_History!$A$2:$A$501=A417)*(Order_History!$B$2:$B$501=B417),Order_History!$D$2:$D$501,""),""))</f>
        <v/>
      </c>
      <c r="G417" s="8" t="str">
        <f>IF(COUNTIFS(Pricing!$A:$A,A417,Pricing!$B:$B,B417)=0,"",SUMIFS(Pricing!$G:$G,Pricing!$A:$A,A417,Pricing!$B:$B,B417))</f>
        <v/>
      </c>
      <c r="H417" s="9" t="str">
        <f t="shared" si="32"/>
        <v/>
      </c>
      <c r="I417" s="3">
        <v>0</v>
      </c>
      <c r="J417" s="3">
        <v>0</v>
      </c>
      <c r="K417" s="9" t="str">
        <f t="shared" si="33"/>
        <v/>
      </c>
      <c r="L417" s="6" t="str">
        <f t="shared" si="34"/>
        <v/>
      </c>
      <c r="M417" s="10" t="str">
        <f t="shared" si="35"/>
        <v/>
      </c>
      <c r="N417" s="6" t="str">
        <f t="shared" si="36"/>
        <v/>
      </c>
    </row>
    <row r="418" spans="1:14">
      <c r="A418" s="2"/>
      <c r="B418" s="2"/>
      <c r="C418" s="22" t="str">
        <f>IF(OR(A418="",B418=""),"",IFERROR(XLOOKUP(1,(Buy_History!$A$2:$A$501=A418)*(Buy_History!$B$2:$B$501=B418),Buy_History!$C$2:$C$501,""),""))</f>
        <v/>
      </c>
      <c r="D418" s="22" t="str">
        <f>IF(OR(A418="",B418=""),"",IFERROR(XLOOKUP(1,(Sell_History!$A$2:$A$501=A418)*(Sell_History!$B$2:$B$501=B418),Sell_History!$C$2:$C$501,""),""))</f>
        <v/>
      </c>
      <c r="E418" s="8" t="str">
        <f>IF(OR(A418="",B418=""),"",IFERROR(XLOOKUP(1,(Raw_Observations!$A$2:$A$1001=A418)*(Raw_Observations!$B$2:$B$1001=B418),Raw_Observations!$D$2:$D$1001,""),""))</f>
        <v/>
      </c>
      <c r="F418" s="8" t="str">
        <f>IF(OR(A418="",B418=""),"",IFERROR(XLOOKUP(1,(Order_History!$A$2:$A$501=A418)*(Order_History!$B$2:$B$501=B418),Order_History!$D$2:$D$501,""),""))</f>
        <v/>
      </c>
      <c r="G418" s="8" t="str">
        <f>IF(COUNTIFS(Pricing!$A:$A,A418,Pricing!$B:$B,B418)=0,"",SUMIFS(Pricing!$G:$G,Pricing!$A:$A,A418,Pricing!$B:$B,B418))</f>
        <v/>
      </c>
      <c r="H418" s="9" t="str">
        <f t="shared" si="32"/>
        <v/>
      </c>
      <c r="I418" s="3">
        <v>0</v>
      </c>
      <c r="J418" s="3">
        <v>0</v>
      </c>
      <c r="K418" s="9" t="str">
        <f t="shared" si="33"/>
        <v/>
      </c>
      <c r="L418" s="6" t="str">
        <f t="shared" si="34"/>
        <v/>
      </c>
      <c r="M418" s="10" t="str">
        <f t="shared" si="35"/>
        <v/>
      </c>
      <c r="N418" s="6" t="str">
        <f t="shared" si="36"/>
        <v/>
      </c>
    </row>
    <row r="419" spans="1:14">
      <c r="A419" s="2"/>
      <c r="B419" s="2"/>
      <c r="C419" s="22" t="str">
        <f>IF(OR(A419="",B419=""),"",IFERROR(XLOOKUP(1,(Buy_History!$A$2:$A$501=A419)*(Buy_History!$B$2:$B$501=B419),Buy_History!$C$2:$C$501,""),""))</f>
        <v/>
      </c>
      <c r="D419" s="22" t="str">
        <f>IF(OR(A419="",B419=""),"",IFERROR(XLOOKUP(1,(Sell_History!$A$2:$A$501=A419)*(Sell_History!$B$2:$B$501=B419),Sell_History!$C$2:$C$501,""),""))</f>
        <v/>
      </c>
      <c r="E419" s="8" t="str">
        <f>IF(OR(A419="",B419=""),"",IFERROR(XLOOKUP(1,(Raw_Observations!$A$2:$A$1001=A419)*(Raw_Observations!$B$2:$B$1001=B419),Raw_Observations!$D$2:$D$1001,""),""))</f>
        <v/>
      </c>
      <c r="F419" s="8" t="str">
        <f>IF(OR(A419="",B419=""),"",IFERROR(XLOOKUP(1,(Order_History!$A$2:$A$501=A419)*(Order_History!$B$2:$B$501=B419),Order_History!$D$2:$D$501,""),""))</f>
        <v/>
      </c>
      <c r="G419" s="8" t="str">
        <f>IF(COUNTIFS(Pricing!$A:$A,A419,Pricing!$B:$B,B419)=0,"",SUMIFS(Pricing!$G:$G,Pricing!$A:$A,A419,Pricing!$B:$B,B419))</f>
        <v/>
      </c>
      <c r="H419" s="9" t="str">
        <f t="shared" si="32"/>
        <v/>
      </c>
      <c r="I419" s="3">
        <v>0</v>
      </c>
      <c r="J419" s="3">
        <v>0</v>
      </c>
      <c r="K419" s="9" t="str">
        <f t="shared" si="33"/>
        <v/>
      </c>
      <c r="L419" s="6" t="str">
        <f t="shared" si="34"/>
        <v/>
      </c>
      <c r="M419" s="10" t="str">
        <f t="shared" si="35"/>
        <v/>
      </c>
      <c r="N419" s="6" t="str">
        <f t="shared" si="36"/>
        <v/>
      </c>
    </row>
    <row r="420" spans="1:14">
      <c r="A420" s="2"/>
      <c r="B420" s="2"/>
      <c r="C420" s="22" t="str">
        <f>IF(OR(A420="",B420=""),"",IFERROR(XLOOKUP(1,(Buy_History!$A$2:$A$501=A420)*(Buy_History!$B$2:$B$501=B420),Buy_History!$C$2:$C$501,""),""))</f>
        <v/>
      </c>
      <c r="D420" s="22" t="str">
        <f>IF(OR(A420="",B420=""),"",IFERROR(XLOOKUP(1,(Sell_History!$A$2:$A$501=A420)*(Sell_History!$B$2:$B$501=B420),Sell_History!$C$2:$C$501,""),""))</f>
        <v/>
      </c>
      <c r="E420" s="8" t="str">
        <f>IF(OR(A420="",B420=""),"",IFERROR(XLOOKUP(1,(Raw_Observations!$A$2:$A$1001=A420)*(Raw_Observations!$B$2:$B$1001=B420),Raw_Observations!$D$2:$D$1001,""),""))</f>
        <v/>
      </c>
      <c r="F420" s="8" t="str">
        <f>IF(OR(A420="",B420=""),"",IFERROR(XLOOKUP(1,(Order_History!$A$2:$A$501=A420)*(Order_History!$B$2:$B$501=B420),Order_History!$D$2:$D$501,""),""))</f>
        <v/>
      </c>
      <c r="G420" s="8" t="str">
        <f>IF(COUNTIFS(Pricing!$A:$A,A420,Pricing!$B:$B,B420)=0,"",SUMIFS(Pricing!$G:$G,Pricing!$A:$A,A420,Pricing!$B:$B,B420))</f>
        <v/>
      </c>
      <c r="H420" s="9" t="str">
        <f t="shared" si="32"/>
        <v/>
      </c>
      <c r="I420" s="3">
        <v>0</v>
      </c>
      <c r="J420" s="3">
        <v>0</v>
      </c>
      <c r="K420" s="9" t="str">
        <f t="shared" si="33"/>
        <v/>
      </c>
      <c r="L420" s="6" t="str">
        <f t="shared" si="34"/>
        <v/>
      </c>
      <c r="M420" s="10" t="str">
        <f t="shared" si="35"/>
        <v/>
      </c>
      <c r="N420" s="6" t="str">
        <f t="shared" si="36"/>
        <v/>
      </c>
    </row>
    <row r="421" spans="1:14">
      <c r="A421" s="2"/>
      <c r="B421" s="2"/>
      <c r="C421" s="22" t="str">
        <f>IF(OR(A421="",B421=""),"",IFERROR(XLOOKUP(1,(Buy_History!$A$2:$A$501=A421)*(Buy_History!$B$2:$B$501=B421),Buy_History!$C$2:$C$501,""),""))</f>
        <v/>
      </c>
      <c r="D421" s="22" t="str">
        <f>IF(OR(A421="",B421=""),"",IFERROR(XLOOKUP(1,(Sell_History!$A$2:$A$501=A421)*(Sell_History!$B$2:$B$501=B421),Sell_History!$C$2:$C$501,""),""))</f>
        <v/>
      </c>
      <c r="E421" s="8" t="str">
        <f>IF(OR(A421="",B421=""),"",IFERROR(XLOOKUP(1,(Raw_Observations!$A$2:$A$1001=A421)*(Raw_Observations!$B$2:$B$1001=B421),Raw_Observations!$D$2:$D$1001,""),""))</f>
        <v/>
      </c>
      <c r="F421" s="8" t="str">
        <f>IF(OR(A421="",B421=""),"",IFERROR(XLOOKUP(1,(Order_History!$A$2:$A$501=A421)*(Order_History!$B$2:$B$501=B421),Order_History!$D$2:$D$501,""),""))</f>
        <v/>
      </c>
      <c r="G421" s="8" t="str">
        <f>IF(COUNTIFS(Pricing!$A:$A,A421,Pricing!$B:$B,B421)=0,"",SUMIFS(Pricing!$G:$G,Pricing!$A:$A,A421,Pricing!$B:$B,B421))</f>
        <v/>
      </c>
      <c r="H421" s="9" t="str">
        <f t="shared" si="32"/>
        <v/>
      </c>
      <c r="I421" s="3">
        <v>0</v>
      </c>
      <c r="J421" s="3">
        <v>0</v>
      </c>
      <c r="K421" s="9" t="str">
        <f t="shared" si="33"/>
        <v/>
      </c>
      <c r="L421" s="6" t="str">
        <f t="shared" si="34"/>
        <v/>
      </c>
      <c r="M421" s="10" t="str">
        <f t="shared" si="35"/>
        <v/>
      </c>
      <c r="N421" s="6" t="str">
        <f t="shared" si="36"/>
        <v/>
      </c>
    </row>
    <row r="422" spans="1:14">
      <c r="A422" s="2"/>
      <c r="B422" s="2"/>
      <c r="C422" s="22" t="str">
        <f>IF(OR(A422="",B422=""),"",IFERROR(XLOOKUP(1,(Buy_History!$A$2:$A$501=A422)*(Buy_History!$B$2:$B$501=B422),Buy_History!$C$2:$C$501,""),""))</f>
        <v/>
      </c>
      <c r="D422" s="22" t="str">
        <f>IF(OR(A422="",B422=""),"",IFERROR(XLOOKUP(1,(Sell_History!$A$2:$A$501=A422)*(Sell_History!$B$2:$B$501=B422),Sell_History!$C$2:$C$501,""),""))</f>
        <v/>
      </c>
      <c r="E422" s="8" t="str">
        <f>IF(OR(A422="",B422=""),"",IFERROR(XLOOKUP(1,(Raw_Observations!$A$2:$A$1001=A422)*(Raw_Observations!$B$2:$B$1001=B422),Raw_Observations!$D$2:$D$1001,""),""))</f>
        <v/>
      </c>
      <c r="F422" s="8" t="str">
        <f>IF(OR(A422="",B422=""),"",IFERROR(XLOOKUP(1,(Order_History!$A$2:$A$501=A422)*(Order_History!$B$2:$B$501=B422),Order_History!$D$2:$D$501,""),""))</f>
        <v/>
      </c>
      <c r="G422" s="8" t="str">
        <f>IF(COUNTIFS(Pricing!$A:$A,A422,Pricing!$B:$B,B422)=0,"",SUMIFS(Pricing!$G:$G,Pricing!$A:$A,A422,Pricing!$B:$B,B422))</f>
        <v/>
      </c>
      <c r="H422" s="9" t="str">
        <f t="shared" si="32"/>
        <v/>
      </c>
      <c r="I422" s="3">
        <v>0</v>
      </c>
      <c r="J422" s="3">
        <v>0</v>
      </c>
      <c r="K422" s="9" t="str">
        <f t="shared" si="33"/>
        <v/>
      </c>
      <c r="L422" s="6" t="str">
        <f t="shared" si="34"/>
        <v/>
      </c>
      <c r="M422" s="10" t="str">
        <f t="shared" si="35"/>
        <v/>
      </c>
      <c r="N422" s="6" t="str">
        <f t="shared" si="36"/>
        <v/>
      </c>
    </row>
    <row r="423" spans="1:14">
      <c r="A423" s="2"/>
      <c r="B423" s="2"/>
      <c r="C423" s="22" t="str">
        <f>IF(OR(A423="",B423=""),"",IFERROR(XLOOKUP(1,(Buy_History!$A$2:$A$501=A423)*(Buy_History!$B$2:$B$501=B423),Buy_History!$C$2:$C$501,""),""))</f>
        <v/>
      </c>
      <c r="D423" s="22" t="str">
        <f>IF(OR(A423="",B423=""),"",IFERROR(XLOOKUP(1,(Sell_History!$A$2:$A$501=A423)*(Sell_History!$B$2:$B$501=B423),Sell_History!$C$2:$C$501,""),""))</f>
        <v/>
      </c>
      <c r="E423" s="8" t="str">
        <f>IF(OR(A423="",B423=""),"",IFERROR(XLOOKUP(1,(Raw_Observations!$A$2:$A$1001=A423)*(Raw_Observations!$B$2:$B$1001=B423),Raw_Observations!$D$2:$D$1001,""),""))</f>
        <v/>
      </c>
      <c r="F423" s="8" t="str">
        <f>IF(OR(A423="",B423=""),"",IFERROR(XLOOKUP(1,(Order_History!$A$2:$A$501=A423)*(Order_History!$B$2:$B$501=B423),Order_History!$D$2:$D$501,""),""))</f>
        <v/>
      </c>
      <c r="G423" s="8" t="str">
        <f>IF(COUNTIFS(Pricing!$A:$A,A423,Pricing!$B:$B,B423)=0,"",SUMIFS(Pricing!$G:$G,Pricing!$A:$A,A423,Pricing!$B:$B,B423))</f>
        <v/>
      </c>
      <c r="H423" s="9" t="str">
        <f t="shared" si="32"/>
        <v/>
      </c>
      <c r="I423" s="3">
        <v>0</v>
      </c>
      <c r="J423" s="3">
        <v>0</v>
      </c>
      <c r="K423" s="9" t="str">
        <f t="shared" si="33"/>
        <v/>
      </c>
      <c r="L423" s="6" t="str">
        <f t="shared" si="34"/>
        <v/>
      </c>
      <c r="M423" s="10" t="str">
        <f t="shared" si="35"/>
        <v/>
      </c>
      <c r="N423" s="6" t="str">
        <f t="shared" si="36"/>
        <v/>
      </c>
    </row>
    <row r="424" spans="1:14">
      <c r="A424" s="2"/>
      <c r="B424" s="2"/>
      <c r="C424" s="22" t="str">
        <f>IF(OR(A424="",B424=""),"",IFERROR(XLOOKUP(1,(Buy_History!$A$2:$A$501=A424)*(Buy_History!$B$2:$B$501=B424),Buy_History!$C$2:$C$501,""),""))</f>
        <v/>
      </c>
      <c r="D424" s="22" t="str">
        <f>IF(OR(A424="",B424=""),"",IFERROR(XLOOKUP(1,(Sell_History!$A$2:$A$501=A424)*(Sell_History!$B$2:$B$501=B424),Sell_History!$C$2:$C$501,""),""))</f>
        <v/>
      </c>
      <c r="E424" s="8" t="str">
        <f>IF(OR(A424="",B424=""),"",IFERROR(XLOOKUP(1,(Raw_Observations!$A$2:$A$1001=A424)*(Raw_Observations!$B$2:$B$1001=B424),Raw_Observations!$D$2:$D$1001,""),""))</f>
        <v/>
      </c>
      <c r="F424" s="8" t="str">
        <f>IF(OR(A424="",B424=""),"",IFERROR(XLOOKUP(1,(Order_History!$A$2:$A$501=A424)*(Order_History!$B$2:$B$501=B424),Order_History!$D$2:$D$501,""),""))</f>
        <v/>
      </c>
      <c r="G424" s="8" t="str">
        <f>IF(COUNTIFS(Pricing!$A:$A,A424,Pricing!$B:$B,B424)=0,"",SUMIFS(Pricing!$G:$G,Pricing!$A:$A,A424,Pricing!$B:$B,B424))</f>
        <v/>
      </c>
      <c r="H424" s="9" t="str">
        <f t="shared" si="32"/>
        <v/>
      </c>
      <c r="I424" s="3">
        <v>0</v>
      </c>
      <c r="J424" s="3">
        <v>0</v>
      </c>
      <c r="K424" s="9" t="str">
        <f t="shared" si="33"/>
        <v/>
      </c>
      <c r="L424" s="6" t="str">
        <f t="shared" si="34"/>
        <v/>
      </c>
      <c r="M424" s="10" t="str">
        <f t="shared" si="35"/>
        <v/>
      </c>
      <c r="N424" s="6" t="str">
        <f t="shared" si="36"/>
        <v/>
      </c>
    </row>
    <row r="425" spans="1:14">
      <c r="A425" s="2"/>
      <c r="B425" s="2"/>
      <c r="C425" s="22" t="str">
        <f>IF(OR(A425="",B425=""),"",IFERROR(XLOOKUP(1,(Buy_History!$A$2:$A$501=A425)*(Buy_History!$B$2:$B$501=B425),Buy_History!$C$2:$C$501,""),""))</f>
        <v/>
      </c>
      <c r="D425" s="22" t="str">
        <f>IF(OR(A425="",B425=""),"",IFERROR(XLOOKUP(1,(Sell_History!$A$2:$A$501=A425)*(Sell_History!$B$2:$B$501=B425),Sell_History!$C$2:$C$501,""),""))</f>
        <v/>
      </c>
      <c r="E425" s="8" t="str">
        <f>IF(OR(A425="",B425=""),"",IFERROR(XLOOKUP(1,(Raw_Observations!$A$2:$A$1001=A425)*(Raw_Observations!$B$2:$B$1001=B425),Raw_Observations!$D$2:$D$1001,""),""))</f>
        <v/>
      </c>
      <c r="F425" s="8" t="str">
        <f>IF(OR(A425="",B425=""),"",IFERROR(XLOOKUP(1,(Order_History!$A$2:$A$501=A425)*(Order_History!$B$2:$B$501=B425),Order_History!$D$2:$D$501,""),""))</f>
        <v/>
      </c>
      <c r="G425" s="8" t="str">
        <f>IF(COUNTIFS(Pricing!$A:$A,A425,Pricing!$B:$B,B425)=0,"",SUMIFS(Pricing!$G:$G,Pricing!$A:$A,A425,Pricing!$B:$B,B425))</f>
        <v/>
      </c>
      <c r="H425" s="9" t="str">
        <f t="shared" si="32"/>
        <v/>
      </c>
      <c r="I425" s="3">
        <v>0</v>
      </c>
      <c r="J425" s="3">
        <v>0</v>
      </c>
      <c r="K425" s="9" t="str">
        <f t="shared" si="33"/>
        <v/>
      </c>
      <c r="L425" s="6" t="str">
        <f t="shared" si="34"/>
        <v/>
      </c>
      <c r="M425" s="10" t="str">
        <f t="shared" si="35"/>
        <v/>
      </c>
      <c r="N425" s="6" t="str">
        <f t="shared" si="36"/>
        <v/>
      </c>
    </row>
    <row r="426" spans="1:14">
      <c r="A426" s="2"/>
      <c r="B426" s="2"/>
      <c r="C426" s="22" t="str">
        <f>IF(OR(A426="",B426=""),"",IFERROR(XLOOKUP(1,(Buy_History!$A$2:$A$501=A426)*(Buy_History!$B$2:$B$501=B426),Buy_History!$C$2:$C$501,""),""))</f>
        <v/>
      </c>
      <c r="D426" s="22" t="str">
        <f>IF(OR(A426="",B426=""),"",IFERROR(XLOOKUP(1,(Sell_History!$A$2:$A$501=A426)*(Sell_History!$B$2:$B$501=B426),Sell_History!$C$2:$C$501,""),""))</f>
        <v/>
      </c>
      <c r="E426" s="8" t="str">
        <f>IF(OR(A426="",B426=""),"",IFERROR(XLOOKUP(1,(Raw_Observations!$A$2:$A$1001=A426)*(Raw_Observations!$B$2:$B$1001=B426),Raw_Observations!$D$2:$D$1001,""),""))</f>
        <v/>
      </c>
      <c r="F426" s="8" t="str">
        <f>IF(OR(A426="",B426=""),"",IFERROR(XLOOKUP(1,(Order_History!$A$2:$A$501=A426)*(Order_History!$B$2:$B$501=B426),Order_History!$D$2:$D$501,""),""))</f>
        <v/>
      </c>
      <c r="G426" s="8" t="str">
        <f>IF(COUNTIFS(Pricing!$A:$A,A426,Pricing!$B:$B,B426)=0,"",SUMIFS(Pricing!$G:$G,Pricing!$A:$A,A426,Pricing!$B:$B,B426))</f>
        <v/>
      </c>
      <c r="H426" s="9" t="str">
        <f t="shared" si="32"/>
        <v/>
      </c>
      <c r="I426" s="3">
        <v>0</v>
      </c>
      <c r="J426" s="3">
        <v>0</v>
      </c>
      <c r="K426" s="9" t="str">
        <f t="shared" si="33"/>
        <v/>
      </c>
      <c r="L426" s="6" t="str">
        <f t="shared" si="34"/>
        <v/>
      </c>
      <c r="M426" s="10" t="str">
        <f t="shared" si="35"/>
        <v/>
      </c>
      <c r="N426" s="6" t="str">
        <f t="shared" si="36"/>
        <v/>
      </c>
    </row>
    <row r="427" spans="1:14">
      <c r="A427" s="2"/>
      <c r="B427" s="2"/>
      <c r="C427" s="22" t="str">
        <f>IF(OR(A427="",B427=""),"",IFERROR(XLOOKUP(1,(Buy_History!$A$2:$A$501=A427)*(Buy_History!$B$2:$B$501=B427),Buy_History!$C$2:$C$501,""),""))</f>
        <v/>
      </c>
      <c r="D427" s="22" t="str">
        <f>IF(OR(A427="",B427=""),"",IFERROR(XLOOKUP(1,(Sell_History!$A$2:$A$501=A427)*(Sell_History!$B$2:$B$501=B427),Sell_History!$C$2:$C$501,""),""))</f>
        <v/>
      </c>
      <c r="E427" s="8" t="str">
        <f>IF(OR(A427="",B427=""),"",IFERROR(XLOOKUP(1,(Raw_Observations!$A$2:$A$1001=A427)*(Raw_Observations!$B$2:$B$1001=B427),Raw_Observations!$D$2:$D$1001,""),""))</f>
        <v/>
      </c>
      <c r="F427" s="8" t="str">
        <f>IF(OR(A427="",B427=""),"",IFERROR(XLOOKUP(1,(Order_History!$A$2:$A$501=A427)*(Order_History!$B$2:$B$501=B427),Order_History!$D$2:$D$501,""),""))</f>
        <v/>
      </c>
      <c r="G427" s="8" t="str">
        <f>IF(COUNTIFS(Pricing!$A:$A,A427,Pricing!$B:$B,B427)=0,"",SUMIFS(Pricing!$G:$G,Pricing!$A:$A,A427,Pricing!$B:$B,B427))</f>
        <v/>
      </c>
      <c r="H427" s="9" t="str">
        <f t="shared" si="32"/>
        <v/>
      </c>
      <c r="I427" s="3">
        <v>0</v>
      </c>
      <c r="J427" s="3">
        <v>0</v>
      </c>
      <c r="K427" s="9" t="str">
        <f t="shared" si="33"/>
        <v/>
      </c>
      <c r="L427" s="6" t="str">
        <f t="shared" si="34"/>
        <v/>
      </c>
      <c r="M427" s="10" t="str">
        <f t="shared" si="35"/>
        <v/>
      </c>
      <c r="N427" s="6" t="str">
        <f t="shared" si="36"/>
        <v/>
      </c>
    </row>
    <row r="428" spans="1:14">
      <c r="A428" s="2"/>
      <c r="B428" s="2"/>
      <c r="C428" s="22" t="str">
        <f>IF(OR(A428="",B428=""),"",IFERROR(XLOOKUP(1,(Buy_History!$A$2:$A$501=A428)*(Buy_History!$B$2:$B$501=B428),Buy_History!$C$2:$C$501,""),""))</f>
        <v/>
      </c>
      <c r="D428" s="22" t="str">
        <f>IF(OR(A428="",B428=""),"",IFERROR(XLOOKUP(1,(Sell_History!$A$2:$A$501=A428)*(Sell_History!$B$2:$B$501=B428),Sell_History!$C$2:$C$501,""),""))</f>
        <v/>
      </c>
      <c r="E428" s="8" t="str">
        <f>IF(OR(A428="",B428=""),"",IFERROR(XLOOKUP(1,(Raw_Observations!$A$2:$A$1001=A428)*(Raw_Observations!$B$2:$B$1001=B428),Raw_Observations!$D$2:$D$1001,""),""))</f>
        <v/>
      </c>
      <c r="F428" s="8" t="str">
        <f>IF(OR(A428="",B428=""),"",IFERROR(XLOOKUP(1,(Order_History!$A$2:$A$501=A428)*(Order_History!$B$2:$B$501=B428),Order_History!$D$2:$D$501,""),""))</f>
        <v/>
      </c>
      <c r="G428" s="8" t="str">
        <f>IF(COUNTIFS(Pricing!$A:$A,A428,Pricing!$B:$B,B428)=0,"",SUMIFS(Pricing!$G:$G,Pricing!$A:$A,A428,Pricing!$B:$B,B428))</f>
        <v/>
      </c>
      <c r="H428" s="9" t="str">
        <f t="shared" si="32"/>
        <v/>
      </c>
      <c r="I428" s="3">
        <v>0</v>
      </c>
      <c r="J428" s="3">
        <v>0</v>
      </c>
      <c r="K428" s="9" t="str">
        <f t="shared" si="33"/>
        <v/>
      </c>
      <c r="L428" s="6" t="str">
        <f t="shared" si="34"/>
        <v/>
      </c>
      <c r="M428" s="10" t="str">
        <f t="shared" si="35"/>
        <v/>
      </c>
      <c r="N428" s="6" t="str">
        <f t="shared" si="36"/>
        <v/>
      </c>
    </row>
    <row r="429" spans="1:14">
      <c r="A429" s="2"/>
      <c r="B429" s="2"/>
      <c r="C429" s="22" t="str">
        <f>IF(OR(A429="",B429=""),"",IFERROR(XLOOKUP(1,(Buy_History!$A$2:$A$501=A429)*(Buy_History!$B$2:$B$501=B429),Buy_History!$C$2:$C$501,""),""))</f>
        <v/>
      </c>
      <c r="D429" s="22" t="str">
        <f>IF(OR(A429="",B429=""),"",IFERROR(XLOOKUP(1,(Sell_History!$A$2:$A$501=A429)*(Sell_History!$B$2:$B$501=B429),Sell_History!$C$2:$C$501,""),""))</f>
        <v/>
      </c>
      <c r="E429" s="8" t="str">
        <f>IF(OR(A429="",B429=""),"",IFERROR(XLOOKUP(1,(Raw_Observations!$A$2:$A$1001=A429)*(Raw_Observations!$B$2:$B$1001=B429),Raw_Observations!$D$2:$D$1001,""),""))</f>
        <v/>
      </c>
      <c r="F429" s="8" t="str">
        <f>IF(OR(A429="",B429=""),"",IFERROR(XLOOKUP(1,(Order_History!$A$2:$A$501=A429)*(Order_History!$B$2:$B$501=B429),Order_History!$D$2:$D$501,""),""))</f>
        <v/>
      </c>
      <c r="G429" s="8" t="str">
        <f>IF(COUNTIFS(Pricing!$A:$A,A429,Pricing!$B:$B,B429)=0,"",SUMIFS(Pricing!$G:$G,Pricing!$A:$A,A429,Pricing!$B:$B,B429))</f>
        <v/>
      </c>
      <c r="H429" s="9" t="str">
        <f t="shared" si="32"/>
        <v/>
      </c>
      <c r="I429" s="3">
        <v>0</v>
      </c>
      <c r="J429" s="3">
        <v>0</v>
      </c>
      <c r="K429" s="9" t="str">
        <f t="shared" si="33"/>
        <v/>
      </c>
      <c r="L429" s="6" t="str">
        <f t="shared" si="34"/>
        <v/>
      </c>
      <c r="M429" s="10" t="str">
        <f t="shared" si="35"/>
        <v/>
      </c>
      <c r="N429" s="6" t="str">
        <f t="shared" si="36"/>
        <v/>
      </c>
    </row>
    <row r="430" spans="1:14">
      <c r="A430" s="2"/>
      <c r="B430" s="2"/>
      <c r="C430" s="22" t="str">
        <f>IF(OR(A430="",B430=""),"",IFERROR(XLOOKUP(1,(Buy_History!$A$2:$A$501=A430)*(Buy_History!$B$2:$B$501=B430),Buy_History!$C$2:$C$501,""),""))</f>
        <v/>
      </c>
      <c r="D430" s="22" t="str">
        <f>IF(OR(A430="",B430=""),"",IFERROR(XLOOKUP(1,(Sell_History!$A$2:$A$501=A430)*(Sell_History!$B$2:$B$501=B430),Sell_History!$C$2:$C$501,""),""))</f>
        <v/>
      </c>
      <c r="E430" s="8" t="str">
        <f>IF(OR(A430="",B430=""),"",IFERROR(XLOOKUP(1,(Raw_Observations!$A$2:$A$1001=A430)*(Raw_Observations!$B$2:$B$1001=B430),Raw_Observations!$D$2:$D$1001,""),""))</f>
        <v/>
      </c>
      <c r="F430" s="8" t="str">
        <f>IF(OR(A430="",B430=""),"",IFERROR(XLOOKUP(1,(Order_History!$A$2:$A$501=A430)*(Order_History!$B$2:$B$501=B430),Order_History!$D$2:$D$501,""),""))</f>
        <v/>
      </c>
      <c r="G430" s="8" t="str">
        <f>IF(COUNTIFS(Pricing!$A:$A,A430,Pricing!$B:$B,B430)=0,"",SUMIFS(Pricing!$G:$G,Pricing!$A:$A,A430,Pricing!$B:$B,B430))</f>
        <v/>
      </c>
      <c r="H430" s="9" t="str">
        <f t="shared" si="32"/>
        <v/>
      </c>
      <c r="I430" s="3">
        <v>0</v>
      </c>
      <c r="J430" s="3">
        <v>0</v>
      </c>
      <c r="K430" s="9" t="str">
        <f t="shared" si="33"/>
        <v/>
      </c>
      <c r="L430" s="6" t="str">
        <f t="shared" si="34"/>
        <v/>
      </c>
      <c r="M430" s="10" t="str">
        <f t="shared" si="35"/>
        <v/>
      </c>
      <c r="N430" s="6" t="str">
        <f t="shared" si="36"/>
        <v/>
      </c>
    </row>
    <row r="431" spans="1:14">
      <c r="A431" s="2"/>
      <c r="B431" s="2"/>
      <c r="C431" s="22" t="str">
        <f>IF(OR(A431="",B431=""),"",IFERROR(XLOOKUP(1,(Buy_History!$A$2:$A$501=A431)*(Buy_History!$B$2:$B$501=B431),Buy_History!$C$2:$C$501,""),""))</f>
        <v/>
      </c>
      <c r="D431" s="22" t="str">
        <f>IF(OR(A431="",B431=""),"",IFERROR(XLOOKUP(1,(Sell_History!$A$2:$A$501=A431)*(Sell_History!$B$2:$B$501=B431),Sell_History!$C$2:$C$501,""),""))</f>
        <v/>
      </c>
      <c r="E431" s="8" t="str">
        <f>IF(OR(A431="",B431=""),"",IFERROR(XLOOKUP(1,(Raw_Observations!$A$2:$A$1001=A431)*(Raw_Observations!$B$2:$B$1001=B431),Raw_Observations!$D$2:$D$1001,""),""))</f>
        <v/>
      </c>
      <c r="F431" s="8" t="str">
        <f>IF(OR(A431="",B431=""),"",IFERROR(XLOOKUP(1,(Order_History!$A$2:$A$501=A431)*(Order_History!$B$2:$B$501=B431),Order_History!$D$2:$D$501,""),""))</f>
        <v/>
      </c>
      <c r="G431" s="8" t="str">
        <f>IF(COUNTIFS(Pricing!$A:$A,A431,Pricing!$B:$B,B431)=0,"",SUMIFS(Pricing!$G:$G,Pricing!$A:$A,A431,Pricing!$B:$B,B431))</f>
        <v/>
      </c>
      <c r="H431" s="9" t="str">
        <f t="shared" si="32"/>
        <v/>
      </c>
      <c r="I431" s="3">
        <v>0</v>
      </c>
      <c r="J431" s="3">
        <v>0</v>
      </c>
      <c r="K431" s="9" t="str">
        <f t="shared" si="33"/>
        <v/>
      </c>
      <c r="L431" s="6" t="str">
        <f t="shared" si="34"/>
        <v/>
      </c>
      <c r="M431" s="10" t="str">
        <f t="shared" si="35"/>
        <v/>
      </c>
      <c r="N431" s="6" t="str">
        <f t="shared" si="36"/>
        <v/>
      </c>
    </row>
    <row r="432" spans="1:14">
      <c r="A432" s="2"/>
      <c r="B432" s="2"/>
      <c r="C432" s="22" t="str">
        <f>IF(OR(A432="",B432=""),"",IFERROR(XLOOKUP(1,(Buy_History!$A$2:$A$501=A432)*(Buy_History!$B$2:$B$501=B432),Buy_History!$C$2:$C$501,""),""))</f>
        <v/>
      </c>
      <c r="D432" s="22" t="str">
        <f>IF(OR(A432="",B432=""),"",IFERROR(XLOOKUP(1,(Sell_History!$A$2:$A$501=A432)*(Sell_History!$B$2:$B$501=B432),Sell_History!$C$2:$C$501,""),""))</f>
        <v/>
      </c>
      <c r="E432" s="8" t="str">
        <f>IF(OR(A432="",B432=""),"",IFERROR(XLOOKUP(1,(Raw_Observations!$A$2:$A$1001=A432)*(Raw_Observations!$B$2:$B$1001=B432),Raw_Observations!$D$2:$D$1001,""),""))</f>
        <v/>
      </c>
      <c r="F432" s="8" t="str">
        <f>IF(OR(A432="",B432=""),"",IFERROR(XLOOKUP(1,(Order_History!$A$2:$A$501=A432)*(Order_History!$B$2:$B$501=B432),Order_History!$D$2:$D$501,""),""))</f>
        <v/>
      </c>
      <c r="G432" s="8" t="str">
        <f>IF(COUNTIFS(Pricing!$A:$A,A432,Pricing!$B:$B,B432)=0,"",SUMIFS(Pricing!$G:$G,Pricing!$A:$A,A432,Pricing!$B:$B,B432))</f>
        <v/>
      </c>
      <c r="H432" s="9" t="str">
        <f t="shared" si="32"/>
        <v/>
      </c>
      <c r="I432" s="3">
        <v>0</v>
      </c>
      <c r="J432" s="3">
        <v>0</v>
      </c>
      <c r="K432" s="9" t="str">
        <f t="shared" si="33"/>
        <v/>
      </c>
      <c r="L432" s="6" t="str">
        <f t="shared" si="34"/>
        <v/>
      </c>
      <c r="M432" s="10" t="str">
        <f t="shared" si="35"/>
        <v/>
      </c>
      <c r="N432" s="6" t="str">
        <f t="shared" si="36"/>
        <v/>
      </c>
    </row>
    <row r="433" spans="1:14">
      <c r="A433" s="2"/>
      <c r="B433" s="2"/>
      <c r="C433" s="22" t="str">
        <f>IF(OR(A433="",B433=""),"",IFERROR(XLOOKUP(1,(Buy_History!$A$2:$A$501=A433)*(Buy_History!$B$2:$B$501=B433),Buy_History!$C$2:$C$501,""),""))</f>
        <v/>
      </c>
      <c r="D433" s="22" t="str">
        <f>IF(OR(A433="",B433=""),"",IFERROR(XLOOKUP(1,(Sell_History!$A$2:$A$501=A433)*(Sell_History!$B$2:$B$501=B433),Sell_History!$C$2:$C$501,""),""))</f>
        <v/>
      </c>
      <c r="E433" s="8" t="str">
        <f>IF(OR(A433="",B433=""),"",IFERROR(XLOOKUP(1,(Raw_Observations!$A$2:$A$1001=A433)*(Raw_Observations!$B$2:$B$1001=B433),Raw_Observations!$D$2:$D$1001,""),""))</f>
        <v/>
      </c>
      <c r="F433" s="8" t="str">
        <f>IF(OR(A433="",B433=""),"",IFERROR(XLOOKUP(1,(Order_History!$A$2:$A$501=A433)*(Order_History!$B$2:$B$501=B433),Order_History!$D$2:$D$501,""),""))</f>
        <v/>
      </c>
      <c r="G433" s="8" t="str">
        <f>IF(COUNTIFS(Pricing!$A:$A,A433,Pricing!$B:$B,B433)=0,"",SUMIFS(Pricing!$G:$G,Pricing!$A:$A,A433,Pricing!$B:$B,B433))</f>
        <v/>
      </c>
      <c r="H433" s="9" t="str">
        <f t="shared" si="32"/>
        <v/>
      </c>
      <c r="I433" s="3">
        <v>0</v>
      </c>
      <c r="J433" s="3">
        <v>0</v>
      </c>
      <c r="K433" s="9" t="str">
        <f t="shared" si="33"/>
        <v/>
      </c>
      <c r="L433" s="6" t="str">
        <f t="shared" si="34"/>
        <v/>
      </c>
      <c r="M433" s="10" t="str">
        <f t="shared" si="35"/>
        <v/>
      </c>
      <c r="N433" s="6" t="str">
        <f t="shared" si="36"/>
        <v/>
      </c>
    </row>
    <row r="434" spans="1:14">
      <c r="A434" s="2"/>
      <c r="B434" s="2"/>
      <c r="C434" s="22" t="str">
        <f>IF(OR(A434="",B434=""),"",IFERROR(XLOOKUP(1,(Buy_History!$A$2:$A$501=A434)*(Buy_History!$B$2:$B$501=B434),Buy_History!$C$2:$C$501,""),""))</f>
        <v/>
      </c>
      <c r="D434" s="22" t="str">
        <f>IF(OR(A434="",B434=""),"",IFERROR(XLOOKUP(1,(Sell_History!$A$2:$A$501=A434)*(Sell_History!$B$2:$B$501=B434),Sell_History!$C$2:$C$501,""),""))</f>
        <v/>
      </c>
      <c r="E434" s="8" t="str">
        <f>IF(OR(A434="",B434=""),"",IFERROR(XLOOKUP(1,(Raw_Observations!$A$2:$A$1001=A434)*(Raw_Observations!$B$2:$B$1001=B434),Raw_Observations!$D$2:$D$1001,""),""))</f>
        <v/>
      </c>
      <c r="F434" s="8" t="str">
        <f>IF(OR(A434="",B434=""),"",IFERROR(XLOOKUP(1,(Order_History!$A$2:$A$501=A434)*(Order_History!$B$2:$B$501=B434),Order_History!$D$2:$D$501,""),""))</f>
        <v/>
      </c>
      <c r="G434" s="8" t="str">
        <f>IF(COUNTIFS(Pricing!$A:$A,A434,Pricing!$B:$B,B434)=0,"",SUMIFS(Pricing!$G:$G,Pricing!$A:$A,A434,Pricing!$B:$B,B434))</f>
        <v/>
      </c>
      <c r="H434" s="9" t="str">
        <f t="shared" si="32"/>
        <v/>
      </c>
      <c r="I434" s="3">
        <v>0</v>
      </c>
      <c r="J434" s="3">
        <v>0</v>
      </c>
      <c r="K434" s="9" t="str">
        <f t="shared" si="33"/>
        <v/>
      </c>
      <c r="L434" s="6" t="str">
        <f t="shared" si="34"/>
        <v/>
      </c>
      <c r="M434" s="10" t="str">
        <f t="shared" si="35"/>
        <v/>
      </c>
      <c r="N434" s="6" t="str">
        <f t="shared" si="36"/>
        <v/>
      </c>
    </row>
    <row r="435" spans="1:14">
      <c r="A435" s="2"/>
      <c r="B435" s="2"/>
      <c r="C435" s="22" t="str">
        <f>IF(OR(A435="",B435=""),"",IFERROR(XLOOKUP(1,(Buy_History!$A$2:$A$501=A435)*(Buy_History!$B$2:$B$501=B435),Buy_History!$C$2:$C$501,""),""))</f>
        <v/>
      </c>
      <c r="D435" s="22" t="str">
        <f>IF(OR(A435="",B435=""),"",IFERROR(XLOOKUP(1,(Sell_History!$A$2:$A$501=A435)*(Sell_History!$B$2:$B$501=B435),Sell_History!$C$2:$C$501,""),""))</f>
        <v/>
      </c>
      <c r="E435" s="8" t="str">
        <f>IF(OR(A435="",B435=""),"",IFERROR(XLOOKUP(1,(Raw_Observations!$A$2:$A$1001=A435)*(Raw_Observations!$B$2:$B$1001=B435),Raw_Observations!$D$2:$D$1001,""),""))</f>
        <v/>
      </c>
      <c r="F435" s="8" t="str">
        <f>IF(OR(A435="",B435=""),"",IFERROR(XLOOKUP(1,(Order_History!$A$2:$A$501=A435)*(Order_History!$B$2:$B$501=B435),Order_History!$D$2:$D$501,""),""))</f>
        <v/>
      </c>
      <c r="G435" s="8" t="str">
        <f>IF(COUNTIFS(Pricing!$A:$A,A435,Pricing!$B:$B,B435)=0,"",SUMIFS(Pricing!$G:$G,Pricing!$A:$A,A435,Pricing!$B:$B,B435))</f>
        <v/>
      </c>
      <c r="H435" s="9" t="str">
        <f t="shared" si="32"/>
        <v/>
      </c>
      <c r="I435" s="3">
        <v>0</v>
      </c>
      <c r="J435" s="3">
        <v>0</v>
      </c>
      <c r="K435" s="9" t="str">
        <f t="shared" si="33"/>
        <v/>
      </c>
      <c r="L435" s="6" t="str">
        <f t="shared" si="34"/>
        <v/>
      </c>
      <c r="M435" s="10" t="str">
        <f t="shared" si="35"/>
        <v/>
      </c>
      <c r="N435" s="6" t="str">
        <f t="shared" si="36"/>
        <v/>
      </c>
    </row>
    <row r="436" spans="1:14">
      <c r="A436" s="2"/>
      <c r="B436" s="2"/>
      <c r="C436" s="22" t="str">
        <f>IF(OR(A436="",B436=""),"",IFERROR(XLOOKUP(1,(Buy_History!$A$2:$A$501=A436)*(Buy_History!$B$2:$B$501=B436),Buy_History!$C$2:$C$501,""),""))</f>
        <v/>
      </c>
      <c r="D436" s="22" t="str">
        <f>IF(OR(A436="",B436=""),"",IFERROR(XLOOKUP(1,(Sell_History!$A$2:$A$501=A436)*(Sell_History!$B$2:$B$501=B436),Sell_History!$C$2:$C$501,""),""))</f>
        <v/>
      </c>
      <c r="E436" s="8" t="str">
        <f>IF(OR(A436="",B436=""),"",IFERROR(XLOOKUP(1,(Raw_Observations!$A$2:$A$1001=A436)*(Raw_Observations!$B$2:$B$1001=B436),Raw_Observations!$D$2:$D$1001,""),""))</f>
        <v/>
      </c>
      <c r="F436" s="8" t="str">
        <f>IF(OR(A436="",B436=""),"",IFERROR(XLOOKUP(1,(Order_History!$A$2:$A$501=A436)*(Order_History!$B$2:$B$501=B436),Order_History!$D$2:$D$501,""),""))</f>
        <v/>
      </c>
      <c r="G436" s="8" t="str">
        <f>IF(COUNTIFS(Pricing!$A:$A,A436,Pricing!$B:$B,B436)=0,"",SUMIFS(Pricing!$G:$G,Pricing!$A:$A,A436,Pricing!$B:$B,B436))</f>
        <v/>
      </c>
      <c r="H436" s="9" t="str">
        <f t="shared" si="32"/>
        <v/>
      </c>
      <c r="I436" s="3">
        <v>0</v>
      </c>
      <c r="J436" s="3">
        <v>0</v>
      </c>
      <c r="K436" s="9" t="str">
        <f t="shared" si="33"/>
        <v/>
      </c>
      <c r="L436" s="6" t="str">
        <f t="shared" si="34"/>
        <v/>
      </c>
      <c r="M436" s="10" t="str">
        <f t="shared" si="35"/>
        <v/>
      </c>
      <c r="N436" s="6" t="str">
        <f t="shared" si="36"/>
        <v/>
      </c>
    </row>
    <row r="437" spans="1:14">
      <c r="A437" s="2"/>
      <c r="B437" s="2"/>
      <c r="C437" s="22" t="str">
        <f>IF(OR(A437="",B437=""),"",IFERROR(XLOOKUP(1,(Buy_History!$A$2:$A$501=A437)*(Buy_History!$B$2:$B$501=B437),Buy_History!$C$2:$C$501,""),""))</f>
        <v/>
      </c>
      <c r="D437" s="22" t="str">
        <f>IF(OR(A437="",B437=""),"",IFERROR(XLOOKUP(1,(Sell_History!$A$2:$A$501=A437)*(Sell_History!$B$2:$B$501=B437),Sell_History!$C$2:$C$501,""),""))</f>
        <v/>
      </c>
      <c r="E437" s="8" t="str">
        <f>IF(OR(A437="",B437=""),"",IFERROR(XLOOKUP(1,(Raw_Observations!$A$2:$A$1001=A437)*(Raw_Observations!$B$2:$B$1001=B437),Raw_Observations!$D$2:$D$1001,""),""))</f>
        <v/>
      </c>
      <c r="F437" s="8" t="str">
        <f>IF(OR(A437="",B437=""),"",IFERROR(XLOOKUP(1,(Order_History!$A$2:$A$501=A437)*(Order_History!$B$2:$B$501=B437),Order_History!$D$2:$D$501,""),""))</f>
        <v/>
      </c>
      <c r="G437" s="8" t="str">
        <f>IF(COUNTIFS(Pricing!$A:$A,A437,Pricing!$B:$B,B437)=0,"",SUMIFS(Pricing!$G:$G,Pricing!$A:$A,A437,Pricing!$B:$B,B437))</f>
        <v/>
      </c>
      <c r="H437" s="9" t="str">
        <f t="shared" si="32"/>
        <v/>
      </c>
      <c r="I437" s="3">
        <v>0</v>
      </c>
      <c r="J437" s="3">
        <v>0</v>
      </c>
      <c r="K437" s="9" t="str">
        <f t="shared" si="33"/>
        <v/>
      </c>
      <c r="L437" s="6" t="str">
        <f t="shared" si="34"/>
        <v/>
      </c>
      <c r="M437" s="10" t="str">
        <f t="shared" si="35"/>
        <v/>
      </c>
      <c r="N437" s="6" t="str">
        <f t="shared" si="36"/>
        <v/>
      </c>
    </row>
    <row r="438" spans="1:14">
      <c r="A438" s="2"/>
      <c r="B438" s="2"/>
      <c r="C438" s="22" t="str">
        <f>IF(OR(A438="",B438=""),"",IFERROR(XLOOKUP(1,(Buy_History!$A$2:$A$501=A438)*(Buy_History!$B$2:$B$501=B438),Buy_History!$C$2:$C$501,""),""))</f>
        <v/>
      </c>
      <c r="D438" s="22" t="str">
        <f>IF(OR(A438="",B438=""),"",IFERROR(XLOOKUP(1,(Sell_History!$A$2:$A$501=A438)*(Sell_History!$B$2:$B$501=B438),Sell_History!$C$2:$C$501,""),""))</f>
        <v/>
      </c>
      <c r="E438" s="8" t="str">
        <f>IF(OR(A438="",B438=""),"",IFERROR(XLOOKUP(1,(Raw_Observations!$A$2:$A$1001=A438)*(Raw_Observations!$B$2:$B$1001=B438),Raw_Observations!$D$2:$D$1001,""),""))</f>
        <v/>
      </c>
      <c r="F438" s="8" t="str">
        <f>IF(OR(A438="",B438=""),"",IFERROR(XLOOKUP(1,(Order_History!$A$2:$A$501=A438)*(Order_History!$B$2:$B$501=B438),Order_History!$D$2:$D$501,""),""))</f>
        <v/>
      </c>
      <c r="G438" s="8" t="str">
        <f>IF(COUNTIFS(Pricing!$A:$A,A438,Pricing!$B:$B,B438)=0,"",SUMIFS(Pricing!$G:$G,Pricing!$A:$A,A438,Pricing!$B:$B,B438))</f>
        <v/>
      </c>
      <c r="H438" s="9" t="str">
        <f t="shared" si="32"/>
        <v/>
      </c>
      <c r="I438" s="3">
        <v>0</v>
      </c>
      <c r="J438" s="3">
        <v>0</v>
      </c>
      <c r="K438" s="9" t="str">
        <f t="shared" si="33"/>
        <v/>
      </c>
      <c r="L438" s="6" t="str">
        <f t="shared" si="34"/>
        <v/>
      </c>
      <c r="M438" s="10" t="str">
        <f t="shared" si="35"/>
        <v/>
      </c>
      <c r="N438" s="6" t="str">
        <f t="shared" si="36"/>
        <v/>
      </c>
    </row>
    <row r="439" spans="1:14">
      <c r="A439" s="2"/>
      <c r="B439" s="2"/>
      <c r="C439" s="22" t="str">
        <f>IF(OR(A439="",B439=""),"",IFERROR(XLOOKUP(1,(Buy_History!$A$2:$A$501=A439)*(Buy_History!$B$2:$B$501=B439),Buy_History!$C$2:$C$501,""),""))</f>
        <v/>
      </c>
      <c r="D439" s="22" t="str">
        <f>IF(OR(A439="",B439=""),"",IFERROR(XLOOKUP(1,(Sell_History!$A$2:$A$501=A439)*(Sell_History!$B$2:$B$501=B439),Sell_History!$C$2:$C$501,""),""))</f>
        <v/>
      </c>
      <c r="E439" s="8" t="str">
        <f>IF(OR(A439="",B439=""),"",IFERROR(XLOOKUP(1,(Raw_Observations!$A$2:$A$1001=A439)*(Raw_Observations!$B$2:$B$1001=B439),Raw_Observations!$D$2:$D$1001,""),""))</f>
        <v/>
      </c>
      <c r="F439" s="8" t="str">
        <f>IF(OR(A439="",B439=""),"",IFERROR(XLOOKUP(1,(Order_History!$A$2:$A$501=A439)*(Order_History!$B$2:$B$501=B439),Order_History!$D$2:$D$501,""),""))</f>
        <v/>
      </c>
      <c r="G439" s="8" t="str">
        <f>IF(COUNTIFS(Pricing!$A:$A,A439,Pricing!$B:$B,B439)=0,"",SUMIFS(Pricing!$G:$G,Pricing!$A:$A,A439,Pricing!$B:$B,B439))</f>
        <v/>
      </c>
      <c r="H439" s="9" t="str">
        <f t="shared" si="32"/>
        <v/>
      </c>
      <c r="I439" s="3">
        <v>0</v>
      </c>
      <c r="J439" s="3">
        <v>0</v>
      </c>
      <c r="K439" s="9" t="str">
        <f t="shared" si="33"/>
        <v/>
      </c>
      <c r="L439" s="6" t="str">
        <f t="shared" si="34"/>
        <v/>
      </c>
      <c r="M439" s="10" t="str">
        <f t="shared" si="35"/>
        <v/>
      </c>
      <c r="N439" s="6" t="str">
        <f t="shared" si="36"/>
        <v/>
      </c>
    </row>
    <row r="440" spans="1:14">
      <c r="A440" s="2"/>
      <c r="B440" s="2"/>
      <c r="C440" s="22" t="str">
        <f>IF(OR(A440="",B440=""),"",IFERROR(XLOOKUP(1,(Buy_History!$A$2:$A$501=A440)*(Buy_History!$B$2:$B$501=B440),Buy_History!$C$2:$C$501,""),""))</f>
        <v/>
      </c>
      <c r="D440" s="22" t="str">
        <f>IF(OR(A440="",B440=""),"",IFERROR(XLOOKUP(1,(Sell_History!$A$2:$A$501=A440)*(Sell_History!$B$2:$B$501=B440),Sell_History!$C$2:$C$501,""),""))</f>
        <v/>
      </c>
      <c r="E440" s="8" t="str">
        <f>IF(OR(A440="",B440=""),"",IFERROR(XLOOKUP(1,(Raw_Observations!$A$2:$A$1001=A440)*(Raw_Observations!$B$2:$B$1001=B440),Raw_Observations!$D$2:$D$1001,""),""))</f>
        <v/>
      </c>
      <c r="F440" s="8" t="str">
        <f>IF(OR(A440="",B440=""),"",IFERROR(XLOOKUP(1,(Order_History!$A$2:$A$501=A440)*(Order_History!$B$2:$B$501=B440),Order_History!$D$2:$D$501,""),""))</f>
        <v/>
      </c>
      <c r="G440" s="8" t="str">
        <f>IF(COUNTIFS(Pricing!$A:$A,A440,Pricing!$B:$B,B440)=0,"",SUMIFS(Pricing!$G:$G,Pricing!$A:$A,A440,Pricing!$B:$B,B440))</f>
        <v/>
      </c>
      <c r="H440" s="9" t="str">
        <f t="shared" si="32"/>
        <v/>
      </c>
      <c r="I440" s="3">
        <v>0</v>
      </c>
      <c r="J440" s="3">
        <v>0</v>
      </c>
      <c r="K440" s="9" t="str">
        <f t="shared" si="33"/>
        <v/>
      </c>
      <c r="L440" s="6" t="str">
        <f t="shared" si="34"/>
        <v/>
      </c>
      <c r="M440" s="10" t="str">
        <f t="shared" si="35"/>
        <v/>
      </c>
      <c r="N440" s="6" t="str">
        <f t="shared" si="36"/>
        <v/>
      </c>
    </row>
    <row r="441" spans="1:14">
      <c r="A441" s="2"/>
      <c r="B441" s="2"/>
      <c r="C441" s="22" t="str">
        <f>IF(OR(A441="",B441=""),"",IFERROR(XLOOKUP(1,(Buy_History!$A$2:$A$501=A441)*(Buy_History!$B$2:$B$501=B441),Buy_History!$C$2:$C$501,""),""))</f>
        <v/>
      </c>
      <c r="D441" s="22" t="str">
        <f>IF(OR(A441="",B441=""),"",IFERROR(XLOOKUP(1,(Sell_History!$A$2:$A$501=A441)*(Sell_History!$B$2:$B$501=B441),Sell_History!$C$2:$C$501,""),""))</f>
        <v/>
      </c>
      <c r="E441" s="8" t="str">
        <f>IF(OR(A441="",B441=""),"",IFERROR(XLOOKUP(1,(Raw_Observations!$A$2:$A$1001=A441)*(Raw_Observations!$B$2:$B$1001=B441),Raw_Observations!$D$2:$D$1001,""),""))</f>
        <v/>
      </c>
      <c r="F441" s="8" t="str">
        <f>IF(OR(A441="",B441=""),"",IFERROR(XLOOKUP(1,(Order_History!$A$2:$A$501=A441)*(Order_History!$B$2:$B$501=B441),Order_History!$D$2:$D$501,""),""))</f>
        <v/>
      </c>
      <c r="G441" s="8" t="str">
        <f>IF(COUNTIFS(Pricing!$A:$A,A441,Pricing!$B:$B,B441)=0,"",SUMIFS(Pricing!$G:$G,Pricing!$A:$A,A441,Pricing!$B:$B,B441))</f>
        <v/>
      </c>
      <c r="H441" s="9" t="str">
        <f t="shared" si="32"/>
        <v/>
      </c>
      <c r="I441" s="3">
        <v>0</v>
      </c>
      <c r="J441" s="3">
        <v>0</v>
      </c>
      <c r="K441" s="9" t="str">
        <f t="shared" si="33"/>
        <v/>
      </c>
      <c r="L441" s="6" t="str">
        <f t="shared" si="34"/>
        <v/>
      </c>
      <c r="M441" s="10" t="str">
        <f t="shared" si="35"/>
        <v/>
      </c>
      <c r="N441" s="6" t="str">
        <f t="shared" si="36"/>
        <v/>
      </c>
    </row>
    <row r="442" spans="1:14">
      <c r="A442" s="2"/>
      <c r="B442" s="2"/>
      <c r="C442" s="22" t="str">
        <f>IF(OR(A442="",B442=""),"",IFERROR(XLOOKUP(1,(Buy_History!$A$2:$A$501=A442)*(Buy_History!$B$2:$B$501=B442),Buy_History!$C$2:$C$501,""),""))</f>
        <v/>
      </c>
      <c r="D442" s="22" t="str">
        <f>IF(OR(A442="",B442=""),"",IFERROR(XLOOKUP(1,(Sell_History!$A$2:$A$501=A442)*(Sell_History!$B$2:$B$501=B442),Sell_History!$C$2:$C$501,""),""))</f>
        <v/>
      </c>
      <c r="E442" s="8" t="str">
        <f>IF(OR(A442="",B442=""),"",IFERROR(XLOOKUP(1,(Raw_Observations!$A$2:$A$1001=A442)*(Raw_Observations!$B$2:$B$1001=B442),Raw_Observations!$D$2:$D$1001,""),""))</f>
        <v/>
      </c>
      <c r="F442" s="8" t="str">
        <f>IF(OR(A442="",B442=""),"",IFERROR(XLOOKUP(1,(Order_History!$A$2:$A$501=A442)*(Order_History!$B$2:$B$501=B442),Order_History!$D$2:$D$501,""),""))</f>
        <v/>
      </c>
      <c r="G442" s="8" t="str">
        <f>IF(COUNTIFS(Pricing!$A:$A,A442,Pricing!$B:$B,B442)=0,"",SUMIFS(Pricing!$G:$G,Pricing!$A:$A,A442,Pricing!$B:$B,B442))</f>
        <v/>
      </c>
      <c r="H442" s="9" t="str">
        <f t="shared" si="32"/>
        <v/>
      </c>
      <c r="I442" s="3">
        <v>0</v>
      </c>
      <c r="J442" s="3">
        <v>0</v>
      </c>
      <c r="K442" s="9" t="str">
        <f t="shared" si="33"/>
        <v/>
      </c>
      <c r="L442" s="6" t="str">
        <f t="shared" si="34"/>
        <v/>
      </c>
      <c r="M442" s="10" t="str">
        <f t="shared" si="35"/>
        <v/>
      </c>
      <c r="N442" s="6" t="str">
        <f t="shared" si="36"/>
        <v/>
      </c>
    </row>
    <row r="443" spans="1:14">
      <c r="A443" s="2"/>
      <c r="B443" s="2"/>
      <c r="C443" s="22" t="str">
        <f>IF(OR(A443="",B443=""),"",IFERROR(XLOOKUP(1,(Buy_History!$A$2:$A$501=A443)*(Buy_History!$B$2:$B$501=B443),Buy_History!$C$2:$C$501,""),""))</f>
        <v/>
      </c>
      <c r="D443" s="22" t="str">
        <f>IF(OR(A443="",B443=""),"",IFERROR(XLOOKUP(1,(Sell_History!$A$2:$A$501=A443)*(Sell_History!$B$2:$B$501=B443),Sell_History!$C$2:$C$501,""),""))</f>
        <v/>
      </c>
      <c r="E443" s="8" t="str">
        <f>IF(OR(A443="",B443=""),"",IFERROR(XLOOKUP(1,(Raw_Observations!$A$2:$A$1001=A443)*(Raw_Observations!$B$2:$B$1001=B443),Raw_Observations!$D$2:$D$1001,""),""))</f>
        <v/>
      </c>
      <c r="F443" s="8" t="str">
        <f>IF(OR(A443="",B443=""),"",IFERROR(XLOOKUP(1,(Order_History!$A$2:$A$501=A443)*(Order_History!$B$2:$B$501=B443),Order_History!$D$2:$D$501,""),""))</f>
        <v/>
      </c>
      <c r="G443" s="8" t="str">
        <f>IF(COUNTIFS(Pricing!$A:$A,A443,Pricing!$B:$B,B443)=0,"",SUMIFS(Pricing!$G:$G,Pricing!$A:$A,A443,Pricing!$B:$B,B443))</f>
        <v/>
      </c>
      <c r="H443" s="9" t="str">
        <f t="shared" si="32"/>
        <v/>
      </c>
      <c r="I443" s="3">
        <v>0</v>
      </c>
      <c r="J443" s="3">
        <v>0</v>
      </c>
      <c r="K443" s="9" t="str">
        <f t="shared" si="33"/>
        <v/>
      </c>
      <c r="L443" s="6" t="str">
        <f t="shared" si="34"/>
        <v/>
      </c>
      <c r="M443" s="10" t="str">
        <f t="shared" si="35"/>
        <v/>
      </c>
      <c r="N443" s="6" t="str">
        <f t="shared" si="36"/>
        <v/>
      </c>
    </row>
    <row r="444" spans="1:14">
      <c r="A444" s="2"/>
      <c r="B444" s="2"/>
      <c r="C444" s="22" t="str">
        <f>IF(OR(A444="",B444=""),"",IFERROR(XLOOKUP(1,(Buy_History!$A$2:$A$501=A444)*(Buy_History!$B$2:$B$501=B444),Buy_History!$C$2:$C$501,""),""))</f>
        <v/>
      </c>
      <c r="D444" s="22" t="str">
        <f>IF(OR(A444="",B444=""),"",IFERROR(XLOOKUP(1,(Sell_History!$A$2:$A$501=A444)*(Sell_History!$B$2:$B$501=B444),Sell_History!$C$2:$C$501,""),""))</f>
        <v/>
      </c>
      <c r="E444" s="8" t="str">
        <f>IF(OR(A444="",B444=""),"",IFERROR(XLOOKUP(1,(Raw_Observations!$A$2:$A$1001=A444)*(Raw_Observations!$B$2:$B$1001=B444),Raw_Observations!$D$2:$D$1001,""),""))</f>
        <v/>
      </c>
      <c r="F444" s="8" t="str">
        <f>IF(OR(A444="",B444=""),"",IFERROR(XLOOKUP(1,(Order_History!$A$2:$A$501=A444)*(Order_History!$B$2:$B$501=B444),Order_History!$D$2:$D$501,""),""))</f>
        <v/>
      </c>
      <c r="G444" s="8" t="str">
        <f>IF(COUNTIFS(Pricing!$A:$A,A444,Pricing!$B:$B,B444)=0,"",SUMIFS(Pricing!$G:$G,Pricing!$A:$A,A444,Pricing!$B:$B,B444))</f>
        <v/>
      </c>
      <c r="H444" s="9" t="str">
        <f t="shared" si="32"/>
        <v/>
      </c>
      <c r="I444" s="3">
        <v>0</v>
      </c>
      <c r="J444" s="3">
        <v>0</v>
      </c>
      <c r="K444" s="9" t="str">
        <f t="shared" si="33"/>
        <v/>
      </c>
      <c r="L444" s="6" t="str">
        <f t="shared" si="34"/>
        <v/>
      </c>
      <c r="M444" s="10" t="str">
        <f t="shared" si="35"/>
        <v/>
      </c>
      <c r="N444" s="6" t="str">
        <f t="shared" si="36"/>
        <v/>
      </c>
    </row>
    <row r="445" spans="1:14">
      <c r="A445" s="2"/>
      <c r="B445" s="2"/>
      <c r="C445" s="22" t="str">
        <f>IF(OR(A445="",B445=""),"",IFERROR(XLOOKUP(1,(Buy_History!$A$2:$A$501=A445)*(Buy_History!$B$2:$B$501=B445),Buy_History!$C$2:$C$501,""),""))</f>
        <v/>
      </c>
      <c r="D445" s="22" t="str">
        <f>IF(OR(A445="",B445=""),"",IFERROR(XLOOKUP(1,(Sell_History!$A$2:$A$501=A445)*(Sell_History!$B$2:$B$501=B445),Sell_History!$C$2:$C$501,""),""))</f>
        <v/>
      </c>
      <c r="E445" s="8" t="str">
        <f>IF(OR(A445="",B445=""),"",IFERROR(XLOOKUP(1,(Raw_Observations!$A$2:$A$1001=A445)*(Raw_Observations!$B$2:$B$1001=B445),Raw_Observations!$D$2:$D$1001,""),""))</f>
        <v/>
      </c>
      <c r="F445" s="8" t="str">
        <f>IF(OR(A445="",B445=""),"",IFERROR(XLOOKUP(1,(Order_History!$A$2:$A$501=A445)*(Order_History!$B$2:$B$501=B445),Order_History!$D$2:$D$501,""),""))</f>
        <v/>
      </c>
      <c r="G445" s="8" t="str">
        <f>IF(COUNTIFS(Pricing!$A:$A,A445,Pricing!$B:$B,B445)=0,"",SUMIFS(Pricing!$G:$G,Pricing!$A:$A,A445,Pricing!$B:$B,B445))</f>
        <v/>
      </c>
      <c r="H445" s="9" t="str">
        <f t="shared" si="32"/>
        <v/>
      </c>
      <c r="I445" s="3">
        <v>0</v>
      </c>
      <c r="J445" s="3">
        <v>0</v>
      </c>
      <c r="K445" s="9" t="str">
        <f t="shared" si="33"/>
        <v/>
      </c>
      <c r="L445" s="6" t="str">
        <f t="shared" si="34"/>
        <v/>
      </c>
      <c r="M445" s="10" t="str">
        <f t="shared" si="35"/>
        <v/>
      </c>
      <c r="N445" s="6" t="str">
        <f t="shared" si="36"/>
        <v/>
      </c>
    </row>
    <row r="446" spans="1:14">
      <c r="A446" s="2"/>
      <c r="B446" s="2"/>
      <c r="C446" s="22" t="str">
        <f>IF(OR(A446="",B446=""),"",IFERROR(XLOOKUP(1,(Buy_History!$A$2:$A$501=A446)*(Buy_History!$B$2:$B$501=B446),Buy_History!$C$2:$C$501,""),""))</f>
        <v/>
      </c>
      <c r="D446" s="22" t="str">
        <f>IF(OR(A446="",B446=""),"",IFERROR(XLOOKUP(1,(Sell_History!$A$2:$A$501=A446)*(Sell_History!$B$2:$B$501=B446),Sell_History!$C$2:$C$501,""),""))</f>
        <v/>
      </c>
      <c r="E446" s="8" t="str">
        <f>IF(OR(A446="",B446=""),"",IFERROR(XLOOKUP(1,(Raw_Observations!$A$2:$A$1001=A446)*(Raw_Observations!$B$2:$B$1001=B446),Raw_Observations!$D$2:$D$1001,""),""))</f>
        <v/>
      </c>
      <c r="F446" s="8" t="str">
        <f>IF(OR(A446="",B446=""),"",IFERROR(XLOOKUP(1,(Order_History!$A$2:$A$501=A446)*(Order_History!$B$2:$B$501=B446),Order_History!$D$2:$D$501,""),""))</f>
        <v/>
      </c>
      <c r="G446" s="8" t="str">
        <f>IF(COUNTIFS(Pricing!$A:$A,A446,Pricing!$B:$B,B446)=0,"",SUMIFS(Pricing!$G:$G,Pricing!$A:$A,A446,Pricing!$B:$B,B446))</f>
        <v/>
      </c>
      <c r="H446" s="9" t="str">
        <f t="shared" si="32"/>
        <v/>
      </c>
      <c r="I446" s="3">
        <v>0</v>
      </c>
      <c r="J446" s="3">
        <v>0</v>
      </c>
      <c r="K446" s="9" t="str">
        <f t="shared" si="33"/>
        <v/>
      </c>
      <c r="L446" s="6" t="str">
        <f t="shared" si="34"/>
        <v/>
      </c>
      <c r="M446" s="10" t="str">
        <f t="shared" si="35"/>
        <v/>
      </c>
      <c r="N446" s="6" t="str">
        <f t="shared" si="36"/>
        <v/>
      </c>
    </row>
    <row r="447" spans="1:14">
      <c r="A447" s="2"/>
      <c r="B447" s="2"/>
      <c r="C447" s="22" t="str">
        <f>IF(OR(A447="",B447=""),"",IFERROR(XLOOKUP(1,(Buy_History!$A$2:$A$501=A447)*(Buy_History!$B$2:$B$501=B447),Buy_History!$C$2:$C$501,""),""))</f>
        <v/>
      </c>
      <c r="D447" s="22" t="str">
        <f>IF(OR(A447="",B447=""),"",IFERROR(XLOOKUP(1,(Sell_History!$A$2:$A$501=A447)*(Sell_History!$B$2:$B$501=B447),Sell_History!$C$2:$C$501,""),""))</f>
        <v/>
      </c>
      <c r="E447" s="8" t="str">
        <f>IF(OR(A447="",B447=""),"",IFERROR(XLOOKUP(1,(Raw_Observations!$A$2:$A$1001=A447)*(Raw_Observations!$B$2:$B$1001=B447),Raw_Observations!$D$2:$D$1001,""),""))</f>
        <v/>
      </c>
      <c r="F447" s="8" t="str">
        <f>IF(OR(A447="",B447=""),"",IFERROR(XLOOKUP(1,(Order_History!$A$2:$A$501=A447)*(Order_History!$B$2:$B$501=B447),Order_History!$D$2:$D$501,""),""))</f>
        <v/>
      </c>
      <c r="G447" s="8" t="str">
        <f>IF(COUNTIFS(Pricing!$A:$A,A447,Pricing!$B:$B,B447)=0,"",SUMIFS(Pricing!$G:$G,Pricing!$A:$A,A447,Pricing!$B:$B,B447))</f>
        <v/>
      </c>
      <c r="H447" s="9" t="str">
        <f t="shared" si="32"/>
        <v/>
      </c>
      <c r="I447" s="3">
        <v>0</v>
      </c>
      <c r="J447" s="3">
        <v>0</v>
      </c>
      <c r="K447" s="9" t="str">
        <f t="shared" si="33"/>
        <v/>
      </c>
      <c r="L447" s="6" t="str">
        <f t="shared" si="34"/>
        <v/>
      </c>
      <c r="M447" s="10" t="str">
        <f t="shared" si="35"/>
        <v/>
      </c>
      <c r="N447" s="6" t="str">
        <f t="shared" si="36"/>
        <v/>
      </c>
    </row>
    <row r="448" spans="1:14">
      <c r="A448" s="2"/>
      <c r="B448" s="2"/>
      <c r="C448" s="22" t="str">
        <f>IF(OR(A448="",B448=""),"",IFERROR(XLOOKUP(1,(Buy_History!$A$2:$A$501=A448)*(Buy_History!$B$2:$B$501=B448),Buy_History!$C$2:$C$501,""),""))</f>
        <v/>
      </c>
      <c r="D448" s="22" t="str">
        <f>IF(OR(A448="",B448=""),"",IFERROR(XLOOKUP(1,(Sell_History!$A$2:$A$501=A448)*(Sell_History!$B$2:$B$501=B448),Sell_History!$C$2:$C$501,""),""))</f>
        <v/>
      </c>
      <c r="E448" s="8" t="str">
        <f>IF(OR(A448="",B448=""),"",IFERROR(XLOOKUP(1,(Raw_Observations!$A$2:$A$1001=A448)*(Raw_Observations!$B$2:$B$1001=B448),Raw_Observations!$D$2:$D$1001,""),""))</f>
        <v/>
      </c>
      <c r="F448" s="8" t="str">
        <f>IF(OR(A448="",B448=""),"",IFERROR(XLOOKUP(1,(Order_History!$A$2:$A$501=A448)*(Order_History!$B$2:$B$501=B448),Order_History!$D$2:$D$501,""),""))</f>
        <v/>
      </c>
      <c r="G448" s="8" t="str">
        <f>IF(COUNTIFS(Pricing!$A:$A,A448,Pricing!$B:$B,B448)=0,"",SUMIFS(Pricing!$G:$G,Pricing!$A:$A,A448,Pricing!$B:$B,B448))</f>
        <v/>
      </c>
      <c r="H448" s="9" t="str">
        <f t="shared" si="32"/>
        <v/>
      </c>
      <c r="I448" s="3">
        <v>0</v>
      </c>
      <c r="J448" s="3">
        <v>0</v>
      </c>
      <c r="K448" s="9" t="str">
        <f t="shared" si="33"/>
        <v/>
      </c>
      <c r="L448" s="6" t="str">
        <f t="shared" si="34"/>
        <v/>
      </c>
      <c r="M448" s="10" t="str">
        <f t="shared" si="35"/>
        <v/>
      </c>
      <c r="N448" s="6" t="str">
        <f t="shared" si="36"/>
        <v/>
      </c>
    </row>
    <row r="449" spans="1:14">
      <c r="A449" s="2"/>
      <c r="B449" s="2"/>
      <c r="C449" s="22" t="str">
        <f>IF(OR(A449="",B449=""),"",IFERROR(XLOOKUP(1,(Buy_History!$A$2:$A$501=A449)*(Buy_History!$B$2:$B$501=B449),Buy_History!$C$2:$C$501,""),""))</f>
        <v/>
      </c>
      <c r="D449" s="22" t="str">
        <f>IF(OR(A449="",B449=""),"",IFERROR(XLOOKUP(1,(Sell_History!$A$2:$A$501=A449)*(Sell_History!$B$2:$B$501=B449),Sell_History!$C$2:$C$501,""),""))</f>
        <v/>
      </c>
      <c r="E449" s="8" t="str">
        <f>IF(OR(A449="",B449=""),"",IFERROR(XLOOKUP(1,(Raw_Observations!$A$2:$A$1001=A449)*(Raw_Observations!$B$2:$B$1001=B449),Raw_Observations!$D$2:$D$1001,""),""))</f>
        <v/>
      </c>
      <c r="F449" s="8" t="str">
        <f>IF(OR(A449="",B449=""),"",IFERROR(XLOOKUP(1,(Order_History!$A$2:$A$501=A449)*(Order_History!$B$2:$B$501=B449),Order_History!$D$2:$D$501,""),""))</f>
        <v/>
      </c>
      <c r="G449" s="8" t="str">
        <f>IF(COUNTIFS(Pricing!$A:$A,A449,Pricing!$B:$B,B449)=0,"",SUMIFS(Pricing!$G:$G,Pricing!$A:$A,A449,Pricing!$B:$B,B449))</f>
        <v/>
      </c>
      <c r="H449" s="9" t="str">
        <f t="shared" si="32"/>
        <v/>
      </c>
      <c r="I449" s="3">
        <v>0</v>
      </c>
      <c r="J449" s="3">
        <v>0</v>
      </c>
      <c r="K449" s="9" t="str">
        <f t="shared" si="33"/>
        <v/>
      </c>
      <c r="L449" s="6" t="str">
        <f t="shared" si="34"/>
        <v/>
      </c>
      <c r="M449" s="10" t="str">
        <f t="shared" si="35"/>
        <v/>
      </c>
      <c r="N449" s="6" t="str">
        <f t="shared" si="36"/>
        <v/>
      </c>
    </row>
    <row r="450" spans="1:14">
      <c r="A450" s="2"/>
      <c r="B450" s="2"/>
      <c r="C450" s="22" t="str">
        <f>IF(OR(A450="",B450=""),"",IFERROR(XLOOKUP(1,(Buy_History!$A$2:$A$501=A450)*(Buy_History!$B$2:$B$501=B450),Buy_History!$C$2:$C$501,""),""))</f>
        <v/>
      </c>
      <c r="D450" s="22" t="str">
        <f>IF(OR(A450="",B450=""),"",IFERROR(XLOOKUP(1,(Sell_History!$A$2:$A$501=A450)*(Sell_History!$B$2:$B$501=B450),Sell_History!$C$2:$C$501,""),""))</f>
        <v/>
      </c>
      <c r="E450" s="8" t="str">
        <f>IF(OR(A450="",B450=""),"",IFERROR(XLOOKUP(1,(Raw_Observations!$A$2:$A$1001=A450)*(Raw_Observations!$B$2:$B$1001=B450),Raw_Observations!$D$2:$D$1001,""),""))</f>
        <v/>
      </c>
      <c r="F450" s="8" t="str">
        <f>IF(OR(A450="",B450=""),"",IFERROR(XLOOKUP(1,(Order_History!$A$2:$A$501=A450)*(Order_History!$B$2:$B$501=B450),Order_History!$D$2:$D$501,""),""))</f>
        <v/>
      </c>
      <c r="G450" s="8" t="str">
        <f>IF(COUNTIFS(Pricing!$A:$A,A450,Pricing!$B:$B,B450)=0,"",SUMIFS(Pricing!$G:$G,Pricing!$A:$A,A450,Pricing!$B:$B,B450))</f>
        <v/>
      </c>
      <c r="H450" s="9" t="str">
        <f t="shared" ref="H450:H501" si="37">IF(OR(E450="",F450=""),"",F450-E450)</f>
        <v/>
      </c>
      <c r="I450" s="3">
        <v>0</v>
      </c>
      <c r="J450" s="3">
        <v>0</v>
      </c>
      <c r="K450" s="9" t="str">
        <f t="shared" ref="K450:K501" si="38">IF(H450="","",H450-I450-J450)</f>
        <v/>
      </c>
      <c r="L450" s="6" t="str">
        <f t="shared" ref="L450:L501" si="39">IF(OR(K450="",E450=""),"",K450/E450)</f>
        <v/>
      </c>
      <c r="M450" s="10" t="str">
        <f t="shared" ref="M450:M501" si="40">IF(OR(C450="",D450=""),"",MAX(1,ROUNDUP(D450-C450,0)))</f>
        <v/>
      </c>
      <c r="N450" s="6" t="str">
        <f t="shared" ref="N450:N501" si="41">IF(OR(L450="",M450=""),"",(1+L450)^(365/M450)-1)</f>
        <v/>
      </c>
    </row>
    <row r="451" spans="1:14">
      <c r="A451" s="2"/>
      <c r="B451" s="2"/>
      <c r="C451" s="22" t="str">
        <f>IF(OR(A451="",B451=""),"",IFERROR(XLOOKUP(1,(Buy_History!$A$2:$A$501=A451)*(Buy_History!$B$2:$B$501=B451),Buy_History!$C$2:$C$501,""),""))</f>
        <v/>
      </c>
      <c r="D451" s="22" t="str">
        <f>IF(OR(A451="",B451=""),"",IFERROR(XLOOKUP(1,(Sell_History!$A$2:$A$501=A451)*(Sell_History!$B$2:$B$501=B451),Sell_History!$C$2:$C$501,""),""))</f>
        <v/>
      </c>
      <c r="E451" s="8" t="str">
        <f>IF(OR(A451="",B451=""),"",IFERROR(XLOOKUP(1,(Raw_Observations!$A$2:$A$1001=A451)*(Raw_Observations!$B$2:$B$1001=B451),Raw_Observations!$D$2:$D$1001,""),""))</f>
        <v/>
      </c>
      <c r="F451" s="8" t="str">
        <f>IF(OR(A451="",B451=""),"",IFERROR(XLOOKUP(1,(Order_History!$A$2:$A$501=A451)*(Order_History!$B$2:$B$501=B451),Order_History!$D$2:$D$501,""),""))</f>
        <v/>
      </c>
      <c r="G451" s="8" t="str">
        <f>IF(COUNTIFS(Pricing!$A:$A,A451,Pricing!$B:$B,B451)=0,"",SUMIFS(Pricing!$G:$G,Pricing!$A:$A,A451,Pricing!$B:$B,B451))</f>
        <v/>
      </c>
      <c r="H451" s="9" t="str">
        <f t="shared" si="37"/>
        <v/>
      </c>
      <c r="I451" s="3">
        <v>0</v>
      </c>
      <c r="J451" s="3">
        <v>0</v>
      </c>
      <c r="K451" s="9" t="str">
        <f t="shared" si="38"/>
        <v/>
      </c>
      <c r="L451" s="6" t="str">
        <f t="shared" si="39"/>
        <v/>
      </c>
      <c r="M451" s="10" t="str">
        <f t="shared" si="40"/>
        <v/>
      </c>
      <c r="N451" s="6" t="str">
        <f t="shared" si="41"/>
        <v/>
      </c>
    </row>
    <row r="452" spans="1:14">
      <c r="A452" s="2"/>
      <c r="B452" s="2"/>
      <c r="C452" s="22" t="str">
        <f>IF(OR(A452="",B452=""),"",IFERROR(XLOOKUP(1,(Buy_History!$A$2:$A$501=A452)*(Buy_History!$B$2:$B$501=B452),Buy_History!$C$2:$C$501,""),""))</f>
        <v/>
      </c>
      <c r="D452" s="22" t="str">
        <f>IF(OR(A452="",B452=""),"",IFERROR(XLOOKUP(1,(Sell_History!$A$2:$A$501=A452)*(Sell_History!$B$2:$B$501=B452),Sell_History!$C$2:$C$501,""),""))</f>
        <v/>
      </c>
      <c r="E452" s="8" t="str">
        <f>IF(OR(A452="",B452=""),"",IFERROR(XLOOKUP(1,(Raw_Observations!$A$2:$A$1001=A452)*(Raw_Observations!$B$2:$B$1001=B452),Raw_Observations!$D$2:$D$1001,""),""))</f>
        <v/>
      </c>
      <c r="F452" s="8" t="str">
        <f>IF(OR(A452="",B452=""),"",IFERROR(XLOOKUP(1,(Order_History!$A$2:$A$501=A452)*(Order_History!$B$2:$B$501=B452),Order_History!$D$2:$D$501,""),""))</f>
        <v/>
      </c>
      <c r="G452" s="8" t="str">
        <f>IF(COUNTIFS(Pricing!$A:$A,A452,Pricing!$B:$B,B452)=0,"",SUMIFS(Pricing!$G:$G,Pricing!$A:$A,A452,Pricing!$B:$B,B452))</f>
        <v/>
      </c>
      <c r="H452" s="9" t="str">
        <f t="shared" si="37"/>
        <v/>
      </c>
      <c r="I452" s="3">
        <v>0</v>
      </c>
      <c r="J452" s="3">
        <v>0</v>
      </c>
      <c r="K452" s="9" t="str">
        <f t="shared" si="38"/>
        <v/>
      </c>
      <c r="L452" s="6" t="str">
        <f t="shared" si="39"/>
        <v/>
      </c>
      <c r="M452" s="10" t="str">
        <f t="shared" si="40"/>
        <v/>
      </c>
      <c r="N452" s="6" t="str">
        <f t="shared" si="41"/>
        <v/>
      </c>
    </row>
    <row r="453" spans="1:14">
      <c r="A453" s="2"/>
      <c r="B453" s="2"/>
      <c r="C453" s="22" t="str">
        <f>IF(OR(A453="",B453=""),"",IFERROR(XLOOKUP(1,(Buy_History!$A$2:$A$501=A453)*(Buy_History!$B$2:$B$501=B453),Buy_History!$C$2:$C$501,""),""))</f>
        <v/>
      </c>
      <c r="D453" s="22" t="str">
        <f>IF(OR(A453="",B453=""),"",IFERROR(XLOOKUP(1,(Sell_History!$A$2:$A$501=A453)*(Sell_History!$B$2:$B$501=B453),Sell_History!$C$2:$C$501,""),""))</f>
        <v/>
      </c>
      <c r="E453" s="8" t="str">
        <f>IF(OR(A453="",B453=""),"",IFERROR(XLOOKUP(1,(Raw_Observations!$A$2:$A$1001=A453)*(Raw_Observations!$B$2:$B$1001=B453),Raw_Observations!$D$2:$D$1001,""),""))</f>
        <v/>
      </c>
      <c r="F453" s="8" t="str">
        <f>IF(OR(A453="",B453=""),"",IFERROR(XLOOKUP(1,(Order_History!$A$2:$A$501=A453)*(Order_History!$B$2:$B$501=B453),Order_History!$D$2:$D$501,""),""))</f>
        <v/>
      </c>
      <c r="G453" s="8" t="str">
        <f>IF(COUNTIFS(Pricing!$A:$A,A453,Pricing!$B:$B,B453)=0,"",SUMIFS(Pricing!$G:$G,Pricing!$A:$A,A453,Pricing!$B:$B,B453))</f>
        <v/>
      </c>
      <c r="H453" s="9" t="str">
        <f t="shared" si="37"/>
        <v/>
      </c>
      <c r="I453" s="3">
        <v>0</v>
      </c>
      <c r="J453" s="3">
        <v>0</v>
      </c>
      <c r="K453" s="9" t="str">
        <f t="shared" si="38"/>
        <v/>
      </c>
      <c r="L453" s="6" t="str">
        <f t="shared" si="39"/>
        <v/>
      </c>
      <c r="M453" s="10" t="str">
        <f t="shared" si="40"/>
        <v/>
      </c>
      <c r="N453" s="6" t="str">
        <f t="shared" si="41"/>
        <v/>
      </c>
    </row>
    <row r="454" spans="1:14">
      <c r="A454" s="2"/>
      <c r="B454" s="2"/>
      <c r="C454" s="22" t="str">
        <f>IF(OR(A454="",B454=""),"",IFERROR(XLOOKUP(1,(Buy_History!$A$2:$A$501=A454)*(Buy_History!$B$2:$B$501=B454),Buy_History!$C$2:$C$501,""),""))</f>
        <v/>
      </c>
      <c r="D454" s="22" t="str">
        <f>IF(OR(A454="",B454=""),"",IFERROR(XLOOKUP(1,(Sell_History!$A$2:$A$501=A454)*(Sell_History!$B$2:$B$501=B454),Sell_History!$C$2:$C$501,""),""))</f>
        <v/>
      </c>
      <c r="E454" s="8" t="str">
        <f>IF(OR(A454="",B454=""),"",IFERROR(XLOOKUP(1,(Raw_Observations!$A$2:$A$1001=A454)*(Raw_Observations!$B$2:$B$1001=B454),Raw_Observations!$D$2:$D$1001,""),""))</f>
        <v/>
      </c>
      <c r="F454" s="8" t="str">
        <f>IF(OR(A454="",B454=""),"",IFERROR(XLOOKUP(1,(Order_History!$A$2:$A$501=A454)*(Order_History!$B$2:$B$501=B454),Order_History!$D$2:$D$501,""),""))</f>
        <v/>
      </c>
      <c r="G454" s="8" t="str">
        <f>IF(COUNTIFS(Pricing!$A:$A,A454,Pricing!$B:$B,B454)=0,"",SUMIFS(Pricing!$G:$G,Pricing!$A:$A,A454,Pricing!$B:$B,B454))</f>
        <v/>
      </c>
      <c r="H454" s="9" t="str">
        <f t="shared" si="37"/>
        <v/>
      </c>
      <c r="I454" s="3">
        <v>0</v>
      </c>
      <c r="J454" s="3">
        <v>0</v>
      </c>
      <c r="K454" s="9" t="str">
        <f t="shared" si="38"/>
        <v/>
      </c>
      <c r="L454" s="6" t="str">
        <f t="shared" si="39"/>
        <v/>
      </c>
      <c r="M454" s="10" t="str">
        <f t="shared" si="40"/>
        <v/>
      </c>
      <c r="N454" s="6" t="str">
        <f t="shared" si="41"/>
        <v/>
      </c>
    </row>
    <row r="455" spans="1:14">
      <c r="A455" s="2"/>
      <c r="B455" s="2"/>
      <c r="C455" s="22" t="str">
        <f>IF(OR(A455="",B455=""),"",IFERROR(XLOOKUP(1,(Buy_History!$A$2:$A$501=A455)*(Buy_History!$B$2:$B$501=B455),Buy_History!$C$2:$C$501,""),""))</f>
        <v/>
      </c>
      <c r="D455" s="22" t="str">
        <f>IF(OR(A455="",B455=""),"",IFERROR(XLOOKUP(1,(Sell_History!$A$2:$A$501=A455)*(Sell_History!$B$2:$B$501=B455),Sell_History!$C$2:$C$501,""),""))</f>
        <v/>
      </c>
      <c r="E455" s="8" t="str">
        <f>IF(OR(A455="",B455=""),"",IFERROR(XLOOKUP(1,(Raw_Observations!$A$2:$A$1001=A455)*(Raw_Observations!$B$2:$B$1001=B455),Raw_Observations!$D$2:$D$1001,""),""))</f>
        <v/>
      </c>
      <c r="F455" s="8" t="str">
        <f>IF(OR(A455="",B455=""),"",IFERROR(XLOOKUP(1,(Order_History!$A$2:$A$501=A455)*(Order_History!$B$2:$B$501=B455),Order_History!$D$2:$D$501,""),""))</f>
        <v/>
      </c>
      <c r="G455" s="8" t="str">
        <f>IF(COUNTIFS(Pricing!$A:$A,A455,Pricing!$B:$B,B455)=0,"",SUMIFS(Pricing!$G:$G,Pricing!$A:$A,A455,Pricing!$B:$B,B455))</f>
        <v/>
      </c>
      <c r="H455" s="9" t="str">
        <f t="shared" si="37"/>
        <v/>
      </c>
      <c r="I455" s="3">
        <v>0</v>
      </c>
      <c r="J455" s="3">
        <v>0</v>
      </c>
      <c r="K455" s="9" t="str">
        <f t="shared" si="38"/>
        <v/>
      </c>
      <c r="L455" s="6" t="str">
        <f t="shared" si="39"/>
        <v/>
      </c>
      <c r="M455" s="10" t="str">
        <f t="shared" si="40"/>
        <v/>
      </c>
      <c r="N455" s="6" t="str">
        <f t="shared" si="41"/>
        <v/>
      </c>
    </row>
    <row r="456" spans="1:14">
      <c r="A456" s="2"/>
      <c r="B456" s="2"/>
      <c r="C456" s="22" t="str">
        <f>IF(OR(A456="",B456=""),"",IFERROR(XLOOKUP(1,(Buy_History!$A$2:$A$501=A456)*(Buy_History!$B$2:$B$501=B456),Buy_History!$C$2:$C$501,""),""))</f>
        <v/>
      </c>
      <c r="D456" s="22" t="str">
        <f>IF(OR(A456="",B456=""),"",IFERROR(XLOOKUP(1,(Sell_History!$A$2:$A$501=A456)*(Sell_History!$B$2:$B$501=B456),Sell_History!$C$2:$C$501,""),""))</f>
        <v/>
      </c>
      <c r="E456" s="8" t="str">
        <f>IF(OR(A456="",B456=""),"",IFERROR(XLOOKUP(1,(Raw_Observations!$A$2:$A$1001=A456)*(Raw_Observations!$B$2:$B$1001=B456),Raw_Observations!$D$2:$D$1001,""),""))</f>
        <v/>
      </c>
      <c r="F456" s="8" t="str">
        <f>IF(OR(A456="",B456=""),"",IFERROR(XLOOKUP(1,(Order_History!$A$2:$A$501=A456)*(Order_History!$B$2:$B$501=B456),Order_History!$D$2:$D$501,""),""))</f>
        <v/>
      </c>
      <c r="G456" s="8" t="str">
        <f>IF(COUNTIFS(Pricing!$A:$A,A456,Pricing!$B:$B,B456)=0,"",SUMIFS(Pricing!$G:$G,Pricing!$A:$A,A456,Pricing!$B:$B,B456))</f>
        <v/>
      </c>
      <c r="H456" s="9" t="str">
        <f t="shared" si="37"/>
        <v/>
      </c>
      <c r="I456" s="3">
        <v>0</v>
      </c>
      <c r="J456" s="3">
        <v>0</v>
      </c>
      <c r="K456" s="9" t="str">
        <f t="shared" si="38"/>
        <v/>
      </c>
      <c r="L456" s="6" t="str">
        <f t="shared" si="39"/>
        <v/>
      </c>
      <c r="M456" s="10" t="str">
        <f t="shared" si="40"/>
        <v/>
      </c>
      <c r="N456" s="6" t="str">
        <f t="shared" si="41"/>
        <v/>
      </c>
    </row>
    <row r="457" spans="1:14">
      <c r="A457" s="2"/>
      <c r="B457" s="2"/>
      <c r="C457" s="22" t="str">
        <f>IF(OR(A457="",B457=""),"",IFERROR(XLOOKUP(1,(Buy_History!$A$2:$A$501=A457)*(Buy_History!$B$2:$B$501=B457),Buy_History!$C$2:$C$501,""),""))</f>
        <v/>
      </c>
      <c r="D457" s="22" t="str">
        <f>IF(OR(A457="",B457=""),"",IFERROR(XLOOKUP(1,(Sell_History!$A$2:$A$501=A457)*(Sell_History!$B$2:$B$501=B457),Sell_History!$C$2:$C$501,""),""))</f>
        <v/>
      </c>
      <c r="E457" s="8" t="str">
        <f>IF(OR(A457="",B457=""),"",IFERROR(XLOOKUP(1,(Raw_Observations!$A$2:$A$1001=A457)*(Raw_Observations!$B$2:$B$1001=B457),Raw_Observations!$D$2:$D$1001,""),""))</f>
        <v/>
      </c>
      <c r="F457" s="8" t="str">
        <f>IF(OR(A457="",B457=""),"",IFERROR(XLOOKUP(1,(Order_History!$A$2:$A$501=A457)*(Order_History!$B$2:$B$501=B457),Order_History!$D$2:$D$501,""),""))</f>
        <v/>
      </c>
      <c r="G457" s="8" t="str">
        <f>IF(COUNTIFS(Pricing!$A:$A,A457,Pricing!$B:$B,B457)=0,"",SUMIFS(Pricing!$G:$G,Pricing!$A:$A,A457,Pricing!$B:$B,B457))</f>
        <v/>
      </c>
      <c r="H457" s="9" t="str">
        <f t="shared" si="37"/>
        <v/>
      </c>
      <c r="I457" s="3">
        <v>0</v>
      </c>
      <c r="J457" s="3">
        <v>0</v>
      </c>
      <c r="K457" s="9" t="str">
        <f t="shared" si="38"/>
        <v/>
      </c>
      <c r="L457" s="6" t="str">
        <f t="shared" si="39"/>
        <v/>
      </c>
      <c r="M457" s="10" t="str">
        <f t="shared" si="40"/>
        <v/>
      </c>
      <c r="N457" s="6" t="str">
        <f t="shared" si="41"/>
        <v/>
      </c>
    </row>
    <row r="458" spans="1:14">
      <c r="A458" s="2"/>
      <c r="B458" s="2"/>
      <c r="C458" s="22" t="str">
        <f>IF(OR(A458="",B458=""),"",IFERROR(XLOOKUP(1,(Buy_History!$A$2:$A$501=A458)*(Buy_History!$B$2:$B$501=B458),Buy_History!$C$2:$C$501,""),""))</f>
        <v/>
      </c>
      <c r="D458" s="22" t="str">
        <f>IF(OR(A458="",B458=""),"",IFERROR(XLOOKUP(1,(Sell_History!$A$2:$A$501=A458)*(Sell_History!$B$2:$B$501=B458),Sell_History!$C$2:$C$501,""),""))</f>
        <v/>
      </c>
      <c r="E458" s="8" t="str">
        <f>IF(OR(A458="",B458=""),"",IFERROR(XLOOKUP(1,(Raw_Observations!$A$2:$A$1001=A458)*(Raw_Observations!$B$2:$B$1001=B458),Raw_Observations!$D$2:$D$1001,""),""))</f>
        <v/>
      </c>
      <c r="F458" s="8" t="str">
        <f>IF(OR(A458="",B458=""),"",IFERROR(XLOOKUP(1,(Order_History!$A$2:$A$501=A458)*(Order_History!$B$2:$B$501=B458),Order_History!$D$2:$D$501,""),""))</f>
        <v/>
      </c>
      <c r="G458" s="8" t="str">
        <f>IF(COUNTIFS(Pricing!$A:$A,A458,Pricing!$B:$B,B458)=0,"",SUMIFS(Pricing!$G:$G,Pricing!$A:$A,A458,Pricing!$B:$B,B458))</f>
        <v/>
      </c>
      <c r="H458" s="9" t="str">
        <f t="shared" si="37"/>
        <v/>
      </c>
      <c r="I458" s="3">
        <v>0</v>
      </c>
      <c r="J458" s="3">
        <v>0</v>
      </c>
      <c r="K458" s="9" t="str">
        <f t="shared" si="38"/>
        <v/>
      </c>
      <c r="L458" s="6" t="str">
        <f t="shared" si="39"/>
        <v/>
      </c>
      <c r="M458" s="10" t="str">
        <f t="shared" si="40"/>
        <v/>
      </c>
      <c r="N458" s="6" t="str">
        <f t="shared" si="41"/>
        <v/>
      </c>
    </row>
    <row r="459" spans="1:14">
      <c r="A459" s="2"/>
      <c r="B459" s="2"/>
      <c r="C459" s="22" t="str">
        <f>IF(OR(A459="",B459=""),"",IFERROR(XLOOKUP(1,(Buy_History!$A$2:$A$501=A459)*(Buy_History!$B$2:$B$501=B459),Buy_History!$C$2:$C$501,""),""))</f>
        <v/>
      </c>
      <c r="D459" s="22" t="str">
        <f>IF(OR(A459="",B459=""),"",IFERROR(XLOOKUP(1,(Sell_History!$A$2:$A$501=A459)*(Sell_History!$B$2:$B$501=B459),Sell_History!$C$2:$C$501,""),""))</f>
        <v/>
      </c>
      <c r="E459" s="8" t="str">
        <f>IF(OR(A459="",B459=""),"",IFERROR(XLOOKUP(1,(Raw_Observations!$A$2:$A$1001=A459)*(Raw_Observations!$B$2:$B$1001=B459),Raw_Observations!$D$2:$D$1001,""),""))</f>
        <v/>
      </c>
      <c r="F459" s="8" t="str">
        <f>IF(OR(A459="",B459=""),"",IFERROR(XLOOKUP(1,(Order_History!$A$2:$A$501=A459)*(Order_History!$B$2:$B$501=B459),Order_History!$D$2:$D$501,""),""))</f>
        <v/>
      </c>
      <c r="G459" s="8" t="str">
        <f>IF(COUNTIFS(Pricing!$A:$A,A459,Pricing!$B:$B,B459)=0,"",SUMIFS(Pricing!$G:$G,Pricing!$A:$A,A459,Pricing!$B:$B,B459))</f>
        <v/>
      </c>
      <c r="H459" s="9" t="str">
        <f t="shared" si="37"/>
        <v/>
      </c>
      <c r="I459" s="3">
        <v>0</v>
      </c>
      <c r="J459" s="3">
        <v>0</v>
      </c>
      <c r="K459" s="9" t="str">
        <f t="shared" si="38"/>
        <v/>
      </c>
      <c r="L459" s="6" t="str">
        <f t="shared" si="39"/>
        <v/>
      </c>
      <c r="M459" s="10" t="str">
        <f t="shared" si="40"/>
        <v/>
      </c>
      <c r="N459" s="6" t="str">
        <f t="shared" si="41"/>
        <v/>
      </c>
    </row>
    <row r="460" spans="1:14">
      <c r="A460" s="2"/>
      <c r="B460" s="2"/>
      <c r="C460" s="22" t="str">
        <f>IF(OR(A460="",B460=""),"",IFERROR(XLOOKUP(1,(Buy_History!$A$2:$A$501=A460)*(Buy_History!$B$2:$B$501=B460),Buy_History!$C$2:$C$501,""),""))</f>
        <v/>
      </c>
      <c r="D460" s="22" t="str">
        <f>IF(OR(A460="",B460=""),"",IFERROR(XLOOKUP(1,(Sell_History!$A$2:$A$501=A460)*(Sell_History!$B$2:$B$501=B460),Sell_History!$C$2:$C$501,""),""))</f>
        <v/>
      </c>
      <c r="E460" s="8" t="str">
        <f>IF(OR(A460="",B460=""),"",IFERROR(XLOOKUP(1,(Raw_Observations!$A$2:$A$1001=A460)*(Raw_Observations!$B$2:$B$1001=B460),Raw_Observations!$D$2:$D$1001,""),""))</f>
        <v/>
      </c>
      <c r="F460" s="8" t="str">
        <f>IF(OR(A460="",B460=""),"",IFERROR(XLOOKUP(1,(Order_History!$A$2:$A$501=A460)*(Order_History!$B$2:$B$501=B460),Order_History!$D$2:$D$501,""),""))</f>
        <v/>
      </c>
      <c r="G460" s="8" t="str">
        <f>IF(COUNTIFS(Pricing!$A:$A,A460,Pricing!$B:$B,B460)=0,"",SUMIFS(Pricing!$G:$G,Pricing!$A:$A,A460,Pricing!$B:$B,B460))</f>
        <v/>
      </c>
      <c r="H460" s="9" t="str">
        <f t="shared" si="37"/>
        <v/>
      </c>
      <c r="I460" s="3">
        <v>0</v>
      </c>
      <c r="J460" s="3">
        <v>0</v>
      </c>
      <c r="K460" s="9" t="str">
        <f t="shared" si="38"/>
        <v/>
      </c>
      <c r="L460" s="6" t="str">
        <f t="shared" si="39"/>
        <v/>
      </c>
      <c r="M460" s="10" t="str">
        <f t="shared" si="40"/>
        <v/>
      </c>
      <c r="N460" s="6" t="str">
        <f t="shared" si="41"/>
        <v/>
      </c>
    </row>
    <row r="461" spans="1:14">
      <c r="A461" s="2"/>
      <c r="B461" s="2"/>
      <c r="C461" s="22" t="str">
        <f>IF(OR(A461="",B461=""),"",IFERROR(XLOOKUP(1,(Buy_History!$A$2:$A$501=A461)*(Buy_History!$B$2:$B$501=B461),Buy_History!$C$2:$C$501,""),""))</f>
        <v/>
      </c>
      <c r="D461" s="22" t="str">
        <f>IF(OR(A461="",B461=""),"",IFERROR(XLOOKUP(1,(Sell_History!$A$2:$A$501=A461)*(Sell_History!$B$2:$B$501=B461),Sell_History!$C$2:$C$501,""),""))</f>
        <v/>
      </c>
      <c r="E461" s="8" t="str">
        <f>IF(OR(A461="",B461=""),"",IFERROR(XLOOKUP(1,(Raw_Observations!$A$2:$A$1001=A461)*(Raw_Observations!$B$2:$B$1001=B461),Raw_Observations!$D$2:$D$1001,""),""))</f>
        <v/>
      </c>
      <c r="F461" s="8" t="str">
        <f>IF(OR(A461="",B461=""),"",IFERROR(XLOOKUP(1,(Order_History!$A$2:$A$501=A461)*(Order_History!$B$2:$B$501=B461),Order_History!$D$2:$D$501,""),""))</f>
        <v/>
      </c>
      <c r="G461" s="8" t="str">
        <f>IF(COUNTIFS(Pricing!$A:$A,A461,Pricing!$B:$B,B461)=0,"",SUMIFS(Pricing!$G:$G,Pricing!$A:$A,A461,Pricing!$B:$B,B461))</f>
        <v/>
      </c>
      <c r="H461" s="9" t="str">
        <f t="shared" si="37"/>
        <v/>
      </c>
      <c r="I461" s="3">
        <v>0</v>
      </c>
      <c r="J461" s="3">
        <v>0</v>
      </c>
      <c r="K461" s="9" t="str">
        <f t="shared" si="38"/>
        <v/>
      </c>
      <c r="L461" s="6" t="str">
        <f t="shared" si="39"/>
        <v/>
      </c>
      <c r="M461" s="10" t="str">
        <f t="shared" si="40"/>
        <v/>
      </c>
      <c r="N461" s="6" t="str">
        <f t="shared" si="41"/>
        <v/>
      </c>
    </row>
    <row r="462" spans="1:14">
      <c r="A462" s="2"/>
      <c r="B462" s="2"/>
      <c r="C462" s="22" t="str">
        <f>IF(OR(A462="",B462=""),"",IFERROR(XLOOKUP(1,(Buy_History!$A$2:$A$501=A462)*(Buy_History!$B$2:$B$501=B462),Buy_History!$C$2:$C$501,""),""))</f>
        <v/>
      </c>
      <c r="D462" s="22" t="str">
        <f>IF(OR(A462="",B462=""),"",IFERROR(XLOOKUP(1,(Sell_History!$A$2:$A$501=A462)*(Sell_History!$B$2:$B$501=B462),Sell_History!$C$2:$C$501,""),""))</f>
        <v/>
      </c>
      <c r="E462" s="8" t="str">
        <f>IF(OR(A462="",B462=""),"",IFERROR(XLOOKUP(1,(Raw_Observations!$A$2:$A$1001=A462)*(Raw_Observations!$B$2:$B$1001=B462),Raw_Observations!$D$2:$D$1001,""),""))</f>
        <v/>
      </c>
      <c r="F462" s="8" t="str">
        <f>IF(OR(A462="",B462=""),"",IFERROR(XLOOKUP(1,(Order_History!$A$2:$A$501=A462)*(Order_History!$B$2:$B$501=B462),Order_History!$D$2:$D$501,""),""))</f>
        <v/>
      </c>
      <c r="G462" s="8" t="str">
        <f>IF(COUNTIFS(Pricing!$A:$A,A462,Pricing!$B:$B,B462)=0,"",SUMIFS(Pricing!$G:$G,Pricing!$A:$A,A462,Pricing!$B:$B,B462))</f>
        <v/>
      </c>
      <c r="H462" s="9" t="str">
        <f t="shared" si="37"/>
        <v/>
      </c>
      <c r="I462" s="3">
        <v>0</v>
      </c>
      <c r="J462" s="3">
        <v>0</v>
      </c>
      <c r="K462" s="9" t="str">
        <f t="shared" si="38"/>
        <v/>
      </c>
      <c r="L462" s="6" t="str">
        <f t="shared" si="39"/>
        <v/>
      </c>
      <c r="M462" s="10" t="str">
        <f t="shared" si="40"/>
        <v/>
      </c>
      <c r="N462" s="6" t="str">
        <f t="shared" si="41"/>
        <v/>
      </c>
    </row>
    <row r="463" spans="1:14">
      <c r="A463" s="2"/>
      <c r="B463" s="2"/>
      <c r="C463" s="22" t="str">
        <f>IF(OR(A463="",B463=""),"",IFERROR(XLOOKUP(1,(Buy_History!$A$2:$A$501=A463)*(Buy_History!$B$2:$B$501=B463),Buy_History!$C$2:$C$501,""),""))</f>
        <v/>
      </c>
      <c r="D463" s="22" t="str">
        <f>IF(OR(A463="",B463=""),"",IFERROR(XLOOKUP(1,(Sell_History!$A$2:$A$501=A463)*(Sell_History!$B$2:$B$501=B463),Sell_History!$C$2:$C$501,""),""))</f>
        <v/>
      </c>
      <c r="E463" s="8" t="str">
        <f>IF(OR(A463="",B463=""),"",IFERROR(XLOOKUP(1,(Raw_Observations!$A$2:$A$1001=A463)*(Raw_Observations!$B$2:$B$1001=B463),Raw_Observations!$D$2:$D$1001,""),""))</f>
        <v/>
      </c>
      <c r="F463" s="8" t="str">
        <f>IF(OR(A463="",B463=""),"",IFERROR(XLOOKUP(1,(Order_History!$A$2:$A$501=A463)*(Order_History!$B$2:$B$501=B463),Order_History!$D$2:$D$501,""),""))</f>
        <v/>
      </c>
      <c r="G463" s="8" t="str">
        <f>IF(COUNTIFS(Pricing!$A:$A,A463,Pricing!$B:$B,B463)=0,"",SUMIFS(Pricing!$G:$G,Pricing!$A:$A,A463,Pricing!$B:$B,B463))</f>
        <v/>
      </c>
      <c r="H463" s="9" t="str">
        <f t="shared" si="37"/>
        <v/>
      </c>
      <c r="I463" s="3">
        <v>0</v>
      </c>
      <c r="J463" s="3">
        <v>0</v>
      </c>
      <c r="K463" s="9" t="str">
        <f t="shared" si="38"/>
        <v/>
      </c>
      <c r="L463" s="6" t="str">
        <f t="shared" si="39"/>
        <v/>
      </c>
      <c r="M463" s="10" t="str">
        <f t="shared" si="40"/>
        <v/>
      </c>
      <c r="N463" s="6" t="str">
        <f t="shared" si="41"/>
        <v/>
      </c>
    </row>
    <row r="464" spans="1:14">
      <c r="A464" s="2"/>
      <c r="B464" s="2"/>
      <c r="C464" s="22" t="str">
        <f>IF(OR(A464="",B464=""),"",IFERROR(XLOOKUP(1,(Buy_History!$A$2:$A$501=A464)*(Buy_History!$B$2:$B$501=B464),Buy_History!$C$2:$C$501,""),""))</f>
        <v/>
      </c>
      <c r="D464" s="22" t="str">
        <f>IF(OR(A464="",B464=""),"",IFERROR(XLOOKUP(1,(Sell_History!$A$2:$A$501=A464)*(Sell_History!$B$2:$B$501=B464),Sell_History!$C$2:$C$501,""),""))</f>
        <v/>
      </c>
      <c r="E464" s="8" t="str">
        <f>IF(OR(A464="",B464=""),"",IFERROR(XLOOKUP(1,(Raw_Observations!$A$2:$A$1001=A464)*(Raw_Observations!$B$2:$B$1001=B464),Raw_Observations!$D$2:$D$1001,""),""))</f>
        <v/>
      </c>
      <c r="F464" s="8" t="str">
        <f>IF(OR(A464="",B464=""),"",IFERROR(XLOOKUP(1,(Order_History!$A$2:$A$501=A464)*(Order_History!$B$2:$B$501=B464),Order_History!$D$2:$D$501,""),""))</f>
        <v/>
      </c>
      <c r="G464" s="8" t="str">
        <f>IF(COUNTIFS(Pricing!$A:$A,A464,Pricing!$B:$B,B464)=0,"",SUMIFS(Pricing!$G:$G,Pricing!$A:$A,A464,Pricing!$B:$B,B464))</f>
        <v/>
      </c>
      <c r="H464" s="9" t="str">
        <f t="shared" si="37"/>
        <v/>
      </c>
      <c r="I464" s="3">
        <v>0</v>
      </c>
      <c r="J464" s="3">
        <v>0</v>
      </c>
      <c r="K464" s="9" t="str">
        <f t="shared" si="38"/>
        <v/>
      </c>
      <c r="L464" s="6" t="str">
        <f t="shared" si="39"/>
        <v/>
      </c>
      <c r="M464" s="10" t="str">
        <f t="shared" si="40"/>
        <v/>
      </c>
      <c r="N464" s="6" t="str">
        <f t="shared" si="41"/>
        <v/>
      </c>
    </row>
    <row r="465" spans="1:14">
      <c r="A465" s="2"/>
      <c r="B465" s="2"/>
      <c r="C465" s="22" t="str">
        <f>IF(OR(A465="",B465=""),"",IFERROR(XLOOKUP(1,(Buy_History!$A$2:$A$501=A465)*(Buy_History!$B$2:$B$501=B465),Buy_History!$C$2:$C$501,""),""))</f>
        <v/>
      </c>
      <c r="D465" s="22" t="str">
        <f>IF(OR(A465="",B465=""),"",IFERROR(XLOOKUP(1,(Sell_History!$A$2:$A$501=A465)*(Sell_History!$B$2:$B$501=B465),Sell_History!$C$2:$C$501,""),""))</f>
        <v/>
      </c>
      <c r="E465" s="8" t="str">
        <f>IF(OR(A465="",B465=""),"",IFERROR(XLOOKUP(1,(Raw_Observations!$A$2:$A$1001=A465)*(Raw_Observations!$B$2:$B$1001=B465),Raw_Observations!$D$2:$D$1001,""),""))</f>
        <v/>
      </c>
      <c r="F465" s="8" t="str">
        <f>IF(OR(A465="",B465=""),"",IFERROR(XLOOKUP(1,(Order_History!$A$2:$A$501=A465)*(Order_History!$B$2:$B$501=B465),Order_History!$D$2:$D$501,""),""))</f>
        <v/>
      </c>
      <c r="G465" s="8" t="str">
        <f>IF(COUNTIFS(Pricing!$A:$A,A465,Pricing!$B:$B,B465)=0,"",SUMIFS(Pricing!$G:$G,Pricing!$A:$A,A465,Pricing!$B:$B,B465))</f>
        <v/>
      </c>
      <c r="H465" s="9" t="str">
        <f t="shared" si="37"/>
        <v/>
      </c>
      <c r="I465" s="3">
        <v>0</v>
      </c>
      <c r="J465" s="3">
        <v>0</v>
      </c>
      <c r="K465" s="9" t="str">
        <f t="shared" si="38"/>
        <v/>
      </c>
      <c r="L465" s="6" t="str">
        <f t="shared" si="39"/>
        <v/>
      </c>
      <c r="M465" s="10" t="str">
        <f t="shared" si="40"/>
        <v/>
      </c>
      <c r="N465" s="6" t="str">
        <f t="shared" si="41"/>
        <v/>
      </c>
    </row>
    <row r="466" spans="1:14">
      <c r="A466" s="2"/>
      <c r="B466" s="2"/>
      <c r="C466" s="22" t="str">
        <f>IF(OR(A466="",B466=""),"",IFERROR(XLOOKUP(1,(Buy_History!$A$2:$A$501=A466)*(Buy_History!$B$2:$B$501=B466),Buy_History!$C$2:$C$501,""),""))</f>
        <v/>
      </c>
      <c r="D466" s="22" t="str">
        <f>IF(OR(A466="",B466=""),"",IFERROR(XLOOKUP(1,(Sell_History!$A$2:$A$501=A466)*(Sell_History!$B$2:$B$501=B466),Sell_History!$C$2:$C$501,""),""))</f>
        <v/>
      </c>
      <c r="E466" s="8" t="str">
        <f>IF(OR(A466="",B466=""),"",IFERROR(XLOOKUP(1,(Raw_Observations!$A$2:$A$1001=A466)*(Raw_Observations!$B$2:$B$1001=B466),Raw_Observations!$D$2:$D$1001,""),""))</f>
        <v/>
      </c>
      <c r="F466" s="8" t="str">
        <f>IF(OR(A466="",B466=""),"",IFERROR(XLOOKUP(1,(Order_History!$A$2:$A$501=A466)*(Order_History!$B$2:$B$501=B466),Order_History!$D$2:$D$501,""),""))</f>
        <v/>
      </c>
      <c r="G466" s="8" t="str">
        <f>IF(COUNTIFS(Pricing!$A:$A,A466,Pricing!$B:$B,B466)=0,"",SUMIFS(Pricing!$G:$G,Pricing!$A:$A,A466,Pricing!$B:$B,B466))</f>
        <v/>
      </c>
      <c r="H466" s="9" t="str">
        <f t="shared" si="37"/>
        <v/>
      </c>
      <c r="I466" s="3">
        <v>0</v>
      </c>
      <c r="J466" s="3">
        <v>0</v>
      </c>
      <c r="K466" s="9" t="str">
        <f t="shared" si="38"/>
        <v/>
      </c>
      <c r="L466" s="6" t="str">
        <f t="shared" si="39"/>
        <v/>
      </c>
      <c r="M466" s="10" t="str">
        <f t="shared" si="40"/>
        <v/>
      </c>
      <c r="N466" s="6" t="str">
        <f t="shared" si="41"/>
        <v/>
      </c>
    </row>
    <row r="467" spans="1:14">
      <c r="A467" s="2"/>
      <c r="B467" s="2"/>
      <c r="C467" s="22" t="str">
        <f>IF(OR(A467="",B467=""),"",IFERROR(XLOOKUP(1,(Buy_History!$A$2:$A$501=A467)*(Buy_History!$B$2:$B$501=B467),Buy_History!$C$2:$C$501,""),""))</f>
        <v/>
      </c>
      <c r="D467" s="22" t="str">
        <f>IF(OR(A467="",B467=""),"",IFERROR(XLOOKUP(1,(Sell_History!$A$2:$A$501=A467)*(Sell_History!$B$2:$B$501=B467),Sell_History!$C$2:$C$501,""),""))</f>
        <v/>
      </c>
      <c r="E467" s="8" t="str">
        <f>IF(OR(A467="",B467=""),"",IFERROR(XLOOKUP(1,(Raw_Observations!$A$2:$A$1001=A467)*(Raw_Observations!$B$2:$B$1001=B467),Raw_Observations!$D$2:$D$1001,""),""))</f>
        <v/>
      </c>
      <c r="F467" s="8" t="str">
        <f>IF(OR(A467="",B467=""),"",IFERROR(XLOOKUP(1,(Order_History!$A$2:$A$501=A467)*(Order_History!$B$2:$B$501=B467),Order_History!$D$2:$D$501,""),""))</f>
        <v/>
      </c>
      <c r="G467" s="8" t="str">
        <f>IF(COUNTIFS(Pricing!$A:$A,A467,Pricing!$B:$B,B467)=0,"",SUMIFS(Pricing!$G:$G,Pricing!$A:$A,A467,Pricing!$B:$B,B467))</f>
        <v/>
      </c>
      <c r="H467" s="9" t="str">
        <f t="shared" si="37"/>
        <v/>
      </c>
      <c r="I467" s="3">
        <v>0</v>
      </c>
      <c r="J467" s="3">
        <v>0</v>
      </c>
      <c r="K467" s="9" t="str">
        <f t="shared" si="38"/>
        <v/>
      </c>
      <c r="L467" s="6" t="str">
        <f t="shared" si="39"/>
        <v/>
      </c>
      <c r="M467" s="10" t="str">
        <f t="shared" si="40"/>
        <v/>
      </c>
      <c r="N467" s="6" t="str">
        <f t="shared" si="41"/>
        <v/>
      </c>
    </row>
    <row r="468" spans="1:14">
      <c r="A468" s="2"/>
      <c r="B468" s="2"/>
      <c r="C468" s="22" t="str">
        <f>IF(OR(A468="",B468=""),"",IFERROR(XLOOKUP(1,(Buy_History!$A$2:$A$501=A468)*(Buy_History!$B$2:$B$501=B468),Buy_History!$C$2:$C$501,""),""))</f>
        <v/>
      </c>
      <c r="D468" s="22" t="str">
        <f>IF(OR(A468="",B468=""),"",IFERROR(XLOOKUP(1,(Sell_History!$A$2:$A$501=A468)*(Sell_History!$B$2:$B$501=B468),Sell_History!$C$2:$C$501,""),""))</f>
        <v/>
      </c>
      <c r="E468" s="8" t="str">
        <f>IF(OR(A468="",B468=""),"",IFERROR(XLOOKUP(1,(Raw_Observations!$A$2:$A$1001=A468)*(Raw_Observations!$B$2:$B$1001=B468),Raw_Observations!$D$2:$D$1001,""),""))</f>
        <v/>
      </c>
      <c r="F468" s="8" t="str">
        <f>IF(OR(A468="",B468=""),"",IFERROR(XLOOKUP(1,(Order_History!$A$2:$A$501=A468)*(Order_History!$B$2:$B$501=B468),Order_History!$D$2:$D$501,""),""))</f>
        <v/>
      </c>
      <c r="G468" s="8" t="str">
        <f>IF(COUNTIFS(Pricing!$A:$A,A468,Pricing!$B:$B,B468)=0,"",SUMIFS(Pricing!$G:$G,Pricing!$A:$A,A468,Pricing!$B:$B,B468))</f>
        <v/>
      </c>
      <c r="H468" s="9" t="str">
        <f t="shared" si="37"/>
        <v/>
      </c>
      <c r="I468" s="3">
        <v>0</v>
      </c>
      <c r="J468" s="3">
        <v>0</v>
      </c>
      <c r="K468" s="9" t="str">
        <f t="shared" si="38"/>
        <v/>
      </c>
      <c r="L468" s="6" t="str">
        <f t="shared" si="39"/>
        <v/>
      </c>
      <c r="M468" s="10" t="str">
        <f t="shared" si="40"/>
        <v/>
      </c>
      <c r="N468" s="6" t="str">
        <f t="shared" si="41"/>
        <v/>
      </c>
    </row>
    <row r="469" spans="1:14">
      <c r="A469" s="2"/>
      <c r="B469" s="2"/>
      <c r="C469" s="22" t="str">
        <f>IF(OR(A469="",B469=""),"",IFERROR(XLOOKUP(1,(Buy_History!$A$2:$A$501=A469)*(Buy_History!$B$2:$B$501=B469),Buy_History!$C$2:$C$501,""),""))</f>
        <v/>
      </c>
      <c r="D469" s="22" t="str">
        <f>IF(OR(A469="",B469=""),"",IFERROR(XLOOKUP(1,(Sell_History!$A$2:$A$501=A469)*(Sell_History!$B$2:$B$501=B469),Sell_History!$C$2:$C$501,""),""))</f>
        <v/>
      </c>
      <c r="E469" s="8" t="str">
        <f>IF(OR(A469="",B469=""),"",IFERROR(XLOOKUP(1,(Raw_Observations!$A$2:$A$1001=A469)*(Raw_Observations!$B$2:$B$1001=B469),Raw_Observations!$D$2:$D$1001,""),""))</f>
        <v/>
      </c>
      <c r="F469" s="8" t="str">
        <f>IF(OR(A469="",B469=""),"",IFERROR(XLOOKUP(1,(Order_History!$A$2:$A$501=A469)*(Order_History!$B$2:$B$501=B469),Order_History!$D$2:$D$501,""),""))</f>
        <v/>
      </c>
      <c r="G469" s="8" t="str">
        <f>IF(COUNTIFS(Pricing!$A:$A,A469,Pricing!$B:$B,B469)=0,"",SUMIFS(Pricing!$G:$G,Pricing!$A:$A,A469,Pricing!$B:$B,B469))</f>
        <v/>
      </c>
      <c r="H469" s="9" t="str">
        <f t="shared" si="37"/>
        <v/>
      </c>
      <c r="I469" s="3">
        <v>0</v>
      </c>
      <c r="J469" s="3">
        <v>0</v>
      </c>
      <c r="K469" s="9" t="str">
        <f t="shared" si="38"/>
        <v/>
      </c>
      <c r="L469" s="6" t="str">
        <f t="shared" si="39"/>
        <v/>
      </c>
      <c r="M469" s="10" t="str">
        <f t="shared" si="40"/>
        <v/>
      </c>
      <c r="N469" s="6" t="str">
        <f t="shared" si="41"/>
        <v/>
      </c>
    </row>
    <row r="470" spans="1:14">
      <c r="A470" s="2"/>
      <c r="B470" s="2"/>
      <c r="C470" s="22" t="str">
        <f>IF(OR(A470="",B470=""),"",IFERROR(XLOOKUP(1,(Buy_History!$A$2:$A$501=A470)*(Buy_History!$B$2:$B$501=B470),Buy_History!$C$2:$C$501,""),""))</f>
        <v/>
      </c>
      <c r="D470" s="22" t="str">
        <f>IF(OR(A470="",B470=""),"",IFERROR(XLOOKUP(1,(Sell_History!$A$2:$A$501=A470)*(Sell_History!$B$2:$B$501=B470),Sell_History!$C$2:$C$501,""),""))</f>
        <v/>
      </c>
      <c r="E470" s="8" t="str">
        <f>IF(OR(A470="",B470=""),"",IFERROR(XLOOKUP(1,(Raw_Observations!$A$2:$A$1001=A470)*(Raw_Observations!$B$2:$B$1001=B470),Raw_Observations!$D$2:$D$1001,""),""))</f>
        <v/>
      </c>
      <c r="F470" s="8" t="str">
        <f>IF(OR(A470="",B470=""),"",IFERROR(XLOOKUP(1,(Order_History!$A$2:$A$501=A470)*(Order_History!$B$2:$B$501=B470),Order_History!$D$2:$D$501,""),""))</f>
        <v/>
      </c>
      <c r="G470" s="8" t="str">
        <f>IF(COUNTIFS(Pricing!$A:$A,A470,Pricing!$B:$B,B470)=0,"",SUMIFS(Pricing!$G:$G,Pricing!$A:$A,A470,Pricing!$B:$B,B470))</f>
        <v/>
      </c>
      <c r="H470" s="9" t="str">
        <f t="shared" si="37"/>
        <v/>
      </c>
      <c r="I470" s="3">
        <v>0</v>
      </c>
      <c r="J470" s="3">
        <v>0</v>
      </c>
      <c r="K470" s="9" t="str">
        <f t="shared" si="38"/>
        <v/>
      </c>
      <c r="L470" s="6" t="str">
        <f t="shared" si="39"/>
        <v/>
      </c>
      <c r="M470" s="10" t="str">
        <f t="shared" si="40"/>
        <v/>
      </c>
      <c r="N470" s="6" t="str">
        <f t="shared" si="41"/>
        <v/>
      </c>
    </row>
    <row r="471" spans="1:14">
      <c r="A471" s="2"/>
      <c r="B471" s="2"/>
      <c r="C471" s="22" t="str">
        <f>IF(OR(A471="",B471=""),"",IFERROR(XLOOKUP(1,(Buy_History!$A$2:$A$501=A471)*(Buy_History!$B$2:$B$501=B471),Buy_History!$C$2:$C$501,""),""))</f>
        <v/>
      </c>
      <c r="D471" s="22" t="str">
        <f>IF(OR(A471="",B471=""),"",IFERROR(XLOOKUP(1,(Sell_History!$A$2:$A$501=A471)*(Sell_History!$B$2:$B$501=B471),Sell_History!$C$2:$C$501,""),""))</f>
        <v/>
      </c>
      <c r="E471" s="8" t="str">
        <f>IF(OR(A471="",B471=""),"",IFERROR(XLOOKUP(1,(Raw_Observations!$A$2:$A$1001=A471)*(Raw_Observations!$B$2:$B$1001=B471),Raw_Observations!$D$2:$D$1001,""),""))</f>
        <v/>
      </c>
      <c r="F471" s="8" t="str">
        <f>IF(OR(A471="",B471=""),"",IFERROR(XLOOKUP(1,(Order_History!$A$2:$A$501=A471)*(Order_History!$B$2:$B$501=B471),Order_History!$D$2:$D$501,""),""))</f>
        <v/>
      </c>
      <c r="G471" s="8" t="str">
        <f>IF(COUNTIFS(Pricing!$A:$A,A471,Pricing!$B:$B,B471)=0,"",SUMIFS(Pricing!$G:$G,Pricing!$A:$A,A471,Pricing!$B:$B,B471))</f>
        <v/>
      </c>
      <c r="H471" s="9" t="str">
        <f t="shared" si="37"/>
        <v/>
      </c>
      <c r="I471" s="3">
        <v>0</v>
      </c>
      <c r="J471" s="3">
        <v>0</v>
      </c>
      <c r="K471" s="9" t="str">
        <f t="shared" si="38"/>
        <v/>
      </c>
      <c r="L471" s="6" t="str">
        <f t="shared" si="39"/>
        <v/>
      </c>
      <c r="M471" s="10" t="str">
        <f t="shared" si="40"/>
        <v/>
      </c>
      <c r="N471" s="6" t="str">
        <f t="shared" si="41"/>
        <v/>
      </c>
    </row>
    <row r="472" spans="1:14">
      <c r="A472" s="2"/>
      <c r="B472" s="2"/>
      <c r="C472" s="22" t="str">
        <f>IF(OR(A472="",B472=""),"",IFERROR(XLOOKUP(1,(Buy_History!$A$2:$A$501=A472)*(Buy_History!$B$2:$B$501=B472),Buy_History!$C$2:$C$501,""),""))</f>
        <v/>
      </c>
      <c r="D472" s="22" t="str">
        <f>IF(OR(A472="",B472=""),"",IFERROR(XLOOKUP(1,(Sell_History!$A$2:$A$501=A472)*(Sell_History!$B$2:$B$501=B472),Sell_History!$C$2:$C$501,""),""))</f>
        <v/>
      </c>
      <c r="E472" s="8" t="str">
        <f>IF(OR(A472="",B472=""),"",IFERROR(XLOOKUP(1,(Raw_Observations!$A$2:$A$1001=A472)*(Raw_Observations!$B$2:$B$1001=B472),Raw_Observations!$D$2:$D$1001,""),""))</f>
        <v/>
      </c>
      <c r="F472" s="8" t="str">
        <f>IF(OR(A472="",B472=""),"",IFERROR(XLOOKUP(1,(Order_History!$A$2:$A$501=A472)*(Order_History!$B$2:$B$501=B472),Order_History!$D$2:$D$501,""),""))</f>
        <v/>
      </c>
      <c r="G472" s="8" t="str">
        <f>IF(COUNTIFS(Pricing!$A:$A,A472,Pricing!$B:$B,B472)=0,"",SUMIFS(Pricing!$G:$G,Pricing!$A:$A,A472,Pricing!$B:$B,B472))</f>
        <v/>
      </c>
      <c r="H472" s="9" t="str">
        <f t="shared" si="37"/>
        <v/>
      </c>
      <c r="I472" s="3">
        <v>0</v>
      </c>
      <c r="J472" s="3">
        <v>0</v>
      </c>
      <c r="K472" s="9" t="str">
        <f t="shared" si="38"/>
        <v/>
      </c>
      <c r="L472" s="6" t="str">
        <f t="shared" si="39"/>
        <v/>
      </c>
      <c r="M472" s="10" t="str">
        <f t="shared" si="40"/>
        <v/>
      </c>
      <c r="N472" s="6" t="str">
        <f t="shared" si="41"/>
        <v/>
      </c>
    </row>
    <row r="473" spans="1:14">
      <c r="A473" s="2"/>
      <c r="B473" s="2"/>
      <c r="C473" s="22" t="str">
        <f>IF(OR(A473="",B473=""),"",IFERROR(XLOOKUP(1,(Buy_History!$A$2:$A$501=A473)*(Buy_History!$B$2:$B$501=B473),Buy_History!$C$2:$C$501,""),""))</f>
        <v/>
      </c>
      <c r="D473" s="22" t="str">
        <f>IF(OR(A473="",B473=""),"",IFERROR(XLOOKUP(1,(Sell_History!$A$2:$A$501=A473)*(Sell_History!$B$2:$B$501=B473),Sell_History!$C$2:$C$501,""),""))</f>
        <v/>
      </c>
      <c r="E473" s="8" t="str">
        <f>IF(OR(A473="",B473=""),"",IFERROR(XLOOKUP(1,(Raw_Observations!$A$2:$A$1001=A473)*(Raw_Observations!$B$2:$B$1001=B473),Raw_Observations!$D$2:$D$1001,""),""))</f>
        <v/>
      </c>
      <c r="F473" s="8" t="str">
        <f>IF(OR(A473="",B473=""),"",IFERROR(XLOOKUP(1,(Order_History!$A$2:$A$501=A473)*(Order_History!$B$2:$B$501=B473),Order_History!$D$2:$D$501,""),""))</f>
        <v/>
      </c>
      <c r="G473" s="8" t="str">
        <f>IF(COUNTIFS(Pricing!$A:$A,A473,Pricing!$B:$B,B473)=0,"",SUMIFS(Pricing!$G:$G,Pricing!$A:$A,A473,Pricing!$B:$B,B473))</f>
        <v/>
      </c>
      <c r="H473" s="9" t="str">
        <f t="shared" si="37"/>
        <v/>
      </c>
      <c r="I473" s="3">
        <v>0</v>
      </c>
      <c r="J473" s="3">
        <v>0</v>
      </c>
      <c r="K473" s="9" t="str">
        <f t="shared" si="38"/>
        <v/>
      </c>
      <c r="L473" s="6" t="str">
        <f t="shared" si="39"/>
        <v/>
      </c>
      <c r="M473" s="10" t="str">
        <f t="shared" si="40"/>
        <v/>
      </c>
      <c r="N473" s="6" t="str">
        <f t="shared" si="41"/>
        <v/>
      </c>
    </row>
    <row r="474" spans="1:14">
      <c r="A474" s="2"/>
      <c r="B474" s="2"/>
      <c r="C474" s="22" t="str">
        <f>IF(OR(A474="",B474=""),"",IFERROR(XLOOKUP(1,(Buy_History!$A$2:$A$501=A474)*(Buy_History!$B$2:$B$501=B474),Buy_History!$C$2:$C$501,""),""))</f>
        <v/>
      </c>
      <c r="D474" s="22" t="str">
        <f>IF(OR(A474="",B474=""),"",IFERROR(XLOOKUP(1,(Sell_History!$A$2:$A$501=A474)*(Sell_History!$B$2:$B$501=B474),Sell_History!$C$2:$C$501,""),""))</f>
        <v/>
      </c>
      <c r="E474" s="8" t="str">
        <f>IF(OR(A474="",B474=""),"",IFERROR(XLOOKUP(1,(Raw_Observations!$A$2:$A$1001=A474)*(Raw_Observations!$B$2:$B$1001=B474),Raw_Observations!$D$2:$D$1001,""),""))</f>
        <v/>
      </c>
      <c r="F474" s="8" t="str">
        <f>IF(OR(A474="",B474=""),"",IFERROR(XLOOKUP(1,(Order_History!$A$2:$A$501=A474)*(Order_History!$B$2:$B$501=B474),Order_History!$D$2:$D$501,""),""))</f>
        <v/>
      </c>
      <c r="G474" s="8" t="str">
        <f>IF(COUNTIFS(Pricing!$A:$A,A474,Pricing!$B:$B,B474)=0,"",SUMIFS(Pricing!$G:$G,Pricing!$A:$A,A474,Pricing!$B:$B,B474))</f>
        <v/>
      </c>
      <c r="H474" s="9" t="str">
        <f t="shared" si="37"/>
        <v/>
      </c>
      <c r="I474" s="3">
        <v>0</v>
      </c>
      <c r="J474" s="3">
        <v>0</v>
      </c>
      <c r="K474" s="9" t="str">
        <f t="shared" si="38"/>
        <v/>
      </c>
      <c r="L474" s="6" t="str">
        <f t="shared" si="39"/>
        <v/>
      </c>
      <c r="M474" s="10" t="str">
        <f t="shared" si="40"/>
        <v/>
      </c>
      <c r="N474" s="6" t="str">
        <f t="shared" si="41"/>
        <v/>
      </c>
    </row>
    <row r="475" spans="1:14">
      <c r="A475" s="2"/>
      <c r="B475" s="2"/>
      <c r="C475" s="22" t="str">
        <f>IF(OR(A475="",B475=""),"",IFERROR(XLOOKUP(1,(Buy_History!$A$2:$A$501=A475)*(Buy_History!$B$2:$B$501=B475),Buy_History!$C$2:$C$501,""),""))</f>
        <v/>
      </c>
      <c r="D475" s="22" t="str">
        <f>IF(OR(A475="",B475=""),"",IFERROR(XLOOKUP(1,(Sell_History!$A$2:$A$501=A475)*(Sell_History!$B$2:$B$501=B475),Sell_History!$C$2:$C$501,""),""))</f>
        <v/>
      </c>
      <c r="E475" s="8" t="str">
        <f>IF(OR(A475="",B475=""),"",IFERROR(XLOOKUP(1,(Raw_Observations!$A$2:$A$1001=A475)*(Raw_Observations!$B$2:$B$1001=B475),Raw_Observations!$D$2:$D$1001,""),""))</f>
        <v/>
      </c>
      <c r="F475" s="8" t="str">
        <f>IF(OR(A475="",B475=""),"",IFERROR(XLOOKUP(1,(Order_History!$A$2:$A$501=A475)*(Order_History!$B$2:$B$501=B475),Order_History!$D$2:$D$501,""),""))</f>
        <v/>
      </c>
      <c r="G475" s="8" t="str">
        <f>IF(COUNTIFS(Pricing!$A:$A,A475,Pricing!$B:$B,B475)=0,"",SUMIFS(Pricing!$G:$G,Pricing!$A:$A,A475,Pricing!$B:$B,B475))</f>
        <v/>
      </c>
      <c r="H475" s="9" t="str">
        <f t="shared" si="37"/>
        <v/>
      </c>
      <c r="I475" s="3">
        <v>0</v>
      </c>
      <c r="J475" s="3">
        <v>0</v>
      </c>
      <c r="K475" s="9" t="str">
        <f t="shared" si="38"/>
        <v/>
      </c>
      <c r="L475" s="6" t="str">
        <f t="shared" si="39"/>
        <v/>
      </c>
      <c r="M475" s="10" t="str">
        <f t="shared" si="40"/>
        <v/>
      </c>
      <c r="N475" s="6" t="str">
        <f t="shared" si="41"/>
        <v/>
      </c>
    </row>
    <row r="476" spans="1:14">
      <c r="A476" s="2"/>
      <c r="B476" s="2"/>
      <c r="C476" s="22" t="str">
        <f>IF(OR(A476="",B476=""),"",IFERROR(XLOOKUP(1,(Buy_History!$A$2:$A$501=A476)*(Buy_History!$B$2:$B$501=B476),Buy_History!$C$2:$C$501,""),""))</f>
        <v/>
      </c>
      <c r="D476" s="22" t="str">
        <f>IF(OR(A476="",B476=""),"",IFERROR(XLOOKUP(1,(Sell_History!$A$2:$A$501=A476)*(Sell_History!$B$2:$B$501=B476),Sell_History!$C$2:$C$501,""),""))</f>
        <v/>
      </c>
      <c r="E476" s="8" t="str">
        <f>IF(OR(A476="",B476=""),"",IFERROR(XLOOKUP(1,(Raw_Observations!$A$2:$A$1001=A476)*(Raw_Observations!$B$2:$B$1001=B476),Raw_Observations!$D$2:$D$1001,""),""))</f>
        <v/>
      </c>
      <c r="F476" s="8" t="str">
        <f>IF(OR(A476="",B476=""),"",IFERROR(XLOOKUP(1,(Order_History!$A$2:$A$501=A476)*(Order_History!$B$2:$B$501=B476),Order_History!$D$2:$D$501,""),""))</f>
        <v/>
      </c>
      <c r="G476" s="8" t="str">
        <f>IF(COUNTIFS(Pricing!$A:$A,A476,Pricing!$B:$B,B476)=0,"",SUMIFS(Pricing!$G:$G,Pricing!$A:$A,A476,Pricing!$B:$B,B476))</f>
        <v/>
      </c>
      <c r="H476" s="9" t="str">
        <f t="shared" si="37"/>
        <v/>
      </c>
      <c r="I476" s="3">
        <v>0</v>
      </c>
      <c r="J476" s="3">
        <v>0</v>
      </c>
      <c r="K476" s="9" t="str">
        <f t="shared" si="38"/>
        <v/>
      </c>
      <c r="L476" s="6" t="str">
        <f t="shared" si="39"/>
        <v/>
      </c>
      <c r="M476" s="10" t="str">
        <f t="shared" si="40"/>
        <v/>
      </c>
      <c r="N476" s="6" t="str">
        <f t="shared" si="41"/>
        <v/>
      </c>
    </row>
    <row r="477" spans="1:14">
      <c r="A477" s="2"/>
      <c r="B477" s="2"/>
      <c r="C477" s="22" t="str">
        <f>IF(OR(A477="",B477=""),"",IFERROR(XLOOKUP(1,(Buy_History!$A$2:$A$501=A477)*(Buy_History!$B$2:$B$501=B477),Buy_History!$C$2:$C$501,""),""))</f>
        <v/>
      </c>
      <c r="D477" s="22" t="str">
        <f>IF(OR(A477="",B477=""),"",IFERROR(XLOOKUP(1,(Sell_History!$A$2:$A$501=A477)*(Sell_History!$B$2:$B$501=B477),Sell_History!$C$2:$C$501,""),""))</f>
        <v/>
      </c>
      <c r="E477" s="8" t="str">
        <f>IF(OR(A477="",B477=""),"",IFERROR(XLOOKUP(1,(Raw_Observations!$A$2:$A$1001=A477)*(Raw_Observations!$B$2:$B$1001=B477),Raw_Observations!$D$2:$D$1001,""),""))</f>
        <v/>
      </c>
      <c r="F477" s="8" t="str">
        <f>IF(OR(A477="",B477=""),"",IFERROR(XLOOKUP(1,(Order_History!$A$2:$A$501=A477)*(Order_History!$B$2:$B$501=B477),Order_History!$D$2:$D$501,""),""))</f>
        <v/>
      </c>
      <c r="G477" s="8" t="str">
        <f>IF(COUNTIFS(Pricing!$A:$A,A477,Pricing!$B:$B,B477)=0,"",SUMIFS(Pricing!$G:$G,Pricing!$A:$A,A477,Pricing!$B:$B,B477))</f>
        <v/>
      </c>
      <c r="H477" s="9" t="str">
        <f t="shared" si="37"/>
        <v/>
      </c>
      <c r="I477" s="3">
        <v>0</v>
      </c>
      <c r="J477" s="3">
        <v>0</v>
      </c>
      <c r="K477" s="9" t="str">
        <f t="shared" si="38"/>
        <v/>
      </c>
      <c r="L477" s="6" t="str">
        <f t="shared" si="39"/>
        <v/>
      </c>
      <c r="M477" s="10" t="str">
        <f t="shared" si="40"/>
        <v/>
      </c>
      <c r="N477" s="6" t="str">
        <f t="shared" si="41"/>
        <v/>
      </c>
    </row>
    <row r="478" spans="1:14">
      <c r="A478" s="2"/>
      <c r="B478" s="2"/>
      <c r="C478" s="22" t="str">
        <f>IF(OR(A478="",B478=""),"",IFERROR(XLOOKUP(1,(Buy_History!$A$2:$A$501=A478)*(Buy_History!$B$2:$B$501=B478),Buy_History!$C$2:$C$501,""),""))</f>
        <v/>
      </c>
      <c r="D478" s="22" t="str">
        <f>IF(OR(A478="",B478=""),"",IFERROR(XLOOKUP(1,(Sell_History!$A$2:$A$501=A478)*(Sell_History!$B$2:$B$501=B478),Sell_History!$C$2:$C$501,""),""))</f>
        <v/>
      </c>
      <c r="E478" s="8" t="str">
        <f>IF(OR(A478="",B478=""),"",IFERROR(XLOOKUP(1,(Raw_Observations!$A$2:$A$1001=A478)*(Raw_Observations!$B$2:$B$1001=B478),Raw_Observations!$D$2:$D$1001,""),""))</f>
        <v/>
      </c>
      <c r="F478" s="8" t="str">
        <f>IF(OR(A478="",B478=""),"",IFERROR(XLOOKUP(1,(Order_History!$A$2:$A$501=A478)*(Order_History!$B$2:$B$501=B478),Order_History!$D$2:$D$501,""),""))</f>
        <v/>
      </c>
      <c r="G478" s="8" t="str">
        <f>IF(COUNTIFS(Pricing!$A:$A,A478,Pricing!$B:$B,B478)=0,"",SUMIFS(Pricing!$G:$G,Pricing!$A:$A,A478,Pricing!$B:$B,B478))</f>
        <v/>
      </c>
      <c r="H478" s="9" t="str">
        <f t="shared" si="37"/>
        <v/>
      </c>
      <c r="I478" s="3">
        <v>0</v>
      </c>
      <c r="J478" s="3">
        <v>0</v>
      </c>
      <c r="K478" s="9" t="str">
        <f t="shared" si="38"/>
        <v/>
      </c>
      <c r="L478" s="6" t="str">
        <f t="shared" si="39"/>
        <v/>
      </c>
      <c r="M478" s="10" t="str">
        <f t="shared" si="40"/>
        <v/>
      </c>
      <c r="N478" s="6" t="str">
        <f t="shared" si="41"/>
        <v/>
      </c>
    </row>
    <row r="479" spans="1:14">
      <c r="A479" s="2"/>
      <c r="B479" s="2"/>
      <c r="C479" s="22" t="str">
        <f>IF(OR(A479="",B479=""),"",IFERROR(XLOOKUP(1,(Buy_History!$A$2:$A$501=A479)*(Buy_History!$B$2:$B$501=B479),Buy_History!$C$2:$C$501,""),""))</f>
        <v/>
      </c>
      <c r="D479" s="22" t="str">
        <f>IF(OR(A479="",B479=""),"",IFERROR(XLOOKUP(1,(Sell_History!$A$2:$A$501=A479)*(Sell_History!$B$2:$B$501=B479),Sell_History!$C$2:$C$501,""),""))</f>
        <v/>
      </c>
      <c r="E479" s="8" t="str">
        <f>IF(OR(A479="",B479=""),"",IFERROR(XLOOKUP(1,(Raw_Observations!$A$2:$A$1001=A479)*(Raw_Observations!$B$2:$B$1001=B479),Raw_Observations!$D$2:$D$1001,""),""))</f>
        <v/>
      </c>
      <c r="F479" s="8" t="str">
        <f>IF(OR(A479="",B479=""),"",IFERROR(XLOOKUP(1,(Order_History!$A$2:$A$501=A479)*(Order_History!$B$2:$B$501=B479),Order_History!$D$2:$D$501,""),""))</f>
        <v/>
      </c>
      <c r="G479" s="8" t="str">
        <f>IF(COUNTIFS(Pricing!$A:$A,A479,Pricing!$B:$B,B479)=0,"",SUMIFS(Pricing!$G:$G,Pricing!$A:$A,A479,Pricing!$B:$B,B479))</f>
        <v/>
      </c>
      <c r="H479" s="9" t="str">
        <f t="shared" si="37"/>
        <v/>
      </c>
      <c r="I479" s="3">
        <v>0</v>
      </c>
      <c r="J479" s="3">
        <v>0</v>
      </c>
      <c r="K479" s="9" t="str">
        <f t="shared" si="38"/>
        <v/>
      </c>
      <c r="L479" s="6" t="str">
        <f t="shared" si="39"/>
        <v/>
      </c>
      <c r="M479" s="10" t="str">
        <f t="shared" si="40"/>
        <v/>
      </c>
      <c r="N479" s="6" t="str">
        <f t="shared" si="41"/>
        <v/>
      </c>
    </row>
    <row r="480" spans="1:14">
      <c r="A480" s="2"/>
      <c r="B480" s="2"/>
      <c r="C480" s="22" t="str">
        <f>IF(OR(A480="",B480=""),"",IFERROR(XLOOKUP(1,(Buy_History!$A$2:$A$501=A480)*(Buy_History!$B$2:$B$501=B480),Buy_History!$C$2:$C$501,""),""))</f>
        <v/>
      </c>
      <c r="D480" s="22" t="str">
        <f>IF(OR(A480="",B480=""),"",IFERROR(XLOOKUP(1,(Sell_History!$A$2:$A$501=A480)*(Sell_History!$B$2:$B$501=B480),Sell_History!$C$2:$C$501,""),""))</f>
        <v/>
      </c>
      <c r="E480" s="8" t="str">
        <f>IF(OR(A480="",B480=""),"",IFERROR(XLOOKUP(1,(Raw_Observations!$A$2:$A$1001=A480)*(Raw_Observations!$B$2:$B$1001=B480),Raw_Observations!$D$2:$D$1001,""),""))</f>
        <v/>
      </c>
      <c r="F480" s="8" t="str">
        <f>IF(OR(A480="",B480=""),"",IFERROR(XLOOKUP(1,(Order_History!$A$2:$A$501=A480)*(Order_History!$B$2:$B$501=B480),Order_History!$D$2:$D$501,""),""))</f>
        <v/>
      </c>
      <c r="G480" s="8" t="str">
        <f>IF(COUNTIFS(Pricing!$A:$A,A480,Pricing!$B:$B,B480)=0,"",SUMIFS(Pricing!$G:$G,Pricing!$A:$A,A480,Pricing!$B:$B,B480))</f>
        <v/>
      </c>
      <c r="H480" s="9" t="str">
        <f t="shared" si="37"/>
        <v/>
      </c>
      <c r="I480" s="3">
        <v>0</v>
      </c>
      <c r="J480" s="3">
        <v>0</v>
      </c>
      <c r="K480" s="9" t="str">
        <f t="shared" si="38"/>
        <v/>
      </c>
      <c r="L480" s="6" t="str">
        <f t="shared" si="39"/>
        <v/>
      </c>
      <c r="M480" s="10" t="str">
        <f t="shared" si="40"/>
        <v/>
      </c>
      <c r="N480" s="6" t="str">
        <f t="shared" si="41"/>
        <v/>
      </c>
    </row>
    <row r="481" spans="1:14">
      <c r="A481" s="2"/>
      <c r="B481" s="2"/>
      <c r="C481" s="22" t="str">
        <f>IF(OR(A481="",B481=""),"",IFERROR(XLOOKUP(1,(Buy_History!$A$2:$A$501=A481)*(Buy_History!$B$2:$B$501=B481),Buy_History!$C$2:$C$501,""),""))</f>
        <v/>
      </c>
      <c r="D481" s="22" t="str">
        <f>IF(OR(A481="",B481=""),"",IFERROR(XLOOKUP(1,(Sell_History!$A$2:$A$501=A481)*(Sell_History!$B$2:$B$501=B481),Sell_History!$C$2:$C$501,""),""))</f>
        <v/>
      </c>
      <c r="E481" s="8" t="str">
        <f>IF(OR(A481="",B481=""),"",IFERROR(XLOOKUP(1,(Raw_Observations!$A$2:$A$1001=A481)*(Raw_Observations!$B$2:$B$1001=B481),Raw_Observations!$D$2:$D$1001,""),""))</f>
        <v/>
      </c>
      <c r="F481" s="8" t="str">
        <f>IF(OR(A481="",B481=""),"",IFERROR(XLOOKUP(1,(Order_History!$A$2:$A$501=A481)*(Order_History!$B$2:$B$501=B481),Order_History!$D$2:$D$501,""),""))</f>
        <v/>
      </c>
      <c r="G481" s="8" t="str">
        <f>IF(COUNTIFS(Pricing!$A:$A,A481,Pricing!$B:$B,B481)=0,"",SUMIFS(Pricing!$G:$G,Pricing!$A:$A,A481,Pricing!$B:$B,B481))</f>
        <v/>
      </c>
      <c r="H481" s="9" t="str">
        <f t="shared" si="37"/>
        <v/>
      </c>
      <c r="I481" s="3">
        <v>0</v>
      </c>
      <c r="J481" s="3">
        <v>0</v>
      </c>
      <c r="K481" s="9" t="str">
        <f t="shared" si="38"/>
        <v/>
      </c>
      <c r="L481" s="6" t="str">
        <f t="shared" si="39"/>
        <v/>
      </c>
      <c r="M481" s="10" t="str">
        <f t="shared" si="40"/>
        <v/>
      </c>
      <c r="N481" s="6" t="str">
        <f t="shared" si="41"/>
        <v/>
      </c>
    </row>
    <row r="482" spans="1:14">
      <c r="A482" s="2"/>
      <c r="B482" s="2"/>
      <c r="C482" s="22" t="str">
        <f>IF(OR(A482="",B482=""),"",IFERROR(XLOOKUP(1,(Buy_History!$A$2:$A$501=A482)*(Buy_History!$B$2:$B$501=B482),Buy_History!$C$2:$C$501,""),""))</f>
        <v/>
      </c>
      <c r="D482" s="22" t="str">
        <f>IF(OR(A482="",B482=""),"",IFERROR(XLOOKUP(1,(Sell_History!$A$2:$A$501=A482)*(Sell_History!$B$2:$B$501=B482),Sell_History!$C$2:$C$501,""),""))</f>
        <v/>
      </c>
      <c r="E482" s="8" t="str">
        <f>IF(OR(A482="",B482=""),"",IFERROR(XLOOKUP(1,(Raw_Observations!$A$2:$A$1001=A482)*(Raw_Observations!$B$2:$B$1001=B482),Raw_Observations!$D$2:$D$1001,""),""))</f>
        <v/>
      </c>
      <c r="F482" s="8" t="str">
        <f>IF(OR(A482="",B482=""),"",IFERROR(XLOOKUP(1,(Order_History!$A$2:$A$501=A482)*(Order_History!$B$2:$B$501=B482),Order_History!$D$2:$D$501,""),""))</f>
        <v/>
      </c>
      <c r="G482" s="8" t="str">
        <f>IF(COUNTIFS(Pricing!$A:$A,A482,Pricing!$B:$B,B482)=0,"",SUMIFS(Pricing!$G:$G,Pricing!$A:$A,A482,Pricing!$B:$B,B482))</f>
        <v/>
      </c>
      <c r="H482" s="9" t="str">
        <f t="shared" si="37"/>
        <v/>
      </c>
      <c r="I482" s="3">
        <v>0</v>
      </c>
      <c r="J482" s="3">
        <v>0</v>
      </c>
      <c r="K482" s="9" t="str">
        <f t="shared" si="38"/>
        <v/>
      </c>
      <c r="L482" s="6" t="str">
        <f t="shared" si="39"/>
        <v/>
      </c>
      <c r="M482" s="10" t="str">
        <f t="shared" si="40"/>
        <v/>
      </c>
      <c r="N482" s="6" t="str">
        <f t="shared" si="41"/>
        <v/>
      </c>
    </row>
    <row r="483" spans="1:14">
      <c r="A483" s="2"/>
      <c r="B483" s="2"/>
      <c r="C483" s="22" t="str">
        <f>IF(OR(A483="",B483=""),"",IFERROR(XLOOKUP(1,(Buy_History!$A$2:$A$501=A483)*(Buy_History!$B$2:$B$501=B483),Buy_History!$C$2:$C$501,""),""))</f>
        <v/>
      </c>
      <c r="D483" s="22" t="str">
        <f>IF(OR(A483="",B483=""),"",IFERROR(XLOOKUP(1,(Sell_History!$A$2:$A$501=A483)*(Sell_History!$B$2:$B$501=B483),Sell_History!$C$2:$C$501,""),""))</f>
        <v/>
      </c>
      <c r="E483" s="8" t="str">
        <f>IF(OR(A483="",B483=""),"",IFERROR(XLOOKUP(1,(Raw_Observations!$A$2:$A$1001=A483)*(Raw_Observations!$B$2:$B$1001=B483),Raw_Observations!$D$2:$D$1001,""),""))</f>
        <v/>
      </c>
      <c r="F483" s="8" t="str">
        <f>IF(OR(A483="",B483=""),"",IFERROR(XLOOKUP(1,(Order_History!$A$2:$A$501=A483)*(Order_History!$B$2:$B$501=B483),Order_History!$D$2:$D$501,""),""))</f>
        <v/>
      </c>
      <c r="G483" s="8" t="str">
        <f>IF(COUNTIFS(Pricing!$A:$A,A483,Pricing!$B:$B,B483)=0,"",SUMIFS(Pricing!$G:$G,Pricing!$A:$A,A483,Pricing!$B:$B,B483))</f>
        <v/>
      </c>
      <c r="H483" s="9" t="str">
        <f t="shared" si="37"/>
        <v/>
      </c>
      <c r="I483" s="3">
        <v>0</v>
      </c>
      <c r="J483" s="3">
        <v>0</v>
      </c>
      <c r="K483" s="9" t="str">
        <f t="shared" si="38"/>
        <v/>
      </c>
      <c r="L483" s="6" t="str">
        <f t="shared" si="39"/>
        <v/>
      </c>
      <c r="M483" s="10" t="str">
        <f t="shared" si="40"/>
        <v/>
      </c>
      <c r="N483" s="6" t="str">
        <f t="shared" si="41"/>
        <v/>
      </c>
    </row>
    <row r="484" spans="1:14">
      <c r="A484" s="2"/>
      <c r="B484" s="2"/>
      <c r="C484" s="22" t="str">
        <f>IF(OR(A484="",B484=""),"",IFERROR(XLOOKUP(1,(Buy_History!$A$2:$A$501=A484)*(Buy_History!$B$2:$B$501=B484),Buy_History!$C$2:$C$501,""),""))</f>
        <v/>
      </c>
      <c r="D484" s="22" t="str">
        <f>IF(OR(A484="",B484=""),"",IFERROR(XLOOKUP(1,(Sell_History!$A$2:$A$501=A484)*(Sell_History!$B$2:$B$501=B484),Sell_History!$C$2:$C$501,""),""))</f>
        <v/>
      </c>
      <c r="E484" s="8" t="str">
        <f>IF(OR(A484="",B484=""),"",IFERROR(XLOOKUP(1,(Raw_Observations!$A$2:$A$1001=A484)*(Raw_Observations!$B$2:$B$1001=B484),Raw_Observations!$D$2:$D$1001,""),""))</f>
        <v/>
      </c>
      <c r="F484" s="8" t="str">
        <f>IF(OR(A484="",B484=""),"",IFERROR(XLOOKUP(1,(Order_History!$A$2:$A$501=A484)*(Order_History!$B$2:$B$501=B484),Order_History!$D$2:$D$501,""),""))</f>
        <v/>
      </c>
      <c r="G484" s="8" t="str">
        <f>IF(COUNTIFS(Pricing!$A:$A,A484,Pricing!$B:$B,B484)=0,"",SUMIFS(Pricing!$G:$G,Pricing!$A:$A,A484,Pricing!$B:$B,B484))</f>
        <v/>
      </c>
      <c r="H484" s="9" t="str">
        <f t="shared" si="37"/>
        <v/>
      </c>
      <c r="I484" s="3">
        <v>0</v>
      </c>
      <c r="J484" s="3">
        <v>0</v>
      </c>
      <c r="K484" s="9" t="str">
        <f t="shared" si="38"/>
        <v/>
      </c>
      <c r="L484" s="6" t="str">
        <f t="shared" si="39"/>
        <v/>
      </c>
      <c r="M484" s="10" t="str">
        <f t="shared" si="40"/>
        <v/>
      </c>
      <c r="N484" s="6" t="str">
        <f t="shared" si="41"/>
        <v/>
      </c>
    </row>
    <row r="485" spans="1:14">
      <c r="A485" s="2"/>
      <c r="B485" s="2"/>
      <c r="C485" s="22" t="str">
        <f>IF(OR(A485="",B485=""),"",IFERROR(XLOOKUP(1,(Buy_History!$A$2:$A$501=A485)*(Buy_History!$B$2:$B$501=B485),Buy_History!$C$2:$C$501,""),""))</f>
        <v/>
      </c>
      <c r="D485" s="22" t="str">
        <f>IF(OR(A485="",B485=""),"",IFERROR(XLOOKUP(1,(Sell_History!$A$2:$A$501=A485)*(Sell_History!$B$2:$B$501=B485),Sell_History!$C$2:$C$501,""),""))</f>
        <v/>
      </c>
      <c r="E485" s="8" t="str">
        <f>IF(OR(A485="",B485=""),"",IFERROR(XLOOKUP(1,(Raw_Observations!$A$2:$A$1001=A485)*(Raw_Observations!$B$2:$B$1001=B485),Raw_Observations!$D$2:$D$1001,""),""))</f>
        <v/>
      </c>
      <c r="F485" s="8" t="str">
        <f>IF(OR(A485="",B485=""),"",IFERROR(XLOOKUP(1,(Order_History!$A$2:$A$501=A485)*(Order_History!$B$2:$B$501=B485),Order_History!$D$2:$D$501,""),""))</f>
        <v/>
      </c>
      <c r="G485" s="8" t="str">
        <f>IF(COUNTIFS(Pricing!$A:$A,A485,Pricing!$B:$B,B485)=0,"",SUMIFS(Pricing!$G:$G,Pricing!$A:$A,A485,Pricing!$B:$B,B485))</f>
        <v/>
      </c>
      <c r="H485" s="9" t="str">
        <f t="shared" si="37"/>
        <v/>
      </c>
      <c r="I485" s="3">
        <v>0</v>
      </c>
      <c r="J485" s="3">
        <v>0</v>
      </c>
      <c r="K485" s="9" t="str">
        <f t="shared" si="38"/>
        <v/>
      </c>
      <c r="L485" s="6" t="str">
        <f t="shared" si="39"/>
        <v/>
      </c>
      <c r="M485" s="10" t="str">
        <f t="shared" si="40"/>
        <v/>
      </c>
      <c r="N485" s="6" t="str">
        <f t="shared" si="41"/>
        <v/>
      </c>
    </row>
    <row r="486" spans="1:14">
      <c r="A486" s="2"/>
      <c r="B486" s="2"/>
      <c r="C486" s="22" t="str">
        <f>IF(OR(A486="",B486=""),"",IFERROR(XLOOKUP(1,(Buy_History!$A$2:$A$501=A486)*(Buy_History!$B$2:$B$501=B486),Buy_History!$C$2:$C$501,""),""))</f>
        <v/>
      </c>
      <c r="D486" s="22" t="str">
        <f>IF(OR(A486="",B486=""),"",IFERROR(XLOOKUP(1,(Sell_History!$A$2:$A$501=A486)*(Sell_History!$B$2:$B$501=B486),Sell_History!$C$2:$C$501,""),""))</f>
        <v/>
      </c>
      <c r="E486" s="8" t="str">
        <f>IF(OR(A486="",B486=""),"",IFERROR(XLOOKUP(1,(Raw_Observations!$A$2:$A$1001=A486)*(Raw_Observations!$B$2:$B$1001=B486),Raw_Observations!$D$2:$D$1001,""),""))</f>
        <v/>
      </c>
      <c r="F486" s="8" t="str">
        <f>IF(OR(A486="",B486=""),"",IFERROR(XLOOKUP(1,(Order_History!$A$2:$A$501=A486)*(Order_History!$B$2:$B$501=B486),Order_History!$D$2:$D$501,""),""))</f>
        <v/>
      </c>
      <c r="G486" s="8" t="str">
        <f>IF(COUNTIFS(Pricing!$A:$A,A486,Pricing!$B:$B,B486)=0,"",SUMIFS(Pricing!$G:$G,Pricing!$A:$A,A486,Pricing!$B:$B,B486))</f>
        <v/>
      </c>
      <c r="H486" s="9" t="str">
        <f t="shared" si="37"/>
        <v/>
      </c>
      <c r="I486" s="3">
        <v>0</v>
      </c>
      <c r="J486" s="3">
        <v>0</v>
      </c>
      <c r="K486" s="9" t="str">
        <f t="shared" si="38"/>
        <v/>
      </c>
      <c r="L486" s="6" t="str">
        <f t="shared" si="39"/>
        <v/>
      </c>
      <c r="M486" s="10" t="str">
        <f t="shared" si="40"/>
        <v/>
      </c>
      <c r="N486" s="6" t="str">
        <f t="shared" si="41"/>
        <v/>
      </c>
    </row>
    <row r="487" spans="1:14">
      <c r="A487" s="2"/>
      <c r="B487" s="2"/>
      <c r="C487" s="22" t="str">
        <f>IF(OR(A487="",B487=""),"",IFERROR(XLOOKUP(1,(Buy_History!$A$2:$A$501=A487)*(Buy_History!$B$2:$B$501=B487),Buy_History!$C$2:$C$501,""),""))</f>
        <v/>
      </c>
      <c r="D487" s="22" t="str">
        <f>IF(OR(A487="",B487=""),"",IFERROR(XLOOKUP(1,(Sell_History!$A$2:$A$501=A487)*(Sell_History!$B$2:$B$501=B487),Sell_History!$C$2:$C$501,""),""))</f>
        <v/>
      </c>
      <c r="E487" s="8" t="str">
        <f>IF(OR(A487="",B487=""),"",IFERROR(XLOOKUP(1,(Raw_Observations!$A$2:$A$1001=A487)*(Raw_Observations!$B$2:$B$1001=B487),Raw_Observations!$D$2:$D$1001,""),""))</f>
        <v/>
      </c>
      <c r="F487" s="8" t="str">
        <f>IF(OR(A487="",B487=""),"",IFERROR(XLOOKUP(1,(Order_History!$A$2:$A$501=A487)*(Order_History!$B$2:$B$501=B487),Order_History!$D$2:$D$501,""),""))</f>
        <v/>
      </c>
      <c r="G487" s="8" t="str">
        <f>IF(COUNTIFS(Pricing!$A:$A,A487,Pricing!$B:$B,B487)=0,"",SUMIFS(Pricing!$G:$G,Pricing!$A:$A,A487,Pricing!$B:$B,B487))</f>
        <v/>
      </c>
      <c r="H487" s="9" t="str">
        <f t="shared" si="37"/>
        <v/>
      </c>
      <c r="I487" s="3">
        <v>0</v>
      </c>
      <c r="J487" s="3">
        <v>0</v>
      </c>
      <c r="K487" s="9" t="str">
        <f t="shared" si="38"/>
        <v/>
      </c>
      <c r="L487" s="6" t="str">
        <f t="shared" si="39"/>
        <v/>
      </c>
      <c r="M487" s="10" t="str">
        <f t="shared" si="40"/>
        <v/>
      </c>
      <c r="N487" s="6" t="str">
        <f t="shared" si="41"/>
        <v/>
      </c>
    </row>
    <row r="488" spans="1:14">
      <c r="A488" s="2"/>
      <c r="B488" s="2"/>
      <c r="C488" s="22" t="str">
        <f>IF(OR(A488="",B488=""),"",IFERROR(XLOOKUP(1,(Buy_History!$A$2:$A$501=A488)*(Buy_History!$B$2:$B$501=B488),Buy_History!$C$2:$C$501,""),""))</f>
        <v/>
      </c>
      <c r="D488" s="22" t="str">
        <f>IF(OR(A488="",B488=""),"",IFERROR(XLOOKUP(1,(Sell_History!$A$2:$A$501=A488)*(Sell_History!$B$2:$B$501=B488),Sell_History!$C$2:$C$501,""),""))</f>
        <v/>
      </c>
      <c r="E488" s="8" t="str">
        <f>IF(OR(A488="",B488=""),"",IFERROR(XLOOKUP(1,(Raw_Observations!$A$2:$A$1001=A488)*(Raw_Observations!$B$2:$B$1001=B488),Raw_Observations!$D$2:$D$1001,""),""))</f>
        <v/>
      </c>
      <c r="F488" s="8" t="str">
        <f>IF(OR(A488="",B488=""),"",IFERROR(XLOOKUP(1,(Order_History!$A$2:$A$501=A488)*(Order_History!$B$2:$B$501=B488),Order_History!$D$2:$D$501,""),""))</f>
        <v/>
      </c>
      <c r="G488" s="8" t="str">
        <f>IF(COUNTIFS(Pricing!$A:$A,A488,Pricing!$B:$B,B488)=0,"",SUMIFS(Pricing!$G:$G,Pricing!$A:$A,A488,Pricing!$B:$B,B488))</f>
        <v/>
      </c>
      <c r="H488" s="9" t="str">
        <f t="shared" si="37"/>
        <v/>
      </c>
      <c r="I488" s="3">
        <v>0</v>
      </c>
      <c r="J488" s="3">
        <v>0</v>
      </c>
      <c r="K488" s="9" t="str">
        <f t="shared" si="38"/>
        <v/>
      </c>
      <c r="L488" s="6" t="str">
        <f t="shared" si="39"/>
        <v/>
      </c>
      <c r="M488" s="10" t="str">
        <f t="shared" si="40"/>
        <v/>
      </c>
      <c r="N488" s="6" t="str">
        <f t="shared" si="41"/>
        <v/>
      </c>
    </row>
    <row r="489" spans="1:14">
      <c r="A489" s="2"/>
      <c r="B489" s="2"/>
      <c r="C489" s="22" t="str">
        <f>IF(OR(A489="",B489=""),"",IFERROR(XLOOKUP(1,(Buy_History!$A$2:$A$501=A489)*(Buy_History!$B$2:$B$501=B489),Buy_History!$C$2:$C$501,""),""))</f>
        <v/>
      </c>
      <c r="D489" s="22" t="str">
        <f>IF(OR(A489="",B489=""),"",IFERROR(XLOOKUP(1,(Sell_History!$A$2:$A$501=A489)*(Sell_History!$B$2:$B$501=B489),Sell_History!$C$2:$C$501,""),""))</f>
        <v/>
      </c>
      <c r="E489" s="8" t="str">
        <f>IF(OR(A489="",B489=""),"",IFERROR(XLOOKUP(1,(Raw_Observations!$A$2:$A$1001=A489)*(Raw_Observations!$B$2:$B$1001=B489),Raw_Observations!$D$2:$D$1001,""),""))</f>
        <v/>
      </c>
      <c r="F489" s="8" t="str">
        <f>IF(OR(A489="",B489=""),"",IFERROR(XLOOKUP(1,(Order_History!$A$2:$A$501=A489)*(Order_History!$B$2:$B$501=B489),Order_History!$D$2:$D$501,""),""))</f>
        <v/>
      </c>
      <c r="G489" s="8" t="str">
        <f>IF(COUNTIFS(Pricing!$A:$A,A489,Pricing!$B:$B,B489)=0,"",SUMIFS(Pricing!$G:$G,Pricing!$A:$A,A489,Pricing!$B:$B,B489))</f>
        <v/>
      </c>
      <c r="H489" s="9" t="str">
        <f t="shared" si="37"/>
        <v/>
      </c>
      <c r="I489" s="3">
        <v>0</v>
      </c>
      <c r="J489" s="3">
        <v>0</v>
      </c>
      <c r="K489" s="9" t="str">
        <f t="shared" si="38"/>
        <v/>
      </c>
      <c r="L489" s="6" t="str">
        <f t="shared" si="39"/>
        <v/>
      </c>
      <c r="M489" s="10" t="str">
        <f t="shared" si="40"/>
        <v/>
      </c>
      <c r="N489" s="6" t="str">
        <f t="shared" si="41"/>
        <v/>
      </c>
    </row>
    <row r="490" spans="1:14">
      <c r="A490" s="2"/>
      <c r="B490" s="2"/>
      <c r="C490" s="22" t="str">
        <f>IF(OR(A490="",B490=""),"",IFERROR(XLOOKUP(1,(Buy_History!$A$2:$A$501=A490)*(Buy_History!$B$2:$B$501=B490),Buy_History!$C$2:$C$501,""),""))</f>
        <v/>
      </c>
      <c r="D490" s="22" t="str">
        <f>IF(OR(A490="",B490=""),"",IFERROR(XLOOKUP(1,(Sell_History!$A$2:$A$501=A490)*(Sell_History!$B$2:$B$501=B490),Sell_History!$C$2:$C$501,""),""))</f>
        <v/>
      </c>
      <c r="E490" s="8" t="str">
        <f>IF(OR(A490="",B490=""),"",IFERROR(XLOOKUP(1,(Raw_Observations!$A$2:$A$1001=A490)*(Raw_Observations!$B$2:$B$1001=B490),Raw_Observations!$D$2:$D$1001,""),""))</f>
        <v/>
      </c>
      <c r="F490" s="8" t="str">
        <f>IF(OR(A490="",B490=""),"",IFERROR(XLOOKUP(1,(Order_History!$A$2:$A$501=A490)*(Order_History!$B$2:$B$501=B490),Order_History!$D$2:$D$501,""),""))</f>
        <v/>
      </c>
      <c r="G490" s="8" t="str">
        <f>IF(COUNTIFS(Pricing!$A:$A,A490,Pricing!$B:$B,B490)=0,"",SUMIFS(Pricing!$G:$G,Pricing!$A:$A,A490,Pricing!$B:$B,B490))</f>
        <v/>
      </c>
      <c r="H490" s="9" t="str">
        <f t="shared" si="37"/>
        <v/>
      </c>
      <c r="I490" s="3">
        <v>0</v>
      </c>
      <c r="J490" s="3">
        <v>0</v>
      </c>
      <c r="K490" s="9" t="str">
        <f t="shared" si="38"/>
        <v/>
      </c>
      <c r="L490" s="6" t="str">
        <f t="shared" si="39"/>
        <v/>
      </c>
      <c r="M490" s="10" t="str">
        <f t="shared" si="40"/>
        <v/>
      </c>
      <c r="N490" s="6" t="str">
        <f t="shared" si="41"/>
        <v/>
      </c>
    </row>
    <row r="491" spans="1:14">
      <c r="A491" s="2"/>
      <c r="B491" s="2"/>
      <c r="C491" s="22" t="str">
        <f>IF(OR(A491="",B491=""),"",IFERROR(XLOOKUP(1,(Buy_History!$A$2:$A$501=A491)*(Buy_History!$B$2:$B$501=B491),Buy_History!$C$2:$C$501,""),""))</f>
        <v/>
      </c>
      <c r="D491" s="22" t="str">
        <f>IF(OR(A491="",B491=""),"",IFERROR(XLOOKUP(1,(Sell_History!$A$2:$A$501=A491)*(Sell_History!$B$2:$B$501=B491),Sell_History!$C$2:$C$501,""),""))</f>
        <v/>
      </c>
      <c r="E491" s="8" t="str">
        <f>IF(OR(A491="",B491=""),"",IFERROR(XLOOKUP(1,(Raw_Observations!$A$2:$A$1001=A491)*(Raw_Observations!$B$2:$B$1001=B491),Raw_Observations!$D$2:$D$1001,""),""))</f>
        <v/>
      </c>
      <c r="F491" s="8" t="str">
        <f>IF(OR(A491="",B491=""),"",IFERROR(XLOOKUP(1,(Order_History!$A$2:$A$501=A491)*(Order_History!$B$2:$B$501=B491),Order_History!$D$2:$D$501,""),""))</f>
        <v/>
      </c>
      <c r="G491" s="8" t="str">
        <f>IF(COUNTIFS(Pricing!$A:$A,A491,Pricing!$B:$B,B491)=0,"",SUMIFS(Pricing!$G:$G,Pricing!$A:$A,A491,Pricing!$B:$B,B491))</f>
        <v/>
      </c>
      <c r="H491" s="9" t="str">
        <f t="shared" si="37"/>
        <v/>
      </c>
      <c r="I491" s="3">
        <v>0</v>
      </c>
      <c r="J491" s="3">
        <v>0</v>
      </c>
      <c r="K491" s="9" t="str">
        <f t="shared" si="38"/>
        <v/>
      </c>
      <c r="L491" s="6" t="str">
        <f t="shared" si="39"/>
        <v/>
      </c>
      <c r="M491" s="10" t="str">
        <f t="shared" si="40"/>
        <v/>
      </c>
      <c r="N491" s="6" t="str">
        <f t="shared" si="41"/>
        <v/>
      </c>
    </row>
    <row r="492" spans="1:14">
      <c r="A492" s="2"/>
      <c r="B492" s="2"/>
      <c r="C492" s="22" t="str">
        <f>IF(OR(A492="",B492=""),"",IFERROR(XLOOKUP(1,(Buy_History!$A$2:$A$501=A492)*(Buy_History!$B$2:$B$501=B492),Buy_History!$C$2:$C$501,""),""))</f>
        <v/>
      </c>
      <c r="D492" s="22" t="str">
        <f>IF(OR(A492="",B492=""),"",IFERROR(XLOOKUP(1,(Sell_History!$A$2:$A$501=A492)*(Sell_History!$B$2:$B$501=B492),Sell_History!$C$2:$C$501,""),""))</f>
        <v/>
      </c>
      <c r="E492" s="8" t="str">
        <f>IF(OR(A492="",B492=""),"",IFERROR(XLOOKUP(1,(Raw_Observations!$A$2:$A$1001=A492)*(Raw_Observations!$B$2:$B$1001=B492),Raw_Observations!$D$2:$D$1001,""),""))</f>
        <v/>
      </c>
      <c r="F492" s="8" t="str">
        <f>IF(OR(A492="",B492=""),"",IFERROR(XLOOKUP(1,(Order_History!$A$2:$A$501=A492)*(Order_History!$B$2:$B$501=B492),Order_History!$D$2:$D$501,""),""))</f>
        <v/>
      </c>
      <c r="G492" s="8" t="str">
        <f>IF(COUNTIFS(Pricing!$A:$A,A492,Pricing!$B:$B,B492)=0,"",SUMIFS(Pricing!$G:$G,Pricing!$A:$A,A492,Pricing!$B:$B,B492))</f>
        <v/>
      </c>
      <c r="H492" s="9" t="str">
        <f t="shared" si="37"/>
        <v/>
      </c>
      <c r="I492" s="3">
        <v>0</v>
      </c>
      <c r="J492" s="3">
        <v>0</v>
      </c>
      <c r="K492" s="9" t="str">
        <f t="shared" si="38"/>
        <v/>
      </c>
      <c r="L492" s="6" t="str">
        <f t="shared" si="39"/>
        <v/>
      </c>
      <c r="M492" s="10" t="str">
        <f t="shared" si="40"/>
        <v/>
      </c>
      <c r="N492" s="6" t="str">
        <f t="shared" si="41"/>
        <v/>
      </c>
    </row>
    <row r="493" spans="1:14">
      <c r="A493" s="2"/>
      <c r="B493" s="2"/>
      <c r="C493" s="22" t="str">
        <f>IF(OR(A493="",B493=""),"",IFERROR(XLOOKUP(1,(Buy_History!$A$2:$A$501=A493)*(Buy_History!$B$2:$B$501=B493),Buy_History!$C$2:$C$501,""),""))</f>
        <v/>
      </c>
      <c r="D493" s="22" t="str">
        <f>IF(OR(A493="",B493=""),"",IFERROR(XLOOKUP(1,(Sell_History!$A$2:$A$501=A493)*(Sell_History!$B$2:$B$501=B493),Sell_History!$C$2:$C$501,""),""))</f>
        <v/>
      </c>
      <c r="E493" s="8" t="str">
        <f>IF(OR(A493="",B493=""),"",IFERROR(XLOOKUP(1,(Raw_Observations!$A$2:$A$1001=A493)*(Raw_Observations!$B$2:$B$1001=B493),Raw_Observations!$D$2:$D$1001,""),""))</f>
        <v/>
      </c>
      <c r="F493" s="8" t="str">
        <f>IF(OR(A493="",B493=""),"",IFERROR(XLOOKUP(1,(Order_History!$A$2:$A$501=A493)*(Order_History!$B$2:$B$501=B493),Order_History!$D$2:$D$501,""),""))</f>
        <v/>
      </c>
      <c r="G493" s="8" t="str">
        <f>IF(COUNTIFS(Pricing!$A:$A,A493,Pricing!$B:$B,B493)=0,"",SUMIFS(Pricing!$G:$G,Pricing!$A:$A,A493,Pricing!$B:$B,B493))</f>
        <v/>
      </c>
      <c r="H493" s="9" t="str">
        <f t="shared" si="37"/>
        <v/>
      </c>
      <c r="I493" s="3">
        <v>0</v>
      </c>
      <c r="J493" s="3">
        <v>0</v>
      </c>
      <c r="K493" s="9" t="str">
        <f t="shared" si="38"/>
        <v/>
      </c>
      <c r="L493" s="6" t="str">
        <f t="shared" si="39"/>
        <v/>
      </c>
      <c r="M493" s="10" t="str">
        <f t="shared" si="40"/>
        <v/>
      </c>
      <c r="N493" s="6" t="str">
        <f t="shared" si="41"/>
        <v/>
      </c>
    </row>
    <row r="494" spans="1:14">
      <c r="A494" s="2"/>
      <c r="B494" s="2"/>
      <c r="C494" s="22" t="str">
        <f>IF(OR(A494="",B494=""),"",IFERROR(XLOOKUP(1,(Buy_History!$A$2:$A$501=A494)*(Buy_History!$B$2:$B$501=B494),Buy_History!$C$2:$C$501,""),""))</f>
        <v/>
      </c>
      <c r="D494" s="22" t="str">
        <f>IF(OR(A494="",B494=""),"",IFERROR(XLOOKUP(1,(Sell_History!$A$2:$A$501=A494)*(Sell_History!$B$2:$B$501=B494),Sell_History!$C$2:$C$501,""),""))</f>
        <v/>
      </c>
      <c r="E494" s="8" t="str">
        <f>IF(OR(A494="",B494=""),"",IFERROR(XLOOKUP(1,(Raw_Observations!$A$2:$A$1001=A494)*(Raw_Observations!$B$2:$B$1001=B494),Raw_Observations!$D$2:$D$1001,""),""))</f>
        <v/>
      </c>
      <c r="F494" s="8" t="str">
        <f>IF(OR(A494="",B494=""),"",IFERROR(XLOOKUP(1,(Order_History!$A$2:$A$501=A494)*(Order_History!$B$2:$B$501=B494),Order_History!$D$2:$D$501,""),""))</f>
        <v/>
      </c>
      <c r="G494" s="8" t="str">
        <f>IF(COUNTIFS(Pricing!$A:$A,A494,Pricing!$B:$B,B494)=0,"",SUMIFS(Pricing!$G:$G,Pricing!$A:$A,A494,Pricing!$B:$B,B494))</f>
        <v/>
      </c>
      <c r="H494" s="9" t="str">
        <f t="shared" si="37"/>
        <v/>
      </c>
      <c r="I494" s="3">
        <v>0</v>
      </c>
      <c r="J494" s="3">
        <v>0</v>
      </c>
      <c r="K494" s="9" t="str">
        <f t="shared" si="38"/>
        <v/>
      </c>
      <c r="L494" s="6" t="str">
        <f t="shared" si="39"/>
        <v/>
      </c>
      <c r="M494" s="10" t="str">
        <f t="shared" si="40"/>
        <v/>
      </c>
      <c r="N494" s="6" t="str">
        <f t="shared" si="41"/>
        <v/>
      </c>
    </row>
    <row r="495" spans="1:14">
      <c r="A495" s="2"/>
      <c r="B495" s="2"/>
      <c r="C495" s="22" t="str">
        <f>IF(OR(A495="",B495=""),"",IFERROR(XLOOKUP(1,(Buy_History!$A$2:$A$501=A495)*(Buy_History!$B$2:$B$501=B495),Buy_History!$C$2:$C$501,""),""))</f>
        <v/>
      </c>
      <c r="D495" s="22" t="str">
        <f>IF(OR(A495="",B495=""),"",IFERROR(XLOOKUP(1,(Sell_History!$A$2:$A$501=A495)*(Sell_History!$B$2:$B$501=B495),Sell_History!$C$2:$C$501,""),""))</f>
        <v/>
      </c>
      <c r="E495" s="8" t="str">
        <f>IF(OR(A495="",B495=""),"",IFERROR(XLOOKUP(1,(Raw_Observations!$A$2:$A$1001=A495)*(Raw_Observations!$B$2:$B$1001=B495),Raw_Observations!$D$2:$D$1001,""),""))</f>
        <v/>
      </c>
      <c r="F495" s="8" t="str">
        <f>IF(OR(A495="",B495=""),"",IFERROR(XLOOKUP(1,(Order_History!$A$2:$A$501=A495)*(Order_History!$B$2:$B$501=B495),Order_History!$D$2:$D$501,""),""))</f>
        <v/>
      </c>
      <c r="G495" s="8" t="str">
        <f>IF(COUNTIFS(Pricing!$A:$A,A495,Pricing!$B:$B,B495)=0,"",SUMIFS(Pricing!$G:$G,Pricing!$A:$A,A495,Pricing!$B:$B,B495))</f>
        <v/>
      </c>
      <c r="H495" s="9" t="str">
        <f t="shared" si="37"/>
        <v/>
      </c>
      <c r="I495" s="3">
        <v>0</v>
      </c>
      <c r="J495" s="3">
        <v>0</v>
      </c>
      <c r="K495" s="9" t="str">
        <f t="shared" si="38"/>
        <v/>
      </c>
      <c r="L495" s="6" t="str">
        <f t="shared" si="39"/>
        <v/>
      </c>
      <c r="M495" s="10" t="str">
        <f t="shared" si="40"/>
        <v/>
      </c>
      <c r="N495" s="6" t="str">
        <f t="shared" si="41"/>
        <v/>
      </c>
    </row>
    <row r="496" spans="1:14">
      <c r="A496" s="2"/>
      <c r="B496" s="2"/>
      <c r="C496" s="22" t="str">
        <f>IF(OR(A496="",B496=""),"",IFERROR(XLOOKUP(1,(Buy_History!$A$2:$A$501=A496)*(Buy_History!$B$2:$B$501=B496),Buy_History!$C$2:$C$501,""),""))</f>
        <v/>
      </c>
      <c r="D496" s="22" t="str">
        <f>IF(OR(A496="",B496=""),"",IFERROR(XLOOKUP(1,(Sell_History!$A$2:$A$501=A496)*(Sell_History!$B$2:$B$501=B496),Sell_History!$C$2:$C$501,""),""))</f>
        <v/>
      </c>
      <c r="E496" s="8" t="str">
        <f>IF(OR(A496="",B496=""),"",IFERROR(XLOOKUP(1,(Raw_Observations!$A$2:$A$1001=A496)*(Raw_Observations!$B$2:$B$1001=B496),Raw_Observations!$D$2:$D$1001,""),""))</f>
        <v/>
      </c>
      <c r="F496" s="8" t="str">
        <f>IF(OR(A496="",B496=""),"",IFERROR(XLOOKUP(1,(Order_History!$A$2:$A$501=A496)*(Order_History!$B$2:$B$501=B496),Order_History!$D$2:$D$501,""),""))</f>
        <v/>
      </c>
      <c r="G496" s="8" t="str">
        <f>IF(COUNTIFS(Pricing!$A:$A,A496,Pricing!$B:$B,B496)=0,"",SUMIFS(Pricing!$G:$G,Pricing!$A:$A,A496,Pricing!$B:$B,B496))</f>
        <v/>
      </c>
      <c r="H496" s="9" t="str">
        <f t="shared" si="37"/>
        <v/>
      </c>
      <c r="I496" s="3">
        <v>0</v>
      </c>
      <c r="J496" s="3">
        <v>0</v>
      </c>
      <c r="K496" s="9" t="str">
        <f t="shared" si="38"/>
        <v/>
      </c>
      <c r="L496" s="6" t="str">
        <f t="shared" si="39"/>
        <v/>
      </c>
      <c r="M496" s="10" t="str">
        <f t="shared" si="40"/>
        <v/>
      </c>
      <c r="N496" s="6" t="str">
        <f t="shared" si="41"/>
        <v/>
      </c>
    </row>
    <row r="497" spans="1:14">
      <c r="A497" s="2"/>
      <c r="B497" s="2"/>
      <c r="C497" s="22" t="str">
        <f>IF(OR(A497="",B497=""),"",IFERROR(XLOOKUP(1,(Buy_History!$A$2:$A$501=A497)*(Buy_History!$B$2:$B$501=B497),Buy_History!$C$2:$C$501,""),""))</f>
        <v/>
      </c>
      <c r="D497" s="22" t="str">
        <f>IF(OR(A497="",B497=""),"",IFERROR(XLOOKUP(1,(Sell_History!$A$2:$A$501=A497)*(Sell_History!$B$2:$B$501=B497),Sell_History!$C$2:$C$501,""),""))</f>
        <v/>
      </c>
      <c r="E497" s="8" t="str">
        <f>IF(OR(A497="",B497=""),"",IFERROR(XLOOKUP(1,(Raw_Observations!$A$2:$A$1001=A497)*(Raw_Observations!$B$2:$B$1001=B497),Raw_Observations!$D$2:$D$1001,""),""))</f>
        <v/>
      </c>
      <c r="F497" s="8" t="str">
        <f>IF(OR(A497="",B497=""),"",IFERROR(XLOOKUP(1,(Order_History!$A$2:$A$501=A497)*(Order_History!$B$2:$B$501=B497),Order_History!$D$2:$D$501,""),""))</f>
        <v/>
      </c>
      <c r="G497" s="8" t="str">
        <f>IF(COUNTIFS(Pricing!$A:$A,A497,Pricing!$B:$B,B497)=0,"",SUMIFS(Pricing!$G:$G,Pricing!$A:$A,A497,Pricing!$B:$B,B497))</f>
        <v/>
      </c>
      <c r="H497" s="9" t="str">
        <f t="shared" si="37"/>
        <v/>
      </c>
      <c r="I497" s="3">
        <v>0</v>
      </c>
      <c r="J497" s="3">
        <v>0</v>
      </c>
      <c r="K497" s="9" t="str">
        <f t="shared" si="38"/>
        <v/>
      </c>
      <c r="L497" s="6" t="str">
        <f t="shared" si="39"/>
        <v/>
      </c>
      <c r="M497" s="10" t="str">
        <f t="shared" si="40"/>
        <v/>
      </c>
      <c r="N497" s="6" t="str">
        <f t="shared" si="41"/>
        <v/>
      </c>
    </row>
    <row r="498" spans="1:14">
      <c r="A498" s="2"/>
      <c r="B498" s="2"/>
      <c r="C498" s="22" t="str">
        <f>IF(OR(A498="",B498=""),"",IFERROR(XLOOKUP(1,(Buy_History!$A$2:$A$501=A498)*(Buy_History!$B$2:$B$501=B498),Buy_History!$C$2:$C$501,""),""))</f>
        <v/>
      </c>
      <c r="D498" s="22" t="str">
        <f>IF(OR(A498="",B498=""),"",IFERROR(XLOOKUP(1,(Sell_History!$A$2:$A$501=A498)*(Sell_History!$B$2:$B$501=B498),Sell_History!$C$2:$C$501,""),""))</f>
        <v/>
      </c>
      <c r="E498" s="8" t="str">
        <f>IF(OR(A498="",B498=""),"",IFERROR(XLOOKUP(1,(Raw_Observations!$A$2:$A$1001=A498)*(Raw_Observations!$B$2:$B$1001=B498),Raw_Observations!$D$2:$D$1001,""),""))</f>
        <v/>
      </c>
      <c r="F498" s="8" t="str">
        <f>IF(OR(A498="",B498=""),"",IFERROR(XLOOKUP(1,(Order_History!$A$2:$A$501=A498)*(Order_History!$B$2:$B$501=B498),Order_History!$D$2:$D$501,""),""))</f>
        <v/>
      </c>
      <c r="G498" s="8" t="str">
        <f>IF(COUNTIFS(Pricing!$A:$A,A498,Pricing!$B:$B,B498)=0,"",SUMIFS(Pricing!$G:$G,Pricing!$A:$A,A498,Pricing!$B:$B,B498))</f>
        <v/>
      </c>
      <c r="H498" s="9" t="str">
        <f t="shared" si="37"/>
        <v/>
      </c>
      <c r="I498" s="3">
        <v>0</v>
      </c>
      <c r="J498" s="3">
        <v>0</v>
      </c>
      <c r="K498" s="9" t="str">
        <f t="shared" si="38"/>
        <v/>
      </c>
      <c r="L498" s="6" t="str">
        <f t="shared" si="39"/>
        <v/>
      </c>
      <c r="M498" s="10" t="str">
        <f t="shared" si="40"/>
        <v/>
      </c>
      <c r="N498" s="6" t="str">
        <f t="shared" si="41"/>
        <v/>
      </c>
    </row>
    <row r="499" spans="1:14">
      <c r="A499" s="2"/>
      <c r="B499" s="2"/>
      <c r="C499" s="22" t="str">
        <f>IF(OR(A499="",B499=""),"",IFERROR(XLOOKUP(1,(Buy_History!$A$2:$A$501=A499)*(Buy_History!$B$2:$B$501=B499),Buy_History!$C$2:$C$501,""),""))</f>
        <v/>
      </c>
      <c r="D499" s="22" t="str">
        <f>IF(OR(A499="",B499=""),"",IFERROR(XLOOKUP(1,(Sell_History!$A$2:$A$501=A499)*(Sell_History!$B$2:$B$501=B499),Sell_History!$C$2:$C$501,""),""))</f>
        <v/>
      </c>
      <c r="E499" s="8" t="str">
        <f>IF(OR(A499="",B499=""),"",IFERROR(XLOOKUP(1,(Raw_Observations!$A$2:$A$1001=A499)*(Raw_Observations!$B$2:$B$1001=B499),Raw_Observations!$D$2:$D$1001,""),""))</f>
        <v/>
      </c>
      <c r="F499" s="8" t="str">
        <f>IF(OR(A499="",B499=""),"",IFERROR(XLOOKUP(1,(Order_History!$A$2:$A$501=A499)*(Order_History!$B$2:$B$501=B499),Order_History!$D$2:$D$501,""),""))</f>
        <v/>
      </c>
      <c r="G499" s="8" t="str">
        <f>IF(COUNTIFS(Pricing!$A:$A,A499,Pricing!$B:$B,B499)=0,"",SUMIFS(Pricing!$G:$G,Pricing!$A:$A,A499,Pricing!$B:$B,B499))</f>
        <v/>
      </c>
      <c r="H499" s="9" t="str">
        <f t="shared" si="37"/>
        <v/>
      </c>
      <c r="I499" s="3">
        <v>0</v>
      </c>
      <c r="J499" s="3">
        <v>0</v>
      </c>
      <c r="K499" s="9" t="str">
        <f t="shared" si="38"/>
        <v/>
      </c>
      <c r="L499" s="6" t="str">
        <f t="shared" si="39"/>
        <v/>
      </c>
      <c r="M499" s="10" t="str">
        <f t="shared" si="40"/>
        <v/>
      </c>
      <c r="N499" s="6" t="str">
        <f t="shared" si="41"/>
        <v/>
      </c>
    </row>
    <row r="500" spans="1:14">
      <c r="A500" s="2"/>
      <c r="B500" s="2"/>
      <c r="C500" s="22" t="str">
        <f>IF(OR(A500="",B500=""),"",IFERROR(XLOOKUP(1,(Buy_History!$A$2:$A$501=A500)*(Buy_History!$B$2:$B$501=B500),Buy_History!$C$2:$C$501,""),""))</f>
        <v/>
      </c>
      <c r="D500" s="22" t="str">
        <f>IF(OR(A500="",B500=""),"",IFERROR(XLOOKUP(1,(Sell_History!$A$2:$A$501=A500)*(Sell_History!$B$2:$B$501=B500),Sell_History!$C$2:$C$501,""),""))</f>
        <v/>
      </c>
      <c r="E500" s="8" t="str">
        <f>IF(OR(A500="",B500=""),"",IFERROR(XLOOKUP(1,(Raw_Observations!$A$2:$A$1001=A500)*(Raw_Observations!$B$2:$B$1001=B500),Raw_Observations!$D$2:$D$1001,""),""))</f>
        <v/>
      </c>
      <c r="F500" s="8" t="str">
        <f>IF(OR(A500="",B500=""),"",IFERROR(XLOOKUP(1,(Order_History!$A$2:$A$501=A500)*(Order_History!$B$2:$B$501=B500),Order_History!$D$2:$D$501,""),""))</f>
        <v/>
      </c>
      <c r="G500" s="8" t="str">
        <f>IF(COUNTIFS(Pricing!$A:$A,A500,Pricing!$B:$B,B500)=0,"",SUMIFS(Pricing!$G:$G,Pricing!$A:$A,A500,Pricing!$B:$B,B500))</f>
        <v/>
      </c>
      <c r="H500" s="9" t="str">
        <f t="shared" si="37"/>
        <v/>
      </c>
      <c r="I500" s="3">
        <v>0</v>
      </c>
      <c r="J500" s="3">
        <v>0</v>
      </c>
      <c r="K500" s="9" t="str">
        <f t="shared" si="38"/>
        <v/>
      </c>
      <c r="L500" s="6" t="str">
        <f t="shared" si="39"/>
        <v/>
      </c>
      <c r="M500" s="10" t="str">
        <f t="shared" si="40"/>
        <v/>
      </c>
      <c r="N500" s="6" t="str">
        <f t="shared" si="41"/>
        <v/>
      </c>
    </row>
    <row r="501" spans="1:14">
      <c r="A501" s="2"/>
      <c r="B501" s="2"/>
      <c r="C501" s="22" t="str">
        <f>IF(OR(A501="",B501=""),"",IFERROR(XLOOKUP(1,(Buy_History!$A$2:$A$501=A501)*(Buy_History!$B$2:$B$501=B501),Buy_History!$C$2:$C$501,""),""))</f>
        <v/>
      </c>
      <c r="D501" s="22" t="str">
        <f>IF(OR(A501="",B501=""),"",IFERROR(XLOOKUP(1,(Sell_History!$A$2:$A$501=A501)*(Sell_History!$B$2:$B$501=B501),Sell_History!$C$2:$C$501,""),""))</f>
        <v/>
      </c>
      <c r="E501" s="8" t="str">
        <f>IF(OR(A501="",B501=""),"",IFERROR(XLOOKUP(1,(Raw_Observations!$A$2:$A$1001=A501)*(Raw_Observations!$B$2:$B$1001=B501),Raw_Observations!$D$2:$D$1001,""),""))</f>
        <v/>
      </c>
      <c r="F501" s="8" t="str">
        <f>IF(OR(A501="",B501=""),"",IFERROR(XLOOKUP(1,(Order_History!$A$2:$A$501=A501)*(Order_History!$B$2:$B$501=B501),Order_History!$D$2:$D$501,""),""))</f>
        <v/>
      </c>
      <c r="G501" s="8" t="str">
        <f>IF(COUNTIFS(Pricing!$A:$A,A501,Pricing!$B:$B,B501)=0,"",SUMIFS(Pricing!$G:$G,Pricing!$A:$A,A501,Pricing!$B:$B,B501))</f>
        <v/>
      </c>
      <c r="H501" s="9" t="str">
        <f t="shared" si="37"/>
        <v/>
      </c>
      <c r="I501" s="3">
        <v>0</v>
      </c>
      <c r="J501" s="3">
        <v>0</v>
      </c>
      <c r="K501" s="9" t="str">
        <f t="shared" si="38"/>
        <v/>
      </c>
      <c r="L501" s="6" t="str">
        <f t="shared" si="39"/>
        <v/>
      </c>
      <c r="M501" s="10" t="str">
        <f t="shared" si="40"/>
        <v/>
      </c>
      <c r="N501" s="6" t="str">
        <f t="shared" si="41"/>
        <v/>
      </c>
    </row>
  </sheetData>
  <conditionalFormatting sqref="C2:G501">
    <cfRule type="expression" dxfId="5" priority="4">
      <formula>AND($A2&lt;&gt;"",OR($C2="",$D2="",$E2="",$F2=""))</formula>
    </cfRule>
  </conditionalFormatting>
  <conditionalFormatting sqref="K2:K501">
    <cfRule type="expression" dxfId="4" priority="5">
      <formula>$K2&lt;0</formula>
    </cfRule>
  </conditionalFormatting>
  <conditionalFormatting sqref="N2:N501">
    <cfRule type="colorScale" priority="6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2:B5">
    <cfRule type="expression" dxfId="3" priority="3">
      <formula>AND($A2&lt;&gt;"",COUNTIFS($A:$A,$A2,$B:$B,$B2)&gt;1)</formula>
    </cfRule>
  </conditionalFormatting>
  <conditionalFormatting sqref="A6:B10">
    <cfRule type="expression" dxfId="2" priority="2">
      <formula>AND($A6&lt;&gt;"",COUNTIFS($A:$A,$A6,$B:$B,$B6)&gt;1)</formula>
    </cfRule>
  </conditionalFormatting>
  <conditionalFormatting sqref="A11:B11">
    <cfRule type="expression" dxfId="1" priority="1">
      <formula>AND($A11&lt;&gt;"",COUNTIFS($A:$A,$A11,$B:$B,$B11)&gt;1)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Bank_Rates</vt:lpstr>
      <vt:lpstr>Raw_Observations</vt:lpstr>
      <vt:lpstr>Pricing</vt:lpstr>
      <vt:lpstr>Buy_History</vt:lpstr>
      <vt:lpstr>Order_History</vt:lpstr>
      <vt:lpstr>Sell_History</vt:lpstr>
      <vt:lpstr>Trade_Results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</dc:creator>
  <cp:lastModifiedBy>Trung</cp:lastModifiedBy>
  <dcterms:created xsi:type="dcterms:W3CDTF">2026-08-20T14:55:23Z</dcterms:created>
  <dcterms:modified xsi:type="dcterms:W3CDTF">2026-08-23T15:39:38Z</dcterms:modified>
</cp:coreProperties>
</file>